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CodeRepositories\eps-us\InputData\bldgs\BRESaC\"/>
    </mc:Choice>
  </mc:AlternateContent>
  <xr:revisionPtr revIDLastSave="0" documentId="13_ncr:1_{527F6766-7908-421D-A8A9-186D9D8C4E9C}" xr6:coauthVersionLast="47" xr6:coauthVersionMax="47" xr10:uidLastSave="{00000000-0000-0000-0000-000000000000}"/>
  <bookViews>
    <workbookView xWindow="23580" yWindow="375" windowWidth="25935" windowHeight="22050" xr2:uid="{00000000-000D-0000-FFFF-FFFF00000000}"/>
  </bookViews>
  <sheets>
    <sheet name="About" sheetId="3" r:id="rId1"/>
    <sheet name="Residential" sheetId="2" r:id="rId2"/>
    <sheet name="Commercial" sheetId="1" r:id="rId3"/>
    <sheet name="County Climates" sheetId="5" r:id="rId4"/>
    <sheet name="CBECS_Table B5" sheetId="7" r:id="rId5"/>
    <sheet name="CBECS_Table B10" sheetId="8" r:id="rId6"/>
    <sheet name="CBECS_Table C4" sheetId="9" r:id="rId7"/>
    <sheet name="State Codes" sheetId="6" r:id="rId8"/>
    <sheet name="AEO 2019_Table 4" sheetId="4" r:id="rId9"/>
    <sheet name="AEO 2019_Table 5" sheetId="11" r:id="rId10"/>
    <sheet name="BRESaC-energy" sheetId="10" r:id="rId11"/>
    <sheet name="BRESaC-cost" sheetId="12" r:id="rId12"/>
  </sheets>
  <definedNames>
    <definedName name="_xlnm._FilterDatabase" localSheetId="3" hidden="1">'County Climates'!$A$1:$F$3141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2" l="1"/>
  <c r="B53" i="2"/>
  <c r="C7" i="12"/>
  <c r="C6" i="12"/>
  <c r="C5" i="12"/>
  <c r="C4" i="12"/>
  <c r="K10" i="1" l="1"/>
  <c r="C4" i="10" l="1"/>
  <c r="C5" i="10"/>
  <c r="C6" i="10"/>
  <c r="C7" i="10"/>
  <c r="M3" i="1" l="1" a="1"/>
  <c r="M3" i="1" s="1"/>
  <c r="M4" i="1" a="1"/>
  <c r="M4" i="1" s="1"/>
  <c r="N4" i="1" s="1"/>
  <c r="M5" i="1" a="1"/>
  <c r="M5" i="1" s="1"/>
  <c r="N5" i="1" s="1"/>
  <c r="M6" i="1" a="1"/>
  <c r="M6" i="1" s="1"/>
  <c r="M2" i="1" a="1"/>
  <c r="M2" i="1" s="1"/>
  <c r="K3" i="1" a="1"/>
  <c r="K3" i="1" s="1"/>
  <c r="K4" i="1" a="1"/>
  <c r="K4" i="1" s="1"/>
  <c r="K5" i="1" a="1"/>
  <c r="K5" i="1" s="1"/>
  <c r="K6" i="1" a="1"/>
  <c r="K6" i="1" s="1"/>
  <c r="K2" i="1" a="1"/>
  <c r="K2" i="1" s="1"/>
  <c r="J5" i="1"/>
  <c r="J3" i="1"/>
  <c r="J4" i="1"/>
  <c r="J6" i="1"/>
  <c r="J2" i="1"/>
  <c r="L2" i="1"/>
  <c r="L3" i="1" s="1"/>
  <c r="L4" i="1" s="1"/>
  <c r="L5" i="1" s="1"/>
  <c r="L6" i="1" s="1"/>
  <c r="N2" i="1" l="1"/>
  <c r="N6" i="1"/>
  <c r="N3" i="1"/>
  <c r="U5" i="5"/>
  <c r="L18" i="5" s="1"/>
  <c r="U7" i="5"/>
  <c r="L20" i="5" s="1"/>
  <c r="U11" i="5"/>
  <c r="L24" i="5" s="1"/>
  <c r="D1" i="7"/>
  <c r="E1" i="7"/>
  <c r="U3" i="5" s="1"/>
  <c r="M16" i="5" s="1"/>
  <c r="F1" i="7"/>
  <c r="G1" i="7"/>
  <c r="H1" i="7"/>
  <c r="I1" i="7"/>
  <c r="J1" i="7"/>
  <c r="U6" i="5" s="1"/>
  <c r="L19" i="5" s="1"/>
  <c r="K1" i="7"/>
  <c r="C1" i="7"/>
  <c r="E8" i="6"/>
  <c r="E9" i="6" s="1"/>
  <c r="E15" i="6"/>
  <c r="E16" i="6"/>
  <c r="E2452" i="5" s="1"/>
  <c r="F2452" i="5" s="1"/>
  <c r="E20" i="6"/>
  <c r="E21" i="6" s="1"/>
  <c r="E1898" i="5" s="1"/>
  <c r="F1898" i="5" s="1"/>
  <c r="E26" i="6"/>
  <c r="E27" i="6" s="1"/>
  <c r="E35" i="6"/>
  <c r="E36" i="6"/>
  <c r="E45" i="6"/>
  <c r="E46" i="6"/>
  <c r="E47" i="6" s="1"/>
  <c r="E50" i="6"/>
  <c r="E51" i="6" s="1"/>
  <c r="E56" i="6"/>
  <c r="E57" i="6" s="1"/>
  <c r="E65" i="6"/>
  <c r="E66" i="6" s="1"/>
  <c r="E7" i="6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E40" i="2"/>
  <c r="I40" i="2" s="1"/>
  <c r="E41" i="2"/>
  <c r="I41" i="2" s="1"/>
  <c r="E42" i="2"/>
  <c r="I42" i="2" s="1"/>
  <c r="E43" i="2"/>
  <c r="I43" i="2" s="1"/>
  <c r="E44" i="2"/>
  <c r="I44" i="2" s="1"/>
  <c r="E45" i="2"/>
  <c r="I45" i="2" s="1"/>
  <c r="E46" i="2"/>
  <c r="I46" i="2" s="1"/>
  <c r="E47" i="2"/>
  <c r="I47" i="2" s="1"/>
  <c r="E48" i="2"/>
  <c r="I48" i="2" s="1"/>
  <c r="E39" i="2"/>
  <c r="I39" i="2" s="1"/>
  <c r="F14" i="2"/>
  <c r="F15" i="2"/>
  <c r="F16" i="2"/>
  <c r="F40" i="2" s="1"/>
  <c r="F17" i="2"/>
  <c r="F18" i="2"/>
  <c r="F19" i="2"/>
  <c r="F20" i="2"/>
  <c r="F21" i="2"/>
  <c r="F22" i="2"/>
  <c r="F23" i="2"/>
  <c r="F24" i="2"/>
  <c r="F25" i="2"/>
  <c r="F26" i="2"/>
  <c r="F27" i="2"/>
  <c r="F28" i="2"/>
  <c r="F45" i="2" s="1"/>
  <c r="F29" i="2"/>
  <c r="F30" i="2"/>
  <c r="F31" i="2"/>
  <c r="F32" i="2"/>
  <c r="F33" i="2"/>
  <c r="F47" i="2" s="1"/>
  <c r="F34" i="2"/>
  <c r="F35" i="2"/>
  <c r="F13" i="2"/>
  <c r="B6" i="2"/>
  <c r="E48" i="6" l="1"/>
  <c r="E520" i="5"/>
  <c r="F520" i="5" s="1"/>
  <c r="E528" i="5"/>
  <c r="F528" i="5" s="1"/>
  <c r="E536" i="5"/>
  <c r="F536" i="5" s="1"/>
  <c r="E544" i="5"/>
  <c r="F544" i="5" s="1"/>
  <c r="E552" i="5"/>
  <c r="F552" i="5" s="1"/>
  <c r="E560" i="5"/>
  <c r="F560" i="5" s="1"/>
  <c r="E568" i="5"/>
  <c r="F568" i="5" s="1"/>
  <c r="E576" i="5"/>
  <c r="F576" i="5" s="1"/>
  <c r="E584" i="5"/>
  <c r="F584" i="5" s="1"/>
  <c r="E521" i="5"/>
  <c r="F521" i="5" s="1"/>
  <c r="E529" i="5"/>
  <c r="F529" i="5" s="1"/>
  <c r="E537" i="5"/>
  <c r="F537" i="5" s="1"/>
  <c r="E545" i="5"/>
  <c r="F545" i="5" s="1"/>
  <c r="E553" i="5"/>
  <c r="F553" i="5" s="1"/>
  <c r="E561" i="5"/>
  <c r="F561" i="5" s="1"/>
  <c r="E569" i="5"/>
  <c r="F569" i="5" s="1"/>
  <c r="E577" i="5"/>
  <c r="F577" i="5" s="1"/>
  <c r="E522" i="5"/>
  <c r="F522" i="5" s="1"/>
  <c r="E530" i="5"/>
  <c r="F530" i="5" s="1"/>
  <c r="E538" i="5"/>
  <c r="F538" i="5" s="1"/>
  <c r="E546" i="5"/>
  <c r="F546" i="5" s="1"/>
  <c r="E554" i="5"/>
  <c r="F554" i="5" s="1"/>
  <c r="E562" i="5"/>
  <c r="F562" i="5" s="1"/>
  <c r="E570" i="5"/>
  <c r="F570" i="5" s="1"/>
  <c r="E578" i="5"/>
  <c r="F578" i="5" s="1"/>
  <c r="E523" i="5"/>
  <c r="F523" i="5" s="1"/>
  <c r="E531" i="5"/>
  <c r="F531" i="5" s="1"/>
  <c r="E539" i="5"/>
  <c r="F539" i="5" s="1"/>
  <c r="E547" i="5"/>
  <c r="F547" i="5" s="1"/>
  <c r="E555" i="5"/>
  <c r="F555" i="5" s="1"/>
  <c r="E563" i="5"/>
  <c r="F563" i="5" s="1"/>
  <c r="E571" i="5"/>
  <c r="F571" i="5" s="1"/>
  <c r="E579" i="5"/>
  <c r="F579" i="5" s="1"/>
  <c r="E524" i="5"/>
  <c r="F524" i="5" s="1"/>
  <c r="E532" i="5"/>
  <c r="F532" i="5" s="1"/>
  <c r="E540" i="5"/>
  <c r="F540" i="5" s="1"/>
  <c r="E548" i="5"/>
  <c r="F548" i="5" s="1"/>
  <c r="E556" i="5"/>
  <c r="F556" i="5" s="1"/>
  <c r="E564" i="5"/>
  <c r="F564" i="5" s="1"/>
  <c r="E572" i="5"/>
  <c r="F572" i="5" s="1"/>
  <c r="E580" i="5"/>
  <c r="F580" i="5" s="1"/>
  <c r="E525" i="5"/>
  <c r="F525" i="5" s="1"/>
  <c r="E533" i="5"/>
  <c r="F533" i="5" s="1"/>
  <c r="E541" i="5"/>
  <c r="F541" i="5" s="1"/>
  <c r="E549" i="5"/>
  <c r="F549" i="5" s="1"/>
  <c r="E557" i="5"/>
  <c r="F557" i="5" s="1"/>
  <c r="E565" i="5"/>
  <c r="F565" i="5" s="1"/>
  <c r="E573" i="5"/>
  <c r="F573" i="5" s="1"/>
  <c r="E581" i="5"/>
  <c r="F581" i="5" s="1"/>
  <c r="E526" i="5"/>
  <c r="F526" i="5" s="1"/>
  <c r="E534" i="5"/>
  <c r="F534" i="5" s="1"/>
  <c r="E542" i="5"/>
  <c r="F542" i="5" s="1"/>
  <c r="E550" i="5"/>
  <c r="F550" i="5" s="1"/>
  <c r="E558" i="5"/>
  <c r="F558" i="5" s="1"/>
  <c r="E566" i="5"/>
  <c r="F566" i="5" s="1"/>
  <c r="E574" i="5"/>
  <c r="F574" i="5" s="1"/>
  <c r="E582" i="5"/>
  <c r="F582" i="5" s="1"/>
  <c r="E527" i="5"/>
  <c r="F527" i="5" s="1"/>
  <c r="E535" i="5"/>
  <c r="F535" i="5" s="1"/>
  <c r="E543" i="5"/>
  <c r="F543" i="5" s="1"/>
  <c r="E551" i="5"/>
  <c r="F551" i="5" s="1"/>
  <c r="E559" i="5"/>
  <c r="F559" i="5" s="1"/>
  <c r="E567" i="5"/>
  <c r="F567" i="5" s="1"/>
  <c r="E575" i="5"/>
  <c r="F575" i="5" s="1"/>
  <c r="E583" i="5"/>
  <c r="F583" i="5" s="1"/>
  <c r="E2059" i="5"/>
  <c r="F2059" i="5" s="1"/>
  <c r="E2067" i="5"/>
  <c r="F2067" i="5" s="1"/>
  <c r="E2075" i="5"/>
  <c r="F2075" i="5" s="1"/>
  <c r="E2083" i="5"/>
  <c r="F2083" i="5" s="1"/>
  <c r="E2091" i="5"/>
  <c r="F2091" i="5" s="1"/>
  <c r="E2099" i="5"/>
  <c r="F2099" i="5" s="1"/>
  <c r="E2107" i="5"/>
  <c r="F2107" i="5" s="1"/>
  <c r="E2060" i="5"/>
  <c r="F2060" i="5" s="1"/>
  <c r="E2068" i="5"/>
  <c r="F2068" i="5" s="1"/>
  <c r="E2076" i="5"/>
  <c r="F2076" i="5" s="1"/>
  <c r="E2084" i="5"/>
  <c r="F2084" i="5" s="1"/>
  <c r="E2092" i="5"/>
  <c r="F2092" i="5" s="1"/>
  <c r="E2100" i="5"/>
  <c r="F2100" i="5" s="1"/>
  <c r="E2108" i="5"/>
  <c r="F2108" i="5" s="1"/>
  <c r="E2062" i="5"/>
  <c r="F2062" i="5" s="1"/>
  <c r="E2070" i="5"/>
  <c r="F2070" i="5" s="1"/>
  <c r="E2078" i="5"/>
  <c r="F2078" i="5" s="1"/>
  <c r="E2086" i="5"/>
  <c r="F2086" i="5" s="1"/>
  <c r="E2094" i="5"/>
  <c r="F2094" i="5" s="1"/>
  <c r="E2102" i="5"/>
  <c r="F2102" i="5" s="1"/>
  <c r="E2056" i="5"/>
  <c r="F2056" i="5" s="1"/>
  <c r="E2064" i="5"/>
  <c r="F2064" i="5" s="1"/>
  <c r="E2072" i="5"/>
  <c r="F2072" i="5" s="1"/>
  <c r="E2080" i="5"/>
  <c r="F2080" i="5" s="1"/>
  <c r="E2088" i="5"/>
  <c r="F2088" i="5" s="1"/>
  <c r="E2096" i="5"/>
  <c r="F2096" i="5" s="1"/>
  <c r="E2104" i="5"/>
  <c r="F2104" i="5" s="1"/>
  <c r="E2057" i="5"/>
  <c r="F2057" i="5" s="1"/>
  <c r="E2065" i="5"/>
  <c r="F2065" i="5" s="1"/>
  <c r="E2073" i="5"/>
  <c r="F2073" i="5" s="1"/>
  <c r="E2081" i="5"/>
  <c r="F2081" i="5" s="1"/>
  <c r="E2089" i="5"/>
  <c r="F2089" i="5" s="1"/>
  <c r="E2097" i="5"/>
  <c r="F2097" i="5" s="1"/>
  <c r="E2105" i="5"/>
  <c r="F2105" i="5" s="1"/>
  <c r="E2071" i="5"/>
  <c r="F2071" i="5" s="1"/>
  <c r="E2093" i="5"/>
  <c r="F2093" i="5" s="1"/>
  <c r="E2074" i="5"/>
  <c r="F2074" i="5" s="1"/>
  <c r="E2095" i="5"/>
  <c r="F2095" i="5" s="1"/>
  <c r="E2055" i="5"/>
  <c r="F2055" i="5" s="1"/>
  <c r="E2077" i="5"/>
  <c r="F2077" i="5" s="1"/>
  <c r="E2098" i="5"/>
  <c r="F2098" i="5" s="1"/>
  <c r="E2058" i="5"/>
  <c r="F2058" i="5" s="1"/>
  <c r="E2079" i="5"/>
  <c r="F2079" i="5" s="1"/>
  <c r="E2101" i="5"/>
  <c r="F2101" i="5" s="1"/>
  <c r="E2061" i="5"/>
  <c r="F2061" i="5" s="1"/>
  <c r="E2082" i="5"/>
  <c r="F2082" i="5" s="1"/>
  <c r="E2103" i="5"/>
  <c r="F2103" i="5" s="1"/>
  <c r="E2063" i="5"/>
  <c r="F2063" i="5" s="1"/>
  <c r="E2085" i="5"/>
  <c r="F2085" i="5" s="1"/>
  <c r="E2106" i="5"/>
  <c r="F2106" i="5" s="1"/>
  <c r="E2066" i="5"/>
  <c r="F2066" i="5" s="1"/>
  <c r="E2069" i="5"/>
  <c r="F2069" i="5" s="1"/>
  <c r="E2087" i="5"/>
  <c r="F2087" i="5" s="1"/>
  <c r="E2090" i="5"/>
  <c r="F2090" i="5" s="1"/>
  <c r="E2109" i="5"/>
  <c r="F2109" i="5" s="1"/>
  <c r="E67" i="6"/>
  <c r="E1590" i="5"/>
  <c r="F1590" i="5" s="1"/>
  <c r="E1598" i="5"/>
  <c r="F1598" i="5" s="1"/>
  <c r="E1606" i="5"/>
  <c r="F1606" i="5" s="1"/>
  <c r="E1591" i="5"/>
  <c r="F1591" i="5" s="1"/>
  <c r="E1599" i="5"/>
  <c r="F1599" i="5" s="1"/>
  <c r="E1607" i="5"/>
  <c r="F1607" i="5" s="1"/>
  <c r="E1592" i="5"/>
  <c r="F1592" i="5" s="1"/>
  <c r="E1600" i="5"/>
  <c r="F1600" i="5" s="1"/>
  <c r="E1608" i="5"/>
  <c r="F1608" i="5" s="1"/>
  <c r="E1593" i="5"/>
  <c r="F1593" i="5" s="1"/>
  <c r="E1601" i="5"/>
  <c r="F1601" i="5" s="1"/>
  <c r="E1609" i="5"/>
  <c r="F1609" i="5" s="1"/>
  <c r="E1586" i="5"/>
  <c r="F1586" i="5" s="1"/>
  <c r="E1594" i="5"/>
  <c r="F1594" i="5" s="1"/>
  <c r="E1602" i="5"/>
  <c r="F1602" i="5" s="1"/>
  <c r="E1587" i="5"/>
  <c r="F1587" i="5" s="1"/>
  <c r="E1595" i="5"/>
  <c r="F1595" i="5" s="1"/>
  <c r="E1603" i="5"/>
  <c r="F1603" i="5" s="1"/>
  <c r="E1611" i="5"/>
  <c r="F1611" i="5" s="1"/>
  <c r="E1588" i="5"/>
  <c r="F1588" i="5" s="1"/>
  <c r="E1596" i="5"/>
  <c r="F1596" i="5" s="1"/>
  <c r="E1604" i="5"/>
  <c r="F1604" i="5" s="1"/>
  <c r="E1605" i="5"/>
  <c r="F1605" i="5" s="1"/>
  <c r="E1610" i="5"/>
  <c r="F1610" i="5" s="1"/>
  <c r="E1589" i="5"/>
  <c r="F1589" i="5" s="1"/>
  <c r="E1597" i="5"/>
  <c r="F1597" i="5" s="1"/>
  <c r="E2" i="5"/>
  <c r="F2" i="5" s="1"/>
  <c r="E37" i="6"/>
  <c r="E38" i="6" s="1"/>
  <c r="E187" i="5"/>
  <c r="F187" i="5" s="1"/>
  <c r="E188" i="5"/>
  <c r="F188" i="5" s="1"/>
  <c r="E189" i="5"/>
  <c r="F189" i="5" s="1"/>
  <c r="E2461" i="5"/>
  <c r="F2461" i="5" s="1"/>
  <c r="E2460" i="5"/>
  <c r="F2460" i="5" s="1"/>
  <c r="E28" i="6"/>
  <c r="E400" i="5"/>
  <c r="F400" i="5" s="1"/>
  <c r="E408" i="5"/>
  <c r="F408" i="5" s="1"/>
  <c r="E416" i="5"/>
  <c r="F416" i="5" s="1"/>
  <c r="E424" i="5"/>
  <c r="F424" i="5" s="1"/>
  <c r="E432" i="5"/>
  <c r="F432" i="5" s="1"/>
  <c r="E440" i="5"/>
  <c r="F440" i="5" s="1"/>
  <c r="E448" i="5"/>
  <c r="F448" i="5" s="1"/>
  <c r="E401" i="5"/>
  <c r="F401" i="5" s="1"/>
  <c r="E409" i="5"/>
  <c r="F409" i="5" s="1"/>
  <c r="E417" i="5"/>
  <c r="F417" i="5" s="1"/>
  <c r="E425" i="5"/>
  <c r="F425" i="5" s="1"/>
  <c r="E433" i="5"/>
  <c r="F433" i="5" s="1"/>
  <c r="E441" i="5"/>
  <c r="F441" i="5" s="1"/>
  <c r="E449" i="5"/>
  <c r="F449" i="5" s="1"/>
  <c r="E402" i="5"/>
  <c r="F402" i="5" s="1"/>
  <c r="E410" i="5"/>
  <c r="F410" i="5" s="1"/>
  <c r="E418" i="5"/>
  <c r="F418" i="5" s="1"/>
  <c r="E426" i="5"/>
  <c r="F426" i="5" s="1"/>
  <c r="E434" i="5"/>
  <c r="F434" i="5" s="1"/>
  <c r="E442" i="5"/>
  <c r="F442" i="5" s="1"/>
  <c r="E450" i="5"/>
  <c r="F450" i="5" s="1"/>
  <c r="E403" i="5"/>
  <c r="F403" i="5" s="1"/>
  <c r="E411" i="5"/>
  <c r="F411" i="5" s="1"/>
  <c r="E419" i="5"/>
  <c r="F419" i="5" s="1"/>
  <c r="E427" i="5"/>
  <c r="F427" i="5" s="1"/>
  <c r="E435" i="5"/>
  <c r="F435" i="5" s="1"/>
  <c r="E443" i="5"/>
  <c r="F443" i="5" s="1"/>
  <c r="E451" i="5"/>
  <c r="F451" i="5" s="1"/>
  <c r="E404" i="5"/>
  <c r="F404" i="5" s="1"/>
  <c r="E412" i="5"/>
  <c r="F412" i="5" s="1"/>
  <c r="E420" i="5"/>
  <c r="F420" i="5" s="1"/>
  <c r="E428" i="5"/>
  <c r="F428" i="5" s="1"/>
  <c r="E436" i="5"/>
  <c r="F436" i="5" s="1"/>
  <c r="E444" i="5"/>
  <c r="F444" i="5" s="1"/>
  <c r="E452" i="5"/>
  <c r="F452" i="5" s="1"/>
  <c r="E405" i="5"/>
  <c r="F405" i="5" s="1"/>
  <c r="E413" i="5"/>
  <c r="F413" i="5" s="1"/>
  <c r="E421" i="5"/>
  <c r="F421" i="5" s="1"/>
  <c r="E429" i="5"/>
  <c r="F429" i="5" s="1"/>
  <c r="E437" i="5"/>
  <c r="F437" i="5" s="1"/>
  <c r="E445" i="5"/>
  <c r="F445" i="5" s="1"/>
  <c r="E453" i="5"/>
  <c r="F453" i="5" s="1"/>
  <c r="E406" i="5"/>
  <c r="F406" i="5" s="1"/>
  <c r="E414" i="5"/>
  <c r="F414" i="5" s="1"/>
  <c r="E422" i="5"/>
  <c r="F422" i="5" s="1"/>
  <c r="E430" i="5"/>
  <c r="F430" i="5" s="1"/>
  <c r="E438" i="5"/>
  <c r="F438" i="5" s="1"/>
  <c r="E446" i="5"/>
  <c r="F446" i="5" s="1"/>
  <c r="E454" i="5"/>
  <c r="F454" i="5" s="1"/>
  <c r="E399" i="5"/>
  <c r="F399" i="5" s="1"/>
  <c r="E407" i="5"/>
  <c r="F407" i="5" s="1"/>
  <c r="E415" i="5"/>
  <c r="F415" i="5" s="1"/>
  <c r="E423" i="5"/>
  <c r="F423" i="5" s="1"/>
  <c r="E431" i="5"/>
  <c r="F431" i="5" s="1"/>
  <c r="E439" i="5"/>
  <c r="F439" i="5" s="1"/>
  <c r="E447" i="5"/>
  <c r="F447" i="5" s="1"/>
  <c r="E1979" i="5"/>
  <c r="F1979" i="5" s="1"/>
  <c r="E1987" i="5"/>
  <c r="F1987" i="5" s="1"/>
  <c r="E1995" i="5"/>
  <c r="F1995" i="5" s="1"/>
  <c r="E2003" i="5"/>
  <c r="F2003" i="5" s="1"/>
  <c r="E2011" i="5"/>
  <c r="F2011" i="5" s="1"/>
  <c r="E1972" i="5"/>
  <c r="F1972" i="5" s="1"/>
  <c r="E1980" i="5"/>
  <c r="F1980" i="5" s="1"/>
  <c r="E1988" i="5"/>
  <c r="F1988" i="5" s="1"/>
  <c r="E1996" i="5"/>
  <c r="F1996" i="5" s="1"/>
  <c r="E2004" i="5"/>
  <c r="F2004" i="5" s="1"/>
  <c r="E2012" i="5"/>
  <c r="F2012" i="5" s="1"/>
  <c r="E1974" i="5"/>
  <c r="F1974" i="5" s="1"/>
  <c r="E1982" i="5"/>
  <c r="F1982" i="5" s="1"/>
  <c r="E1990" i="5"/>
  <c r="F1990" i="5" s="1"/>
  <c r="E1998" i="5"/>
  <c r="F1998" i="5" s="1"/>
  <c r="E2006" i="5"/>
  <c r="F2006" i="5" s="1"/>
  <c r="E2014" i="5"/>
  <c r="F2014" i="5" s="1"/>
  <c r="E1976" i="5"/>
  <c r="F1976" i="5" s="1"/>
  <c r="E1984" i="5"/>
  <c r="F1984" i="5" s="1"/>
  <c r="E1992" i="5"/>
  <c r="F1992" i="5" s="1"/>
  <c r="E2000" i="5"/>
  <c r="F2000" i="5" s="1"/>
  <c r="E2008" i="5"/>
  <c r="F2008" i="5" s="1"/>
  <c r="E1977" i="5"/>
  <c r="F1977" i="5" s="1"/>
  <c r="E1985" i="5"/>
  <c r="F1985" i="5" s="1"/>
  <c r="E1993" i="5"/>
  <c r="F1993" i="5" s="1"/>
  <c r="E2001" i="5"/>
  <c r="F2001" i="5" s="1"/>
  <c r="E2009" i="5"/>
  <c r="F2009" i="5" s="1"/>
  <c r="E1986" i="5"/>
  <c r="F1986" i="5" s="1"/>
  <c r="E2007" i="5"/>
  <c r="F2007" i="5" s="1"/>
  <c r="E1989" i="5"/>
  <c r="F1989" i="5" s="1"/>
  <c r="E2010" i="5"/>
  <c r="F2010" i="5" s="1"/>
  <c r="E1991" i="5"/>
  <c r="F1991" i="5" s="1"/>
  <c r="E2013" i="5"/>
  <c r="F2013" i="5" s="1"/>
  <c r="E1973" i="5"/>
  <c r="F1973" i="5" s="1"/>
  <c r="E1994" i="5"/>
  <c r="F1994" i="5" s="1"/>
  <c r="E1975" i="5"/>
  <c r="F1975" i="5" s="1"/>
  <c r="E1997" i="5"/>
  <c r="F1997" i="5" s="1"/>
  <c r="E1978" i="5"/>
  <c r="F1978" i="5" s="1"/>
  <c r="E1999" i="5"/>
  <c r="F1999" i="5" s="1"/>
  <c r="E2453" i="5"/>
  <c r="F2453" i="5" s="1"/>
  <c r="E2005" i="5"/>
  <c r="F2005" i="5" s="1"/>
  <c r="E58" i="6"/>
  <c r="E1614" i="5"/>
  <c r="F1614" i="5" s="1"/>
  <c r="E1622" i="5"/>
  <c r="F1622" i="5" s="1"/>
  <c r="E1615" i="5"/>
  <c r="F1615" i="5" s="1"/>
  <c r="E1623" i="5"/>
  <c r="F1623" i="5" s="1"/>
  <c r="E1616" i="5"/>
  <c r="F1616" i="5" s="1"/>
  <c r="E1624" i="5"/>
  <c r="F1624" i="5" s="1"/>
  <c r="E1617" i="5"/>
  <c r="F1617" i="5" s="1"/>
  <c r="E1625" i="5"/>
  <c r="F1625" i="5" s="1"/>
  <c r="E1619" i="5"/>
  <c r="F1619" i="5" s="1"/>
  <c r="E1612" i="5"/>
  <c r="F1612" i="5" s="1"/>
  <c r="E1620" i="5"/>
  <c r="F1620" i="5" s="1"/>
  <c r="E1613" i="5"/>
  <c r="F1613" i="5" s="1"/>
  <c r="E1618" i="5"/>
  <c r="F1618" i="5" s="1"/>
  <c r="E1621" i="5"/>
  <c r="F1621" i="5" s="1"/>
  <c r="E1626" i="5"/>
  <c r="F1626" i="5" s="1"/>
  <c r="E22" i="6"/>
  <c r="E328" i="5"/>
  <c r="F328" i="5" s="1"/>
  <c r="E336" i="5"/>
  <c r="F336" i="5" s="1"/>
  <c r="E344" i="5"/>
  <c r="F344" i="5" s="1"/>
  <c r="E352" i="5"/>
  <c r="F352" i="5" s="1"/>
  <c r="E360" i="5"/>
  <c r="F360" i="5" s="1"/>
  <c r="E368" i="5"/>
  <c r="F368" i="5" s="1"/>
  <c r="E329" i="5"/>
  <c r="F329" i="5" s="1"/>
  <c r="E337" i="5"/>
  <c r="F337" i="5" s="1"/>
  <c r="E345" i="5"/>
  <c r="F345" i="5" s="1"/>
  <c r="E353" i="5"/>
  <c r="F353" i="5" s="1"/>
  <c r="E361" i="5"/>
  <c r="F361" i="5" s="1"/>
  <c r="E369" i="5"/>
  <c r="F369" i="5" s="1"/>
  <c r="E330" i="5"/>
  <c r="F330" i="5" s="1"/>
  <c r="E338" i="5"/>
  <c r="F338" i="5" s="1"/>
  <c r="E346" i="5"/>
  <c r="F346" i="5" s="1"/>
  <c r="E354" i="5"/>
  <c r="F354" i="5" s="1"/>
  <c r="E362" i="5"/>
  <c r="F362" i="5" s="1"/>
  <c r="E370" i="5"/>
  <c r="F370" i="5" s="1"/>
  <c r="E331" i="5"/>
  <c r="F331" i="5" s="1"/>
  <c r="E339" i="5"/>
  <c r="F339" i="5" s="1"/>
  <c r="E347" i="5"/>
  <c r="F347" i="5" s="1"/>
  <c r="E355" i="5"/>
  <c r="F355" i="5" s="1"/>
  <c r="E363" i="5"/>
  <c r="F363" i="5" s="1"/>
  <c r="E371" i="5"/>
  <c r="F371" i="5" s="1"/>
  <c r="E332" i="5"/>
  <c r="F332" i="5" s="1"/>
  <c r="E340" i="5"/>
  <c r="F340" i="5" s="1"/>
  <c r="E348" i="5"/>
  <c r="F348" i="5" s="1"/>
  <c r="E356" i="5"/>
  <c r="F356" i="5" s="1"/>
  <c r="E364" i="5"/>
  <c r="F364" i="5" s="1"/>
  <c r="E325" i="5"/>
  <c r="F325" i="5" s="1"/>
  <c r="E333" i="5"/>
  <c r="F333" i="5" s="1"/>
  <c r="E341" i="5"/>
  <c r="F341" i="5" s="1"/>
  <c r="E349" i="5"/>
  <c r="F349" i="5" s="1"/>
  <c r="E357" i="5"/>
  <c r="F357" i="5" s="1"/>
  <c r="E365" i="5"/>
  <c r="F365" i="5" s="1"/>
  <c r="E326" i="5"/>
  <c r="F326" i="5" s="1"/>
  <c r="E334" i="5"/>
  <c r="F334" i="5" s="1"/>
  <c r="E342" i="5"/>
  <c r="F342" i="5" s="1"/>
  <c r="E350" i="5"/>
  <c r="F350" i="5" s="1"/>
  <c r="E358" i="5"/>
  <c r="F358" i="5" s="1"/>
  <c r="E366" i="5"/>
  <c r="F366" i="5" s="1"/>
  <c r="E327" i="5"/>
  <c r="F327" i="5" s="1"/>
  <c r="E335" i="5"/>
  <c r="F335" i="5" s="1"/>
  <c r="E343" i="5"/>
  <c r="F343" i="5" s="1"/>
  <c r="E351" i="5"/>
  <c r="F351" i="5" s="1"/>
  <c r="E359" i="5"/>
  <c r="F359" i="5" s="1"/>
  <c r="E367" i="5"/>
  <c r="F367" i="5" s="1"/>
  <c r="E1855" i="5"/>
  <c r="F1855" i="5" s="1"/>
  <c r="E1863" i="5"/>
  <c r="F1863" i="5" s="1"/>
  <c r="E1871" i="5"/>
  <c r="F1871" i="5" s="1"/>
  <c r="E1879" i="5"/>
  <c r="F1879" i="5" s="1"/>
  <c r="E1856" i="5"/>
  <c r="F1856" i="5" s="1"/>
  <c r="E1864" i="5"/>
  <c r="F1864" i="5" s="1"/>
  <c r="E1872" i="5"/>
  <c r="F1872" i="5" s="1"/>
  <c r="E1880" i="5"/>
  <c r="F1880" i="5" s="1"/>
  <c r="E1888" i="5"/>
  <c r="F1888" i="5" s="1"/>
  <c r="E1857" i="5"/>
  <c r="F1857" i="5" s="1"/>
  <c r="E1865" i="5"/>
  <c r="F1865" i="5" s="1"/>
  <c r="E1873" i="5"/>
  <c r="F1873" i="5" s="1"/>
  <c r="E1881" i="5"/>
  <c r="F1881" i="5" s="1"/>
  <c r="E1889" i="5"/>
  <c r="F1889" i="5" s="1"/>
  <c r="E1852" i="5"/>
  <c r="F1852" i="5" s="1"/>
  <c r="E1860" i="5"/>
  <c r="F1860" i="5" s="1"/>
  <c r="E1868" i="5"/>
  <c r="F1868" i="5" s="1"/>
  <c r="E1876" i="5"/>
  <c r="F1876" i="5" s="1"/>
  <c r="E1884" i="5"/>
  <c r="F1884" i="5" s="1"/>
  <c r="E1892" i="5"/>
  <c r="F1892" i="5" s="1"/>
  <c r="E1859" i="5"/>
  <c r="F1859" i="5" s="1"/>
  <c r="E1875" i="5"/>
  <c r="F1875" i="5" s="1"/>
  <c r="E1890" i="5"/>
  <c r="F1890" i="5" s="1"/>
  <c r="E1899" i="5"/>
  <c r="F1899" i="5" s="1"/>
  <c r="E1861" i="5"/>
  <c r="F1861" i="5" s="1"/>
  <c r="E1877" i="5"/>
  <c r="F1877" i="5" s="1"/>
  <c r="E1891" i="5"/>
  <c r="F1891" i="5" s="1"/>
  <c r="E1900" i="5"/>
  <c r="F1900" i="5" s="1"/>
  <c r="E1866" i="5"/>
  <c r="F1866" i="5" s="1"/>
  <c r="E1882" i="5"/>
  <c r="F1882" i="5" s="1"/>
  <c r="E1894" i="5"/>
  <c r="F1894" i="5" s="1"/>
  <c r="E1902" i="5"/>
  <c r="F1902" i="5" s="1"/>
  <c r="E1853" i="5"/>
  <c r="F1853" i="5" s="1"/>
  <c r="E1869" i="5"/>
  <c r="F1869" i="5" s="1"/>
  <c r="E1885" i="5"/>
  <c r="F1885" i="5" s="1"/>
  <c r="E1896" i="5"/>
  <c r="F1896" i="5" s="1"/>
  <c r="E1904" i="5"/>
  <c r="F1904" i="5" s="1"/>
  <c r="E1854" i="5"/>
  <c r="F1854" i="5" s="1"/>
  <c r="E1870" i="5"/>
  <c r="F1870" i="5" s="1"/>
  <c r="E1886" i="5"/>
  <c r="F1886" i="5" s="1"/>
  <c r="E1897" i="5"/>
  <c r="F1897" i="5" s="1"/>
  <c r="E1905" i="5"/>
  <c r="F1905" i="5" s="1"/>
  <c r="E1867" i="5"/>
  <c r="F1867" i="5" s="1"/>
  <c r="E1901" i="5"/>
  <c r="F1901" i="5" s="1"/>
  <c r="E1874" i="5"/>
  <c r="F1874" i="5" s="1"/>
  <c r="E1903" i="5"/>
  <c r="F1903" i="5" s="1"/>
  <c r="E1878" i="5"/>
  <c r="F1878" i="5" s="1"/>
  <c r="E1906" i="5"/>
  <c r="F1906" i="5" s="1"/>
  <c r="E1883" i="5"/>
  <c r="F1883" i="5" s="1"/>
  <c r="E1887" i="5"/>
  <c r="F1887" i="5" s="1"/>
  <c r="E1893" i="5"/>
  <c r="F1893" i="5" s="1"/>
  <c r="E1858" i="5"/>
  <c r="F1858" i="5" s="1"/>
  <c r="E1895" i="5"/>
  <c r="F1895" i="5" s="1"/>
  <c r="E2002" i="5"/>
  <c r="F2002" i="5" s="1"/>
  <c r="E1862" i="5"/>
  <c r="F1862" i="5" s="1"/>
  <c r="E52" i="6"/>
  <c r="E72" i="5"/>
  <c r="F72" i="5" s="1"/>
  <c r="E80" i="5"/>
  <c r="F80" i="5" s="1"/>
  <c r="E88" i="5"/>
  <c r="F88" i="5" s="1"/>
  <c r="E96" i="5"/>
  <c r="F96" i="5" s="1"/>
  <c r="E104" i="5"/>
  <c r="F104" i="5" s="1"/>
  <c r="E112" i="5"/>
  <c r="F112" i="5" s="1"/>
  <c r="E120" i="5"/>
  <c r="F120" i="5" s="1"/>
  <c r="E73" i="5"/>
  <c r="F73" i="5" s="1"/>
  <c r="E81" i="5"/>
  <c r="F81" i="5" s="1"/>
  <c r="E89" i="5"/>
  <c r="F89" i="5" s="1"/>
  <c r="E97" i="5"/>
  <c r="F97" i="5" s="1"/>
  <c r="E105" i="5"/>
  <c r="F105" i="5" s="1"/>
  <c r="E113" i="5"/>
  <c r="F113" i="5" s="1"/>
  <c r="E121" i="5"/>
  <c r="F121" i="5" s="1"/>
  <c r="E74" i="5"/>
  <c r="F74" i="5" s="1"/>
  <c r="E82" i="5"/>
  <c r="F82" i="5" s="1"/>
  <c r="E90" i="5"/>
  <c r="F90" i="5" s="1"/>
  <c r="E98" i="5"/>
  <c r="F98" i="5" s="1"/>
  <c r="E106" i="5"/>
  <c r="F106" i="5" s="1"/>
  <c r="E114" i="5"/>
  <c r="F114" i="5" s="1"/>
  <c r="E67" i="5"/>
  <c r="F67" i="5" s="1"/>
  <c r="E75" i="5"/>
  <c r="F75" i="5" s="1"/>
  <c r="E83" i="5"/>
  <c r="F83" i="5" s="1"/>
  <c r="E91" i="5"/>
  <c r="F91" i="5" s="1"/>
  <c r="E99" i="5"/>
  <c r="F99" i="5" s="1"/>
  <c r="E107" i="5"/>
  <c r="F107" i="5" s="1"/>
  <c r="E115" i="5"/>
  <c r="F115" i="5" s="1"/>
  <c r="E68" i="5"/>
  <c r="F68" i="5" s="1"/>
  <c r="E76" i="5"/>
  <c r="F76" i="5" s="1"/>
  <c r="E84" i="5"/>
  <c r="F84" i="5" s="1"/>
  <c r="E92" i="5"/>
  <c r="F92" i="5" s="1"/>
  <c r="E100" i="5"/>
  <c r="F100" i="5" s="1"/>
  <c r="E108" i="5"/>
  <c r="F108" i="5" s="1"/>
  <c r="E116" i="5"/>
  <c r="F116" i="5" s="1"/>
  <c r="E69" i="5"/>
  <c r="F69" i="5" s="1"/>
  <c r="E77" i="5"/>
  <c r="F77" i="5" s="1"/>
  <c r="E85" i="5"/>
  <c r="F85" i="5" s="1"/>
  <c r="E93" i="5"/>
  <c r="F93" i="5" s="1"/>
  <c r="E101" i="5"/>
  <c r="F101" i="5" s="1"/>
  <c r="E109" i="5"/>
  <c r="F109" i="5" s="1"/>
  <c r="E117" i="5"/>
  <c r="F117" i="5" s="1"/>
  <c r="E70" i="5"/>
  <c r="F70" i="5" s="1"/>
  <c r="E78" i="5"/>
  <c r="F78" i="5" s="1"/>
  <c r="E86" i="5"/>
  <c r="F86" i="5" s="1"/>
  <c r="E94" i="5"/>
  <c r="F94" i="5" s="1"/>
  <c r="E102" i="5"/>
  <c r="F102" i="5" s="1"/>
  <c r="E110" i="5"/>
  <c r="F110" i="5" s="1"/>
  <c r="E118" i="5"/>
  <c r="F118" i="5" s="1"/>
  <c r="E71" i="5"/>
  <c r="F71" i="5" s="1"/>
  <c r="E79" i="5"/>
  <c r="F79" i="5" s="1"/>
  <c r="E87" i="5"/>
  <c r="F87" i="5" s="1"/>
  <c r="E95" i="5"/>
  <c r="F95" i="5" s="1"/>
  <c r="E103" i="5"/>
  <c r="F103" i="5" s="1"/>
  <c r="E111" i="5"/>
  <c r="F111" i="5" s="1"/>
  <c r="E119" i="5"/>
  <c r="F119" i="5" s="1"/>
  <c r="E1630" i="5"/>
  <c r="F1630" i="5" s="1"/>
  <c r="E1638" i="5"/>
  <c r="F1638" i="5" s="1"/>
  <c r="E1646" i="5"/>
  <c r="F1646" i="5" s="1"/>
  <c r="E1631" i="5"/>
  <c r="F1631" i="5" s="1"/>
  <c r="E1639" i="5"/>
  <c r="F1639" i="5" s="1"/>
  <c r="E1632" i="5"/>
  <c r="F1632" i="5" s="1"/>
  <c r="E1640" i="5"/>
  <c r="F1640" i="5" s="1"/>
  <c r="E1633" i="5"/>
  <c r="F1633" i="5" s="1"/>
  <c r="E1641" i="5"/>
  <c r="F1641" i="5" s="1"/>
  <c r="E1627" i="5"/>
  <c r="F1627" i="5" s="1"/>
  <c r="E1635" i="5"/>
  <c r="F1635" i="5" s="1"/>
  <c r="E1643" i="5"/>
  <c r="F1643" i="5" s="1"/>
  <c r="E1628" i="5"/>
  <c r="F1628" i="5" s="1"/>
  <c r="E1636" i="5"/>
  <c r="F1636" i="5" s="1"/>
  <c r="E1644" i="5"/>
  <c r="F1644" i="5" s="1"/>
  <c r="E1637" i="5"/>
  <c r="F1637" i="5" s="1"/>
  <c r="E1642" i="5"/>
  <c r="F1642" i="5" s="1"/>
  <c r="E1645" i="5"/>
  <c r="F1645" i="5" s="1"/>
  <c r="E1629" i="5"/>
  <c r="F1629" i="5" s="1"/>
  <c r="E1634" i="5"/>
  <c r="F1634" i="5" s="1"/>
  <c r="E17" i="6"/>
  <c r="E2446" i="5"/>
  <c r="F2446" i="5" s="1"/>
  <c r="E2454" i="5"/>
  <c r="F2454" i="5" s="1"/>
  <c r="E2462" i="5"/>
  <c r="F2462" i="5" s="1"/>
  <c r="E2447" i="5"/>
  <c r="F2447" i="5" s="1"/>
  <c r="E2455" i="5"/>
  <c r="F2455" i="5" s="1"/>
  <c r="E2463" i="5"/>
  <c r="F2463" i="5" s="1"/>
  <c r="E2448" i="5"/>
  <c r="F2448" i="5" s="1"/>
  <c r="E2456" i="5"/>
  <c r="F2456" i="5" s="1"/>
  <c r="E2464" i="5"/>
  <c r="F2464" i="5" s="1"/>
  <c r="E2449" i="5"/>
  <c r="F2449" i="5" s="1"/>
  <c r="E2457" i="5"/>
  <c r="F2457" i="5" s="1"/>
  <c r="E2465" i="5"/>
  <c r="F2465" i="5" s="1"/>
  <c r="E2450" i="5"/>
  <c r="F2450" i="5" s="1"/>
  <c r="E2458" i="5"/>
  <c r="F2458" i="5" s="1"/>
  <c r="E2466" i="5"/>
  <c r="F2466" i="5" s="1"/>
  <c r="E2451" i="5"/>
  <c r="F2451" i="5" s="1"/>
  <c r="E2459" i="5"/>
  <c r="F2459" i="5" s="1"/>
  <c r="E1983" i="5"/>
  <c r="F1983" i="5" s="1"/>
  <c r="E1981" i="5"/>
  <c r="F1981" i="5" s="1"/>
  <c r="E8" i="5"/>
  <c r="F8" i="5" s="1"/>
  <c r="E16" i="5"/>
  <c r="F16" i="5" s="1"/>
  <c r="E24" i="5"/>
  <c r="F24" i="5" s="1"/>
  <c r="E32" i="5"/>
  <c r="F32" i="5" s="1"/>
  <c r="E40" i="5"/>
  <c r="F40" i="5" s="1"/>
  <c r="E48" i="5"/>
  <c r="F48" i="5" s="1"/>
  <c r="E56" i="5"/>
  <c r="F56" i="5" s="1"/>
  <c r="E64" i="5"/>
  <c r="F64" i="5" s="1"/>
  <c r="E9" i="5"/>
  <c r="F9" i="5" s="1"/>
  <c r="E17" i="5"/>
  <c r="F17" i="5" s="1"/>
  <c r="E25" i="5"/>
  <c r="F25" i="5" s="1"/>
  <c r="E33" i="5"/>
  <c r="F33" i="5" s="1"/>
  <c r="E41" i="5"/>
  <c r="F41" i="5" s="1"/>
  <c r="E49" i="5"/>
  <c r="F49" i="5" s="1"/>
  <c r="E57" i="5"/>
  <c r="F57" i="5" s="1"/>
  <c r="E65" i="5"/>
  <c r="F65" i="5" s="1"/>
  <c r="E10" i="5"/>
  <c r="F10" i="5" s="1"/>
  <c r="E18" i="5"/>
  <c r="F18" i="5" s="1"/>
  <c r="E26" i="5"/>
  <c r="F26" i="5" s="1"/>
  <c r="E34" i="5"/>
  <c r="F34" i="5" s="1"/>
  <c r="E42" i="5"/>
  <c r="F42" i="5" s="1"/>
  <c r="E50" i="5"/>
  <c r="F50" i="5" s="1"/>
  <c r="E58" i="5"/>
  <c r="F58" i="5" s="1"/>
  <c r="E66" i="5"/>
  <c r="F66" i="5" s="1"/>
  <c r="E3" i="5"/>
  <c r="F3" i="5" s="1"/>
  <c r="E11" i="5"/>
  <c r="F11" i="5" s="1"/>
  <c r="E19" i="5"/>
  <c r="F19" i="5" s="1"/>
  <c r="E27" i="5"/>
  <c r="F27" i="5" s="1"/>
  <c r="E35" i="5"/>
  <c r="F35" i="5" s="1"/>
  <c r="E43" i="5"/>
  <c r="F43" i="5" s="1"/>
  <c r="E51" i="5"/>
  <c r="F51" i="5" s="1"/>
  <c r="E59" i="5"/>
  <c r="F59" i="5" s="1"/>
  <c r="E4" i="5"/>
  <c r="F4" i="5" s="1"/>
  <c r="E12" i="5"/>
  <c r="F12" i="5" s="1"/>
  <c r="E20" i="5"/>
  <c r="F20" i="5" s="1"/>
  <c r="E28" i="5"/>
  <c r="F28" i="5" s="1"/>
  <c r="E36" i="5"/>
  <c r="F36" i="5" s="1"/>
  <c r="E44" i="5"/>
  <c r="F44" i="5" s="1"/>
  <c r="E52" i="5"/>
  <c r="F52" i="5" s="1"/>
  <c r="E60" i="5"/>
  <c r="F60" i="5" s="1"/>
  <c r="E5" i="5"/>
  <c r="F5" i="5" s="1"/>
  <c r="E13" i="5"/>
  <c r="F13" i="5" s="1"/>
  <c r="E21" i="5"/>
  <c r="F21" i="5" s="1"/>
  <c r="E29" i="5"/>
  <c r="F29" i="5" s="1"/>
  <c r="E37" i="5"/>
  <c r="F37" i="5" s="1"/>
  <c r="E45" i="5"/>
  <c r="F45" i="5" s="1"/>
  <c r="E53" i="5"/>
  <c r="F53" i="5" s="1"/>
  <c r="E61" i="5"/>
  <c r="F61" i="5" s="1"/>
  <c r="E6" i="5"/>
  <c r="F6" i="5" s="1"/>
  <c r="E14" i="5"/>
  <c r="F14" i="5" s="1"/>
  <c r="E22" i="5"/>
  <c r="F22" i="5" s="1"/>
  <c r="E30" i="5"/>
  <c r="F30" i="5" s="1"/>
  <c r="E38" i="5"/>
  <c r="F38" i="5" s="1"/>
  <c r="E46" i="5"/>
  <c r="F46" i="5" s="1"/>
  <c r="E54" i="5"/>
  <c r="F54" i="5" s="1"/>
  <c r="E62" i="5"/>
  <c r="F62" i="5" s="1"/>
  <c r="E7" i="5"/>
  <c r="F7" i="5" s="1"/>
  <c r="E15" i="5"/>
  <c r="F15" i="5" s="1"/>
  <c r="E23" i="5"/>
  <c r="F23" i="5" s="1"/>
  <c r="E31" i="5"/>
  <c r="F31" i="5" s="1"/>
  <c r="E39" i="5"/>
  <c r="F39" i="5" s="1"/>
  <c r="E47" i="5"/>
  <c r="F47" i="5" s="1"/>
  <c r="E55" i="5"/>
  <c r="F55" i="5" s="1"/>
  <c r="E63" i="5"/>
  <c r="F63" i="5" s="1"/>
  <c r="E1584" i="5"/>
  <c r="F1584" i="5" s="1"/>
  <c r="E1585" i="5"/>
  <c r="F1585" i="5" s="1"/>
  <c r="E10" i="6"/>
  <c r="E184" i="5"/>
  <c r="F184" i="5" s="1"/>
  <c r="E185" i="5"/>
  <c r="F185" i="5" s="1"/>
  <c r="E186" i="5"/>
  <c r="F186" i="5" s="1"/>
  <c r="E179" i="5"/>
  <c r="F179" i="5" s="1"/>
  <c r="E180" i="5"/>
  <c r="F180" i="5" s="1"/>
  <c r="E181" i="5"/>
  <c r="F181" i="5" s="1"/>
  <c r="E182" i="5"/>
  <c r="F182" i="5" s="1"/>
  <c r="E183" i="5"/>
  <c r="F183" i="5" s="1"/>
  <c r="U10" i="5"/>
  <c r="L23" i="5" s="1"/>
  <c r="U9" i="5"/>
  <c r="L22" i="5" s="1"/>
  <c r="U4" i="5"/>
  <c r="L17" i="5" s="1"/>
  <c r="G40" i="2"/>
  <c r="F44" i="2"/>
  <c r="G44" i="2" s="1"/>
  <c r="F39" i="2"/>
  <c r="G39" i="2" s="1"/>
  <c r="G45" i="2"/>
  <c r="F48" i="2"/>
  <c r="G48" i="2" s="1"/>
  <c r="C51" i="2"/>
  <c r="B54" i="2" s="1"/>
  <c r="B56" i="2" s="1"/>
  <c r="L16" i="5"/>
  <c r="P20" i="5"/>
  <c r="S20" i="5"/>
  <c r="Q16" i="5"/>
  <c r="S19" i="5"/>
  <c r="S24" i="5"/>
  <c r="P19" i="5"/>
  <c r="P24" i="5"/>
  <c r="S18" i="5"/>
  <c r="S23" i="5"/>
  <c r="P18" i="5"/>
  <c r="S22" i="5"/>
  <c r="S17" i="5"/>
  <c r="P22" i="5"/>
  <c r="S16" i="5"/>
  <c r="R24" i="5"/>
  <c r="R23" i="5"/>
  <c r="R22" i="5"/>
  <c r="R20" i="5"/>
  <c r="R19" i="5"/>
  <c r="R18" i="5"/>
  <c r="R16" i="5"/>
  <c r="Q24" i="5"/>
  <c r="Q23" i="5"/>
  <c r="Q22" i="5"/>
  <c r="Q20" i="5"/>
  <c r="Q19" i="5"/>
  <c r="Q18" i="5"/>
  <c r="P23" i="5"/>
  <c r="P16" i="5"/>
  <c r="O24" i="5"/>
  <c r="O23" i="5"/>
  <c r="O22" i="5"/>
  <c r="O20" i="5"/>
  <c r="O19" i="5"/>
  <c r="O18" i="5"/>
  <c r="O16" i="5"/>
  <c r="N24" i="5"/>
  <c r="N23" i="5"/>
  <c r="N22" i="5"/>
  <c r="N20" i="5"/>
  <c r="N19" i="5"/>
  <c r="N18" i="5"/>
  <c r="N16" i="5"/>
  <c r="M24" i="5"/>
  <c r="M23" i="5"/>
  <c r="M22" i="5"/>
  <c r="M20" i="5"/>
  <c r="M19" i="5"/>
  <c r="M18" i="5"/>
  <c r="U8" i="5"/>
  <c r="F46" i="2"/>
  <c r="G46" i="2" s="1"/>
  <c r="F43" i="2"/>
  <c r="G43" i="2" s="1"/>
  <c r="F41" i="2"/>
  <c r="G41" i="2" s="1"/>
  <c r="F42" i="2"/>
  <c r="G42" i="2" s="1"/>
  <c r="G47" i="2"/>
  <c r="E23" i="6" l="1"/>
  <c r="E376" i="5"/>
  <c r="F376" i="5" s="1"/>
  <c r="E384" i="5"/>
  <c r="F384" i="5" s="1"/>
  <c r="E392" i="5"/>
  <c r="F392" i="5" s="1"/>
  <c r="E377" i="5"/>
  <c r="F377" i="5" s="1"/>
  <c r="E385" i="5"/>
  <c r="F385" i="5" s="1"/>
  <c r="E393" i="5"/>
  <c r="F393" i="5" s="1"/>
  <c r="E378" i="5"/>
  <c r="F378" i="5" s="1"/>
  <c r="E386" i="5"/>
  <c r="F386" i="5" s="1"/>
  <c r="E394" i="5"/>
  <c r="F394" i="5" s="1"/>
  <c r="E379" i="5"/>
  <c r="F379" i="5" s="1"/>
  <c r="E387" i="5"/>
  <c r="F387" i="5" s="1"/>
  <c r="E395" i="5"/>
  <c r="F395" i="5" s="1"/>
  <c r="E372" i="5"/>
  <c r="F372" i="5" s="1"/>
  <c r="E380" i="5"/>
  <c r="F380" i="5" s="1"/>
  <c r="E388" i="5"/>
  <c r="F388" i="5" s="1"/>
  <c r="E396" i="5"/>
  <c r="F396" i="5" s="1"/>
  <c r="E373" i="5"/>
  <c r="F373" i="5" s="1"/>
  <c r="E381" i="5"/>
  <c r="F381" i="5" s="1"/>
  <c r="E389" i="5"/>
  <c r="F389" i="5" s="1"/>
  <c r="E397" i="5"/>
  <c r="F397" i="5" s="1"/>
  <c r="E374" i="5"/>
  <c r="F374" i="5" s="1"/>
  <c r="E382" i="5"/>
  <c r="F382" i="5" s="1"/>
  <c r="E390" i="5"/>
  <c r="F390" i="5" s="1"/>
  <c r="E398" i="5"/>
  <c r="F398" i="5" s="1"/>
  <c r="E375" i="5"/>
  <c r="F375" i="5" s="1"/>
  <c r="E383" i="5"/>
  <c r="F383" i="5" s="1"/>
  <c r="E391" i="5"/>
  <c r="F391" i="5" s="1"/>
  <c r="E1907" i="5"/>
  <c r="F1907" i="5" s="1"/>
  <c r="E1915" i="5"/>
  <c r="F1915" i="5" s="1"/>
  <c r="E1923" i="5"/>
  <c r="F1923" i="5" s="1"/>
  <c r="E1931" i="5"/>
  <c r="F1931" i="5" s="1"/>
  <c r="E1939" i="5"/>
  <c r="F1939" i="5" s="1"/>
  <c r="E1947" i="5"/>
  <c r="F1947" i="5" s="1"/>
  <c r="E1955" i="5"/>
  <c r="F1955" i="5" s="1"/>
  <c r="E1963" i="5"/>
  <c r="F1963" i="5" s="1"/>
  <c r="E1971" i="5"/>
  <c r="F1971" i="5" s="1"/>
  <c r="E1908" i="5"/>
  <c r="F1908" i="5" s="1"/>
  <c r="E1916" i="5"/>
  <c r="F1916" i="5" s="1"/>
  <c r="E1924" i="5"/>
  <c r="F1924" i="5" s="1"/>
  <c r="E1932" i="5"/>
  <c r="F1932" i="5" s="1"/>
  <c r="E1940" i="5"/>
  <c r="F1940" i="5" s="1"/>
  <c r="E1948" i="5"/>
  <c r="F1948" i="5" s="1"/>
  <c r="E1956" i="5"/>
  <c r="F1956" i="5" s="1"/>
  <c r="E1964" i="5"/>
  <c r="F1964" i="5" s="1"/>
  <c r="E1910" i="5"/>
  <c r="F1910" i="5" s="1"/>
  <c r="E1918" i="5"/>
  <c r="F1918" i="5" s="1"/>
  <c r="E1926" i="5"/>
  <c r="F1926" i="5" s="1"/>
  <c r="E1934" i="5"/>
  <c r="F1934" i="5" s="1"/>
  <c r="E1942" i="5"/>
  <c r="F1942" i="5" s="1"/>
  <c r="E1950" i="5"/>
  <c r="F1950" i="5" s="1"/>
  <c r="E1958" i="5"/>
  <c r="F1958" i="5" s="1"/>
  <c r="E1966" i="5"/>
  <c r="F1966" i="5" s="1"/>
  <c r="E1912" i="5"/>
  <c r="F1912" i="5" s="1"/>
  <c r="E1920" i="5"/>
  <c r="F1920" i="5" s="1"/>
  <c r="E1928" i="5"/>
  <c r="F1928" i="5" s="1"/>
  <c r="E1936" i="5"/>
  <c r="F1936" i="5" s="1"/>
  <c r="E1944" i="5"/>
  <c r="F1944" i="5" s="1"/>
  <c r="E1952" i="5"/>
  <c r="F1952" i="5" s="1"/>
  <c r="E1960" i="5"/>
  <c r="F1960" i="5" s="1"/>
  <c r="E1968" i="5"/>
  <c r="F1968" i="5" s="1"/>
  <c r="E1913" i="5"/>
  <c r="F1913" i="5" s="1"/>
  <c r="E1921" i="5"/>
  <c r="F1921" i="5" s="1"/>
  <c r="E1929" i="5"/>
  <c r="F1929" i="5" s="1"/>
  <c r="E1937" i="5"/>
  <c r="F1937" i="5" s="1"/>
  <c r="E1945" i="5"/>
  <c r="F1945" i="5" s="1"/>
  <c r="E1953" i="5"/>
  <c r="F1953" i="5" s="1"/>
  <c r="E1961" i="5"/>
  <c r="F1961" i="5" s="1"/>
  <c r="E1969" i="5"/>
  <c r="F1969" i="5" s="1"/>
  <c r="E1922" i="5"/>
  <c r="F1922" i="5" s="1"/>
  <c r="E1943" i="5"/>
  <c r="F1943" i="5" s="1"/>
  <c r="E1965" i="5"/>
  <c r="F1965" i="5" s="1"/>
  <c r="E1925" i="5"/>
  <c r="F1925" i="5" s="1"/>
  <c r="E1946" i="5"/>
  <c r="F1946" i="5" s="1"/>
  <c r="E1967" i="5"/>
  <c r="F1967" i="5" s="1"/>
  <c r="E1927" i="5"/>
  <c r="F1927" i="5" s="1"/>
  <c r="E1949" i="5"/>
  <c r="F1949" i="5" s="1"/>
  <c r="E1970" i="5"/>
  <c r="F1970" i="5" s="1"/>
  <c r="E1909" i="5"/>
  <c r="F1909" i="5" s="1"/>
  <c r="E1930" i="5"/>
  <c r="F1930" i="5" s="1"/>
  <c r="E1951" i="5"/>
  <c r="F1951" i="5" s="1"/>
  <c r="E1911" i="5"/>
  <c r="F1911" i="5" s="1"/>
  <c r="E1933" i="5"/>
  <c r="F1933" i="5" s="1"/>
  <c r="E1954" i="5"/>
  <c r="F1954" i="5" s="1"/>
  <c r="E1914" i="5"/>
  <c r="F1914" i="5" s="1"/>
  <c r="E1935" i="5"/>
  <c r="F1935" i="5" s="1"/>
  <c r="E1957" i="5"/>
  <c r="F1957" i="5" s="1"/>
  <c r="E1917" i="5"/>
  <c r="F1917" i="5" s="1"/>
  <c r="E1938" i="5"/>
  <c r="F1938" i="5" s="1"/>
  <c r="E1962" i="5"/>
  <c r="F1962" i="5" s="1"/>
  <c r="E1919" i="5"/>
  <c r="F1919" i="5" s="1"/>
  <c r="E1941" i="5"/>
  <c r="F1941" i="5" s="1"/>
  <c r="E1959" i="5"/>
  <c r="F1959" i="5" s="1"/>
  <c r="M17" i="5"/>
  <c r="N17" i="5"/>
  <c r="O17" i="5"/>
  <c r="Q17" i="5"/>
  <c r="R17" i="5"/>
  <c r="P17" i="5"/>
  <c r="E53" i="6"/>
  <c r="E585" i="5"/>
  <c r="F585" i="5" s="1"/>
  <c r="E586" i="5"/>
  <c r="F586" i="5" s="1"/>
  <c r="E587" i="5"/>
  <c r="F587" i="5" s="1"/>
  <c r="E588" i="5"/>
  <c r="F588" i="5" s="1"/>
  <c r="E589" i="5"/>
  <c r="F589" i="5" s="1"/>
  <c r="E590" i="5"/>
  <c r="F590" i="5" s="1"/>
  <c r="E591" i="5"/>
  <c r="F591" i="5" s="1"/>
  <c r="E2115" i="5"/>
  <c r="F2115" i="5" s="1"/>
  <c r="E2123" i="5"/>
  <c r="F2123" i="5" s="1"/>
  <c r="E2131" i="5"/>
  <c r="F2131" i="5" s="1"/>
  <c r="E2139" i="5"/>
  <c r="F2139" i="5" s="1"/>
  <c r="E2147" i="5"/>
  <c r="F2147" i="5" s="1"/>
  <c r="E2155" i="5"/>
  <c r="F2155" i="5" s="1"/>
  <c r="E2163" i="5"/>
  <c r="F2163" i="5" s="1"/>
  <c r="E2116" i="5"/>
  <c r="F2116" i="5" s="1"/>
  <c r="E2124" i="5"/>
  <c r="F2124" i="5" s="1"/>
  <c r="E2132" i="5"/>
  <c r="F2132" i="5" s="1"/>
  <c r="E2140" i="5"/>
  <c r="F2140" i="5" s="1"/>
  <c r="E2148" i="5"/>
  <c r="F2148" i="5" s="1"/>
  <c r="E2156" i="5"/>
  <c r="F2156" i="5" s="1"/>
  <c r="E2164" i="5"/>
  <c r="F2164" i="5" s="1"/>
  <c r="E2110" i="5"/>
  <c r="F2110" i="5" s="1"/>
  <c r="E2118" i="5"/>
  <c r="F2118" i="5" s="1"/>
  <c r="E2126" i="5"/>
  <c r="F2126" i="5" s="1"/>
  <c r="E2134" i="5"/>
  <c r="F2134" i="5" s="1"/>
  <c r="E2142" i="5"/>
  <c r="F2142" i="5" s="1"/>
  <c r="E2150" i="5"/>
  <c r="F2150" i="5" s="1"/>
  <c r="E2158" i="5"/>
  <c r="F2158" i="5" s="1"/>
  <c r="E2166" i="5"/>
  <c r="F2166" i="5" s="1"/>
  <c r="E2112" i="5"/>
  <c r="F2112" i="5" s="1"/>
  <c r="E2120" i="5"/>
  <c r="F2120" i="5" s="1"/>
  <c r="E2128" i="5"/>
  <c r="F2128" i="5" s="1"/>
  <c r="E2136" i="5"/>
  <c r="F2136" i="5" s="1"/>
  <c r="E2144" i="5"/>
  <c r="F2144" i="5" s="1"/>
  <c r="E2152" i="5"/>
  <c r="F2152" i="5" s="1"/>
  <c r="E2160" i="5"/>
  <c r="F2160" i="5" s="1"/>
  <c r="E2113" i="5"/>
  <c r="F2113" i="5" s="1"/>
  <c r="E2121" i="5"/>
  <c r="F2121" i="5" s="1"/>
  <c r="E2129" i="5"/>
  <c r="F2129" i="5" s="1"/>
  <c r="E2137" i="5"/>
  <c r="F2137" i="5" s="1"/>
  <c r="E2145" i="5"/>
  <c r="F2145" i="5" s="1"/>
  <c r="E2153" i="5"/>
  <c r="F2153" i="5" s="1"/>
  <c r="E2161" i="5"/>
  <c r="F2161" i="5" s="1"/>
  <c r="E2114" i="5"/>
  <c r="F2114" i="5" s="1"/>
  <c r="E2135" i="5"/>
  <c r="F2135" i="5" s="1"/>
  <c r="E2157" i="5"/>
  <c r="F2157" i="5" s="1"/>
  <c r="E2117" i="5"/>
  <c r="F2117" i="5" s="1"/>
  <c r="E2138" i="5"/>
  <c r="F2138" i="5" s="1"/>
  <c r="E2159" i="5"/>
  <c r="F2159" i="5" s="1"/>
  <c r="E2119" i="5"/>
  <c r="F2119" i="5" s="1"/>
  <c r="E2141" i="5"/>
  <c r="F2141" i="5" s="1"/>
  <c r="E2162" i="5"/>
  <c r="F2162" i="5" s="1"/>
  <c r="E2122" i="5"/>
  <c r="F2122" i="5" s="1"/>
  <c r="E2143" i="5"/>
  <c r="F2143" i="5" s="1"/>
  <c r="E2165" i="5"/>
  <c r="F2165" i="5" s="1"/>
  <c r="E2125" i="5"/>
  <c r="F2125" i="5" s="1"/>
  <c r="E2146" i="5"/>
  <c r="F2146" i="5" s="1"/>
  <c r="E2127" i="5"/>
  <c r="F2127" i="5" s="1"/>
  <c r="E2149" i="5"/>
  <c r="F2149" i="5" s="1"/>
  <c r="E2133" i="5"/>
  <c r="F2133" i="5" s="1"/>
  <c r="E2151" i="5"/>
  <c r="F2151" i="5" s="1"/>
  <c r="E2154" i="5"/>
  <c r="F2154" i="5" s="1"/>
  <c r="E2111" i="5"/>
  <c r="F2111" i="5" s="1"/>
  <c r="E2130" i="5"/>
  <c r="F2130" i="5" s="1"/>
  <c r="E11" i="6"/>
  <c r="E592" i="5"/>
  <c r="F592" i="5" s="1"/>
  <c r="E600" i="5"/>
  <c r="F600" i="5" s="1"/>
  <c r="E593" i="5"/>
  <c r="F593" i="5" s="1"/>
  <c r="E601" i="5"/>
  <c r="F601" i="5" s="1"/>
  <c r="E594" i="5"/>
  <c r="F594" i="5" s="1"/>
  <c r="E602" i="5"/>
  <c r="F602" i="5" s="1"/>
  <c r="E595" i="5"/>
  <c r="F595" i="5" s="1"/>
  <c r="E603" i="5"/>
  <c r="F603" i="5" s="1"/>
  <c r="E596" i="5"/>
  <c r="F596" i="5" s="1"/>
  <c r="E604" i="5"/>
  <c r="F604" i="5" s="1"/>
  <c r="E597" i="5"/>
  <c r="F597" i="5" s="1"/>
  <c r="E605" i="5"/>
  <c r="F605" i="5" s="1"/>
  <c r="E598" i="5"/>
  <c r="F598" i="5" s="1"/>
  <c r="E606" i="5"/>
  <c r="F606" i="5" s="1"/>
  <c r="E599" i="5"/>
  <c r="F599" i="5" s="1"/>
  <c r="E607" i="5"/>
  <c r="F607" i="5" s="1"/>
  <c r="E29" i="6"/>
  <c r="E456" i="5"/>
  <c r="F456" i="5" s="1"/>
  <c r="E464" i="5"/>
  <c r="F464" i="5" s="1"/>
  <c r="E472" i="5"/>
  <c r="F472" i="5" s="1"/>
  <c r="E480" i="5"/>
  <c r="F480" i="5" s="1"/>
  <c r="E488" i="5"/>
  <c r="F488" i="5" s="1"/>
  <c r="E496" i="5"/>
  <c r="F496" i="5" s="1"/>
  <c r="E504" i="5"/>
  <c r="F504" i="5" s="1"/>
  <c r="E512" i="5"/>
  <c r="F512" i="5" s="1"/>
  <c r="E457" i="5"/>
  <c r="F457" i="5" s="1"/>
  <c r="E465" i="5"/>
  <c r="F465" i="5" s="1"/>
  <c r="E473" i="5"/>
  <c r="F473" i="5" s="1"/>
  <c r="E481" i="5"/>
  <c r="F481" i="5" s="1"/>
  <c r="E489" i="5"/>
  <c r="F489" i="5" s="1"/>
  <c r="E497" i="5"/>
  <c r="F497" i="5" s="1"/>
  <c r="E505" i="5"/>
  <c r="F505" i="5" s="1"/>
  <c r="E513" i="5"/>
  <c r="F513" i="5" s="1"/>
  <c r="E458" i="5"/>
  <c r="F458" i="5" s="1"/>
  <c r="E466" i="5"/>
  <c r="F466" i="5" s="1"/>
  <c r="E474" i="5"/>
  <c r="F474" i="5" s="1"/>
  <c r="E482" i="5"/>
  <c r="F482" i="5" s="1"/>
  <c r="E490" i="5"/>
  <c r="F490" i="5" s="1"/>
  <c r="E498" i="5"/>
  <c r="F498" i="5" s="1"/>
  <c r="E506" i="5"/>
  <c r="F506" i="5" s="1"/>
  <c r="E514" i="5"/>
  <c r="F514" i="5" s="1"/>
  <c r="E459" i="5"/>
  <c r="F459" i="5" s="1"/>
  <c r="E467" i="5"/>
  <c r="F467" i="5" s="1"/>
  <c r="E475" i="5"/>
  <c r="F475" i="5" s="1"/>
  <c r="E483" i="5"/>
  <c r="F483" i="5" s="1"/>
  <c r="E491" i="5"/>
  <c r="F491" i="5" s="1"/>
  <c r="E499" i="5"/>
  <c r="F499" i="5" s="1"/>
  <c r="E507" i="5"/>
  <c r="F507" i="5" s="1"/>
  <c r="E515" i="5"/>
  <c r="F515" i="5" s="1"/>
  <c r="E460" i="5"/>
  <c r="F460" i="5" s="1"/>
  <c r="E468" i="5"/>
  <c r="F468" i="5" s="1"/>
  <c r="E476" i="5"/>
  <c r="F476" i="5" s="1"/>
  <c r="E484" i="5"/>
  <c r="F484" i="5" s="1"/>
  <c r="E492" i="5"/>
  <c r="F492" i="5" s="1"/>
  <c r="E500" i="5"/>
  <c r="F500" i="5" s="1"/>
  <c r="E508" i="5"/>
  <c r="F508" i="5" s="1"/>
  <c r="E516" i="5"/>
  <c r="F516" i="5" s="1"/>
  <c r="E461" i="5"/>
  <c r="F461" i="5" s="1"/>
  <c r="E469" i="5"/>
  <c r="F469" i="5" s="1"/>
  <c r="E477" i="5"/>
  <c r="F477" i="5" s="1"/>
  <c r="E485" i="5"/>
  <c r="F485" i="5" s="1"/>
  <c r="E493" i="5"/>
  <c r="F493" i="5" s="1"/>
  <c r="E501" i="5"/>
  <c r="F501" i="5" s="1"/>
  <c r="E509" i="5"/>
  <c r="F509" i="5" s="1"/>
  <c r="E517" i="5"/>
  <c r="F517" i="5" s="1"/>
  <c r="E462" i="5"/>
  <c r="F462" i="5" s="1"/>
  <c r="E470" i="5"/>
  <c r="F470" i="5" s="1"/>
  <c r="E478" i="5"/>
  <c r="F478" i="5" s="1"/>
  <c r="E486" i="5"/>
  <c r="F486" i="5" s="1"/>
  <c r="E494" i="5"/>
  <c r="F494" i="5" s="1"/>
  <c r="E502" i="5"/>
  <c r="F502" i="5" s="1"/>
  <c r="E510" i="5"/>
  <c r="F510" i="5" s="1"/>
  <c r="E518" i="5"/>
  <c r="F518" i="5" s="1"/>
  <c r="E455" i="5"/>
  <c r="F455" i="5" s="1"/>
  <c r="E463" i="5"/>
  <c r="F463" i="5" s="1"/>
  <c r="E471" i="5"/>
  <c r="F471" i="5" s="1"/>
  <c r="E479" i="5"/>
  <c r="F479" i="5" s="1"/>
  <c r="E487" i="5"/>
  <c r="F487" i="5" s="1"/>
  <c r="E495" i="5"/>
  <c r="F495" i="5" s="1"/>
  <c r="E503" i="5"/>
  <c r="F503" i="5" s="1"/>
  <c r="E511" i="5"/>
  <c r="F511" i="5" s="1"/>
  <c r="E519" i="5"/>
  <c r="F519" i="5" s="1"/>
  <c r="E2019" i="5"/>
  <c r="F2019" i="5" s="1"/>
  <c r="E2027" i="5"/>
  <c r="F2027" i="5" s="1"/>
  <c r="E2035" i="5"/>
  <c r="F2035" i="5" s="1"/>
  <c r="E2043" i="5"/>
  <c r="F2043" i="5" s="1"/>
  <c r="E2051" i="5"/>
  <c r="F2051" i="5" s="1"/>
  <c r="E2020" i="5"/>
  <c r="F2020" i="5" s="1"/>
  <c r="E2028" i="5"/>
  <c r="F2028" i="5" s="1"/>
  <c r="E2036" i="5"/>
  <c r="F2036" i="5" s="1"/>
  <c r="E2044" i="5"/>
  <c r="F2044" i="5" s="1"/>
  <c r="E2052" i="5"/>
  <c r="F2052" i="5" s="1"/>
  <c r="E2022" i="5"/>
  <c r="F2022" i="5" s="1"/>
  <c r="E2030" i="5"/>
  <c r="F2030" i="5" s="1"/>
  <c r="E2038" i="5"/>
  <c r="F2038" i="5" s="1"/>
  <c r="E2046" i="5"/>
  <c r="F2046" i="5" s="1"/>
  <c r="E2054" i="5"/>
  <c r="F2054" i="5" s="1"/>
  <c r="E2016" i="5"/>
  <c r="F2016" i="5" s="1"/>
  <c r="E2024" i="5"/>
  <c r="F2024" i="5" s="1"/>
  <c r="E2032" i="5"/>
  <c r="F2032" i="5" s="1"/>
  <c r="E2040" i="5"/>
  <c r="F2040" i="5" s="1"/>
  <c r="E2048" i="5"/>
  <c r="F2048" i="5" s="1"/>
  <c r="E2017" i="5"/>
  <c r="F2017" i="5" s="1"/>
  <c r="E2025" i="5"/>
  <c r="F2025" i="5" s="1"/>
  <c r="E2033" i="5"/>
  <c r="F2033" i="5" s="1"/>
  <c r="E2041" i="5"/>
  <c r="F2041" i="5" s="1"/>
  <c r="E2049" i="5"/>
  <c r="F2049" i="5" s="1"/>
  <c r="E2029" i="5"/>
  <c r="F2029" i="5" s="1"/>
  <c r="E2050" i="5"/>
  <c r="F2050" i="5" s="1"/>
  <c r="E2031" i="5"/>
  <c r="F2031" i="5" s="1"/>
  <c r="E2053" i="5"/>
  <c r="F2053" i="5" s="1"/>
  <c r="E2034" i="5"/>
  <c r="F2034" i="5" s="1"/>
  <c r="E2015" i="5"/>
  <c r="F2015" i="5" s="1"/>
  <c r="E2037" i="5"/>
  <c r="F2037" i="5" s="1"/>
  <c r="E2018" i="5"/>
  <c r="F2018" i="5" s="1"/>
  <c r="E2039" i="5"/>
  <c r="F2039" i="5" s="1"/>
  <c r="E2021" i="5"/>
  <c r="F2021" i="5" s="1"/>
  <c r="E2042" i="5"/>
  <c r="F2042" i="5" s="1"/>
  <c r="E2047" i="5"/>
  <c r="F2047" i="5" s="1"/>
  <c r="E2023" i="5"/>
  <c r="F2023" i="5" s="1"/>
  <c r="E2026" i="5"/>
  <c r="F2026" i="5" s="1"/>
  <c r="E2045" i="5"/>
  <c r="F2045" i="5" s="1"/>
  <c r="E39" i="6"/>
  <c r="E192" i="5"/>
  <c r="F192" i="5" s="1"/>
  <c r="E193" i="5"/>
  <c r="F193" i="5" s="1"/>
  <c r="E194" i="5"/>
  <c r="F194" i="5" s="1"/>
  <c r="E190" i="5"/>
  <c r="F190" i="5" s="1"/>
  <c r="E191" i="5"/>
  <c r="F191" i="5" s="1"/>
  <c r="E1718" i="5"/>
  <c r="F1718" i="5" s="1"/>
  <c r="E1726" i="5"/>
  <c r="F1726" i="5" s="1"/>
  <c r="E1734" i="5"/>
  <c r="F1734" i="5" s="1"/>
  <c r="E1742" i="5"/>
  <c r="F1742" i="5" s="1"/>
  <c r="E1750" i="5"/>
  <c r="F1750" i="5" s="1"/>
  <c r="E1758" i="5"/>
  <c r="F1758" i="5" s="1"/>
  <c r="E1766" i="5"/>
  <c r="F1766" i="5" s="1"/>
  <c r="E1719" i="5"/>
  <c r="F1719" i="5" s="1"/>
  <c r="E1727" i="5"/>
  <c r="F1727" i="5" s="1"/>
  <c r="E1735" i="5"/>
  <c r="F1735" i="5" s="1"/>
  <c r="E1743" i="5"/>
  <c r="F1743" i="5" s="1"/>
  <c r="E1751" i="5"/>
  <c r="F1751" i="5" s="1"/>
  <c r="E1759" i="5"/>
  <c r="F1759" i="5" s="1"/>
  <c r="E1767" i="5"/>
  <c r="F1767" i="5" s="1"/>
  <c r="E1712" i="5"/>
  <c r="F1712" i="5" s="1"/>
  <c r="E1720" i="5"/>
  <c r="F1720" i="5" s="1"/>
  <c r="E1728" i="5"/>
  <c r="F1728" i="5" s="1"/>
  <c r="E1736" i="5"/>
  <c r="F1736" i="5" s="1"/>
  <c r="E1744" i="5"/>
  <c r="F1744" i="5" s="1"/>
  <c r="E1752" i="5"/>
  <c r="F1752" i="5" s="1"/>
  <c r="E1760" i="5"/>
  <c r="F1760" i="5" s="1"/>
  <c r="E1768" i="5"/>
  <c r="F1768" i="5" s="1"/>
  <c r="E1713" i="5"/>
  <c r="F1713" i="5" s="1"/>
  <c r="E1721" i="5"/>
  <c r="F1721" i="5" s="1"/>
  <c r="E1729" i="5"/>
  <c r="F1729" i="5" s="1"/>
  <c r="E1737" i="5"/>
  <c r="F1737" i="5" s="1"/>
  <c r="E1745" i="5"/>
  <c r="F1745" i="5" s="1"/>
  <c r="E1753" i="5"/>
  <c r="F1753" i="5" s="1"/>
  <c r="E1761" i="5"/>
  <c r="F1761" i="5" s="1"/>
  <c r="E1769" i="5"/>
  <c r="F1769" i="5" s="1"/>
  <c r="E1716" i="5"/>
  <c r="F1716" i="5" s="1"/>
  <c r="E1724" i="5"/>
  <c r="F1724" i="5" s="1"/>
  <c r="E1732" i="5"/>
  <c r="F1732" i="5" s="1"/>
  <c r="E1740" i="5"/>
  <c r="F1740" i="5" s="1"/>
  <c r="E1748" i="5"/>
  <c r="F1748" i="5" s="1"/>
  <c r="E1756" i="5"/>
  <c r="F1756" i="5" s="1"/>
  <c r="E1764" i="5"/>
  <c r="F1764" i="5" s="1"/>
  <c r="E1772" i="5"/>
  <c r="F1772" i="5" s="1"/>
  <c r="E1715" i="5"/>
  <c r="F1715" i="5" s="1"/>
  <c r="E1738" i="5"/>
  <c r="F1738" i="5" s="1"/>
  <c r="E1717" i="5"/>
  <c r="F1717" i="5" s="1"/>
  <c r="E1739" i="5"/>
  <c r="F1739" i="5" s="1"/>
  <c r="E1762" i="5"/>
  <c r="F1762" i="5" s="1"/>
  <c r="E1722" i="5"/>
  <c r="F1722" i="5" s="1"/>
  <c r="E1741" i="5"/>
  <c r="F1741" i="5" s="1"/>
  <c r="E1763" i="5"/>
  <c r="F1763" i="5" s="1"/>
  <c r="E1725" i="5"/>
  <c r="F1725" i="5" s="1"/>
  <c r="E1747" i="5"/>
  <c r="F1747" i="5" s="1"/>
  <c r="E1770" i="5"/>
  <c r="F1770" i="5" s="1"/>
  <c r="E1731" i="5"/>
  <c r="F1731" i="5" s="1"/>
  <c r="E1754" i="5"/>
  <c r="F1754" i="5" s="1"/>
  <c r="E1773" i="5"/>
  <c r="F1773" i="5" s="1"/>
  <c r="E1714" i="5"/>
  <c r="F1714" i="5" s="1"/>
  <c r="E1733" i="5"/>
  <c r="F1733" i="5" s="1"/>
  <c r="E1755" i="5"/>
  <c r="F1755" i="5" s="1"/>
  <c r="E1765" i="5"/>
  <c r="F1765" i="5" s="1"/>
  <c r="E1771" i="5"/>
  <c r="F1771" i="5" s="1"/>
  <c r="E1723" i="5"/>
  <c r="F1723" i="5" s="1"/>
  <c r="E1730" i="5"/>
  <c r="F1730" i="5" s="1"/>
  <c r="E1746" i="5"/>
  <c r="F1746" i="5" s="1"/>
  <c r="E1749" i="5"/>
  <c r="F1749" i="5" s="1"/>
  <c r="E1757" i="5"/>
  <c r="F1757" i="5" s="1"/>
  <c r="E68" i="6"/>
  <c r="E128" i="5"/>
  <c r="F128" i="5" s="1"/>
  <c r="E129" i="5"/>
  <c r="F129" i="5" s="1"/>
  <c r="E122" i="5"/>
  <c r="F122" i="5" s="1"/>
  <c r="E130" i="5"/>
  <c r="F130" i="5" s="1"/>
  <c r="E123" i="5"/>
  <c r="F123" i="5" s="1"/>
  <c r="E131" i="5"/>
  <c r="F131" i="5" s="1"/>
  <c r="E124" i="5"/>
  <c r="F124" i="5" s="1"/>
  <c r="E125" i="5"/>
  <c r="F125" i="5" s="1"/>
  <c r="E126" i="5"/>
  <c r="F126" i="5" s="1"/>
  <c r="E127" i="5"/>
  <c r="F127" i="5" s="1"/>
  <c r="E1654" i="5"/>
  <c r="F1654" i="5" s="1"/>
  <c r="E1662" i="5"/>
  <c r="F1662" i="5" s="1"/>
  <c r="E1670" i="5"/>
  <c r="F1670" i="5" s="1"/>
  <c r="E1678" i="5"/>
  <c r="F1678" i="5" s="1"/>
  <c r="E1686" i="5"/>
  <c r="F1686" i="5" s="1"/>
  <c r="E1694" i="5"/>
  <c r="F1694" i="5" s="1"/>
  <c r="E1647" i="5"/>
  <c r="F1647" i="5" s="1"/>
  <c r="E1655" i="5"/>
  <c r="F1655" i="5" s="1"/>
  <c r="E1663" i="5"/>
  <c r="F1663" i="5" s="1"/>
  <c r="E1671" i="5"/>
  <c r="F1671" i="5" s="1"/>
  <c r="E1679" i="5"/>
  <c r="F1679" i="5" s="1"/>
  <c r="E1687" i="5"/>
  <c r="F1687" i="5" s="1"/>
  <c r="E1648" i="5"/>
  <c r="F1648" i="5" s="1"/>
  <c r="E1656" i="5"/>
  <c r="F1656" i="5" s="1"/>
  <c r="E1664" i="5"/>
  <c r="F1664" i="5" s="1"/>
  <c r="E1672" i="5"/>
  <c r="F1672" i="5" s="1"/>
  <c r="E1680" i="5"/>
  <c r="F1680" i="5" s="1"/>
  <c r="E1688" i="5"/>
  <c r="F1688" i="5" s="1"/>
  <c r="E1649" i="5"/>
  <c r="F1649" i="5" s="1"/>
  <c r="E1657" i="5"/>
  <c r="F1657" i="5" s="1"/>
  <c r="E1665" i="5"/>
  <c r="F1665" i="5" s="1"/>
  <c r="E1673" i="5"/>
  <c r="F1673" i="5" s="1"/>
  <c r="E1681" i="5"/>
  <c r="F1681" i="5" s="1"/>
  <c r="E1689" i="5"/>
  <c r="F1689" i="5" s="1"/>
  <c r="E1651" i="5"/>
  <c r="F1651" i="5" s="1"/>
  <c r="E1659" i="5"/>
  <c r="F1659" i="5" s="1"/>
  <c r="E1667" i="5"/>
  <c r="F1667" i="5" s="1"/>
  <c r="E1675" i="5"/>
  <c r="F1675" i="5" s="1"/>
  <c r="E1652" i="5"/>
  <c r="F1652" i="5" s="1"/>
  <c r="E1660" i="5"/>
  <c r="F1660" i="5" s="1"/>
  <c r="E1668" i="5"/>
  <c r="F1668" i="5" s="1"/>
  <c r="E1676" i="5"/>
  <c r="F1676" i="5" s="1"/>
  <c r="E1684" i="5"/>
  <c r="F1684" i="5" s="1"/>
  <c r="E1692" i="5"/>
  <c r="F1692" i="5" s="1"/>
  <c r="E1669" i="5"/>
  <c r="F1669" i="5" s="1"/>
  <c r="E1693" i="5"/>
  <c r="F1693" i="5" s="1"/>
  <c r="E1674" i="5"/>
  <c r="F1674" i="5" s="1"/>
  <c r="E1677" i="5"/>
  <c r="F1677" i="5" s="1"/>
  <c r="E1650" i="5"/>
  <c r="F1650" i="5" s="1"/>
  <c r="E1653" i="5"/>
  <c r="F1653" i="5" s="1"/>
  <c r="E1683" i="5"/>
  <c r="F1683" i="5" s="1"/>
  <c r="E1661" i="5"/>
  <c r="F1661" i="5" s="1"/>
  <c r="E1690" i="5"/>
  <c r="F1690" i="5" s="1"/>
  <c r="E1666" i="5"/>
  <c r="F1666" i="5" s="1"/>
  <c r="E1691" i="5"/>
  <c r="F1691" i="5" s="1"/>
  <c r="E1685" i="5"/>
  <c r="F1685" i="5" s="1"/>
  <c r="E1658" i="5"/>
  <c r="F1658" i="5" s="1"/>
  <c r="E1682" i="5"/>
  <c r="F1682" i="5" s="1"/>
  <c r="E59" i="6"/>
  <c r="E136" i="5"/>
  <c r="F136" i="5" s="1"/>
  <c r="E144" i="5"/>
  <c r="F144" i="5" s="1"/>
  <c r="E152" i="5"/>
  <c r="F152" i="5" s="1"/>
  <c r="E160" i="5"/>
  <c r="F160" i="5" s="1"/>
  <c r="E168" i="5"/>
  <c r="F168" i="5" s="1"/>
  <c r="E176" i="5"/>
  <c r="F176" i="5" s="1"/>
  <c r="E137" i="5"/>
  <c r="F137" i="5" s="1"/>
  <c r="E145" i="5"/>
  <c r="F145" i="5" s="1"/>
  <c r="E153" i="5"/>
  <c r="F153" i="5" s="1"/>
  <c r="E161" i="5"/>
  <c r="F161" i="5" s="1"/>
  <c r="E169" i="5"/>
  <c r="F169" i="5" s="1"/>
  <c r="E177" i="5"/>
  <c r="F177" i="5" s="1"/>
  <c r="E138" i="5"/>
  <c r="F138" i="5" s="1"/>
  <c r="E146" i="5"/>
  <c r="F146" i="5" s="1"/>
  <c r="E154" i="5"/>
  <c r="F154" i="5" s="1"/>
  <c r="E162" i="5"/>
  <c r="F162" i="5" s="1"/>
  <c r="E170" i="5"/>
  <c r="F170" i="5" s="1"/>
  <c r="E178" i="5"/>
  <c r="F178" i="5" s="1"/>
  <c r="E139" i="5"/>
  <c r="F139" i="5" s="1"/>
  <c r="E147" i="5"/>
  <c r="F147" i="5" s="1"/>
  <c r="E155" i="5"/>
  <c r="F155" i="5" s="1"/>
  <c r="E163" i="5"/>
  <c r="F163" i="5" s="1"/>
  <c r="E171" i="5"/>
  <c r="F171" i="5" s="1"/>
  <c r="E132" i="5"/>
  <c r="F132" i="5" s="1"/>
  <c r="E140" i="5"/>
  <c r="F140" i="5" s="1"/>
  <c r="E148" i="5"/>
  <c r="F148" i="5" s="1"/>
  <c r="E156" i="5"/>
  <c r="F156" i="5" s="1"/>
  <c r="E164" i="5"/>
  <c r="F164" i="5" s="1"/>
  <c r="E172" i="5"/>
  <c r="F172" i="5" s="1"/>
  <c r="E133" i="5"/>
  <c r="F133" i="5" s="1"/>
  <c r="E141" i="5"/>
  <c r="F141" i="5" s="1"/>
  <c r="E149" i="5"/>
  <c r="F149" i="5" s="1"/>
  <c r="E157" i="5"/>
  <c r="F157" i="5" s="1"/>
  <c r="E165" i="5"/>
  <c r="F165" i="5" s="1"/>
  <c r="E173" i="5"/>
  <c r="F173" i="5" s="1"/>
  <c r="E134" i="5"/>
  <c r="F134" i="5" s="1"/>
  <c r="E142" i="5"/>
  <c r="F142" i="5" s="1"/>
  <c r="E150" i="5"/>
  <c r="F150" i="5" s="1"/>
  <c r="E158" i="5"/>
  <c r="F158" i="5" s="1"/>
  <c r="E166" i="5"/>
  <c r="F166" i="5" s="1"/>
  <c r="E174" i="5"/>
  <c r="F174" i="5" s="1"/>
  <c r="E135" i="5"/>
  <c r="F135" i="5" s="1"/>
  <c r="E143" i="5"/>
  <c r="F143" i="5" s="1"/>
  <c r="E151" i="5"/>
  <c r="F151" i="5" s="1"/>
  <c r="E159" i="5"/>
  <c r="F159" i="5" s="1"/>
  <c r="E167" i="5"/>
  <c r="F167" i="5" s="1"/>
  <c r="E175" i="5"/>
  <c r="F175" i="5" s="1"/>
  <c r="E1702" i="5"/>
  <c r="F1702" i="5" s="1"/>
  <c r="E1710" i="5"/>
  <c r="F1710" i="5" s="1"/>
  <c r="E1695" i="5"/>
  <c r="F1695" i="5" s="1"/>
  <c r="E1703" i="5"/>
  <c r="F1703" i="5" s="1"/>
  <c r="E1711" i="5"/>
  <c r="F1711" i="5" s="1"/>
  <c r="E1696" i="5"/>
  <c r="F1696" i="5" s="1"/>
  <c r="E1704" i="5"/>
  <c r="F1704" i="5" s="1"/>
  <c r="E1697" i="5"/>
  <c r="F1697" i="5" s="1"/>
  <c r="E1705" i="5"/>
  <c r="F1705" i="5" s="1"/>
  <c r="E1700" i="5"/>
  <c r="F1700" i="5" s="1"/>
  <c r="E1708" i="5"/>
  <c r="F1708" i="5" s="1"/>
  <c r="E1698" i="5"/>
  <c r="F1698" i="5" s="1"/>
  <c r="E1699" i="5"/>
  <c r="F1699" i="5" s="1"/>
  <c r="E1706" i="5"/>
  <c r="F1706" i="5" s="1"/>
  <c r="E1709" i="5"/>
  <c r="F1709" i="5" s="1"/>
  <c r="E1701" i="5"/>
  <c r="F1701" i="5" s="1"/>
  <c r="E1707" i="5"/>
  <c r="F1707" i="5" s="1"/>
  <c r="B3" i="10"/>
  <c r="C3" i="10" s="1"/>
  <c r="B2" i="10"/>
  <c r="C2" i="10" s="1"/>
  <c r="E18" i="6"/>
  <c r="E922" i="5"/>
  <c r="F922" i="5" s="1"/>
  <c r="E930" i="5"/>
  <c r="F930" i="5" s="1"/>
  <c r="E938" i="5"/>
  <c r="F938" i="5" s="1"/>
  <c r="E946" i="5"/>
  <c r="F946" i="5" s="1"/>
  <c r="E954" i="5"/>
  <c r="F954" i="5" s="1"/>
  <c r="E962" i="5"/>
  <c r="F962" i="5" s="1"/>
  <c r="E970" i="5"/>
  <c r="F970" i="5" s="1"/>
  <c r="E923" i="5"/>
  <c r="F923" i="5" s="1"/>
  <c r="E931" i="5"/>
  <c r="F931" i="5" s="1"/>
  <c r="E939" i="5"/>
  <c r="F939" i="5" s="1"/>
  <c r="E947" i="5"/>
  <c r="F947" i="5" s="1"/>
  <c r="E955" i="5"/>
  <c r="F955" i="5" s="1"/>
  <c r="E963" i="5"/>
  <c r="F963" i="5" s="1"/>
  <c r="E971" i="5"/>
  <c r="F971" i="5" s="1"/>
  <c r="E924" i="5"/>
  <c r="F924" i="5" s="1"/>
  <c r="E932" i="5"/>
  <c r="F932" i="5" s="1"/>
  <c r="E940" i="5"/>
  <c r="F940" i="5" s="1"/>
  <c r="E948" i="5"/>
  <c r="F948" i="5" s="1"/>
  <c r="E956" i="5"/>
  <c r="F956" i="5" s="1"/>
  <c r="E964" i="5"/>
  <c r="F964" i="5" s="1"/>
  <c r="E972" i="5"/>
  <c r="F972" i="5" s="1"/>
  <c r="E925" i="5"/>
  <c r="F925" i="5" s="1"/>
  <c r="E933" i="5"/>
  <c r="F933" i="5" s="1"/>
  <c r="E941" i="5"/>
  <c r="F941" i="5" s="1"/>
  <c r="E949" i="5"/>
  <c r="F949" i="5" s="1"/>
  <c r="E957" i="5"/>
  <c r="F957" i="5" s="1"/>
  <c r="E965" i="5"/>
  <c r="F965" i="5" s="1"/>
  <c r="E973" i="5"/>
  <c r="F973" i="5" s="1"/>
  <c r="E918" i="5"/>
  <c r="F918" i="5" s="1"/>
  <c r="E926" i="5"/>
  <c r="F926" i="5" s="1"/>
  <c r="E934" i="5"/>
  <c r="F934" i="5" s="1"/>
  <c r="E942" i="5"/>
  <c r="F942" i="5" s="1"/>
  <c r="E950" i="5"/>
  <c r="F950" i="5" s="1"/>
  <c r="E958" i="5"/>
  <c r="F958" i="5" s="1"/>
  <c r="E966" i="5"/>
  <c r="F966" i="5" s="1"/>
  <c r="E974" i="5"/>
  <c r="F974" i="5" s="1"/>
  <c r="E919" i="5"/>
  <c r="F919" i="5" s="1"/>
  <c r="E927" i="5"/>
  <c r="F927" i="5" s="1"/>
  <c r="E935" i="5"/>
  <c r="F935" i="5" s="1"/>
  <c r="E943" i="5"/>
  <c r="F943" i="5" s="1"/>
  <c r="E951" i="5"/>
  <c r="F951" i="5" s="1"/>
  <c r="E959" i="5"/>
  <c r="F959" i="5" s="1"/>
  <c r="E967" i="5"/>
  <c r="F967" i="5" s="1"/>
  <c r="E920" i="5"/>
  <c r="F920" i="5" s="1"/>
  <c r="E928" i="5"/>
  <c r="F928" i="5" s="1"/>
  <c r="E936" i="5"/>
  <c r="F936" i="5" s="1"/>
  <c r="E944" i="5"/>
  <c r="F944" i="5" s="1"/>
  <c r="E952" i="5"/>
  <c r="F952" i="5" s="1"/>
  <c r="E960" i="5"/>
  <c r="F960" i="5" s="1"/>
  <c r="E968" i="5"/>
  <c r="F968" i="5" s="1"/>
  <c r="E921" i="5"/>
  <c r="F921" i="5" s="1"/>
  <c r="E929" i="5"/>
  <c r="F929" i="5" s="1"/>
  <c r="E937" i="5"/>
  <c r="F937" i="5" s="1"/>
  <c r="E945" i="5"/>
  <c r="F945" i="5" s="1"/>
  <c r="E953" i="5"/>
  <c r="F953" i="5" s="1"/>
  <c r="E961" i="5"/>
  <c r="F961" i="5" s="1"/>
  <c r="E969" i="5"/>
  <c r="F969" i="5" s="1"/>
  <c r="E2494" i="5"/>
  <c r="F2494" i="5" s="1"/>
  <c r="E2495" i="5"/>
  <c r="F2495" i="5" s="1"/>
  <c r="E2496" i="5"/>
  <c r="F2496" i="5" s="1"/>
  <c r="E2492" i="5"/>
  <c r="F2492" i="5" s="1"/>
  <c r="E2493" i="5"/>
  <c r="F2493" i="5" s="1"/>
  <c r="E49" i="6"/>
  <c r="E722" i="5"/>
  <c r="F722" i="5" s="1"/>
  <c r="E730" i="5"/>
  <c r="F730" i="5" s="1"/>
  <c r="E738" i="5"/>
  <c r="F738" i="5" s="1"/>
  <c r="E746" i="5"/>
  <c r="F746" i="5" s="1"/>
  <c r="E754" i="5"/>
  <c r="F754" i="5" s="1"/>
  <c r="E762" i="5"/>
  <c r="F762" i="5" s="1"/>
  <c r="E715" i="5"/>
  <c r="F715" i="5" s="1"/>
  <c r="E723" i="5"/>
  <c r="F723" i="5" s="1"/>
  <c r="E731" i="5"/>
  <c r="F731" i="5" s="1"/>
  <c r="E739" i="5"/>
  <c r="F739" i="5" s="1"/>
  <c r="E747" i="5"/>
  <c r="F747" i="5" s="1"/>
  <c r="E755" i="5"/>
  <c r="F755" i="5" s="1"/>
  <c r="E763" i="5"/>
  <c r="F763" i="5" s="1"/>
  <c r="E716" i="5"/>
  <c r="F716" i="5" s="1"/>
  <c r="E724" i="5"/>
  <c r="F724" i="5" s="1"/>
  <c r="E732" i="5"/>
  <c r="F732" i="5" s="1"/>
  <c r="E740" i="5"/>
  <c r="F740" i="5" s="1"/>
  <c r="E748" i="5"/>
  <c r="F748" i="5" s="1"/>
  <c r="E756" i="5"/>
  <c r="F756" i="5" s="1"/>
  <c r="E764" i="5"/>
  <c r="F764" i="5" s="1"/>
  <c r="E717" i="5"/>
  <c r="F717" i="5" s="1"/>
  <c r="E725" i="5"/>
  <c r="F725" i="5" s="1"/>
  <c r="E733" i="5"/>
  <c r="F733" i="5" s="1"/>
  <c r="E741" i="5"/>
  <c r="F741" i="5" s="1"/>
  <c r="E749" i="5"/>
  <c r="F749" i="5" s="1"/>
  <c r="E757" i="5"/>
  <c r="F757" i="5" s="1"/>
  <c r="E765" i="5"/>
  <c r="F765" i="5" s="1"/>
  <c r="E718" i="5"/>
  <c r="F718" i="5" s="1"/>
  <c r="E726" i="5"/>
  <c r="F726" i="5" s="1"/>
  <c r="E734" i="5"/>
  <c r="F734" i="5" s="1"/>
  <c r="E742" i="5"/>
  <c r="F742" i="5" s="1"/>
  <c r="E750" i="5"/>
  <c r="F750" i="5" s="1"/>
  <c r="E758" i="5"/>
  <c r="F758" i="5" s="1"/>
  <c r="E766" i="5"/>
  <c r="F766" i="5" s="1"/>
  <c r="E719" i="5"/>
  <c r="F719" i="5" s="1"/>
  <c r="E727" i="5"/>
  <c r="F727" i="5" s="1"/>
  <c r="E735" i="5"/>
  <c r="F735" i="5" s="1"/>
  <c r="E743" i="5"/>
  <c r="F743" i="5" s="1"/>
  <c r="E751" i="5"/>
  <c r="F751" i="5" s="1"/>
  <c r="E759" i="5"/>
  <c r="F759" i="5" s="1"/>
  <c r="E767" i="5"/>
  <c r="F767" i="5" s="1"/>
  <c r="E720" i="5"/>
  <c r="F720" i="5" s="1"/>
  <c r="E728" i="5"/>
  <c r="F728" i="5" s="1"/>
  <c r="E736" i="5"/>
  <c r="F736" i="5" s="1"/>
  <c r="E744" i="5"/>
  <c r="F744" i="5" s="1"/>
  <c r="E752" i="5"/>
  <c r="F752" i="5" s="1"/>
  <c r="E760" i="5"/>
  <c r="F760" i="5" s="1"/>
  <c r="E729" i="5"/>
  <c r="F729" i="5" s="1"/>
  <c r="E737" i="5"/>
  <c r="F737" i="5" s="1"/>
  <c r="E745" i="5"/>
  <c r="F745" i="5" s="1"/>
  <c r="E753" i="5"/>
  <c r="F753" i="5" s="1"/>
  <c r="E761" i="5"/>
  <c r="F761" i="5" s="1"/>
  <c r="E721" i="5"/>
  <c r="F721" i="5" s="1"/>
  <c r="E2275" i="5"/>
  <c r="F2275" i="5" s="1"/>
  <c r="E2283" i="5"/>
  <c r="F2283" i="5" s="1"/>
  <c r="E2291" i="5"/>
  <c r="F2291" i="5" s="1"/>
  <c r="E2268" i="5"/>
  <c r="F2268" i="5" s="1"/>
  <c r="E2276" i="5"/>
  <c r="F2276" i="5" s="1"/>
  <c r="E2284" i="5"/>
  <c r="F2284" i="5" s="1"/>
  <c r="E2292" i="5"/>
  <c r="F2292" i="5" s="1"/>
  <c r="E2270" i="5"/>
  <c r="F2270" i="5" s="1"/>
  <c r="E2278" i="5"/>
  <c r="F2278" i="5" s="1"/>
  <c r="E2286" i="5"/>
  <c r="F2286" i="5" s="1"/>
  <c r="E2294" i="5"/>
  <c r="F2294" i="5" s="1"/>
  <c r="E2272" i="5"/>
  <c r="F2272" i="5" s="1"/>
  <c r="E2280" i="5"/>
  <c r="F2280" i="5" s="1"/>
  <c r="E2288" i="5"/>
  <c r="F2288" i="5" s="1"/>
  <c r="E2296" i="5"/>
  <c r="F2296" i="5" s="1"/>
  <c r="E2273" i="5"/>
  <c r="F2273" i="5" s="1"/>
  <c r="E2281" i="5"/>
  <c r="F2281" i="5" s="1"/>
  <c r="E2289" i="5"/>
  <c r="F2289" i="5" s="1"/>
  <c r="E2285" i="5"/>
  <c r="F2285" i="5" s="1"/>
  <c r="E2287" i="5"/>
  <c r="F2287" i="5" s="1"/>
  <c r="E2269" i="5"/>
  <c r="F2269" i="5" s="1"/>
  <c r="E2290" i="5"/>
  <c r="F2290" i="5" s="1"/>
  <c r="E2271" i="5"/>
  <c r="F2271" i="5" s="1"/>
  <c r="E2293" i="5"/>
  <c r="F2293" i="5" s="1"/>
  <c r="E2274" i="5"/>
  <c r="F2274" i="5" s="1"/>
  <c r="E2295" i="5"/>
  <c r="F2295" i="5" s="1"/>
  <c r="E2277" i="5"/>
  <c r="F2277" i="5" s="1"/>
  <c r="E2279" i="5"/>
  <c r="F2279" i="5" s="1"/>
  <c r="E2282" i="5"/>
  <c r="F2282" i="5" s="1"/>
  <c r="C50" i="2"/>
  <c r="L21" i="5"/>
  <c r="L25" i="5" s="1"/>
  <c r="M21" i="5"/>
  <c r="M25" i="5" s="1"/>
  <c r="N21" i="5"/>
  <c r="N25" i="5" s="1"/>
  <c r="O21" i="5"/>
  <c r="O25" i="5" s="1"/>
  <c r="P21" i="5"/>
  <c r="P25" i="5" s="1"/>
  <c r="Q21" i="5"/>
  <c r="Q25" i="5" s="1"/>
  <c r="R21" i="5"/>
  <c r="R25" i="5" s="1"/>
  <c r="S21" i="5"/>
  <c r="S25" i="5" s="1"/>
  <c r="E40" i="6" l="1"/>
  <c r="E200" i="5"/>
  <c r="F200" i="5" s="1"/>
  <c r="E208" i="5"/>
  <c r="F208" i="5" s="1"/>
  <c r="E216" i="5"/>
  <c r="F216" i="5" s="1"/>
  <c r="E224" i="5"/>
  <c r="F224" i="5" s="1"/>
  <c r="E232" i="5"/>
  <c r="F232" i="5" s="1"/>
  <c r="E240" i="5"/>
  <c r="F240" i="5" s="1"/>
  <c r="E248" i="5"/>
  <c r="F248" i="5" s="1"/>
  <c r="E256" i="5"/>
  <c r="F256" i="5" s="1"/>
  <c r="E264" i="5"/>
  <c r="F264" i="5" s="1"/>
  <c r="E272" i="5"/>
  <c r="F272" i="5" s="1"/>
  <c r="E280" i="5"/>
  <c r="F280" i="5" s="1"/>
  <c r="E201" i="5"/>
  <c r="F201" i="5" s="1"/>
  <c r="E209" i="5"/>
  <c r="F209" i="5" s="1"/>
  <c r="E217" i="5"/>
  <c r="F217" i="5" s="1"/>
  <c r="E225" i="5"/>
  <c r="F225" i="5" s="1"/>
  <c r="E233" i="5"/>
  <c r="F233" i="5" s="1"/>
  <c r="E241" i="5"/>
  <c r="F241" i="5" s="1"/>
  <c r="E249" i="5"/>
  <c r="F249" i="5" s="1"/>
  <c r="E257" i="5"/>
  <c r="F257" i="5" s="1"/>
  <c r="E265" i="5"/>
  <c r="F265" i="5" s="1"/>
  <c r="E273" i="5"/>
  <c r="F273" i="5" s="1"/>
  <c r="E281" i="5"/>
  <c r="F281" i="5" s="1"/>
  <c r="E202" i="5"/>
  <c r="F202" i="5" s="1"/>
  <c r="E210" i="5"/>
  <c r="F210" i="5" s="1"/>
  <c r="E218" i="5"/>
  <c r="F218" i="5" s="1"/>
  <c r="E226" i="5"/>
  <c r="F226" i="5" s="1"/>
  <c r="E234" i="5"/>
  <c r="F234" i="5" s="1"/>
  <c r="E242" i="5"/>
  <c r="F242" i="5" s="1"/>
  <c r="E250" i="5"/>
  <c r="F250" i="5" s="1"/>
  <c r="E258" i="5"/>
  <c r="F258" i="5" s="1"/>
  <c r="E266" i="5"/>
  <c r="F266" i="5" s="1"/>
  <c r="E274" i="5"/>
  <c r="F274" i="5" s="1"/>
  <c r="E282" i="5"/>
  <c r="F282" i="5" s="1"/>
  <c r="E195" i="5"/>
  <c r="F195" i="5" s="1"/>
  <c r="E203" i="5"/>
  <c r="F203" i="5" s="1"/>
  <c r="E211" i="5"/>
  <c r="F211" i="5" s="1"/>
  <c r="E219" i="5"/>
  <c r="F219" i="5" s="1"/>
  <c r="E227" i="5"/>
  <c r="F227" i="5" s="1"/>
  <c r="E235" i="5"/>
  <c r="F235" i="5" s="1"/>
  <c r="E243" i="5"/>
  <c r="F243" i="5" s="1"/>
  <c r="E251" i="5"/>
  <c r="F251" i="5" s="1"/>
  <c r="E259" i="5"/>
  <c r="F259" i="5" s="1"/>
  <c r="E267" i="5"/>
  <c r="F267" i="5" s="1"/>
  <c r="E275" i="5"/>
  <c r="F275" i="5" s="1"/>
  <c r="E283" i="5"/>
  <c r="F283" i="5" s="1"/>
  <c r="E196" i="5"/>
  <c r="F196" i="5" s="1"/>
  <c r="E204" i="5"/>
  <c r="F204" i="5" s="1"/>
  <c r="E212" i="5"/>
  <c r="F212" i="5" s="1"/>
  <c r="E220" i="5"/>
  <c r="F220" i="5" s="1"/>
  <c r="E228" i="5"/>
  <c r="F228" i="5" s="1"/>
  <c r="E236" i="5"/>
  <c r="F236" i="5" s="1"/>
  <c r="E244" i="5"/>
  <c r="F244" i="5" s="1"/>
  <c r="E252" i="5"/>
  <c r="F252" i="5" s="1"/>
  <c r="E260" i="5"/>
  <c r="F260" i="5" s="1"/>
  <c r="E268" i="5"/>
  <c r="F268" i="5" s="1"/>
  <c r="E276" i="5"/>
  <c r="F276" i="5" s="1"/>
  <c r="E284" i="5"/>
  <c r="F284" i="5" s="1"/>
  <c r="E197" i="5"/>
  <c r="F197" i="5" s="1"/>
  <c r="E205" i="5"/>
  <c r="F205" i="5" s="1"/>
  <c r="E213" i="5"/>
  <c r="F213" i="5" s="1"/>
  <c r="E221" i="5"/>
  <c r="F221" i="5" s="1"/>
  <c r="E229" i="5"/>
  <c r="F229" i="5" s="1"/>
  <c r="E237" i="5"/>
  <c r="F237" i="5" s="1"/>
  <c r="E245" i="5"/>
  <c r="F245" i="5" s="1"/>
  <c r="E253" i="5"/>
  <c r="F253" i="5" s="1"/>
  <c r="E261" i="5"/>
  <c r="F261" i="5" s="1"/>
  <c r="E269" i="5"/>
  <c r="F269" i="5" s="1"/>
  <c r="E277" i="5"/>
  <c r="F277" i="5" s="1"/>
  <c r="E285" i="5"/>
  <c r="F285" i="5" s="1"/>
  <c r="E198" i="5"/>
  <c r="F198" i="5" s="1"/>
  <c r="E206" i="5"/>
  <c r="F206" i="5" s="1"/>
  <c r="E214" i="5"/>
  <c r="F214" i="5" s="1"/>
  <c r="E222" i="5"/>
  <c r="F222" i="5" s="1"/>
  <c r="E230" i="5"/>
  <c r="F230" i="5" s="1"/>
  <c r="E238" i="5"/>
  <c r="F238" i="5" s="1"/>
  <c r="E246" i="5"/>
  <c r="F246" i="5" s="1"/>
  <c r="E254" i="5"/>
  <c r="F254" i="5" s="1"/>
  <c r="E262" i="5"/>
  <c r="F262" i="5" s="1"/>
  <c r="E270" i="5"/>
  <c r="F270" i="5" s="1"/>
  <c r="E278" i="5"/>
  <c r="F278" i="5" s="1"/>
  <c r="E199" i="5"/>
  <c r="F199" i="5" s="1"/>
  <c r="E207" i="5"/>
  <c r="F207" i="5" s="1"/>
  <c r="E215" i="5"/>
  <c r="F215" i="5" s="1"/>
  <c r="E223" i="5"/>
  <c r="F223" i="5" s="1"/>
  <c r="E231" i="5"/>
  <c r="F231" i="5" s="1"/>
  <c r="E239" i="5"/>
  <c r="F239" i="5" s="1"/>
  <c r="E247" i="5"/>
  <c r="F247" i="5" s="1"/>
  <c r="E255" i="5"/>
  <c r="F255" i="5" s="1"/>
  <c r="E263" i="5"/>
  <c r="F263" i="5" s="1"/>
  <c r="E271" i="5"/>
  <c r="F271" i="5" s="1"/>
  <c r="E279" i="5"/>
  <c r="F279" i="5" s="1"/>
  <c r="E1774" i="5"/>
  <c r="F1774" i="5" s="1"/>
  <c r="E1782" i="5"/>
  <c r="F1782" i="5" s="1"/>
  <c r="E1790" i="5"/>
  <c r="F1790" i="5" s="1"/>
  <c r="E1798" i="5"/>
  <c r="F1798" i="5" s="1"/>
  <c r="E1806" i="5"/>
  <c r="F1806" i="5" s="1"/>
  <c r="E1814" i="5"/>
  <c r="F1814" i="5" s="1"/>
  <c r="E1822" i="5"/>
  <c r="F1822" i="5" s="1"/>
  <c r="E1830" i="5"/>
  <c r="F1830" i="5" s="1"/>
  <c r="E1775" i="5"/>
  <c r="F1775" i="5" s="1"/>
  <c r="E1783" i="5"/>
  <c r="F1783" i="5" s="1"/>
  <c r="E1791" i="5"/>
  <c r="F1791" i="5" s="1"/>
  <c r="E1799" i="5"/>
  <c r="F1799" i="5" s="1"/>
  <c r="E1807" i="5"/>
  <c r="F1807" i="5" s="1"/>
  <c r="E1815" i="5"/>
  <c r="F1815" i="5" s="1"/>
  <c r="E1823" i="5"/>
  <c r="F1823" i="5" s="1"/>
  <c r="E1831" i="5"/>
  <c r="F1831" i="5" s="1"/>
  <c r="E1839" i="5"/>
  <c r="F1839" i="5" s="1"/>
  <c r="E1776" i="5"/>
  <c r="F1776" i="5" s="1"/>
  <c r="E1784" i="5"/>
  <c r="F1784" i="5" s="1"/>
  <c r="E1792" i="5"/>
  <c r="F1792" i="5" s="1"/>
  <c r="E1800" i="5"/>
  <c r="F1800" i="5" s="1"/>
  <c r="E1808" i="5"/>
  <c r="F1808" i="5" s="1"/>
  <c r="E1816" i="5"/>
  <c r="F1816" i="5" s="1"/>
  <c r="E1824" i="5"/>
  <c r="F1824" i="5" s="1"/>
  <c r="E1832" i="5"/>
  <c r="F1832" i="5" s="1"/>
  <c r="E1840" i="5"/>
  <c r="F1840" i="5" s="1"/>
  <c r="E1777" i="5"/>
  <c r="F1777" i="5" s="1"/>
  <c r="E1785" i="5"/>
  <c r="F1785" i="5" s="1"/>
  <c r="E1793" i="5"/>
  <c r="F1793" i="5" s="1"/>
  <c r="E1801" i="5"/>
  <c r="F1801" i="5" s="1"/>
  <c r="E1809" i="5"/>
  <c r="F1809" i="5" s="1"/>
  <c r="E1817" i="5"/>
  <c r="F1817" i="5" s="1"/>
  <c r="E1825" i="5"/>
  <c r="F1825" i="5" s="1"/>
  <c r="E1833" i="5"/>
  <c r="F1833" i="5" s="1"/>
  <c r="E1841" i="5"/>
  <c r="F1841" i="5" s="1"/>
  <c r="E1780" i="5"/>
  <c r="F1780" i="5" s="1"/>
  <c r="E1788" i="5"/>
  <c r="F1788" i="5" s="1"/>
  <c r="E1796" i="5"/>
  <c r="F1796" i="5" s="1"/>
  <c r="E1804" i="5"/>
  <c r="F1804" i="5" s="1"/>
  <c r="E1812" i="5"/>
  <c r="F1812" i="5" s="1"/>
  <c r="E1820" i="5"/>
  <c r="F1820" i="5" s="1"/>
  <c r="E1828" i="5"/>
  <c r="F1828" i="5" s="1"/>
  <c r="E1836" i="5"/>
  <c r="F1836" i="5" s="1"/>
  <c r="E1781" i="5"/>
  <c r="F1781" i="5" s="1"/>
  <c r="E1803" i="5"/>
  <c r="F1803" i="5" s="1"/>
  <c r="E1826" i="5"/>
  <c r="F1826" i="5" s="1"/>
  <c r="E1786" i="5"/>
  <c r="F1786" i="5" s="1"/>
  <c r="E1805" i="5"/>
  <c r="F1805" i="5" s="1"/>
  <c r="E1827" i="5"/>
  <c r="F1827" i="5" s="1"/>
  <c r="E1789" i="5"/>
  <c r="F1789" i="5" s="1"/>
  <c r="E1811" i="5"/>
  <c r="F1811" i="5" s="1"/>
  <c r="E1834" i="5"/>
  <c r="F1834" i="5" s="1"/>
  <c r="E1795" i="5"/>
  <c r="F1795" i="5" s="1"/>
  <c r="E1818" i="5"/>
  <c r="F1818" i="5" s="1"/>
  <c r="E1837" i="5"/>
  <c r="F1837" i="5" s="1"/>
  <c r="E1778" i="5"/>
  <c r="F1778" i="5" s="1"/>
  <c r="E1797" i="5"/>
  <c r="F1797" i="5" s="1"/>
  <c r="E1819" i="5"/>
  <c r="F1819" i="5" s="1"/>
  <c r="E1838" i="5"/>
  <c r="F1838" i="5" s="1"/>
  <c r="E1821" i="5"/>
  <c r="F1821" i="5" s="1"/>
  <c r="E1829" i="5"/>
  <c r="F1829" i="5" s="1"/>
  <c r="E1779" i="5"/>
  <c r="F1779" i="5" s="1"/>
  <c r="E1835" i="5"/>
  <c r="F1835" i="5" s="1"/>
  <c r="E1787" i="5"/>
  <c r="F1787" i="5" s="1"/>
  <c r="E1794" i="5"/>
  <c r="F1794" i="5" s="1"/>
  <c r="E1802" i="5"/>
  <c r="F1802" i="5" s="1"/>
  <c r="E1810" i="5"/>
  <c r="F1810" i="5" s="1"/>
  <c r="E1813" i="5"/>
  <c r="F1813" i="5" s="1"/>
  <c r="E60" i="6"/>
  <c r="E296" i="5"/>
  <c r="F296" i="5" s="1"/>
  <c r="E304" i="5"/>
  <c r="F304" i="5" s="1"/>
  <c r="E312" i="5"/>
  <c r="F312" i="5" s="1"/>
  <c r="E320" i="5"/>
  <c r="F320" i="5" s="1"/>
  <c r="E297" i="5"/>
  <c r="F297" i="5" s="1"/>
  <c r="E305" i="5"/>
  <c r="F305" i="5" s="1"/>
  <c r="E313" i="5"/>
  <c r="F313" i="5" s="1"/>
  <c r="E321" i="5"/>
  <c r="F321" i="5" s="1"/>
  <c r="E298" i="5"/>
  <c r="F298" i="5" s="1"/>
  <c r="E306" i="5"/>
  <c r="F306" i="5" s="1"/>
  <c r="E314" i="5"/>
  <c r="F314" i="5" s="1"/>
  <c r="E322" i="5"/>
  <c r="F322" i="5" s="1"/>
  <c r="E291" i="5"/>
  <c r="F291" i="5" s="1"/>
  <c r="E299" i="5"/>
  <c r="F299" i="5" s="1"/>
  <c r="E307" i="5"/>
  <c r="F307" i="5" s="1"/>
  <c r="E315" i="5"/>
  <c r="F315" i="5" s="1"/>
  <c r="E323" i="5"/>
  <c r="F323" i="5" s="1"/>
  <c r="E292" i="5"/>
  <c r="F292" i="5" s="1"/>
  <c r="E300" i="5"/>
  <c r="F300" i="5" s="1"/>
  <c r="E308" i="5"/>
  <c r="F308" i="5" s="1"/>
  <c r="E316" i="5"/>
  <c r="F316" i="5" s="1"/>
  <c r="E324" i="5"/>
  <c r="F324" i="5" s="1"/>
  <c r="E293" i="5"/>
  <c r="F293" i="5" s="1"/>
  <c r="E301" i="5"/>
  <c r="F301" i="5" s="1"/>
  <c r="E309" i="5"/>
  <c r="F309" i="5" s="1"/>
  <c r="E317" i="5"/>
  <c r="F317" i="5" s="1"/>
  <c r="E294" i="5"/>
  <c r="F294" i="5" s="1"/>
  <c r="E302" i="5"/>
  <c r="F302" i="5" s="1"/>
  <c r="E310" i="5"/>
  <c r="F310" i="5" s="1"/>
  <c r="E318" i="5"/>
  <c r="F318" i="5" s="1"/>
  <c r="E295" i="5"/>
  <c r="F295" i="5" s="1"/>
  <c r="E303" i="5"/>
  <c r="F303" i="5" s="1"/>
  <c r="E311" i="5"/>
  <c r="F311" i="5" s="1"/>
  <c r="E319" i="5"/>
  <c r="F319" i="5" s="1"/>
  <c r="E1847" i="5"/>
  <c r="F1847" i="5" s="1"/>
  <c r="E1848" i="5"/>
  <c r="F1848" i="5" s="1"/>
  <c r="E1849" i="5"/>
  <c r="F1849" i="5" s="1"/>
  <c r="E1844" i="5"/>
  <c r="F1844" i="5" s="1"/>
  <c r="E1843" i="5"/>
  <c r="F1843" i="5" s="1"/>
  <c r="E1845" i="5"/>
  <c r="F1845" i="5" s="1"/>
  <c r="E1850" i="5"/>
  <c r="F1850" i="5" s="1"/>
  <c r="E1842" i="5"/>
  <c r="F1842" i="5" s="1"/>
  <c r="E1846" i="5"/>
  <c r="F1846" i="5" s="1"/>
  <c r="E1851" i="5"/>
  <c r="F1851" i="5" s="1"/>
  <c r="E30" i="6"/>
  <c r="E665" i="5"/>
  <c r="F665" i="5" s="1"/>
  <c r="E673" i="5"/>
  <c r="F673" i="5" s="1"/>
  <c r="E666" i="5"/>
  <c r="F666" i="5" s="1"/>
  <c r="E674" i="5"/>
  <c r="F674" i="5" s="1"/>
  <c r="E682" i="5"/>
  <c r="F682" i="5" s="1"/>
  <c r="E668" i="5"/>
  <c r="F668" i="5" s="1"/>
  <c r="E676" i="5"/>
  <c r="F676" i="5" s="1"/>
  <c r="E671" i="5"/>
  <c r="F671" i="5" s="1"/>
  <c r="E669" i="5"/>
  <c r="F669" i="5" s="1"/>
  <c r="E681" i="5"/>
  <c r="F681" i="5" s="1"/>
  <c r="E690" i="5"/>
  <c r="F690" i="5" s="1"/>
  <c r="E698" i="5"/>
  <c r="F698" i="5" s="1"/>
  <c r="E706" i="5"/>
  <c r="F706" i="5" s="1"/>
  <c r="E714" i="5"/>
  <c r="F714" i="5" s="1"/>
  <c r="E670" i="5"/>
  <c r="F670" i="5" s="1"/>
  <c r="E683" i="5"/>
  <c r="F683" i="5" s="1"/>
  <c r="E691" i="5"/>
  <c r="F691" i="5" s="1"/>
  <c r="E699" i="5"/>
  <c r="F699" i="5" s="1"/>
  <c r="E707" i="5"/>
  <c r="F707" i="5" s="1"/>
  <c r="E672" i="5"/>
  <c r="F672" i="5" s="1"/>
  <c r="E684" i="5"/>
  <c r="F684" i="5" s="1"/>
  <c r="E692" i="5"/>
  <c r="F692" i="5" s="1"/>
  <c r="E700" i="5"/>
  <c r="F700" i="5" s="1"/>
  <c r="E708" i="5"/>
  <c r="F708" i="5" s="1"/>
  <c r="E675" i="5"/>
  <c r="F675" i="5" s="1"/>
  <c r="E685" i="5"/>
  <c r="F685" i="5" s="1"/>
  <c r="E693" i="5"/>
  <c r="F693" i="5" s="1"/>
  <c r="E701" i="5"/>
  <c r="F701" i="5" s="1"/>
  <c r="E709" i="5"/>
  <c r="F709" i="5" s="1"/>
  <c r="E677" i="5"/>
  <c r="F677" i="5" s="1"/>
  <c r="E686" i="5"/>
  <c r="F686" i="5" s="1"/>
  <c r="E694" i="5"/>
  <c r="F694" i="5" s="1"/>
  <c r="E702" i="5"/>
  <c r="F702" i="5" s="1"/>
  <c r="E710" i="5"/>
  <c r="F710" i="5" s="1"/>
  <c r="E678" i="5"/>
  <c r="F678" i="5" s="1"/>
  <c r="E687" i="5"/>
  <c r="F687" i="5" s="1"/>
  <c r="E695" i="5"/>
  <c r="F695" i="5" s="1"/>
  <c r="E703" i="5"/>
  <c r="F703" i="5" s="1"/>
  <c r="E711" i="5"/>
  <c r="F711" i="5" s="1"/>
  <c r="E664" i="5"/>
  <c r="F664" i="5" s="1"/>
  <c r="E679" i="5"/>
  <c r="F679" i="5" s="1"/>
  <c r="E688" i="5"/>
  <c r="F688" i="5" s="1"/>
  <c r="E696" i="5"/>
  <c r="F696" i="5" s="1"/>
  <c r="E704" i="5"/>
  <c r="F704" i="5" s="1"/>
  <c r="E712" i="5"/>
  <c r="F712" i="5" s="1"/>
  <c r="E667" i="5"/>
  <c r="F667" i="5" s="1"/>
  <c r="E680" i="5"/>
  <c r="F680" i="5" s="1"/>
  <c r="E689" i="5"/>
  <c r="F689" i="5" s="1"/>
  <c r="E697" i="5"/>
  <c r="F697" i="5" s="1"/>
  <c r="E705" i="5"/>
  <c r="F705" i="5" s="1"/>
  <c r="E713" i="5"/>
  <c r="F713" i="5" s="1"/>
  <c r="E2235" i="5"/>
  <c r="F2235" i="5" s="1"/>
  <c r="E2243" i="5"/>
  <c r="F2243" i="5" s="1"/>
  <c r="E2251" i="5"/>
  <c r="F2251" i="5" s="1"/>
  <c r="E2259" i="5"/>
  <c r="F2259" i="5" s="1"/>
  <c r="E2267" i="5"/>
  <c r="F2267" i="5" s="1"/>
  <c r="E2236" i="5"/>
  <c r="F2236" i="5" s="1"/>
  <c r="E2244" i="5"/>
  <c r="F2244" i="5" s="1"/>
  <c r="E2252" i="5"/>
  <c r="F2252" i="5" s="1"/>
  <c r="E2260" i="5"/>
  <c r="F2260" i="5" s="1"/>
  <c r="E2238" i="5"/>
  <c r="F2238" i="5" s="1"/>
  <c r="E2246" i="5"/>
  <c r="F2246" i="5" s="1"/>
  <c r="E2254" i="5"/>
  <c r="F2254" i="5" s="1"/>
  <c r="E2262" i="5"/>
  <c r="F2262" i="5" s="1"/>
  <c r="E2232" i="5"/>
  <c r="F2232" i="5" s="1"/>
  <c r="E2240" i="5"/>
  <c r="F2240" i="5" s="1"/>
  <c r="E2248" i="5"/>
  <c r="F2248" i="5" s="1"/>
  <c r="E2256" i="5"/>
  <c r="F2256" i="5" s="1"/>
  <c r="E2264" i="5"/>
  <c r="F2264" i="5" s="1"/>
  <c r="E2233" i="5"/>
  <c r="F2233" i="5" s="1"/>
  <c r="E2241" i="5"/>
  <c r="F2241" i="5" s="1"/>
  <c r="E2249" i="5"/>
  <c r="F2249" i="5" s="1"/>
  <c r="E2257" i="5"/>
  <c r="F2257" i="5" s="1"/>
  <c r="E2265" i="5"/>
  <c r="F2265" i="5" s="1"/>
  <c r="E2242" i="5"/>
  <c r="F2242" i="5" s="1"/>
  <c r="E2263" i="5"/>
  <c r="F2263" i="5" s="1"/>
  <c r="E2245" i="5"/>
  <c r="F2245" i="5" s="1"/>
  <c r="E2266" i="5"/>
  <c r="F2266" i="5" s="1"/>
  <c r="E2247" i="5"/>
  <c r="F2247" i="5" s="1"/>
  <c r="E2250" i="5"/>
  <c r="F2250" i="5" s="1"/>
  <c r="E2253" i="5"/>
  <c r="F2253" i="5" s="1"/>
  <c r="E2234" i="5"/>
  <c r="F2234" i="5" s="1"/>
  <c r="E2255" i="5"/>
  <c r="F2255" i="5" s="1"/>
  <c r="E2237" i="5"/>
  <c r="F2237" i="5" s="1"/>
  <c r="E2239" i="5"/>
  <c r="F2239" i="5" s="1"/>
  <c r="E2258" i="5"/>
  <c r="F2258" i="5" s="1"/>
  <c r="E2261" i="5"/>
  <c r="F2261" i="5" s="1"/>
  <c r="E12" i="6"/>
  <c r="E633" i="5"/>
  <c r="F633" i="5" s="1"/>
  <c r="E641" i="5"/>
  <c r="F641" i="5" s="1"/>
  <c r="E634" i="5"/>
  <c r="F634" i="5" s="1"/>
  <c r="E642" i="5"/>
  <c r="F642" i="5" s="1"/>
  <c r="E635" i="5"/>
  <c r="F635" i="5" s="1"/>
  <c r="E636" i="5"/>
  <c r="F636" i="5" s="1"/>
  <c r="E644" i="5"/>
  <c r="F644" i="5" s="1"/>
  <c r="E637" i="5"/>
  <c r="F637" i="5" s="1"/>
  <c r="E645" i="5"/>
  <c r="F645" i="5" s="1"/>
  <c r="E639" i="5"/>
  <c r="F639" i="5" s="1"/>
  <c r="E632" i="5"/>
  <c r="F632" i="5" s="1"/>
  <c r="E638" i="5"/>
  <c r="F638" i="5" s="1"/>
  <c r="E640" i="5"/>
  <c r="F640" i="5" s="1"/>
  <c r="E643" i="5"/>
  <c r="F643" i="5" s="1"/>
  <c r="E69" i="6"/>
  <c r="E288" i="5"/>
  <c r="F288" i="5" s="1"/>
  <c r="E289" i="5"/>
  <c r="F289" i="5" s="1"/>
  <c r="E290" i="5"/>
  <c r="F290" i="5" s="1"/>
  <c r="E286" i="5"/>
  <c r="F286" i="5" s="1"/>
  <c r="E287" i="5"/>
  <c r="F287" i="5" s="1"/>
  <c r="E54" i="6"/>
  <c r="E1098" i="5"/>
  <c r="F1098" i="5" s="1"/>
  <c r="E1091" i="5"/>
  <c r="F1091" i="5" s="1"/>
  <c r="E1099" i="5"/>
  <c r="F1099" i="5" s="1"/>
  <c r="E1092" i="5"/>
  <c r="F1092" i="5" s="1"/>
  <c r="E1100" i="5"/>
  <c r="F1100" i="5" s="1"/>
  <c r="E1093" i="5"/>
  <c r="F1093" i="5" s="1"/>
  <c r="E1101" i="5"/>
  <c r="F1101" i="5" s="1"/>
  <c r="E1094" i="5"/>
  <c r="F1094" i="5" s="1"/>
  <c r="E1102" i="5"/>
  <c r="F1102" i="5" s="1"/>
  <c r="E1095" i="5"/>
  <c r="F1095" i="5" s="1"/>
  <c r="E1103" i="5"/>
  <c r="F1103" i="5" s="1"/>
  <c r="E1096" i="5"/>
  <c r="F1096" i="5" s="1"/>
  <c r="E1104" i="5"/>
  <c r="F1104" i="5" s="1"/>
  <c r="E1097" i="5"/>
  <c r="F1097" i="5" s="1"/>
  <c r="E2622" i="5"/>
  <c r="F2622" i="5" s="1"/>
  <c r="E2630" i="5"/>
  <c r="F2630" i="5" s="1"/>
  <c r="E2638" i="5"/>
  <c r="F2638" i="5" s="1"/>
  <c r="E2646" i="5"/>
  <c r="F2646" i="5" s="1"/>
  <c r="E2654" i="5"/>
  <c r="F2654" i="5" s="1"/>
  <c r="E2662" i="5"/>
  <c r="F2662" i="5" s="1"/>
  <c r="E2670" i="5"/>
  <c r="F2670" i="5" s="1"/>
  <c r="E2678" i="5"/>
  <c r="F2678" i="5" s="1"/>
  <c r="E2623" i="5"/>
  <c r="F2623" i="5" s="1"/>
  <c r="E2631" i="5"/>
  <c r="F2631" i="5" s="1"/>
  <c r="E2639" i="5"/>
  <c r="F2639" i="5" s="1"/>
  <c r="E2647" i="5"/>
  <c r="F2647" i="5" s="1"/>
  <c r="E2655" i="5"/>
  <c r="F2655" i="5" s="1"/>
  <c r="E2663" i="5"/>
  <c r="F2663" i="5" s="1"/>
  <c r="E2671" i="5"/>
  <c r="F2671" i="5" s="1"/>
  <c r="E2679" i="5"/>
  <c r="F2679" i="5" s="1"/>
  <c r="E2624" i="5"/>
  <c r="F2624" i="5" s="1"/>
  <c r="E2632" i="5"/>
  <c r="F2632" i="5" s="1"/>
  <c r="E2640" i="5"/>
  <c r="F2640" i="5" s="1"/>
  <c r="E2648" i="5"/>
  <c r="F2648" i="5" s="1"/>
  <c r="E2656" i="5"/>
  <c r="F2656" i="5" s="1"/>
  <c r="E2664" i="5"/>
  <c r="F2664" i="5" s="1"/>
  <c r="E2672" i="5"/>
  <c r="F2672" i="5" s="1"/>
  <c r="E2680" i="5"/>
  <c r="F2680" i="5" s="1"/>
  <c r="E2625" i="5"/>
  <c r="F2625" i="5" s="1"/>
  <c r="E2633" i="5"/>
  <c r="F2633" i="5" s="1"/>
  <c r="E2641" i="5"/>
  <c r="F2641" i="5" s="1"/>
  <c r="E2649" i="5"/>
  <c r="F2649" i="5" s="1"/>
  <c r="E2657" i="5"/>
  <c r="F2657" i="5" s="1"/>
  <c r="E2665" i="5"/>
  <c r="F2665" i="5" s="1"/>
  <c r="E2673" i="5"/>
  <c r="F2673" i="5" s="1"/>
  <c r="E2681" i="5"/>
  <c r="F2681" i="5" s="1"/>
  <c r="E2626" i="5"/>
  <c r="F2626" i="5" s="1"/>
  <c r="E2634" i="5"/>
  <c r="F2634" i="5" s="1"/>
  <c r="E2642" i="5"/>
  <c r="F2642" i="5" s="1"/>
  <c r="E2650" i="5"/>
  <c r="F2650" i="5" s="1"/>
  <c r="E2658" i="5"/>
  <c r="F2658" i="5" s="1"/>
  <c r="E2666" i="5"/>
  <c r="F2666" i="5" s="1"/>
  <c r="E2674" i="5"/>
  <c r="F2674" i="5" s="1"/>
  <c r="E2682" i="5"/>
  <c r="F2682" i="5" s="1"/>
  <c r="E2627" i="5"/>
  <c r="F2627" i="5" s="1"/>
  <c r="E2635" i="5"/>
  <c r="F2635" i="5" s="1"/>
  <c r="E2643" i="5"/>
  <c r="F2643" i="5" s="1"/>
  <c r="E2651" i="5"/>
  <c r="F2651" i="5" s="1"/>
  <c r="E2659" i="5"/>
  <c r="F2659" i="5" s="1"/>
  <c r="E2667" i="5"/>
  <c r="F2667" i="5" s="1"/>
  <c r="E2675" i="5"/>
  <c r="F2675" i="5" s="1"/>
  <c r="E2683" i="5"/>
  <c r="F2683" i="5" s="1"/>
  <c r="E2629" i="5"/>
  <c r="F2629" i="5" s="1"/>
  <c r="E2661" i="5"/>
  <c r="F2661" i="5" s="1"/>
  <c r="E2636" i="5"/>
  <c r="F2636" i="5" s="1"/>
  <c r="E2668" i="5"/>
  <c r="F2668" i="5" s="1"/>
  <c r="E2637" i="5"/>
  <c r="F2637" i="5" s="1"/>
  <c r="E2669" i="5"/>
  <c r="F2669" i="5" s="1"/>
  <c r="E2644" i="5"/>
  <c r="F2644" i="5" s="1"/>
  <c r="E2676" i="5"/>
  <c r="F2676" i="5" s="1"/>
  <c r="E2645" i="5"/>
  <c r="F2645" i="5" s="1"/>
  <c r="E2677" i="5"/>
  <c r="F2677" i="5" s="1"/>
  <c r="E2652" i="5"/>
  <c r="F2652" i="5" s="1"/>
  <c r="E2684" i="5"/>
  <c r="F2684" i="5" s="1"/>
  <c r="E2653" i="5"/>
  <c r="F2653" i="5" s="1"/>
  <c r="E2628" i="5"/>
  <c r="F2628" i="5" s="1"/>
  <c r="E2660" i="5"/>
  <c r="F2660" i="5" s="1"/>
  <c r="B3" i="12"/>
  <c r="C3" i="12" s="1"/>
  <c r="B2" i="12"/>
  <c r="C2" i="12" s="1"/>
  <c r="E19" i="6"/>
  <c r="E1146" i="5"/>
  <c r="F1146" i="5" s="1"/>
  <c r="E1154" i="5"/>
  <c r="F1154" i="5" s="1"/>
  <c r="E1162" i="5"/>
  <c r="F1162" i="5" s="1"/>
  <c r="E1139" i="5"/>
  <c r="F1139" i="5" s="1"/>
  <c r="E1147" i="5"/>
  <c r="F1147" i="5" s="1"/>
  <c r="E1155" i="5"/>
  <c r="F1155" i="5" s="1"/>
  <c r="E1163" i="5"/>
  <c r="F1163" i="5" s="1"/>
  <c r="E1140" i="5"/>
  <c r="F1140" i="5" s="1"/>
  <c r="E1148" i="5"/>
  <c r="F1148" i="5" s="1"/>
  <c r="E1156" i="5"/>
  <c r="F1156" i="5" s="1"/>
  <c r="E1164" i="5"/>
  <c r="F1164" i="5" s="1"/>
  <c r="E1141" i="5"/>
  <c r="F1141" i="5" s="1"/>
  <c r="E1149" i="5"/>
  <c r="F1149" i="5" s="1"/>
  <c r="E1157" i="5"/>
  <c r="F1157" i="5" s="1"/>
  <c r="E1165" i="5"/>
  <c r="F1165" i="5" s="1"/>
  <c r="E1142" i="5"/>
  <c r="F1142" i="5" s="1"/>
  <c r="E1150" i="5"/>
  <c r="F1150" i="5" s="1"/>
  <c r="E1158" i="5"/>
  <c r="F1158" i="5" s="1"/>
  <c r="E1166" i="5"/>
  <c r="F1166" i="5" s="1"/>
  <c r="E1143" i="5"/>
  <c r="F1143" i="5" s="1"/>
  <c r="E1151" i="5"/>
  <c r="F1151" i="5" s="1"/>
  <c r="E1159" i="5"/>
  <c r="F1159" i="5" s="1"/>
  <c r="E1167" i="5"/>
  <c r="F1167" i="5" s="1"/>
  <c r="E1144" i="5"/>
  <c r="F1144" i="5" s="1"/>
  <c r="E1152" i="5"/>
  <c r="F1152" i="5" s="1"/>
  <c r="E1160" i="5"/>
  <c r="F1160" i="5" s="1"/>
  <c r="E1168" i="5"/>
  <c r="F1168" i="5" s="1"/>
  <c r="E1145" i="5"/>
  <c r="F1145" i="5" s="1"/>
  <c r="E1153" i="5"/>
  <c r="F1153" i="5" s="1"/>
  <c r="E1161" i="5"/>
  <c r="F1161" i="5" s="1"/>
  <c r="E1169" i="5"/>
  <c r="F1169" i="5" s="1"/>
  <c r="E2694" i="5"/>
  <c r="F2694" i="5" s="1"/>
  <c r="E2702" i="5"/>
  <c r="F2702" i="5" s="1"/>
  <c r="E2710" i="5"/>
  <c r="F2710" i="5" s="1"/>
  <c r="E2718" i="5"/>
  <c r="F2718" i="5" s="1"/>
  <c r="E2687" i="5"/>
  <c r="F2687" i="5" s="1"/>
  <c r="E2695" i="5"/>
  <c r="F2695" i="5" s="1"/>
  <c r="E2703" i="5"/>
  <c r="F2703" i="5" s="1"/>
  <c r="E2711" i="5"/>
  <c r="F2711" i="5" s="1"/>
  <c r="E2719" i="5"/>
  <c r="F2719" i="5" s="1"/>
  <c r="E2688" i="5"/>
  <c r="F2688" i="5" s="1"/>
  <c r="E2696" i="5"/>
  <c r="F2696" i="5" s="1"/>
  <c r="E2704" i="5"/>
  <c r="F2704" i="5" s="1"/>
  <c r="E2712" i="5"/>
  <c r="F2712" i="5" s="1"/>
  <c r="E2720" i="5"/>
  <c r="F2720" i="5" s="1"/>
  <c r="E2689" i="5"/>
  <c r="F2689" i="5" s="1"/>
  <c r="E2697" i="5"/>
  <c r="F2697" i="5" s="1"/>
  <c r="E2705" i="5"/>
  <c r="F2705" i="5" s="1"/>
  <c r="E2713" i="5"/>
  <c r="F2713" i="5" s="1"/>
  <c r="E2721" i="5"/>
  <c r="F2721" i="5" s="1"/>
  <c r="E2690" i="5"/>
  <c r="F2690" i="5" s="1"/>
  <c r="E2698" i="5"/>
  <c r="F2698" i="5" s="1"/>
  <c r="E2706" i="5"/>
  <c r="F2706" i="5" s="1"/>
  <c r="E2714" i="5"/>
  <c r="F2714" i="5" s="1"/>
  <c r="E2722" i="5"/>
  <c r="F2722" i="5" s="1"/>
  <c r="E2691" i="5"/>
  <c r="F2691" i="5" s="1"/>
  <c r="E2699" i="5"/>
  <c r="F2699" i="5" s="1"/>
  <c r="E2707" i="5"/>
  <c r="F2707" i="5" s="1"/>
  <c r="E2715" i="5"/>
  <c r="F2715" i="5" s="1"/>
  <c r="E2693" i="5"/>
  <c r="F2693" i="5" s="1"/>
  <c r="E2700" i="5"/>
  <c r="F2700" i="5" s="1"/>
  <c r="E2701" i="5"/>
  <c r="F2701" i="5" s="1"/>
  <c r="E2708" i="5"/>
  <c r="F2708" i="5" s="1"/>
  <c r="E2709" i="5"/>
  <c r="F2709" i="5" s="1"/>
  <c r="E2716" i="5"/>
  <c r="F2716" i="5" s="1"/>
  <c r="E2717" i="5"/>
  <c r="F2717" i="5" s="1"/>
  <c r="E2692" i="5"/>
  <c r="F2692" i="5" s="1"/>
  <c r="E1235" i="5"/>
  <c r="F1235" i="5" s="1"/>
  <c r="E1243" i="5"/>
  <c r="F1243" i="5" s="1"/>
  <c r="E1251" i="5"/>
  <c r="F1251" i="5" s="1"/>
  <c r="E1259" i="5"/>
  <c r="F1259" i="5" s="1"/>
  <c r="E1267" i="5"/>
  <c r="F1267" i="5" s="1"/>
  <c r="E1275" i="5"/>
  <c r="F1275" i="5" s="1"/>
  <c r="E1283" i="5"/>
  <c r="F1283" i="5" s="1"/>
  <c r="E1236" i="5"/>
  <c r="F1236" i="5" s="1"/>
  <c r="E1244" i="5"/>
  <c r="F1244" i="5" s="1"/>
  <c r="E1252" i="5"/>
  <c r="F1252" i="5" s="1"/>
  <c r="E1260" i="5"/>
  <c r="F1260" i="5" s="1"/>
  <c r="E1268" i="5"/>
  <c r="F1268" i="5" s="1"/>
  <c r="E1276" i="5"/>
  <c r="F1276" i="5" s="1"/>
  <c r="E1284" i="5"/>
  <c r="F1284" i="5" s="1"/>
  <c r="E1237" i="5"/>
  <c r="F1237" i="5" s="1"/>
  <c r="E1245" i="5"/>
  <c r="F1245" i="5" s="1"/>
  <c r="E1253" i="5"/>
  <c r="F1253" i="5" s="1"/>
  <c r="E1261" i="5"/>
  <c r="F1261" i="5" s="1"/>
  <c r="E1269" i="5"/>
  <c r="F1269" i="5" s="1"/>
  <c r="E1277" i="5"/>
  <c r="F1277" i="5" s="1"/>
  <c r="E1285" i="5"/>
  <c r="F1285" i="5" s="1"/>
  <c r="E1238" i="5"/>
  <c r="F1238" i="5" s="1"/>
  <c r="E1246" i="5"/>
  <c r="F1246" i="5" s="1"/>
  <c r="E1254" i="5"/>
  <c r="F1254" i="5" s="1"/>
  <c r="E1262" i="5"/>
  <c r="F1262" i="5" s="1"/>
  <c r="E1270" i="5"/>
  <c r="F1270" i="5" s="1"/>
  <c r="E1278" i="5"/>
  <c r="F1278" i="5" s="1"/>
  <c r="E1286" i="5"/>
  <c r="F1286" i="5" s="1"/>
  <c r="E1239" i="5"/>
  <c r="F1239" i="5" s="1"/>
  <c r="E1247" i="5"/>
  <c r="F1247" i="5" s="1"/>
  <c r="E1255" i="5"/>
  <c r="F1255" i="5" s="1"/>
  <c r="E1263" i="5"/>
  <c r="F1263" i="5" s="1"/>
  <c r="E1271" i="5"/>
  <c r="F1271" i="5" s="1"/>
  <c r="E1279" i="5"/>
  <c r="F1279" i="5" s="1"/>
  <c r="E1287" i="5"/>
  <c r="F1287" i="5" s="1"/>
  <c r="E1249" i="5"/>
  <c r="F1249" i="5" s="1"/>
  <c r="E1272" i="5"/>
  <c r="F1272" i="5" s="1"/>
  <c r="E1250" i="5"/>
  <c r="F1250" i="5" s="1"/>
  <c r="E1273" i="5"/>
  <c r="F1273" i="5" s="1"/>
  <c r="E1256" i="5"/>
  <c r="F1256" i="5" s="1"/>
  <c r="E1274" i="5"/>
  <c r="F1274" i="5" s="1"/>
  <c r="E1257" i="5"/>
  <c r="F1257" i="5" s="1"/>
  <c r="E1280" i="5"/>
  <c r="F1280" i="5" s="1"/>
  <c r="E1240" i="5"/>
  <c r="F1240" i="5" s="1"/>
  <c r="E1258" i="5"/>
  <c r="F1258" i="5" s="1"/>
  <c r="E1281" i="5"/>
  <c r="F1281" i="5" s="1"/>
  <c r="E1241" i="5"/>
  <c r="F1241" i="5" s="1"/>
  <c r="E1264" i="5"/>
  <c r="F1264" i="5" s="1"/>
  <c r="E1282" i="5"/>
  <c r="F1282" i="5" s="1"/>
  <c r="E1242" i="5"/>
  <c r="F1242" i="5" s="1"/>
  <c r="E1265" i="5"/>
  <c r="F1265" i="5" s="1"/>
  <c r="E1248" i="5"/>
  <c r="F1248" i="5" s="1"/>
  <c r="E1266" i="5"/>
  <c r="F1266" i="5" s="1"/>
  <c r="E2782" i="5"/>
  <c r="F2782" i="5" s="1"/>
  <c r="E2790" i="5"/>
  <c r="F2790" i="5" s="1"/>
  <c r="E2798" i="5"/>
  <c r="F2798" i="5" s="1"/>
  <c r="E2806" i="5"/>
  <c r="F2806" i="5" s="1"/>
  <c r="E2775" i="5"/>
  <c r="F2775" i="5" s="1"/>
  <c r="E2783" i="5"/>
  <c r="F2783" i="5" s="1"/>
  <c r="E2791" i="5"/>
  <c r="F2791" i="5" s="1"/>
  <c r="E2799" i="5"/>
  <c r="F2799" i="5" s="1"/>
  <c r="E2807" i="5"/>
  <c r="F2807" i="5" s="1"/>
  <c r="E2815" i="5"/>
  <c r="F2815" i="5" s="1"/>
  <c r="E2776" i="5"/>
  <c r="F2776" i="5" s="1"/>
  <c r="E2784" i="5"/>
  <c r="F2784" i="5" s="1"/>
  <c r="E2792" i="5"/>
  <c r="F2792" i="5" s="1"/>
  <c r="E2800" i="5"/>
  <c r="F2800" i="5" s="1"/>
  <c r="E2808" i="5"/>
  <c r="F2808" i="5" s="1"/>
  <c r="E2777" i="5"/>
  <c r="F2777" i="5" s="1"/>
  <c r="E2785" i="5"/>
  <c r="F2785" i="5" s="1"/>
  <c r="E2793" i="5"/>
  <c r="F2793" i="5" s="1"/>
  <c r="E2801" i="5"/>
  <c r="F2801" i="5" s="1"/>
  <c r="E2809" i="5"/>
  <c r="F2809" i="5" s="1"/>
  <c r="E2778" i="5"/>
  <c r="F2778" i="5" s="1"/>
  <c r="E2786" i="5"/>
  <c r="F2786" i="5" s="1"/>
  <c r="E2794" i="5"/>
  <c r="F2794" i="5" s="1"/>
  <c r="E2802" i="5"/>
  <c r="F2802" i="5" s="1"/>
  <c r="E2810" i="5"/>
  <c r="F2810" i="5" s="1"/>
  <c r="E2779" i="5"/>
  <c r="F2779" i="5" s="1"/>
  <c r="E2787" i="5"/>
  <c r="F2787" i="5" s="1"/>
  <c r="E2795" i="5"/>
  <c r="F2795" i="5" s="1"/>
  <c r="E2803" i="5"/>
  <c r="F2803" i="5" s="1"/>
  <c r="E2811" i="5"/>
  <c r="F2811" i="5" s="1"/>
  <c r="E2789" i="5"/>
  <c r="F2789" i="5" s="1"/>
  <c r="E2816" i="5"/>
  <c r="F2816" i="5" s="1"/>
  <c r="E2796" i="5"/>
  <c r="F2796" i="5" s="1"/>
  <c r="E2797" i="5"/>
  <c r="F2797" i="5" s="1"/>
  <c r="E2804" i="5"/>
  <c r="F2804" i="5" s="1"/>
  <c r="E2805" i="5"/>
  <c r="F2805" i="5" s="1"/>
  <c r="E2780" i="5"/>
  <c r="F2780" i="5" s="1"/>
  <c r="E2812" i="5"/>
  <c r="F2812" i="5" s="1"/>
  <c r="E2781" i="5"/>
  <c r="F2781" i="5" s="1"/>
  <c r="E2813" i="5"/>
  <c r="F2813" i="5" s="1"/>
  <c r="E2788" i="5"/>
  <c r="F2788" i="5" s="1"/>
  <c r="E2814" i="5"/>
  <c r="F2814" i="5" s="1"/>
  <c r="E24" i="6"/>
  <c r="E649" i="5"/>
  <c r="F649" i="5" s="1"/>
  <c r="E657" i="5"/>
  <c r="F657" i="5" s="1"/>
  <c r="E650" i="5"/>
  <c r="F650" i="5" s="1"/>
  <c r="E658" i="5"/>
  <c r="F658" i="5" s="1"/>
  <c r="E652" i="5"/>
  <c r="F652" i="5" s="1"/>
  <c r="E660" i="5"/>
  <c r="F660" i="5" s="1"/>
  <c r="E647" i="5"/>
  <c r="F647" i="5" s="1"/>
  <c r="E655" i="5"/>
  <c r="F655" i="5" s="1"/>
  <c r="E663" i="5"/>
  <c r="F663" i="5" s="1"/>
  <c r="E653" i="5"/>
  <c r="F653" i="5" s="1"/>
  <c r="E654" i="5"/>
  <c r="F654" i="5" s="1"/>
  <c r="E656" i="5"/>
  <c r="F656" i="5" s="1"/>
  <c r="E659" i="5"/>
  <c r="F659" i="5" s="1"/>
  <c r="E661" i="5"/>
  <c r="F661" i="5" s="1"/>
  <c r="E646" i="5"/>
  <c r="F646" i="5" s="1"/>
  <c r="E662" i="5"/>
  <c r="F662" i="5" s="1"/>
  <c r="E648" i="5"/>
  <c r="F648" i="5" s="1"/>
  <c r="E651" i="5"/>
  <c r="F651" i="5" s="1"/>
  <c r="E2171" i="5"/>
  <c r="F2171" i="5" s="1"/>
  <c r="E2179" i="5"/>
  <c r="F2179" i="5" s="1"/>
  <c r="E2187" i="5"/>
  <c r="F2187" i="5" s="1"/>
  <c r="E2195" i="5"/>
  <c r="F2195" i="5" s="1"/>
  <c r="E2203" i="5"/>
  <c r="F2203" i="5" s="1"/>
  <c r="E2211" i="5"/>
  <c r="F2211" i="5" s="1"/>
  <c r="E2219" i="5"/>
  <c r="F2219" i="5" s="1"/>
  <c r="E2227" i="5"/>
  <c r="F2227" i="5" s="1"/>
  <c r="E2172" i="5"/>
  <c r="F2172" i="5" s="1"/>
  <c r="E2180" i="5"/>
  <c r="F2180" i="5" s="1"/>
  <c r="E2188" i="5"/>
  <c r="F2188" i="5" s="1"/>
  <c r="E2196" i="5"/>
  <c r="F2196" i="5" s="1"/>
  <c r="E2204" i="5"/>
  <c r="F2204" i="5" s="1"/>
  <c r="E2212" i="5"/>
  <c r="F2212" i="5" s="1"/>
  <c r="E2220" i="5"/>
  <c r="F2220" i="5" s="1"/>
  <c r="E2228" i="5"/>
  <c r="F2228" i="5" s="1"/>
  <c r="E2174" i="5"/>
  <c r="F2174" i="5" s="1"/>
  <c r="E2182" i="5"/>
  <c r="F2182" i="5" s="1"/>
  <c r="E2190" i="5"/>
  <c r="F2190" i="5" s="1"/>
  <c r="E2198" i="5"/>
  <c r="F2198" i="5" s="1"/>
  <c r="E2206" i="5"/>
  <c r="F2206" i="5" s="1"/>
  <c r="E2214" i="5"/>
  <c r="F2214" i="5" s="1"/>
  <c r="E2222" i="5"/>
  <c r="F2222" i="5" s="1"/>
  <c r="E2230" i="5"/>
  <c r="F2230" i="5" s="1"/>
  <c r="E2168" i="5"/>
  <c r="F2168" i="5" s="1"/>
  <c r="E2176" i="5"/>
  <c r="F2176" i="5" s="1"/>
  <c r="E2184" i="5"/>
  <c r="F2184" i="5" s="1"/>
  <c r="E2192" i="5"/>
  <c r="F2192" i="5" s="1"/>
  <c r="E2200" i="5"/>
  <c r="F2200" i="5" s="1"/>
  <c r="E2208" i="5"/>
  <c r="F2208" i="5" s="1"/>
  <c r="E2216" i="5"/>
  <c r="F2216" i="5" s="1"/>
  <c r="E2224" i="5"/>
  <c r="F2224" i="5" s="1"/>
  <c r="E2169" i="5"/>
  <c r="F2169" i="5" s="1"/>
  <c r="E2177" i="5"/>
  <c r="F2177" i="5" s="1"/>
  <c r="E2185" i="5"/>
  <c r="F2185" i="5" s="1"/>
  <c r="E2193" i="5"/>
  <c r="F2193" i="5" s="1"/>
  <c r="E2201" i="5"/>
  <c r="F2201" i="5" s="1"/>
  <c r="E2209" i="5"/>
  <c r="F2209" i="5" s="1"/>
  <c r="E2217" i="5"/>
  <c r="F2217" i="5" s="1"/>
  <c r="E2225" i="5"/>
  <c r="F2225" i="5" s="1"/>
  <c r="E2178" i="5"/>
  <c r="F2178" i="5" s="1"/>
  <c r="E2199" i="5"/>
  <c r="F2199" i="5" s="1"/>
  <c r="E2221" i="5"/>
  <c r="F2221" i="5" s="1"/>
  <c r="E2181" i="5"/>
  <c r="F2181" i="5" s="1"/>
  <c r="E2202" i="5"/>
  <c r="F2202" i="5" s="1"/>
  <c r="E2223" i="5"/>
  <c r="F2223" i="5" s="1"/>
  <c r="E2183" i="5"/>
  <c r="F2183" i="5" s="1"/>
  <c r="E2205" i="5"/>
  <c r="F2205" i="5" s="1"/>
  <c r="E2226" i="5"/>
  <c r="F2226" i="5" s="1"/>
  <c r="E2186" i="5"/>
  <c r="F2186" i="5" s="1"/>
  <c r="E2207" i="5"/>
  <c r="F2207" i="5" s="1"/>
  <c r="E2229" i="5"/>
  <c r="F2229" i="5" s="1"/>
  <c r="E2167" i="5"/>
  <c r="F2167" i="5" s="1"/>
  <c r="E2189" i="5"/>
  <c r="F2189" i="5" s="1"/>
  <c r="E2210" i="5"/>
  <c r="F2210" i="5" s="1"/>
  <c r="E2231" i="5"/>
  <c r="F2231" i="5" s="1"/>
  <c r="E2170" i="5"/>
  <c r="F2170" i="5" s="1"/>
  <c r="E2191" i="5"/>
  <c r="F2191" i="5" s="1"/>
  <c r="E2213" i="5"/>
  <c r="F2213" i="5" s="1"/>
  <c r="E2218" i="5"/>
  <c r="F2218" i="5" s="1"/>
  <c r="E2173" i="5"/>
  <c r="F2173" i="5" s="1"/>
  <c r="E2175" i="5"/>
  <c r="F2175" i="5" s="1"/>
  <c r="E2194" i="5"/>
  <c r="F2194" i="5" s="1"/>
  <c r="E2197" i="5"/>
  <c r="F2197" i="5" s="1"/>
  <c r="E2215" i="5"/>
  <c r="F2215" i="5" s="1"/>
  <c r="L33" i="5"/>
  <c r="L31" i="5"/>
  <c r="I5" i="1" s="1"/>
  <c r="L30" i="5"/>
  <c r="L28" i="5"/>
  <c r="I2" i="1" s="1"/>
  <c r="L35" i="5"/>
  <c r="L34" i="5"/>
  <c r="I6" i="1" s="1"/>
  <c r="L29" i="5"/>
  <c r="L32" i="5"/>
  <c r="E25" i="6" l="1"/>
  <c r="E1042" i="5"/>
  <c r="F1042" i="5" s="1"/>
  <c r="E1050" i="5"/>
  <c r="F1050" i="5" s="1"/>
  <c r="E1058" i="5"/>
  <c r="F1058" i="5" s="1"/>
  <c r="E1066" i="5"/>
  <c r="F1066" i="5" s="1"/>
  <c r="E1074" i="5"/>
  <c r="F1074" i="5" s="1"/>
  <c r="E1082" i="5"/>
  <c r="F1082" i="5" s="1"/>
  <c r="E1090" i="5"/>
  <c r="F1090" i="5" s="1"/>
  <c r="E1043" i="5"/>
  <c r="F1043" i="5" s="1"/>
  <c r="E1051" i="5"/>
  <c r="F1051" i="5" s="1"/>
  <c r="E1059" i="5"/>
  <c r="F1059" i="5" s="1"/>
  <c r="E1067" i="5"/>
  <c r="F1067" i="5" s="1"/>
  <c r="E1075" i="5"/>
  <c r="F1075" i="5" s="1"/>
  <c r="E1083" i="5"/>
  <c r="F1083" i="5" s="1"/>
  <c r="E1044" i="5"/>
  <c r="F1044" i="5" s="1"/>
  <c r="E1052" i="5"/>
  <c r="F1052" i="5" s="1"/>
  <c r="E1060" i="5"/>
  <c r="F1060" i="5" s="1"/>
  <c r="E1068" i="5"/>
  <c r="F1068" i="5" s="1"/>
  <c r="E1076" i="5"/>
  <c r="F1076" i="5" s="1"/>
  <c r="E1084" i="5"/>
  <c r="F1084" i="5" s="1"/>
  <c r="E1045" i="5"/>
  <c r="F1045" i="5" s="1"/>
  <c r="E1053" i="5"/>
  <c r="F1053" i="5" s="1"/>
  <c r="E1061" i="5"/>
  <c r="F1061" i="5" s="1"/>
  <c r="E1069" i="5"/>
  <c r="F1069" i="5" s="1"/>
  <c r="E1077" i="5"/>
  <c r="F1077" i="5" s="1"/>
  <c r="E1085" i="5"/>
  <c r="F1085" i="5" s="1"/>
  <c r="E1046" i="5"/>
  <c r="F1046" i="5" s="1"/>
  <c r="E1054" i="5"/>
  <c r="F1054" i="5" s="1"/>
  <c r="E1062" i="5"/>
  <c r="F1062" i="5" s="1"/>
  <c r="E1070" i="5"/>
  <c r="F1070" i="5" s="1"/>
  <c r="E1078" i="5"/>
  <c r="F1078" i="5" s="1"/>
  <c r="E1086" i="5"/>
  <c r="F1086" i="5" s="1"/>
  <c r="E1047" i="5"/>
  <c r="F1047" i="5" s="1"/>
  <c r="E1055" i="5"/>
  <c r="F1055" i="5" s="1"/>
  <c r="E1063" i="5"/>
  <c r="F1063" i="5" s="1"/>
  <c r="E1071" i="5"/>
  <c r="F1071" i="5" s="1"/>
  <c r="E1079" i="5"/>
  <c r="F1079" i="5" s="1"/>
  <c r="E1087" i="5"/>
  <c r="F1087" i="5" s="1"/>
  <c r="E1040" i="5"/>
  <c r="F1040" i="5" s="1"/>
  <c r="E1048" i="5"/>
  <c r="F1048" i="5" s="1"/>
  <c r="E1056" i="5"/>
  <c r="F1056" i="5" s="1"/>
  <c r="E1064" i="5"/>
  <c r="F1064" i="5" s="1"/>
  <c r="E1072" i="5"/>
  <c r="F1072" i="5" s="1"/>
  <c r="E1080" i="5"/>
  <c r="F1080" i="5" s="1"/>
  <c r="E1088" i="5"/>
  <c r="F1088" i="5" s="1"/>
  <c r="E1049" i="5"/>
  <c r="F1049" i="5" s="1"/>
  <c r="E1057" i="5"/>
  <c r="F1057" i="5" s="1"/>
  <c r="E1065" i="5"/>
  <c r="F1065" i="5" s="1"/>
  <c r="E1073" i="5"/>
  <c r="F1073" i="5" s="1"/>
  <c r="E1081" i="5"/>
  <c r="F1081" i="5" s="1"/>
  <c r="E1089" i="5"/>
  <c r="F1089" i="5" s="1"/>
  <c r="E2590" i="5"/>
  <c r="F2590" i="5" s="1"/>
  <c r="E2598" i="5"/>
  <c r="F2598" i="5" s="1"/>
  <c r="E2606" i="5"/>
  <c r="F2606" i="5" s="1"/>
  <c r="E2614" i="5"/>
  <c r="F2614" i="5" s="1"/>
  <c r="E2591" i="5"/>
  <c r="F2591" i="5" s="1"/>
  <c r="E2599" i="5"/>
  <c r="F2599" i="5" s="1"/>
  <c r="E2607" i="5"/>
  <c r="F2607" i="5" s="1"/>
  <c r="E2615" i="5"/>
  <c r="F2615" i="5" s="1"/>
  <c r="E2592" i="5"/>
  <c r="F2592" i="5" s="1"/>
  <c r="E2600" i="5"/>
  <c r="F2600" i="5" s="1"/>
  <c r="E2608" i="5"/>
  <c r="F2608" i="5" s="1"/>
  <c r="E2616" i="5"/>
  <c r="F2616" i="5" s="1"/>
  <c r="E2585" i="5"/>
  <c r="F2585" i="5" s="1"/>
  <c r="E2593" i="5"/>
  <c r="F2593" i="5" s="1"/>
  <c r="E2601" i="5"/>
  <c r="F2601" i="5" s="1"/>
  <c r="E2609" i="5"/>
  <c r="F2609" i="5" s="1"/>
  <c r="E2617" i="5"/>
  <c r="F2617" i="5" s="1"/>
  <c r="E2586" i="5"/>
  <c r="F2586" i="5" s="1"/>
  <c r="E2594" i="5"/>
  <c r="F2594" i="5" s="1"/>
  <c r="E2602" i="5"/>
  <c r="F2602" i="5" s="1"/>
  <c r="E2610" i="5"/>
  <c r="F2610" i="5" s="1"/>
  <c r="E2618" i="5"/>
  <c r="F2618" i="5" s="1"/>
  <c r="E2587" i="5"/>
  <c r="F2587" i="5" s="1"/>
  <c r="E2595" i="5"/>
  <c r="F2595" i="5" s="1"/>
  <c r="E2603" i="5"/>
  <c r="F2603" i="5" s="1"/>
  <c r="E2611" i="5"/>
  <c r="F2611" i="5" s="1"/>
  <c r="E2619" i="5"/>
  <c r="F2619" i="5" s="1"/>
  <c r="E2597" i="5"/>
  <c r="F2597" i="5" s="1"/>
  <c r="E2604" i="5"/>
  <c r="F2604" i="5" s="1"/>
  <c r="E2605" i="5"/>
  <c r="F2605" i="5" s="1"/>
  <c r="E2612" i="5"/>
  <c r="F2612" i="5" s="1"/>
  <c r="E2613" i="5"/>
  <c r="F2613" i="5" s="1"/>
  <c r="E2588" i="5"/>
  <c r="F2588" i="5" s="1"/>
  <c r="E2620" i="5"/>
  <c r="F2620" i="5" s="1"/>
  <c r="E2589" i="5"/>
  <c r="F2589" i="5" s="1"/>
  <c r="E2621" i="5"/>
  <c r="F2621" i="5" s="1"/>
  <c r="E1041" i="5"/>
  <c r="F1041" i="5" s="1"/>
  <c r="E2596" i="5"/>
  <c r="F2596" i="5" s="1"/>
  <c r="E13" i="6"/>
  <c r="E2438" i="5"/>
  <c r="F2438" i="5" s="1"/>
  <c r="E2439" i="5"/>
  <c r="F2439" i="5" s="1"/>
  <c r="E2440" i="5"/>
  <c r="F2440" i="5" s="1"/>
  <c r="E2441" i="5"/>
  <c r="F2441" i="5" s="1"/>
  <c r="E2442" i="5"/>
  <c r="F2442" i="5" s="1"/>
  <c r="E2443" i="5"/>
  <c r="F2443" i="5" s="1"/>
  <c r="E2437" i="5"/>
  <c r="F2437" i="5" s="1"/>
  <c r="E2444" i="5"/>
  <c r="F2444" i="5" s="1"/>
  <c r="E2445" i="5"/>
  <c r="F2445" i="5" s="1"/>
  <c r="E2436" i="5"/>
  <c r="F2436" i="5" s="1"/>
  <c r="E31" i="6"/>
  <c r="E770" i="5"/>
  <c r="F770" i="5" s="1"/>
  <c r="E778" i="5"/>
  <c r="F778" i="5" s="1"/>
  <c r="E786" i="5"/>
  <c r="F786" i="5" s="1"/>
  <c r="E794" i="5"/>
  <c r="F794" i="5" s="1"/>
  <c r="E802" i="5"/>
  <c r="F802" i="5" s="1"/>
  <c r="E810" i="5"/>
  <c r="F810" i="5" s="1"/>
  <c r="E771" i="5"/>
  <c r="F771" i="5" s="1"/>
  <c r="E779" i="5"/>
  <c r="F779" i="5" s="1"/>
  <c r="E787" i="5"/>
  <c r="F787" i="5" s="1"/>
  <c r="E795" i="5"/>
  <c r="F795" i="5" s="1"/>
  <c r="E803" i="5"/>
  <c r="F803" i="5" s="1"/>
  <c r="E811" i="5"/>
  <c r="F811" i="5" s="1"/>
  <c r="E772" i="5"/>
  <c r="F772" i="5" s="1"/>
  <c r="E780" i="5"/>
  <c r="F780" i="5" s="1"/>
  <c r="E788" i="5"/>
  <c r="F788" i="5" s="1"/>
  <c r="E796" i="5"/>
  <c r="F796" i="5" s="1"/>
  <c r="E804" i="5"/>
  <c r="F804" i="5" s="1"/>
  <c r="E812" i="5"/>
  <c r="F812" i="5" s="1"/>
  <c r="E773" i="5"/>
  <c r="F773" i="5" s="1"/>
  <c r="E781" i="5"/>
  <c r="F781" i="5" s="1"/>
  <c r="E789" i="5"/>
  <c r="F789" i="5" s="1"/>
  <c r="E797" i="5"/>
  <c r="F797" i="5" s="1"/>
  <c r="E805" i="5"/>
  <c r="F805" i="5" s="1"/>
  <c r="E813" i="5"/>
  <c r="F813" i="5" s="1"/>
  <c r="E774" i="5"/>
  <c r="F774" i="5" s="1"/>
  <c r="E782" i="5"/>
  <c r="F782" i="5" s="1"/>
  <c r="E790" i="5"/>
  <c r="F790" i="5" s="1"/>
  <c r="E798" i="5"/>
  <c r="F798" i="5" s="1"/>
  <c r="E806" i="5"/>
  <c r="F806" i="5" s="1"/>
  <c r="E814" i="5"/>
  <c r="F814" i="5" s="1"/>
  <c r="E775" i="5"/>
  <c r="F775" i="5" s="1"/>
  <c r="E783" i="5"/>
  <c r="F783" i="5" s="1"/>
  <c r="E791" i="5"/>
  <c r="F791" i="5" s="1"/>
  <c r="E799" i="5"/>
  <c r="F799" i="5" s="1"/>
  <c r="E807" i="5"/>
  <c r="F807" i="5" s="1"/>
  <c r="E815" i="5"/>
  <c r="F815" i="5" s="1"/>
  <c r="E768" i="5"/>
  <c r="F768" i="5" s="1"/>
  <c r="E776" i="5"/>
  <c r="F776" i="5" s="1"/>
  <c r="E784" i="5"/>
  <c r="F784" i="5" s="1"/>
  <c r="E792" i="5"/>
  <c r="F792" i="5" s="1"/>
  <c r="E800" i="5"/>
  <c r="F800" i="5" s="1"/>
  <c r="E808" i="5"/>
  <c r="F808" i="5" s="1"/>
  <c r="E816" i="5"/>
  <c r="F816" i="5" s="1"/>
  <c r="E793" i="5"/>
  <c r="F793" i="5" s="1"/>
  <c r="E801" i="5"/>
  <c r="F801" i="5" s="1"/>
  <c r="E809" i="5"/>
  <c r="F809" i="5" s="1"/>
  <c r="E817" i="5"/>
  <c r="F817" i="5" s="1"/>
  <c r="E769" i="5"/>
  <c r="F769" i="5" s="1"/>
  <c r="E777" i="5"/>
  <c r="F777" i="5" s="1"/>
  <c r="E785" i="5"/>
  <c r="F785" i="5" s="1"/>
  <c r="E2299" i="5"/>
  <c r="F2299" i="5" s="1"/>
  <c r="E2307" i="5"/>
  <c r="F2307" i="5" s="1"/>
  <c r="E2315" i="5"/>
  <c r="F2315" i="5" s="1"/>
  <c r="E2323" i="5"/>
  <c r="F2323" i="5" s="1"/>
  <c r="E2331" i="5"/>
  <c r="F2331" i="5" s="1"/>
  <c r="E2339" i="5"/>
  <c r="F2339" i="5" s="1"/>
  <c r="E2347" i="5"/>
  <c r="F2347" i="5" s="1"/>
  <c r="E2355" i="5"/>
  <c r="F2355" i="5" s="1"/>
  <c r="E2300" i="5"/>
  <c r="F2300" i="5" s="1"/>
  <c r="E2308" i="5"/>
  <c r="F2308" i="5" s="1"/>
  <c r="E2316" i="5"/>
  <c r="F2316" i="5" s="1"/>
  <c r="E2324" i="5"/>
  <c r="F2324" i="5" s="1"/>
  <c r="E2332" i="5"/>
  <c r="F2332" i="5" s="1"/>
  <c r="E2340" i="5"/>
  <c r="F2340" i="5" s="1"/>
  <c r="E2348" i="5"/>
  <c r="F2348" i="5" s="1"/>
  <c r="E2356" i="5"/>
  <c r="F2356" i="5" s="1"/>
  <c r="E2302" i="5"/>
  <c r="F2302" i="5" s="1"/>
  <c r="E2310" i="5"/>
  <c r="F2310" i="5" s="1"/>
  <c r="E2318" i="5"/>
  <c r="F2318" i="5" s="1"/>
  <c r="E2326" i="5"/>
  <c r="F2326" i="5" s="1"/>
  <c r="E2334" i="5"/>
  <c r="F2334" i="5" s="1"/>
  <c r="E2342" i="5"/>
  <c r="F2342" i="5" s="1"/>
  <c r="E2350" i="5"/>
  <c r="F2350" i="5" s="1"/>
  <c r="E2358" i="5"/>
  <c r="F2358" i="5" s="1"/>
  <c r="E2304" i="5"/>
  <c r="F2304" i="5" s="1"/>
  <c r="E2312" i="5"/>
  <c r="F2312" i="5" s="1"/>
  <c r="E2320" i="5"/>
  <c r="F2320" i="5" s="1"/>
  <c r="E2328" i="5"/>
  <c r="F2328" i="5" s="1"/>
  <c r="E2336" i="5"/>
  <c r="F2336" i="5" s="1"/>
  <c r="E2344" i="5"/>
  <c r="F2344" i="5" s="1"/>
  <c r="E2352" i="5"/>
  <c r="F2352" i="5" s="1"/>
  <c r="E2360" i="5"/>
  <c r="F2360" i="5" s="1"/>
  <c r="E2297" i="5"/>
  <c r="F2297" i="5" s="1"/>
  <c r="E2305" i="5"/>
  <c r="F2305" i="5" s="1"/>
  <c r="E2313" i="5"/>
  <c r="F2313" i="5" s="1"/>
  <c r="E2321" i="5"/>
  <c r="F2321" i="5" s="1"/>
  <c r="E2329" i="5"/>
  <c r="F2329" i="5" s="1"/>
  <c r="E2337" i="5"/>
  <c r="F2337" i="5" s="1"/>
  <c r="E2345" i="5"/>
  <c r="F2345" i="5" s="1"/>
  <c r="E2353" i="5"/>
  <c r="F2353" i="5" s="1"/>
  <c r="E2361" i="5"/>
  <c r="F2361" i="5" s="1"/>
  <c r="E2306" i="5"/>
  <c r="F2306" i="5" s="1"/>
  <c r="E2327" i="5"/>
  <c r="F2327" i="5" s="1"/>
  <c r="E2349" i="5"/>
  <c r="F2349" i="5" s="1"/>
  <c r="E2309" i="5"/>
  <c r="F2309" i="5" s="1"/>
  <c r="E2330" i="5"/>
  <c r="F2330" i="5" s="1"/>
  <c r="E2351" i="5"/>
  <c r="F2351" i="5" s="1"/>
  <c r="E2311" i="5"/>
  <c r="F2311" i="5" s="1"/>
  <c r="E2333" i="5"/>
  <c r="F2333" i="5" s="1"/>
  <c r="E2354" i="5"/>
  <c r="F2354" i="5" s="1"/>
  <c r="E2314" i="5"/>
  <c r="F2314" i="5" s="1"/>
  <c r="E2335" i="5"/>
  <c r="F2335" i="5" s="1"/>
  <c r="E2357" i="5"/>
  <c r="F2357" i="5" s="1"/>
  <c r="E2317" i="5"/>
  <c r="F2317" i="5" s="1"/>
  <c r="E2338" i="5"/>
  <c r="F2338" i="5" s="1"/>
  <c r="E2359" i="5"/>
  <c r="F2359" i="5" s="1"/>
  <c r="E2298" i="5"/>
  <c r="F2298" i="5" s="1"/>
  <c r="E2319" i="5"/>
  <c r="F2319" i="5" s="1"/>
  <c r="E2341" i="5"/>
  <c r="F2341" i="5" s="1"/>
  <c r="E2303" i="5"/>
  <c r="F2303" i="5" s="1"/>
  <c r="E2322" i="5"/>
  <c r="F2322" i="5" s="1"/>
  <c r="E2325" i="5"/>
  <c r="F2325" i="5" s="1"/>
  <c r="E2343" i="5"/>
  <c r="F2343" i="5" s="1"/>
  <c r="E2346" i="5"/>
  <c r="F2346" i="5" s="1"/>
  <c r="E2301" i="5"/>
  <c r="F2301" i="5" s="1"/>
  <c r="E70" i="6"/>
  <c r="E1106" i="5"/>
  <c r="F1106" i="5" s="1"/>
  <c r="E1114" i="5"/>
  <c r="F1114" i="5" s="1"/>
  <c r="E1122" i="5"/>
  <c r="F1122" i="5" s="1"/>
  <c r="E1130" i="5"/>
  <c r="F1130" i="5" s="1"/>
  <c r="E1138" i="5"/>
  <c r="F1138" i="5" s="1"/>
  <c r="E1107" i="5"/>
  <c r="F1107" i="5" s="1"/>
  <c r="E1115" i="5"/>
  <c r="F1115" i="5" s="1"/>
  <c r="E1123" i="5"/>
  <c r="F1123" i="5" s="1"/>
  <c r="E1131" i="5"/>
  <c r="F1131" i="5" s="1"/>
  <c r="E1108" i="5"/>
  <c r="F1108" i="5" s="1"/>
  <c r="E1116" i="5"/>
  <c r="F1116" i="5" s="1"/>
  <c r="E1124" i="5"/>
  <c r="F1124" i="5" s="1"/>
  <c r="E1132" i="5"/>
  <c r="F1132" i="5" s="1"/>
  <c r="E1109" i="5"/>
  <c r="F1109" i="5" s="1"/>
  <c r="E1117" i="5"/>
  <c r="F1117" i="5" s="1"/>
  <c r="E1125" i="5"/>
  <c r="F1125" i="5" s="1"/>
  <c r="E1133" i="5"/>
  <c r="F1133" i="5" s="1"/>
  <c r="E1110" i="5"/>
  <c r="F1110" i="5" s="1"/>
  <c r="E1118" i="5"/>
  <c r="F1118" i="5" s="1"/>
  <c r="E1126" i="5"/>
  <c r="F1126" i="5" s="1"/>
  <c r="E1134" i="5"/>
  <c r="F1134" i="5" s="1"/>
  <c r="E1111" i="5"/>
  <c r="F1111" i="5" s="1"/>
  <c r="E1119" i="5"/>
  <c r="F1119" i="5" s="1"/>
  <c r="E1127" i="5"/>
  <c r="F1127" i="5" s="1"/>
  <c r="E1135" i="5"/>
  <c r="F1135" i="5" s="1"/>
  <c r="E1112" i="5"/>
  <c r="F1112" i="5" s="1"/>
  <c r="E1120" i="5"/>
  <c r="F1120" i="5" s="1"/>
  <c r="E1128" i="5"/>
  <c r="F1128" i="5" s="1"/>
  <c r="E1136" i="5"/>
  <c r="F1136" i="5" s="1"/>
  <c r="E1113" i="5"/>
  <c r="F1113" i="5" s="1"/>
  <c r="E1121" i="5"/>
  <c r="F1121" i="5" s="1"/>
  <c r="E1129" i="5"/>
  <c r="F1129" i="5" s="1"/>
  <c r="E1137" i="5"/>
  <c r="F1137" i="5" s="1"/>
  <c r="E1105" i="5"/>
  <c r="F1105" i="5" s="1"/>
  <c r="E2686" i="5"/>
  <c r="F2686" i="5" s="1"/>
  <c r="E2685" i="5"/>
  <c r="F2685" i="5" s="1"/>
  <c r="E55" i="6"/>
  <c r="E1291" i="5"/>
  <c r="F1291" i="5" s="1"/>
  <c r="E1299" i="5"/>
  <c r="F1299" i="5" s="1"/>
  <c r="E1307" i="5"/>
  <c r="F1307" i="5" s="1"/>
  <c r="E1315" i="5"/>
  <c r="F1315" i="5" s="1"/>
  <c r="E1323" i="5"/>
  <c r="F1323" i="5" s="1"/>
  <c r="E1331" i="5"/>
  <c r="F1331" i="5" s="1"/>
  <c r="E1292" i="5"/>
  <c r="F1292" i="5" s="1"/>
  <c r="E1300" i="5"/>
  <c r="F1300" i="5" s="1"/>
  <c r="E1308" i="5"/>
  <c r="F1308" i="5" s="1"/>
  <c r="E1316" i="5"/>
  <c r="F1316" i="5" s="1"/>
  <c r="E1324" i="5"/>
  <c r="F1324" i="5" s="1"/>
  <c r="E1293" i="5"/>
  <c r="F1293" i="5" s="1"/>
  <c r="E1301" i="5"/>
  <c r="F1301" i="5" s="1"/>
  <c r="E1309" i="5"/>
  <c r="F1309" i="5" s="1"/>
  <c r="E1317" i="5"/>
  <c r="F1317" i="5" s="1"/>
  <c r="E1325" i="5"/>
  <c r="F1325" i="5" s="1"/>
  <c r="E1294" i="5"/>
  <c r="F1294" i="5" s="1"/>
  <c r="E1302" i="5"/>
  <c r="F1302" i="5" s="1"/>
  <c r="E1310" i="5"/>
  <c r="F1310" i="5" s="1"/>
  <c r="E1318" i="5"/>
  <c r="F1318" i="5" s="1"/>
  <c r="E1326" i="5"/>
  <c r="F1326" i="5" s="1"/>
  <c r="E1334" i="5"/>
  <c r="F1334" i="5" s="1"/>
  <c r="E1295" i="5"/>
  <c r="F1295" i="5" s="1"/>
  <c r="E1303" i="5"/>
  <c r="F1303" i="5" s="1"/>
  <c r="E1311" i="5"/>
  <c r="F1311" i="5" s="1"/>
  <c r="E1319" i="5"/>
  <c r="F1319" i="5" s="1"/>
  <c r="E1327" i="5"/>
  <c r="F1327" i="5" s="1"/>
  <c r="E1335" i="5"/>
  <c r="F1335" i="5" s="1"/>
  <c r="E1290" i="5"/>
  <c r="F1290" i="5" s="1"/>
  <c r="E1313" i="5"/>
  <c r="F1313" i="5" s="1"/>
  <c r="E1332" i="5"/>
  <c r="F1332" i="5" s="1"/>
  <c r="E1342" i="5"/>
  <c r="F1342" i="5" s="1"/>
  <c r="E1350" i="5"/>
  <c r="F1350" i="5" s="1"/>
  <c r="E1358" i="5"/>
  <c r="F1358" i="5" s="1"/>
  <c r="E1366" i="5"/>
  <c r="F1366" i="5" s="1"/>
  <c r="E1374" i="5"/>
  <c r="F1374" i="5" s="1"/>
  <c r="E1382" i="5"/>
  <c r="F1382" i="5" s="1"/>
  <c r="E1390" i="5"/>
  <c r="F1390" i="5" s="1"/>
  <c r="E1398" i="5"/>
  <c r="F1398" i="5" s="1"/>
  <c r="E1406" i="5"/>
  <c r="F1406" i="5" s="1"/>
  <c r="E1296" i="5"/>
  <c r="F1296" i="5" s="1"/>
  <c r="E1314" i="5"/>
  <c r="F1314" i="5" s="1"/>
  <c r="E1333" i="5"/>
  <c r="F1333" i="5" s="1"/>
  <c r="E1343" i="5"/>
  <c r="F1343" i="5" s="1"/>
  <c r="E1351" i="5"/>
  <c r="F1351" i="5" s="1"/>
  <c r="E1359" i="5"/>
  <c r="F1359" i="5" s="1"/>
  <c r="E1367" i="5"/>
  <c r="F1367" i="5" s="1"/>
  <c r="E1375" i="5"/>
  <c r="F1375" i="5" s="1"/>
  <c r="E1383" i="5"/>
  <c r="F1383" i="5" s="1"/>
  <c r="E1391" i="5"/>
  <c r="F1391" i="5" s="1"/>
  <c r="E1399" i="5"/>
  <c r="F1399" i="5" s="1"/>
  <c r="E1407" i="5"/>
  <c r="F1407" i="5" s="1"/>
  <c r="E1297" i="5"/>
  <c r="F1297" i="5" s="1"/>
  <c r="E1320" i="5"/>
  <c r="F1320" i="5" s="1"/>
  <c r="E1336" i="5"/>
  <c r="F1336" i="5" s="1"/>
  <c r="E1344" i="5"/>
  <c r="F1344" i="5" s="1"/>
  <c r="E1352" i="5"/>
  <c r="F1352" i="5" s="1"/>
  <c r="E1360" i="5"/>
  <c r="F1360" i="5" s="1"/>
  <c r="E1368" i="5"/>
  <c r="F1368" i="5" s="1"/>
  <c r="E1376" i="5"/>
  <c r="F1376" i="5" s="1"/>
  <c r="E1384" i="5"/>
  <c r="F1384" i="5" s="1"/>
  <c r="E1392" i="5"/>
  <c r="F1392" i="5" s="1"/>
  <c r="E1400" i="5"/>
  <c r="F1400" i="5" s="1"/>
  <c r="E1408" i="5"/>
  <c r="F1408" i="5" s="1"/>
  <c r="E1298" i="5"/>
  <c r="F1298" i="5" s="1"/>
  <c r="E1321" i="5"/>
  <c r="F1321" i="5" s="1"/>
  <c r="E1337" i="5"/>
  <c r="F1337" i="5" s="1"/>
  <c r="E1345" i="5"/>
  <c r="F1345" i="5" s="1"/>
  <c r="E1353" i="5"/>
  <c r="F1353" i="5" s="1"/>
  <c r="E1361" i="5"/>
  <c r="F1361" i="5" s="1"/>
  <c r="E1369" i="5"/>
  <c r="F1369" i="5" s="1"/>
  <c r="E1377" i="5"/>
  <c r="F1377" i="5" s="1"/>
  <c r="E1385" i="5"/>
  <c r="F1385" i="5" s="1"/>
  <c r="E1393" i="5"/>
  <c r="F1393" i="5" s="1"/>
  <c r="E1401" i="5"/>
  <c r="F1401" i="5" s="1"/>
  <c r="E1409" i="5"/>
  <c r="F1409" i="5" s="1"/>
  <c r="E1304" i="5"/>
  <c r="F1304" i="5" s="1"/>
  <c r="E1322" i="5"/>
  <c r="F1322" i="5" s="1"/>
  <c r="E1338" i="5"/>
  <c r="F1338" i="5" s="1"/>
  <c r="E1346" i="5"/>
  <c r="F1346" i="5" s="1"/>
  <c r="E1354" i="5"/>
  <c r="F1354" i="5" s="1"/>
  <c r="E1362" i="5"/>
  <c r="F1362" i="5" s="1"/>
  <c r="E1370" i="5"/>
  <c r="F1370" i="5" s="1"/>
  <c r="E1378" i="5"/>
  <c r="F1378" i="5" s="1"/>
  <c r="E1386" i="5"/>
  <c r="F1386" i="5" s="1"/>
  <c r="E1394" i="5"/>
  <c r="F1394" i="5" s="1"/>
  <c r="E1402" i="5"/>
  <c r="F1402" i="5" s="1"/>
  <c r="E1410" i="5"/>
  <c r="F1410" i="5" s="1"/>
  <c r="E1305" i="5"/>
  <c r="F1305" i="5" s="1"/>
  <c r="E1328" i="5"/>
  <c r="F1328" i="5" s="1"/>
  <c r="E1339" i="5"/>
  <c r="F1339" i="5" s="1"/>
  <c r="E1347" i="5"/>
  <c r="F1347" i="5" s="1"/>
  <c r="E1355" i="5"/>
  <c r="F1355" i="5" s="1"/>
  <c r="E1363" i="5"/>
  <c r="F1363" i="5" s="1"/>
  <c r="E1371" i="5"/>
  <c r="F1371" i="5" s="1"/>
  <c r="E1379" i="5"/>
  <c r="F1379" i="5" s="1"/>
  <c r="E1387" i="5"/>
  <c r="F1387" i="5" s="1"/>
  <c r="E1395" i="5"/>
  <c r="F1395" i="5" s="1"/>
  <c r="E1403" i="5"/>
  <c r="F1403" i="5" s="1"/>
  <c r="E1411" i="5"/>
  <c r="F1411" i="5" s="1"/>
  <c r="E1288" i="5"/>
  <c r="F1288" i="5" s="1"/>
  <c r="E1306" i="5"/>
  <c r="F1306" i="5" s="1"/>
  <c r="E1329" i="5"/>
  <c r="F1329" i="5" s="1"/>
  <c r="E1340" i="5"/>
  <c r="F1340" i="5" s="1"/>
  <c r="E1348" i="5"/>
  <c r="F1348" i="5" s="1"/>
  <c r="E1356" i="5"/>
  <c r="F1356" i="5" s="1"/>
  <c r="E1364" i="5"/>
  <c r="F1364" i="5" s="1"/>
  <c r="E1372" i="5"/>
  <c r="F1372" i="5" s="1"/>
  <c r="E1380" i="5"/>
  <c r="F1380" i="5" s="1"/>
  <c r="E1388" i="5"/>
  <c r="F1388" i="5" s="1"/>
  <c r="E1396" i="5"/>
  <c r="F1396" i="5" s="1"/>
  <c r="E1404" i="5"/>
  <c r="F1404" i="5" s="1"/>
  <c r="E1349" i="5"/>
  <c r="F1349" i="5" s="1"/>
  <c r="E1357" i="5"/>
  <c r="F1357" i="5" s="1"/>
  <c r="E1365" i="5"/>
  <c r="F1365" i="5" s="1"/>
  <c r="E1373" i="5"/>
  <c r="F1373" i="5" s="1"/>
  <c r="E1289" i="5"/>
  <c r="F1289" i="5" s="1"/>
  <c r="E1381" i="5"/>
  <c r="F1381" i="5" s="1"/>
  <c r="E1330" i="5"/>
  <c r="F1330" i="5" s="1"/>
  <c r="E1397" i="5"/>
  <c r="F1397" i="5" s="1"/>
  <c r="E1341" i="5"/>
  <c r="F1341" i="5" s="1"/>
  <c r="E1405" i="5"/>
  <c r="F1405" i="5" s="1"/>
  <c r="E1312" i="5"/>
  <c r="F1312" i="5" s="1"/>
  <c r="E1389" i="5"/>
  <c r="F1389" i="5" s="1"/>
  <c r="E2823" i="5"/>
  <c r="F2823" i="5" s="1"/>
  <c r="E2831" i="5"/>
  <c r="F2831" i="5" s="1"/>
  <c r="E2839" i="5"/>
  <c r="F2839" i="5" s="1"/>
  <c r="E2817" i="5"/>
  <c r="F2817" i="5" s="1"/>
  <c r="E2825" i="5"/>
  <c r="F2825" i="5" s="1"/>
  <c r="E2833" i="5"/>
  <c r="F2833" i="5" s="1"/>
  <c r="E2841" i="5"/>
  <c r="F2841" i="5" s="1"/>
  <c r="E2849" i="5"/>
  <c r="F2849" i="5" s="1"/>
  <c r="E2857" i="5"/>
  <c r="F2857" i="5" s="1"/>
  <c r="E2818" i="5"/>
  <c r="F2818" i="5" s="1"/>
  <c r="E2826" i="5"/>
  <c r="F2826" i="5" s="1"/>
  <c r="E2834" i="5"/>
  <c r="F2834" i="5" s="1"/>
  <c r="E2842" i="5"/>
  <c r="F2842" i="5" s="1"/>
  <c r="E2850" i="5"/>
  <c r="F2850" i="5" s="1"/>
  <c r="E2858" i="5"/>
  <c r="F2858" i="5" s="1"/>
  <c r="E2829" i="5"/>
  <c r="F2829" i="5" s="1"/>
  <c r="E2843" i="5"/>
  <c r="F2843" i="5" s="1"/>
  <c r="E2853" i="5"/>
  <c r="F2853" i="5" s="1"/>
  <c r="E2863" i="5"/>
  <c r="F2863" i="5" s="1"/>
  <c r="E2871" i="5"/>
  <c r="F2871" i="5" s="1"/>
  <c r="E2879" i="5"/>
  <c r="F2879" i="5" s="1"/>
  <c r="E2887" i="5"/>
  <c r="F2887" i="5" s="1"/>
  <c r="E2895" i="5"/>
  <c r="F2895" i="5" s="1"/>
  <c r="E2903" i="5"/>
  <c r="F2903" i="5" s="1"/>
  <c r="E2911" i="5"/>
  <c r="F2911" i="5" s="1"/>
  <c r="E2919" i="5"/>
  <c r="F2919" i="5" s="1"/>
  <c r="E2927" i="5"/>
  <c r="F2927" i="5" s="1"/>
  <c r="E2935" i="5"/>
  <c r="F2935" i="5" s="1"/>
  <c r="E2943" i="5"/>
  <c r="F2943" i="5" s="1"/>
  <c r="E2819" i="5"/>
  <c r="F2819" i="5" s="1"/>
  <c r="E2830" i="5"/>
  <c r="F2830" i="5" s="1"/>
  <c r="E2844" i="5"/>
  <c r="F2844" i="5" s="1"/>
  <c r="E2854" i="5"/>
  <c r="F2854" i="5" s="1"/>
  <c r="E2864" i="5"/>
  <c r="F2864" i="5" s="1"/>
  <c r="E2872" i="5"/>
  <c r="F2872" i="5" s="1"/>
  <c r="E2880" i="5"/>
  <c r="F2880" i="5" s="1"/>
  <c r="E2888" i="5"/>
  <c r="F2888" i="5" s="1"/>
  <c r="E2896" i="5"/>
  <c r="F2896" i="5" s="1"/>
  <c r="E2904" i="5"/>
  <c r="F2904" i="5" s="1"/>
  <c r="E2912" i="5"/>
  <c r="F2912" i="5" s="1"/>
  <c r="E2920" i="5"/>
  <c r="F2920" i="5" s="1"/>
  <c r="E2928" i="5"/>
  <c r="F2928" i="5" s="1"/>
  <c r="E2936" i="5"/>
  <c r="F2936" i="5" s="1"/>
  <c r="E2944" i="5"/>
  <c r="F2944" i="5" s="1"/>
  <c r="E2820" i="5"/>
  <c r="F2820" i="5" s="1"/>
  <c r="E2832" i="5"/>
  <c r="F2832" i="5" s="1"/>
  <c r="E2845" i="5"/>
  <c r="F2845" i="5" s="1"/>
  <c r="E2855" i="5"/>
  <c r="F2855" i="5" s="1"/>
  <c r="E2865" i="5"/>
  <c r="F2865" i="5" s="1"/>
  <c r="E2873" i="5"/>
  <c r="F2873" i="5" s="1"/>
  <c r="E2881" i="5"/>
  <c r="F2881" i="5" s="1"/>
  <c r="E2889" i="5"/>
  <c r="F2889" i="5" s="1"/>
  <c r="E2897" i="5"/>
  <c r="F2897" i="5" s="1"/>
  <c r="E2905" i="5"/>
  <c r="F2905" i="5" s="1"/>
  <c r="E2913" i="5"/>
  <c r="F2913" i="5" s="1"/>
  <c r="E2921" i="5"/>
  <c r="F2921" i="5" s="1"/>
  <c r="E2929" i="5"/>
  <c r="F2929" i="5" s="1"/>
  <c r="E2937" i="5"/>
  <c r="F2937" i="5" s="1"/>
  <c r="E2945" i="5"/>
  <c r="F2945" i="5" s="1"/>
  <c r="E2821" i="5"/>
  <c r="F2821" i="5" s="1"/>
  <c r="E2835" i="5"/>
  <c r="F2835" i="5" s="1"/>
  <c r="E2846" i="5"/>
  <c r="F2846" i="5" s="1"/>
  <c r="E2856" i="5"/>
  <c r="F2856" i="5" s="1"/>
  <c r="E2866" i="5"/>
  <c r="F2866" i="5" s="1"/>
  <c r="E2874" i="5"/>
  <c r="F2874" i="5" s="1"/>
  <c r="E2882" i="5"/>
  <c r="F2882" i="5" s="1"/>
  <c r="E2890" i="5"/>
  <c r="F2890" i="5" s="1"/>
  <c r="E2898" i="5"/>
  <c r="F2898" i="5" s="1"/>
  <c r="E2906" i="5"/>
  <c r="F2906" i="5" s="1"/>
  <c r="E2914" i="5"/>
  <c r="F2914" i="5" s="1"/>
  <c r="E2922" i="5"/>
  <c r="F2922" i="5" s="1"/>
  <c r="E2930" i="5"/>
  <c r="F2930" i="5" s="1"/>
  <c r="E2938" i="5"/>
  <c r="F2938" i="5" s="1"/>
  <c r="E2946" i="5"/>
  <c r="F2946" i="5" s="1"/>
  <c r="E2822" i="5"/>
  <c r="F2822" i="5" s="1"/>
  <c r="E2836" i="5"/>
  <c r="F2836" i="5" s="1"/>
  <c r="E2847" i="5"/>
  <c r="F2847" i="5" s="1"/>
  <c r="E2859" i="5"/>
  <c r="F2859" i="5" s="1"/>
  <c r="E2867" i="5"/>
  <c r="F2867" i="5" s="1"/>
  <c r="E2875" i="5"/>
  <c r="F2875" i="5" s="1"/>
  <c r="E2883" i="5"/>
  <c r="F2883" i="5" s="1"/>
  <c r="E2891" i="5"/>
  <c r="F2891" i="5" s="1"/>
  <c r="E2899" i="5"/>
  <c r="F2899" i="5" s="1"/>
  <c r="E2907" i="5"/>
  <c r="F2907" i="5" s="1"/>
  <c r="E2915" i="5"/>
  <c r="F2915" i="5" s="1"/>
  <c r="E2923" i="5"/>
  <c r="F2923" i="5" s="1"/>
  <c r="E2931" i="5"/>
  <c r="F2931" i="5" s="1"/>
  <c r="E2939" i="5"/>
  <c r="F2939" i="5" s="1"/>
  <c r="E2824" i="5"/>
  <c r="F2824" i="5" s="1"/>
  <c r="E2837" i="5"/>
  <c r="F2837" i="5" s="1"/>
  <c r="E2848" i="5"/>
  <c r="F2848" i="5" s="1"/>
  <c r="E2860" i="5"/>
  <c r="F2860" i="5" s="1"/>
  <c r="E2868" i="5"/>
  <c r="F2868" i="5" s="1"/>
  <c r="E2876" i="5"/>
  <c r="F2876" i="5" s="1"/>
  <c r="E2884" i="5"/>
  <c r="F2884" i="5" s="1"/>
  <c r="E2892" i="5"/>
  <c r="F2892" i="5" s="1"/>
  <c r="E2900" i="5"/>
  <c r="F2900" i="5" s="1"/>
  <c r="E2908" i="5"/>
  <c r="F2908" i="5" s="1"/>
  <c r="E2916" i="5"/>
  <c r="F2916" i="5" s="1"/>
  <c r="E2924" i="5"/>
  <c r="F2924" i="5" s="1"/>
  <c r="E2932" i="5"/>
  <c r="F2932" i="5" s="1"/>
  <c r="E2940" i="5"/>
  <c r="F2940" i="5" s="1"/>
  <c r="E2827" i="5"/>
  <c r="F2827" i="5" s="1"/>
  <c r="E2838" i="5"/>
  <c r="F2838" i="5" s="1"/>
  <c r="E2851" i="5"/>
  <c r="F2851" i="5" s="1"/>
  <c r="E2861" i="5"/>
  <c r="F2861" i="5" s="1"/>
  <c r="E2869" i="5"/>
  <c r="F2869" i="5" s="1"/>
  <c r="E2877" i="5"/>
  <c r="F2877" i="5" s="1"/>
  <c r="E2885" i="5"/>
  <c r="F2885" i="5" s="1"/>
  <c r="E2893" i="5"/>
  <c r="F2893" i="5" s="1"/>
  <c r="E2901" i="5"/>
  <c r="F2901" i="5" s="1"/>
  <c r="E2909" i="5"/>
  <c r="F2909" i="5" s="1"/>
  <c r="E2917" i="5"/>
  <c r="F2917" i="5" s="1"/>
  <c r="E2925" i="5"/>
  <c r="F2925" i="5" s="1"/>
  <c r="E2933" i="5"/>
  <c r="F2933" i="5" s="1"/>
  <c r="E2941" i="5"/>
  <c r="F2941" i="5" s="1"/>
  <c r="E2828" i="5"/>
  <c r="F2828" i="5" s="1"/>
  <c r="E2840" i="5"/>
  <c r="F2840" i="5" s="1"/>
  <c r="E2852" i="5"/>
  <c r="F2852" i="5" s="1"/>
  <c r="E2862" i="5"/>
  <c r="F2862" i="5" s="1"/>
  <c r="E2870" i="5"/>
  <c r="F2870" i="5" s="1"/>
  <c r="E2878" i="5"/>
  <c r="F2878" i="5" s="1"/>
  <c r="E2886" i="5"/>
  <c r="F2886" i="5" s="1"/>
  <c r="E2894" i="5"/>
  <c r="F2894" i="5" s="1"/>
  <c r="E2902" i="5"/>
  <c r="F2902" i="5" s="1"/>
  <c r="E2910" i="5"/>
  <c r="F2910" i="5" s="1"/>
  <c r="E2918" i="5"/>
  <c r="F2918" i="5" s="1"/>
  <c r="E2926" i="5"/>
  <c r="F2926" i="5" s="1"/>
  <c r="E2934" i="5"/>
  <c r="F2934" i="5" s="1"/>
  <c r="E2942" i="5"/>
  <c r="F2942" i="5" s="1"/>
  <c r="E61" i="6"/>
  <c r="E818" i="5"/>
  <c r="F818" i="5" s="1"/>
  <c r="E826" i="5"/>
  <c r="F826" i="5" s="1"/>
  <c r="E834" i="5"/>
  <c r="F834" i="5" s="1"/>
  <c r="E842" i="5"/>
  <c r="F842" i="5" s="1"/>
  <c r="E819" i="5"/>
  <c r="F819" i="5" s="1"/>
  <c r="E827" i="5"/>
  <c r="F827" i="5" s="1"/>
  <c r="E835" i="5"/>
  <c r="F835" i="5" s="1"/>
  <c r="E843" i="5"/>
  <c r="F843" i="5" s="1"/>
  <c r="E820" i="5"/>
  <c r="F820" i="5" s="1"/>
  <c r="E828" i="5"/>
  <c r="F828" i="5" s="1"/>
  <c r="E836" i="5"/>
  <c r="F836" i="5" s="1"/>
  <c r="E844" i="5"/>
  <c r="F844" i="5" s="1"/>
  <c r="E821" i="5"/>
  <c r="F821" i="5" s="1"/>
  <c r="E829" i="5"/>
  <c r="F829" i="5" s="1"/>
  <c r="E837" i="5"/>
  <c r="F837" i="5" s="1"/>
  <c r="E822" i="5"/>
  <c r="F822" i="5" s="1"/>
  <c r="E830" i="5"/>
  <c r="F830" i="5" s="1"/>
  <c r="E838" i="5"/>
  <c r="F838" i="5" s="1"/>
  <c r="E823" i="5"/>
  <c r="F823" i="5" s="1"/>
  <c r="E831" i="5"/>
  <c r="F831" i="5" s="1"/>
  <c r="E839" i="5"/>
  <c r="F839" i="5" s="1"/>
  <c r="E824" i="5"/>
  <c r="F824" i="5" s="1"/>
  <c r="E832" i="5"/>
  <c r="F832" i="5" s="1"/>
  <c r="E840" i="5"/>
  <c r="F840" i="5" s="1"/>
  <c r="E825" i="5"/>
  <c r="F825" i="5" s="1"/>
  <c r="E833" i="5"/>
  <c r="F833" i="5" s="1"/>
  <c r="E841" i="5"/>
  <c r="F841" i="5" s="1"/>
  <c r="E2363" i="5"/>
  <c r="F2363" i="5" s="1"/>
  <c r="E2371" i="5"/>
  <c r="F2371" i="5" s="1"/>
  <c r="E2379" i="5"/>
  <c r="F2379" i="5" s="1"/>
  <c r="E2387" i="5"/>
  <c r="F2387" i="5" s="1"/>
  <c r="E2364" i="5"/>
  <c r="F2364" i="5" s="1"/>
  <c r="E2372" i="5"/>
  <c r="F2372" i="5" s="1"/>
  <c r="E2380" i="5"/>
  <c r="F2380" i="5" s="1"/>
  <c r="E2388" i="5"/>
  <c r="F2388" i="5" s="1"/>
  <c r="E2366" i="5"/>
  <c r="F2366" i="5" s="1"/>
  <c r="E2374" i="5"/>
  <c r="F2374" i="5" s="1"/>
  <c r="E2382" i="5"/>
  <c r="F2382" i="5" s="1"/>
  <c r="E2390" i="5"/>
  <c r="F2390" i="5" s="1"/>
  <c r="E2368" i="5"/>
  <c r="F2368" i="5" s="1"/>
  <c r="E2376" i="5"/>
  <c r="F2376" i="5" s="1"/>
  <c r="E2384" i="5"/>
  <c r="F2384" i="5" s="1"/>
  <c r="E2369" i="5"/>
  <c r="F2369" i="5" s="1"/>
  <c r="E2377" i="5"/>
  <c r="F2377" i="5" s="1"/>
  <c r="E2385" i="5"/>
  <c r="F2385" i="5" s="1"/>
  <c r="E2370" i="5"/>
  <c r="F2370" i="5" s="1"/>
  <c r="E2373" i="5"/>
  <c r="F2373" i="5" s="1"/>
  <c r="E2375" i="5"/>
  <c r="F2375" i="5" s="1"/>
  <c r="E2378" i="5"/>
  <c r="F2378" i="5" s="1"/>
  <c r="E2381" i="5"/>
  <c r="F2381" i="5" s="1"/>
  <c r="E2362" i="5"/>
  <c r="F2362" i="5" s="1"/>
  <c r="E2383" i="5"/>
  <c r="F2383" i="5" s="1"/>
  <c r="E2389" i="5"/>
  <c r="F2389" i="5" s="1"/>
  <c r="E2365" i="5"/>
  <c r="F2365" i="5" s="1"/>
  <c r="E2367" i="5"/>
  <c r="F2367" i="5" s="1"/>
  <c r="E2386" i="5"/>
  <c r="F2386" i="5" s="1"/>
  <c r="E41" i="6"/>
  <c r="E608" i="5"/>
  <c r="F608" i="5" s="1"/>
  <c r="E616" i="5"/>
  <c r="F616" i="5" s="1"/>
  <c r="E609" i="5"/>
  <c r="F609" i="5" s="1"/>
  <c r="E617" i="5"/>
  <c r="F617" i="5" s="1"/>
  <c r="E625" i="5"/>
  <c r="F625" i="5" s="1"/>
  <c r="E610" i="5"/>
  <c r="F610" i="5" s="1"/>
  <c r="E618" i="5"/>
  <c r="F618" i="5" s="1"/>
  <c r="E626" i="5"/>
  <c r="F626" i="5" s="1"/>
  <c r="E611" i="5"/>
  <c r="F611" i="5" s="1"/>
  <c r="E619" i="5"/>
  <c r="F619" i="5" s="1"/>
  <c r="E627" i="5"/>
  <c r="F627" i="5" s="1"/>
  <c r="E612" i="5"/>
  <c r="F612" i="5" s="1"/>
  <c r="E620" i="5"/>
  <c r="F620" i="5" s="1"/>
  <c r="E628" i="5"/>
  <c r="F628" i="5" s="1"/>
  <c r="E613" i="5"/>
  <c r="F613" i="5" s="1"/>
  <c r="E621" i="5"/>
  <c r="F621" i="5" s="1"/>
  <c r="E629" i="5"/>
  <c r="F629" i="5" s="1"/>
  <c r="E614" i="5"/>
  <c r="F614" i="5" s="1"/>
  <c r="E622" i="5"/>
  <c r="F622" i="5" s="1"/>
  <c r="E615" i="5"/>
  <c r="F615" i="5" s="1"/>
  <c r="E623" i="5"/>
  <c r="F623" i="5" s="1"/>
  <c r="E631" i="5"/>
  <c r="F631" i="5" s="1"/>
  <c r="E630" i="5"/>
  <c r="F630" i="5" s="1"/>
  <c r="E624" i="5"/>
  <c r="F624" i="5" s="1"/>
  <c r="I4" i="1"/>
  <c r="I3" i="1"/>
  <c r="K8" i="1" s="1"/>
  <c r="D3" i="12" l="1"/>
  <c r="D2" i="12"/>
  <c r="E42" i="6"/>
  <c r="E978" i="5"/>
  <c r="F978" i="5" s="1"/>
  <c r="E986" i="5"/>
  <c r="F986" i="5" s="1"/>
  <c r="E994" i="5"/>
  <c r="F994" i="5" s="1"/>
  <c r="E1002" i="5"/>
  <c r="F1002" i="5" s="1"/>
  <c r="E1010" i="5"/>
  <c r="F1010" i="5" s="1"/>
  <c r="E979" i="5"/>
  <c r="F979" i="5" s="1"/>
  <c r="E987" i="5"/>
  <c r="F987" i="5" s="1"/>
  <c r="E995" i="5"/>
  <c r="F995" i="5" s="1"/>
  <c r="E1003" i="5"/>
  <c r="F1003" i="5" s="1"/>
  <c r="E1011" i="5"/>
  <c r="F1011" i="5" s="1"/>
  <c r="E980" i="5"/>
  <c r="F980" i="5" s="1"/>
  <c r="E988" i="5"/>
  <c r="F988" i="5" s="1"/>
  <c r="E996" i="5"/>
  <c r="F996" i="5" s="1"/>
  <c r="E1004" i="5"/>
  <c r="F1004" i="5" s="1"/>
  <c r="E1012" i="5"/>
  <c r="F1012" i="5" s="1"/>
  <c r="E981" i="5"/>
  <c r="F981" i="5" s="1"/>
  <c r="E989" i="5"/>
  <c r="F989" i="5" s="1"/>
  <c r="E997" i="5"/>
  <c r="F997" i="5" s="1"/>
  <c r="E1005" i="5"/>
  <c r="F1005" i="5" s="1"/>
  <c r="E1013" i="5"/>
  <c r="F1013" i="5" s="1"/>
  <c r="E982" i="5"/>
  <c r="F982" i="5" s="1"/>
  <c r="E990" i="5"/>
  <c r="F990" i="5" s="1"/>
  <c r="E998" i="5"/>
  <c r="F998" i="5" s="1"/>
  <c r="E1006" i="5"/>
  <c r="F1006" i="5" s="1"/>
  <c r="E1014" i="5"/>
  <c r="F1014" i="5" s="1"/>
  <c r="E975" i="5"/>
  <c r="F975" i="5" s="1"/>
  <c r="E983" i="5"/>
  <c r="F983" i="5" s="1"/>
  <c r="E991" i="5"/>
  <c r="F991" i="5" s="1"/>
  <c r="E999" i="5"/>
  <c r="F999" i="5" s="1"/>
  <c r="E1007" i="5"/>
  <c r="F1007" i="5" s="1"/>
  <c r="E976" i="5"/>
  <c r="F976" i="5" s="1"/>
  <c r="E984" i="5"/>
  <c r="F984" i="5" s="1"/>
  <c r="E992" i="5"/>
  <c r="F992" i="5" s="1"/>
  <c r="E1000" i="5"/>
  <c r="F1000" i="5" s="1"/>
  <c r="E1008" i="5"/>
  <c r="F1008" i="5" s="1"/>
  <c r="E985" i="5"/>
  <c r="F985" i="5" s="1"/>
  <c r="E993" i="5"/>
  <c r="F993" i="5" s="1"/>
  <c r="E1001" i="5"/>
  <c r="F1001" i="5" s="1"/>
  <c r="E1009" i="5"/>
  <c r="F1009" i="5" s="1"/>
  <c r="E977" i="5"/>
  <c r="F977" i="5" s="1"/>
  <c r="E2502" i="5"/>
  <c r="F2502" i="5" s="1"/>
  <c r="E2510" i="5"/>
  <c r="F2510" i="5" s="1"/>
  <c r="E2518" i="5"/>
  <c r="F2518" i="5" s="1"/>
  <c r="E2526" i="5"/>
  <c r="F2526" i="5" s="1"/>
  <c r="E2534" i="5"/>
  <c r="F2534" i="5" s="1"/>
  <c r="E2542" i="5"/>
  <c r="F2542" i="5" s="1"/>
  <c r="E2550" i="5"/>
  <c r="F2550" i="5" s="1"/>
  <c r="E2503" i="5"/>
  <c r="F2503" i="5" s="1"/>
  <c r="E2511" i="5"/>
  <c r="F2511" i="5" s="1"/>
  <c r="E2519" i="5"/>
  <c r="F2519" i="5" s="1"/>
  <c r="E2527" i="5"/>
  <c r="F2527" i="5" s="1"/>
  <c r="E2535" i="5"/>
  <c r="F2535" i="5" s="1"/>
  <c r="E2543" i="5"/>
  <c r="F2543" i="5" s="1"/>
  <c r="E2551" i="5"/>
  <c r="F2551" i="5" s="1"/>
  <c r="E2504" i="5"/>
  <c r="F2504" i="5" s="1"/>
  <c r="E2512" i="5"/>
  <c r="F2512" i="5" s="1"/>
  <c r="E2520" i="5"/>
  <c r="F2520" i="5" s="1"/>
  <c r="E2528" i="5"/>
  <c r="F2528" i="5" s="1"/>
  <c r="E2536" i="5"/>
  <c r="F2536" i="5" s="1"/>
  <c r="E2544" i="5"/>
  <c r="F2544" i="5" s="1"/>
  <c r="E2552" i="5"/>
  <c r="F2552" i="5" s="1"/>
  <c r="E2497" i="5"/>
  <c r="F2497" i="5" s="1"/>
  <c r="E2505" i="5"/>
  <c r="F2505" i="5" s="1"/>
  <c r="E2513" i="5"/>
  <c r="F2513" i="5" s="1"/>
  <c r="E2521" i="5"/>
  <c r="F2521" i="5" s="1"/>
  <c r="E2529" i="5"/>
  <c r="F2529" i="5" s="1"/>
  <c r="E2537" i="5"/>
  <c r="F2537" i="5" s="1"/>
  <c r="E2545" i="5"/>
  <c r="F2545" i="5" s="1"/>
  <c r="E2553" i="5"/>
  <c r="F2553" i="5" s="1"/>
  <c r="E2498" i="5"/>
  <c r="F2498" i="5" s="1"/>
  <c r="E2506" i="5"/>
  <c r="F2506" i="5" s="1"/>
  <c r="E2514" i="5"/>
  <c r="F2514" i="5" s="1"/>
  <c r="E2522" i="5"/>
  <c r="F2522" i="5" s="1"/>
  <c r="E2530" i="5"/>
  <c r="F2530" i="5" s="1"/>
  <c r="E2538" i="5"/>
  <c r="F2538" i="5" s="1"/>
  <c r="E2546" i="5"/>
  <c r="F2546" i="5" s="1"/>
  <c r="E2554" i="5"/>
  <c r="F2554" i="5" s="1"/>
  <c r="E2499" i="5"/>
  <c r="F2499" i="5" s="1"/>
  <c r="E2507" i="5"/>
  <c r="F2507" i="5" s="1"/>
  <c r="E2515" i="5"/>
  <c r="F2515" i="5" s="1"/>
  <c r="E2523" i="5"/>
  <c r="F2523" i="5" s="1"/>
  <c r="E2531" i="5"/>
  <c r="F2531" i="5" s="1"/>
  <c r="E2539" i="5"/>
  <c r="F2539" i="5" s="1"/>
  <c r="E2547" i="5"/>
  <c r="F2547" i="5" s="1"/>
  <c r="E2555" i="5"/>
  <c r="F2555" i="5" s="1"/>
  <c r="E2501" i="5"/>
  <c r="F2501" i="5" s="1"/>
  <c r="E2533" i="5"/>
  <c r="F2533" i="5" s="1"/>
  <c r="E2508" i="5"/>
  <c r="F2508" i="5" s="1"/>
  <c r="E2540" i="5"/>
  <c r="F2540" i="5" s="1"/>
  <c r="E2509" i="5"/>
  <c r="F2509" i="5" s="1"/>
  <c r="E2541" i="5"/>
  <c r="F2541" i="5" s="1"/>
  <c r="E2516" i="5"/>
  <c r="F2516" i="5" s="1"/>
  <c r="E2548" i="5"/>
  <c r="F2548" i="5" s="1"/>
  <c r="E2517" i="5"/>
  <c r="F2517" i="5" s="1"/>
  <c r="E2549" i="5"/>
  <c r="F2549" i="5" s="1"/>
  <c r="E2524" i="5"/>
  <c r="F2524" i="5" s="1"/>
  <c r="E2556" i="5"/>
  <c r="F2556" i="5" s="1"/>
  <c r="E2525" i="5"/>
  <c r="F2525" i="5" s="1"/>
  <c r="E2500" i="5"/>
  <c r="F2500" i="5" s="1"/>
  <c r="E2532" i="5"/>
  <c r="F2532" i="5" s="1"/>
  <c r="E62" i="6"/>
  <c r="E906" i="5"/>
  <c r="F906" i="5" s="1"/>
  <c r="E907" i="5"/>
  <c r="F907" i="5" s="1"/>
  <c r="E908" i="5"/>
  <c r="F908" i="5" s="1"/>
  <c r="E909" i="5"/>
  <c r="F909" i="5" s="1"/>
  <c r="E902" i="5"/>
  <c r="F902" i="5" s="1"/>
  <c r="E903" i="5"/>
  <c r="F903" i="5" s="1"/>
  <c r="E904" i="5"/>
  <c r="F904" i="5" s="1"/>
  <c r="E905" i="5"/>
  <c r="F905" i="5" s="1"/>
  <c r="E2428" i="5"/>
  <c r="F2428" i="5" s="1"/>
  <c r="E2430" i="5"/>
  <c r="F2430" i="5" s="1"/>
  <c r="E2431" i="5"/>
  <c r="F2431" i="5" s="1"/>
  <c r="E2432" i="5"/>
  <c r="F2432" i="5" s="1"/>
  <c r="E2433" i="5"/>
  <c r="F2433" i="5" s="1"/>
  <c r="E2434" i="5"/>
  <c r="F2434" i="5" s="1"/>
  <c r="E2435" i="5"/>
  <c r="F2435" i="5" s="1"/>
  <c r="E2427" i="5"/>
  <c r="F2427" i="5" s="1"/>
  <c r="E2429" i="5"/>
  <c r="F2429" i="5" s="1"/>
  <c r="E32" i="6"/>
  <c r="E850" i="5"/>
  <c r="F850" i="5" s="1"/>
  <c r="E858" i="5"/>
  <c r="F858" i="5" s="1"/>
  <c r="E866" i="5"/>
  <c r="F866" i="5" s="1"/>
  <c r="E874" i="5"/>
  <c r="F874" i="5" s="1"/>
  <c r="E882" i="5"/>
  <c r="F882" i="5" s="1"/>
  <c r="E890" i="5"/>
  <c r="F890" i="5" s="1"/>
  <c r="E898" i="5"/>
  <c r="F898" i="5" s="1"/>
  <c r="E851" i="5"/>
  <c r="F851" i="5" s="1"/>
  <c r="E859" i="5"/>
  <c r="F859" i="5" s="1"/>
  <c r="E867" i="5"/>
  <c r="F867" i="5" s="1"/>
  <c r="E875" i="5"/>
  <c r="F875" i="5" s="1"/>
  <c r="E883" i="5"/>
  <c r="F883" i="5" s="1"/>
  <c r="E891" i="5"/>
  <c r="F891" i="5" s="1"/>
  <c r="E899" i="5"/>
  <c r="F899" i="5" s="1"/>
  <c r="E852" i="5"/>
  <c r="F852" i="5" s="1"/>
  <c r="E860" i="5"/>
  <c r="F860" i="5" s="1"/>
  <c r="E868" i="5"/>
  <c r="F868" i="5" s="1"/>
  <c r="E876" i="5"/>
  <c r="F876" i="5" s="1"/>
  <c r="E884" i="5"/>
  <c r="F884" i="5" s="1"/>
  <c r="E892" i="5"/>
  <c r="F892" i="5" s="1"/>
  <c r="E900" i="5"/>
  <c r="F900" i="5" s="1"/>
  <c r="E845" i="5"/>
  <c r="F845" i="5" s="1"/>
  <c r="E853" i="5"/>
  <c r="F853" i="5" s="1"/>
  <c r="E861" i="5"/>
  <c r="F861" i="5" s="1"/>
  <c r="E869" i="5"/>
  <c r="F869" i="5" s="1"/>
  <c r="E877" i="5"/>
  <c r="F877" i="5" s="1"/>
  <c r="E885" i="5"/>
  <c r="F885" i="5" s="1"/>
  <c r="E893" i="5"/>
  <c r="F893" i="5" s="1"/>
  <c r="E901" i="5"/>
  <c r="F901" i="5" s="1"/>
  <c r="E846" i="5"/>
  <c r="F846" i="5" s="1"/>
  <c r="E854" i="5"/>
  <c r="F854" i="5" s="1"/>
  <c r="E862" i="5"/>
  <c r="F862" i="5" s="1"/>
  <c r="E870" i="5"/>
  <c r="F870" i="5" s="1"/>
  <c r="E878" i="5"/>
  <c r="F878" i="5" s="1"/>
  <c r="E886" i="5"/>
  <c r="F886" i="5" s="1"/>
  <c r="E894" i="5"/>
  <c r="F894" i="5" s="1"/>
  <c r="E847" i="5"/>
  <c r="F847" i="5" s="1"/>
  <c r="E855" i="5"/>
  <c r="F855" i="5" s="1"/>
  <c r="E863" i="5"/>
  <c r="F863" i="5" s="1"/>
  <c r="E871" i="5"/>
  <c r="F871" i="5" s="1"/>
  <c r="E879" i="5"/>
  <c r="F879" i="5" s="1"/>
  <c r="E887" i="5"/>
  <c r="F887" i="5" s="1"/>
  <c r="E895" i="5"/>
  <c r="F895" i="5" s="1"/>
  <c r="E848" i="5"/>
  <c r="F848" i="5" s="1"/>
  <c r="E856" i="5"/>
  <c r="F856" i="5" s="1"/>
  <c r="E864" i="5"/>
  <c r="F864" i="5" s="1"/>
  <c r="E872" i="5"/>
  <c r="F872" i="5" s="1"/>
  <c r="E880" i="5"/>
  <c r="F880" i="5" s="1"/>
  <c r="E888" i="5"/>
  <c r="F888" i="5" s="1"/>
  <c r="E896" i="5"/>
  <c r="F896" i="5" s="1"/>
  <c r="E857" i="5"/>
  <c r="F857" i="5" s="1"/>
  <c r="E865" i="5"/>
  <c r="F865" i="5" s="1"/>
  <c r="E873" i="5"/>
  <c r="F873" i="5" s="1"/>
  <c r="E881" i="5"/>
  <c r="F881" i="5" s="1"/>
  <c r="E889" i="5"/>
  <c r="F889" i="5" s="1"/>
  <c r="E897" i="5"/>
  <c r="F897" i="5" s="1"/>
  <c r="E2395" i="5"/>
  <c r="F2395" i="5" s="1"/>
  <c r="E2403" i="5"/>
  <c r="F2403" i="5" s="1"/>
  <c r="E2411" i="5"/>
  <c r="F2411" i="5" s="1"/>
  <c r="E849" i="5"/>
  <c r="F849" i="5" s="1"/>
  <c r="E2396" i="5"/>
  <c r="F2396" i="5" s="1"/>
  <c r="E2404" i="5"/>
  <c r="F2404" i="5" s="1"/>
  <c r="E2412" i="5"/>
  <c r="F2412" i="5" s="1"/>
  <c r="E2420" i="5"/>
  <c r="F2420" i="5" s="1"/>
  <c r="E2398" i="5"/>
  <c r="F2398" i="5" s="1"/>
  <c r="E2406" i="5"/>
  <c r="F2406" i="5" s="1"/>
  <c r="E2414" i="5"/>
  <c r="F2414" i="5" s="1"/>
  <c r="E2393" i="5"/>
  <c r="F2393" i="5" s="1"/>
  <c r="E2401" i="5"/>
  <c r="F2401" i="5" s="1"/>
  <c r="E2409" i="5"/>
  <c r="F2409" i="5" s="1"/>
  <c r="E2417" i="5"/>
  <c r="F2417" i="5" s="1"/>
  <c r="E2391" i="5"/>
  <c r="F2391" i="5" s="1"/>
  <c r="E2407" i="5"/>
  <c r="F2407" i="5" s="1"/>
  <c r="E2421" i="5"/>
  <c r="F2421" i="5" s="1"/>
  <c r="E2392" i="5"/>
  <c r="F2392" i="5" s="1"/>
  <c r="E2408" i="5"/>
  <c r="F2408" i="5" s="1"/>
  <c r="E2422" i="5"/>
  <c r="F2422" i="5" s="1"/>
  <c r="E2394" i="5"/>
  <c r="F2394" i="5" s="1"/>
  <c r="E2410" i="5"/>
  <c r="F2410" i="5" s="1"/>
  <c r="E2423" i="5"/>
  <c r="F2423" i="5" s="1"/>
  <c r="E2397" i="5"/>
  <c r="F2397" i="5" s="1"/>
  <c r="E2413" i="5"/>
  <c r="F2413" i="5" s="1"/>
  <c r="E2424" i="5"/>
  <c r="F2424" i="5" s="1"/>
  <c r="E2399" i="5"/>
  <c r="F2399" i="5" s="1"/>
  <c r="E2415" i="5"/>
  <c r="F2415" i="5" s="1"/>
  <c r="E2425" i="5"/>
  <c r="F2425" i="5" s="1"/>
  <c r="E2400" i="5"/>
  <c r="F2400" i="5" s="1"/>
  <c r="E2416" i="5"/>
  <c r="F2416" i="5" s="1"/>
  <c r="E2426" i="5"/>
  <c r="F2426" i="5" s="1"/>
  <c r="E2402" i="5"/>
  <c r="F2402" i="5" s="1"/>
  <c r="E2405" i="5"/>
  <c r="F2405" i="5" s="1"/>
  <c r="E2418" i="5"/>
  <c r="F2418" i="5" s="1"/>
  <c r="E2419" i="5"/>
  <c r="F2419" i="5" s="1"/>
  <c r="E14" i="6"/>
  <c r="E2726" i="5"/>
  <c r="F2726" i="5" s="1"/>
  <c r="E2727" i="5"/>
  <c r="F2727" i="5" s="1"/>
  <c r="E2723" i="5"/>
  <c r="F2723" i="5" s="1"/>
  <c r="E2725" i="5"/>
  <c r="F2725" i="5" s="1"/>
  <c r="E2724" i="5"/>
  <c r="F2724" i="5" s="1"/>
  <c r="E1495" i="5"/>
  <c r="F1495" i="5" s="1"/>
  <c r="E1496" i="5"/>
  <c r="F1496" i="5" s="1"/>
  <c r="E1497" i="5"/>
  <c r="F1497" i="5" s="1"/>
  <c r="E1498" i="5"/>
  <c r="F1498" i="5" s="1"/>
  <c r="E3047" i="5"/>
  <c r="F3047" i="5" s="1"/>
  <c r="E3055" i="5"/>
  <c r="F3055" i="5" s="1"/>
  <c r="E3063" i="5"/>
  <c r="F3063" i="5" s="1"/>
  <c r="E3071" i="5"/>
  <c r="F3071" i="5" s="1"/>
  <c r="E3048" i="5"/>
  <c r="F3048" i="5" s="1"/>
  <c r="E3056" i="5"/>
  <c r="F3056" i="5" s="1"/>
  <c r="E3064" i="5"/>
  <c r="F3064" i="5" s="1"/>
  <c r="E3072" i="5"/>
  <c r="F3072" i="5" s="1"/>
  <c r="E3049" i="5"/>
  <c r="F3049" i="5" s="1"/>
  <c r="E3057" i="5"/>
  <c r="F3057" i="5" s="1"/>
  <c r="E3065" i="5"/>
  <c r="F3065" i="5" s="1"/>
  <c r="E3073" i="5"/>
  <c r="F3073" i="5" s="1"/>
  <c r="E3042" i="5"/>
  <c r="F3042" i="5" s="1"/>
  <c r="E3050" i="5"/>
  <c r="F3050" i="5" s="1"/>
  <c r="E3058" i="5"/>
  <c r="F3058" i="5" s="1"/>
  <c r="E3066" i="5"/>
  <c r="F3066" i="5" s="1"/>
  <c r="E3074" i="5"/>
  <c r="F3074" i="5" s="1"/>
  <c r="E3043" i="5"/>
  <c r="F3043" i="5" s="1"/>
  <c r="E3051" i="5"/>
  <c r="F3051" i="5" s="1"/>
  <c r="E3059" i="5"/>
  <c r="F3059" i="5" s="1"/>
  <c r="E3067" i="5"/>
  <c r="F3067" i="5" s="1"/>
  <c r="E3075" i="5"/>
  <c r="F3075" i="5" s="1"/>
  <c r="E3044" i="5"/>
  <c r="F3044" i="5" s="1"/>
  <c r="E3052" i="5"/>
  <c r="F3052" i="5" s="1"/>
  <c r="E3060" i="5"/>
  <c r="F3060" i="5" s="1"/>
  <c r="E3068" i="5"/>
  <c r="F3068" i="5" s="1"/>
  <c r="E3076" i="5"/>
  <c r="F3076" i="5" s="1"/>
  <c r="E3045" i="5"/>
  <c r="F3045" i="5" s="1"/>
  <c r="E3053" i="5"/>
  <c r="F3053" i="5" s="1"/>
  <c r="E3061" i="5"/>
  <c r="F3061" i="5" s="1"/>
  <c r="E3069" i="5"/>
  <c r="F3069" i="5" s="1"/>
  <c r="E3046" i="5"/>
  <c r="F3046" i="5" s="1"/>
  <c r="E3054" i="5"/>
  <c r="F3054" i="5" s="1"/>
  <c r="E3062" i="5"/>
  <c r="F3062" i="5" s="1"/>
  <c r="E3070" i="5"/>
  <c r="F3070" i="5" s="1"/>
  <c r="E1558" i="5"/>
  <c r="F1558" i="5" s="1"/>
  <c r="E1559" i="5"/>
  <c r="F1559" i="5" s="1"/>
  <c r="E1560" i="5"/>
  <c r="F1560" i="5" s="1"/>
  <c r="E1554" i="5"/>
  <c r="F1554" i="5" s="1"/>
  <c r="E1555" i="5"/>
  <c r="F1555" i="5" s="1"/>
  <c r="E1556" i="5"/>
  <c r="F1556" i="5" s="1"/>
  <c r="E1557" i="5"/>
  <c r="F1557" i="5" s="1"/>
  <c r="E3079" i="5"/>
  <c r="F3079" i="5" s="1"/>
  <c r="E3087" i="5"/>
  <c r="F3087" i="5" s="1"/>
  <c r="E3095" i="5"/>
  <c r="F3095" i="5" s="1"/>
  <c r="E3103" i="5"/>
  <c r="F3103" i="5" s="1"/>
  <c r="E3111" i="5"/>
  <c r="F3111" i="5" s="1"/>
  <c r="E3119" i="5"/>
  <c r="F3119" i="5" s="1"/>
  <c r="E3127" i="5"/>
  <c r="F3127" i="5" s="1"/>
  <c r="E3135" i="5"/>
  <c r="F3135" i="5" s="1"/>
  <c r="E3080" i="5"/>
  <c r="F3080" i="5" s="1"/>
  <c r="E3088" i="5"/>
  <c r="F3088" i="5" s="1"/>
  <c r="E3096" i="5"/>
  <c r="F3096" i="5" s="1"/>
  <c r="E3104" i="5"/>
  <c r="F3104" i="5" s="1"/>
  <c r="E3112" i="5"/>
  <c r="F3112" i="5" s="1"/>
  <c r="E3120" i="5"/>
  <c r="F3120" i="5" s="1"/>
  <c r="E3128" i="5"/>
  <c r="F3128" i="5" s="1"/>
  <c r="E3136" i="5"/>
  <c r="F3136" i="5" s="1"/>
  <c r="E3081" i="5"/>
  <c r="F3081" i="5" s="1"/>
  <c r="E3089" i="5"/>
  <c r="F3089" i="5" s="1"/>
  <c r="E3097" i="5"/>
  <c r="F3097" i="5" s="1"/>
  <c r="E3105" i="5"/>
  <c r="F3105" i="5" s="1"/>
  <c r="E3113" i="5"/>
  <c r="F3113" i="5" s="1"/>
  <c r="E3121" i="5"/>
  <c r="F3121" i="5" s="1"/>
  <c r="E3129" i="5"/>
  <c r="F3129" i="5" s="1"/>
  <c r="E3137" i="5"/>
  <c r="F3137" i="5" s="1"/>
  <c r="E3082" i="5"/>
  <c r="F3082" i="5" s="1"/>
  <c r="E3090" i="5"/>
  <c r="F3090" i="5" s="1"/>
  <c r="E3098" i="5"/>
  <c r="F3098" i="5" s="1"/>
  <c r="E3106" i="5"/>
  <c r="F3106" i="5" s="1"/>
  <c r="E3114" i="5"/>
  <c r="F3114" i="5" s="1"/>
  <c r="E3122" i="5"/>
  <c r="F3122" i="5" s="1"/>
  <c r="E3130" i="5"/>
  <c r="F3130" i="5" s="1"/>
  <c r="E3138" i="5"/>
  <c r="F3138" i="5" s="1"/>
  <c r="E3083" i="5"/>
  <c r="F3083" i="5" s="1"/>
  <c r="E3091" i="5"/>
  <c r="F3091" i="5" s="1"/>
  <c r="E3099" i="5"/>
  <c r="F3099" i="5" s="1"/>
  <c r="E3107" i="5"/>
  <c r="F3107" i="5" s="1"/>
  <c r="E3115" i="5"/>
  <c r="F3115" i="5" s="1"/>
  <c r="E3123" i="5"/>
  <c r="F3123" i="5" s="1"/>
  <c r="E3131" i="5"/>
  <c r="F3131" i="5" s="1"/>
  <c r="E3139" i="5"/>
  <c r="F3139" i="5" s="1"/>
  <c r="E3084" i="5"/>
  <c r="F3084" i="5" s="1"/>
  <c r="E3092" i="5"/>
  <c r="F3092" i="5" s="1"/>
  <c r="E3100" i="5"/>
  <c r="F3100" i="5" s="1"/>
  <c r="E3108" i="5"/>
  <c r="F3108" i="5" s="1"/>
  <c r="E3116" i="5"/>
  <c r="F3116" i="5" s="1"/>
  <c r="E3124" i="5"/>
  <c r="F3124" i="5" s="1"/>
  <c r="E3132" i="5"/>
  <c r="F3132" i="5" s="1"/>
  <c r="E3140" i="5"/>
  <c r="F3140" i="5" s="1"/>
  <c r="E3077" i="5"/>
  <c r="F3077" i="5" s="1"/>
  <c r="E3085" i="5"/>
  <c r="F3085" i="5" s="1"/>
  <c r="E3093" i="5"/>
  <c r="F3093" i="5" s="1"/>
  <c r="E3101" i="5"/>
  <c r="F3101" i="5" s="1"/>
  <c r="E3109" i="5"/>
  <c r="F3109" i="5" s="1"/>
  <c r="E3117" i="5"/>
  <c r="F3117" i="5" s="1"/>
  <c r="E3125" i="5"/>
  <c r="F3125" i="5" s="1"/>
  <c r="E3133" i="5"/>
  <c r="F3133" i="5" s="1"/>
  <c r="E3141" i="5"/>
  <c r="F3141" i="5" s="1"/>
  <c r="E3078" i="5"/>
  <c r="F3078" i="5" s="1"/>
  <c r="E3086" i="5"/>
  <c r="F3086" i="5" s="1"/>
  <c r="E3094" i="5"/>
  <c r="F3094" i="5" s="1"/>
  <c r="E3102" i="5"/>
  <c r="F3102" i="5" s="1"/>
  <c r="E3110" i="5"/>
  <c r="F3110" i="5" s="1"/>
  <c r="E3118" i="5"/>
  <c r="F3118" i="5" s="1"/>
  <c r="E3126" i="5"/>
  <c r="F3126" i="5" s="1"/>
  <c r="E3134" i="5"/>
  <c r="F3134" i="5" s="1"/>
  <c r="K9" i="1"/>
  <c r="K11" i="1" s="1"/>
  <c r="E63" i="6" l="1"/>
  <c r="E914" i="5"/>
  <c r="F914" i="5" s="1"/>
  <c r="E915" i="5"/>
  <c r="F915" i="5" s="1"/>
  <c r="E916" i="5"/>
  <c r="F916" i="5" s="1"/>
  <c r="E917" i="5"/>
  <c r="F917" i="5" s="1"/>
  <c r="E910" i="5"/>
  <c r="F910" i="5" s="1"/>
  <c r="E911" i="5"/>
  <c r="F911" i="5" s="1"/>
  <c r="E912" i="5"/>
  <c r="F912" i="5" s="1"/>
  <c r="E913" i="5"/>
  <c r="F913" i="5" s="1"/>
  <c r="E2470" i="5"/>
  <c r="F2470" i="5" s="1"/>
  <c r="E2478" i="5"/>
  <c r="F2478" i="5" s="1"/>
  <c r="E2486" i="5"/>
  <c r="F2486" i="5" s="1"/>
  <c r="E2471" i="5"/>
  <c r="F2471" i="5" s="1"/>
  <c r="E2479" i="5"/>
  <c r="F2479" i="5" s="1"/>
  <c r="E2487" i="5"/>
  <c r="F2487" i="5" s="1"/>
  <c r="E2472" i="5"/>
  <c r="F2472" i="5" s="1"/>
  <c r="E2480" i="5"/>
  <c r="F2480" i="5" s="1"/>
  <c r="E2488" i="5"/>
  <c r="F2488" i="5" s="1"/>
  <c r="E2473" i="5"/>
  <c r="F2473" i="5" s="1"/>
  <c r="E2481" i="5"/>
  <c r="F2481" i="5" s="1"/>
  <c r="E2489" i="5"/>
  <c r="F2489" i="5" s="1"/>
  <c r="E2474" i="5"/>
  <c r="F2474" i="5" s="1"/>
  <c r="E2482" i="5"/>
  <c r="F2482" i="5" s="1"/>
  <c r="E2490" i="5"/>
  <c r="F2490" i="5" s="1"/>
  <c r="E2467" i="5"/>
  <c r="F2467" i="5" s="1"/>
  <c r="E2475" i="5"/>
  <c r="F2475" i="5" s="1"/>
  <c r="E2483" i="5"/>
  <c r="F2483" i="5" s="1"/>
  <c r="E2491" i="5"/>
  <c r="F2491" i="5" s="1"/>
  <c r="E2469" i="5"/>
  <c r="F2469" i="5" s="1"/>
  <c r="E2476" i="5"/>
  <c r="F2476" i="5" s="1"/>
  <c r="E2477" i="5"/>
  <c r="F2477" i="5" s="1"/>
  <c r="E2484" i="5"/>
  <c r="F2484" i="5" s="1"/>
  <c r="E2485" i="5"/>
  <c r="F2485" i="5" s="1"/>
  <c r="E2468" i="5"/>
  <c r="F2468" i="5" s="1"/>
  <c r="E2959" i="5"/>
  <c r="F2959" i="5" s="1"/>
  <c r="E2967" i="5"/>
  <c r="F2967" i="5" s="1"/>
  <c r="E2960" i="5"/>
  <c r="F2960" i="5" s="1"/>
  <c r="E2968" i="5"/>
  <c r="F2968" i="5" s="1"/>
  <c r="E2961" i="5"/>
  <c r="F2961" i="5" s="1"/>
  <c r="E2969" i="5"/>
  <c r="F2969" i="5" s="1"/>
  <c r="E2962" i="5"/>
  <c r="F2962" i="5" s="1"/>
  <c r="E2970" i="5"/>
  <c r="F2970" i="5" s="1"/>
  <c r="E2963" i="5"/>
  <c r="F2963" i="5" s="1"/>
  <c r="E2971" i="5"/>
  <c r="F2971" i="5" s="1"/>
  <c r="E2964" i="5"/>
  <c r="F2964" i="5" s="1"/>
  <c r="E2965" i="5"/>
  <c r="F2965" i="5" s="1"/>
  <c r="E2958" i="5"/>
  <c r="F2958" i="5" s="1"/>
  <c r="E2966" i="5"/>
  <c r="F2966" i="5" s="1"/>
  <c r="D3" i="10"/>
  <c r="D2" i="10"/>
  <c r="E43" i="6"/>
  <c r="E1170" i="5"/>
  <c r="F1170" i="5" s="1"/>
  <c r="E1178" i="5"/>
  <c r="F1178" i="5" s="1"/>
  <c r="E1171" i="5"/>
  <c r="F1171" i="5" s="1"/>
  <c r="E1179" i="5"/>
  <c r="F1179" i="5" s="1"/>
  <c r="E1187" i="5"/>
  <c r="F1187" i="5" s="1"/>
  <c r="E1172" i="5"/>
  <c r="F1172" i="5" s="1"/>
  <c r="E1180" i="5"/>
  <c r="F1180" i="5" s="1"/>
  <c r="E1188" i="5"/>
  <c r="F1188" i="5" s="1"/>
  <c r="E1173" i="5"/>
  <c r="F1173" i="5" s="1"/>
  <c r="E1181" i="5"/>
  <c r="F1181" i="5" s="1"/>
  <c r="E1189" i="5"/>
  <c r="F1189" i="5" s="1"/>
  <c r="E1174" i="5"/>
  <c r="F1174" i="5" s="1"/>
  <c r="E1182" i="5"/>
  <c r="F1182" i="5" s="1"/>
  <c r="E1190" i="5"/>
  <c r="F1190" i="5" s="1"/>
  <c r="E1175" i="5"/>
  <c r="F1175" i="5" s="1"/>
  <c r="E1183" i="5"/>
  <c r="F1183" i="5" s="1"/>
  <c r="E1191" i="5"/>
  <c r="F1191" i="5" s="1"/>
  <c r="E1176" i="5"/>
  <c r="F1176" i="5" s="1"/>
  <c r="E1184" i="5"/>
  <c r="F1184" i="5" s="1"/>
  <c r="E1177" i="5"/>
  <c r="F1177" i="5" s="1"/>
  <c r="E1185" i="5"/>
  <c r="F1185" i="5" s="1"/>
  <c r="E1186" i="5"/>
  <c r="F1186" i="5" s="1"/>
  <c r="E2734" i="5"/>
  <c r="F2734" i="5" s="1"/>
  <c r="E2742" i="5"/>
  <c r="F2742" i="5" s="1"/>
  <c r="E2750" i="5"/>
  <c r="F2750" i="5" s="1"/>
  <c r="E2735" i="5"/>
  <c r="F2735" i="5" s="1"/>
  <c r="E2743" i="5"/>
  <c r="F2743" i="5" s="1"/>
  <c r="E2751" i="5"/>
  <c r="F2751" i="5" s="1"/>
  <c r="E2728" i="5"/>
  <c r="F2728" i="5" s="1"/>
  <c r="E2736" i="5"/>
  <c r="F2736" i="5" s="1"/>
  <c r="E2744" i="5"/>
  <c r="F2744" i="5" s="1"/>
  <c r="E2729" i="5"/>
  <c r="F2729" i="5" s="1"/>
  <c r="E2737" i="5"/>
  <c r="F2737" i="5" s="1"/>
  <c r="E2745" i="5"/>
  <c r="F2745" i="5" s="1"/>
  <c r="E2730" i="5"/>
  <c r="F2730" i="5" s="1"/>
  <c r="E2738" i="5"/>
  <c r="F2738" i="5" s="1"/>
  <c r="E2746" i="5"/>
  <c r="F2746" i="5" s="1"/>
  <c r="E2731" i="5"/>
  <c r="F2731" i="5" s="1"/>
  <c r="E2739" i="5"/>
  <c r="F2739" i="5" s="1"/>
  <c r="E2747" i="5"/>
  <c r="F2747" i="5" s="1"/>
  <c r="E2732" i="5"/>
  <c r="F2732" i="5" s="1"/>
  <c r="E2733" i="5"/>
  <c r="F2733" i="5" s="1"/>
  <c r="E2740" i="5"/>
  <c r="F2740" i="5" s="1"/>
  <c r="E2741" i="5"/>
  <c r="F2741" i="5" s="1"/>
  <c r="E2748" i="5"/>
  <c r="F2748" i="5" s="1"/>
  <c r="E2749" i="5"/>
  <c r="F2749" i="5" s="1"/>
  <c r="E33" i="6"/>
  <c r="E1018" i="5"/>
  <c r="F1018" i="5" s="1"/>
  <c r="E1026" i="5"/>
  <c r="F1026" i="5" s="1"/>
  <c r="E1034" i="5"/>
  <c r="F1034" i="5" s="1"/>
  <c r="E1019" i="5"/>
  <c r="F1019" i="5" s="1"/>
  <c r="E1027" i="5"/>
  <c r="F1027" i="5" s="1"/>
  <c r="E1035" i="5"/>
  <c r="F1035" i="5" s="1"/>
  <c r="E1020" i="5"/>
  <c r="F1020" i="5" s="1"/>
  <c r="E1028" i="5"/>
  <c r="F1028" i="5" s="1"/>
  <c r="E1036" i="5"/>
  <c r="F1036" i="5" s="1"/>
  <c r="E1021" i="5"/>
  <c r="F1021" i="5" s="1"/>
  <c r="E1029" i="5"/>
  <c r="F1029" i="5" s="1"/>
  <c r="E1037" i="5"/>
  <c r="F1037" i="5" s="1"/>
  <c r="E1022" i="5"/>
  <c r="F1022" i="5" s="1"/>
  <c r="E1030" i="5"/>
  <c r="F1030" i="5" s="1"/>
  <c r="E1038" i="5"/>
  <c r="F1038" i="5" s="1"/>
  <c r="E1015" i="5"/>
  <c r="F1015" i="5" s="1"/>
  <c r="E1023" i="5"/>
  <c r="F1023" i="5" s="1"/>
  <c r="E1031" i="5"/>
  <c r="F1031" i="5" s="1"/>
  <c r="E1039" i="5"/>
  <c r="F1039" i="5" s="1"/>
  <c r="E1016" i="5"/>
  <c r="F1016" i="5" s="1"/>
  <c r="E1024" i="5"/>
  <c r="F1024" i="5" s="1"/>
  <c r="E1032" i="5"/>
  <c r="F1032" i="5" s="1"/>
  <c r="E1017" i="5"/>
  <c r="F1017" i="5" s="1"/>
  <c r="E1025" i="5"/>
  <c r="F1025" i="5" s="1"/>
  <c r="E1033" i="5"/>
  <c r="F1033" i="5" s="1"/>
  <c r="E2558" i="5"/>
  <c r="F2558" i="5" s="1"/>
  <c r="E2566" i="5"/>
  <c r="F2566" i="5" s="1"/>
  <c r="E2574" i="5"/>
  <c r="F2574" i="5" s="1"/>
  <c r="E2582" i="5"/>
  <c r="F2582" i="5" s="1"/>
  <c r="E2559" i="5"/>
  <c r="F2559" i="5" s="1"/>
  <c r="E2567" i="5"/>
  <c r="F2567" i="5" s="1"/>
  <c r="E2575" i="5"/>
  <c r="F2575" i="5" s="1"/>
  <c r="E2583" i="5"/>
  <c r="F2583" i="5" s="1"/>
  <c r="E2560" i="5"/>
  <c r="F2560" i="5" s="1"/>
  <c r="E2568" i="5"/>
  <c r="F2568" i="5" s="1"/>
  <c r="E2576" i="5"/>
  <c r="F2576" i="5" s="1"/>
  <c r="E2584" i="5"/>
  <c r="F2584" i="5" s="1"/>
  <c r="E2561" i="5"/>
  <c r="F2561" i="5" s="1"/>
  <c r="E2569" i="5"/>
  <c r="F2569" i="5" s="1"/>
  <c r="E2577" i="5"/>
  <c r="F2577" i="5" s="1"/>
  <c r="E2562" i="5"/>
  <c r="F2562" i="5" s="1"/>
  <c r="E2570" i="5"/>
  <c r="F2570" i="5" s="1"/>
  <c r="E2578" i="5"/>
  <c r="F2578" i="5" s="1"/>
  <c r="E2563" i="5"/>
  <c r="F2563" i="5" s="1"/>
  <c r="E2571" i="5"/>
  <c r="F2571" i="5" s="1"/>
  <c r="E2579" i="5"/>
  <c r="F2579" i="5" s="1"/>
  <c r="E2565" i="5"/>
  <c r="F2565" i="5" s="1"/>
  <c r="E2572" i="5"/>
  <c r="F2572" i="5" s="1"/>
  <c r="E2573" i="5"/>
  <c r="F2573" i="5" s="1"/>
  <c r="E2580" i="5"/>
  <c r="F2580" i="5" s="1"/>
  <c r="E2581" i="5"/>
  <c r="F2581" i="5" s="1"/>
  <c r="E2557" i="5"/>
  <c r="F2557" i="5" s="1"/>
  <c r="E2564" i="5"/>
  <c r="F2564" i="5" s="1"/>
  <c r="E44" i="6" l="1"/>
  <c r="E1430" i="5"/>
  <c r="F1430" i="5" s="1"/>
  <c r="E1438" i="5"/>
  <c r="F1438" i="5" s="1"/>
  <c r="E1446" i="5"/>
  <c r="F1446" i="5" s="1"/>
  <c r="E1454" i="5"/>
  <c r="F1454" i="5" s="1"/>
  <c r="E1462" i="5"/>
  <c r="F1462" i="5" s="1"/>
  <c r="E1470" i="5"/>
  <c r="F1470" i="5" s="1"/>
  <c r="E1478" i="5"/>
  <c r="F1478" i="5" s="1"/>
  <c r="E1486" i="5"/>
  <c r="F1486" i="5" s="1"/>
  <c r="E1494" i="5"/>
  <c r="F1494" i="5" s="1"/>
  <c r="E1431" i="5"/>
  <c r="F1431" i="5" s="1"/>
  <c r="E1439" i="5"/>
  <c r="F1439" i="5" s="1"/>
  <c r="E1447" i="5"/>
  <c r="F1447" i="5" s="1"/>
  <c r="E1455" i="5"/>
  <c r="F1455" i="5" s="1"/>
  <c r="E1463" i="5"/>
  <c r="F1463" i="5" s="1"/>
  <c r="E1471" i="5"/>
  <c r="F1471" i="5" s="1"/>
  <c r="E1479" i="5"/>
  <c r="F1479" i="5" s="1"/>
  <c r="E1487" i="5"/>
  <c r="F1487" i="5" s="1"/>
  <c r="E1432" i="5"/>
  <c r="F1432" i="5" s="1"/>
  <c r="E1440" i="5"/>
  <c r="F1440" i="5" s="1"/>
  <c r="E1448" i="5"/>
  <c r="F1448" i="5" s="1"/>
  <c r="E1456" i="5"/>
  <c r="F1456" i="5" s="1"/>
  <c r="E1464" i="5"/>
  <c r="F1464" i="5" s="1"/>
  <c r="E1472" i="5"/>
  <c r="F1472" i="5" s="1"/>
  <c r="E1480" i="5"/>
  <c r="F1480" i="5" s="1"/>
  <c r="E1488" i="5"/>
  <c r="F1488" i="5" s="1"/>
  <c r="E1433" i="5"/>
  <c r="F1433" i="5" s="1"/>
  <c r="E1441" i="5"/>
  <c r="F1441" i="5" s="1"/>
  <c r="E1449" i="5"/>
  <c r="F1449" i="5" s="1"/>
  <c r="E1457" i="5"/>
  <c r="F1457" i="5" s="1"/>
  <c r="E1465" i="5"/>
  <c r="F1465" i="5" s="1"/>
  <c r="E1473" i="5"/>
  <c r="F1473" i="5" s="1"/>
  <c r="E1481" i="5"/>
  <c r="F1481" i="5" s="1"/>
  <c r="E1489" i="5"/>
  <c r="F1489" i="5" s="1"/>
  <c r="E1434" i="5"/>
  <c r="F1434" i="5" s="1"/>
  <c r="E1442" i="5"/>
  <c r="F1442" i="5" s="1"/>
  <c r="E1450" i="5"/>
  <c r="F1450" i="5" s="1"/>
  <c r="E1458" i="5"/>
  <c r="F1458" i="5" s="1"/>
  <c r="E1466" i="5"/>
  <c r="F1466" i="5" s="1"/>
  <c r="E1474" i="5"/>
  <c r="F1474" i="5" s="1"/>
  <c r="E1482" i="5"/>
  <c r="F1482" i="5" s="1"/>
  <c r="E1490" i="5"/>
  <c r="F1490" i="5" s="1"/>
  <c r="E1435" i="5"/>
  <c r="F1435" i="5" s="1"/>
  <c r="E1443" i="5"/>
  <c r="F1443" i="5" s="1"/>
  <c r="E1451" i="5"/>
  <c r="F1451" i="5" s="1"/>
  <c r="E1459" i="5"/>
  <c r="F1459" i="5" s="1"/>
  <c r="E1467" i="5"/>
  <c r="F1467" i="5" s="1"/>
  <c r="E1475" i="5"/>
  <c r="F1475" i="5" s="1"/>
  <c r="E1483" i="5"/>
  <c r="F1483" i="5" s="1"/>
  <c r="E1491" i="5"/>
  <c r="F1491" i="5" s="1"/>
  <c r="E1436" i="5"/>
  <c r="F1436" i="5" s="1"/>
  <c r="E1444" i="5"/>
  <c r="F1444" i="5" s="1"/>
  <c r="E1452" i="5"/>
  <c r="F1452" i="5" s="1"/>
  <c r="E1460" i="5"/>
  <c r="F1460" i="5" s="1"/>
  <c r="E1468" i="5"/>
  <c r="F1468" i="5" s="1"/>
  <c r="E1476" i="5"/>
  <c r="F1476" i="5" s="1"/>
  <c r="E1484" i="5"/>
  <c r="F1484" i="5" s="1"/>
  <c r="E1492" i="5"/>
  <c r="F1492" i="5" s="1"/>
  <c r="E1477" i="5"/>
  <c r="F1477" i="5" s="1"/>
  <c r="E1485" i="5"/>
  <c r="F1485" i="5" s="1"/>
  <c r="E1493" i="5"/>
  <c r="F1493" i="5" s="1"/>
  <c r="E1437" i="5"/>
  <c r="F1437" i="5" s="1"/>
  <c r="E1445" i="5"/>
  <c r="F1445" i="5" s="1"/>
  <c r="E1461" i="5"/>
  <c r="F1461" i="5" s="1"/>
  <c r="E1469" i="5"/>
  <c r="F1469" i="5" s="1"/>
  <c r="E1453" i="5"/>
  <c r="F1453" i="5" s="1"/>
  <c r="E2975" i="5"/>
  <c r="F2975" i="5" s="1"/>
  <c r="E2983" i="5"/>
  <c r="F2983" i="5" s="1"/>
  <c r="E2991" i="5"/>
  <c r="F2991" i="5" s="1"/>
  <c r="E2999" i="5"/>
  <c r="F2999" i="5" s="1"/>
  <c r="E3007" i="5"/>
  <c r="F3007" i="5" s="1"/>
  <c r="E3015" i="5"/>
  <c r="F3015" i="5" s="1"/>
  <c r="E3023" i="5"/>
  <c r="F3023" i="5" s="1"/>
  <c r="E3031" i="5"/>
  <c r="F3031" i="5" s="1"/>
  <c r="E3039" i="5"/>
  <c r="F3039" i="5" s="1"/>
  <c r="E2976" i="5"/>
  <c r="F2976" i="5" s="1"/>
  <c r="E2984" i="5"/>
  <c r="F2984" i="5" s="1"/>
  <c r="E2992" i="5"/>
  <c r="F2992" i="5" s="1"/>
  <c r="E3000" i="5"/>
  <c r="F3000" i="5" s="1"/>
  <c r="E3008" i="5"/>
  <c r="F3008" i="5" s="1"/>
  <c r="E3016" i="5"/>
  <c r="F3016" i="5" s="1"/>
  <c r="E3024" i="5"/>
  <c r="F3024" i="5" s="1"/>
  <c r="E3032" i="5"/>
  <c r="F3032" i="5" s="1"/>
  <c r="E3040" i="5"/>
  <c r="F3040" i="5" s="1"/>
  <c r="E2977" i="5"/>
  <c r="F2977" i="5" s="1"/>
  <c r="E2985" i="5"/>
  <c r="F2985" i="5" s="1"/>
  <c r="E2993" i="5"/>
  <c r="F2993" i="5" s="1"/>
  <c r="E3001" i="5"/>
  <c r="F3001" i="5" s="1"/>
  <c r="E3009" i="5"/>
  <c r="F3009" i="5" s="1"/>
  <c r="E3017" i="5"/>
  <c r="F3017" i="5" s="1"/>
  <c r="E3025" i="5"/>
  <c r="F3025" i="5" s="1"/>
  <c r="E3033" i="5"/>
  <c r="F3033" i="5" s="1"/>
  <c r="E3041" i="5"/>
  <c r="F3041" i="5" s="1"/>
  <c r="E2978" i="5"/>
  <c r="F2978" i="5" s="1"/>
  <c r="E2986" i="5"/>
  <c r="F2986" i="5" s="1"/>
  <c r="E2994" i="5"/>
  <c r="F2994" i="5" s="1"/>
  <c r="E3002" i="5"/>
  <c r="F3002" i="5" s="1"/>
  <c r="E3010" i="5"/>
  <c r="F3010" i="5" s="1"/>
  <c r="E3018" i="5"/>
  <c r="F3018" i="5" s="1"/>
  <c r="E3026" i="5"/>
  <c r="F3026" i="5" s="1"/>
  <c r="E3034" i="5"/>
  <c r="F3034" i="5" s="1"/>
  <c r="E2979" i="5"/>
  <c r="F2979" i="5" s="1"/>
  <c r="E2987" i="5"/>
  <c r="F2987" i="5" s="1"/>
  <c r="E2995" i="5"/>
  <c r="F2995" i="5" s="1"/>
  <c r="E3003" i="5"/>
  <c r="F3003" i="5" s="1"/>
  <c r="E3011" i="5"/>
  <c r="F3011" i="5" s="1"/>
  <c r="E3019" i="5"/>
  <c r="F3019" i="5" s="1"/>
  <c r="E3027" i="5"/>
  <c r="F3027" i="5" s="1"/>
  <c r="E3035" i="5"/>
  <c r="F3035" i="5" s="1"/>
  <c r="E2972" i="5"/>
  <c r="F2972" i="5" s="1"/>
  <c r="E2980" i="5"/>
  <c r="F2980" i="5" s="1"/>
  <c r="E2988" i="5"/>
  <c r="F2988" i="5" s="1"/>
  <c r="E2996" i="5"/>
  <c r="F2996" i="5" s="1"/>
  <c r="E3004" i="5"/>
  <c r="F3004" i="5" s="1"/>
  <c r="E3012" i="5"/>
  <c r="F3012" i="5" s="1"/>
  <c r="E3020" i="5"/>
  <c r="F3020" i="5" s="1"/>
  <c r="E3028" i="5"/>
  <c r="F3028" i="5" s="1"/>
  <c r="E3036" i="5"/>
  <c r="F3036" i="5" s="1"/>
  <c r="E2973" i="5"/>
  <c r="F2973" i="5" s="1"/>
  <c r="E2981" i="5"/>
  <c r="F2981" i="5" s="1"/>
  <c r="E2989" i="5"/>
  <c r="F2989" i="5" s="1"/>
  <c r="E2997" i="5"/>
  <c r="F2997" i="5" s="1"/>
  <c r="E3005" i="5"/>
  <c r="F3005" i="5" s="1"/>
  <c r="E3013" i="5"/>
  <c r="F3013" i="5" s="1"/>
  <c r="E3021" i="5"/>
  <c r="F3021" i="5" s="1"/>
  <c r="E3029" i="5"/>
  <c r="F3029" i="5" s="1"/>
  <c r="E3037" i="5"/>
  <c r="F3037" i="5" s="1"/>
  <c r="E2974" i="5"/>
  <c r="F2974" i="5" s="1"/>
  <c r="E2982" i="5"/>
  <c r="F2982" i="5" s="1"/>
  <c r="E2990" i="5"/>
  <c r="F2990" i="5" s="1"/>
  <c r="E2998" i="5"/>
  <c r="F2998" i="5" s="1"/>
  <c r="E3006" i="5"/>
  <c r="F3006" i="5" s="1"/>
  <c r="E3014" i="5"/>
  <c r="F3014" i="5" s="1"/>
  <c r="E3022" i="5"/>
  <c r="F3022" i="5" s="1"/>
  <c r="E3030" i="5"/>
  <c r="F3030" i="5" s="1"/>
  <c r="E3038" i="5"/>
  <c r="F3038" i="5" s="1"/>
  <c r="E34" i="6"/>
  <c r="E1195" i="5"/>
  <c r="F1195" i="5" s="1"/>
  <c r="E1203" i="5"/>
  <c r="F1203" i="5" s="1"/>
  <c r="E1211" i="5"/>
  <c r="F1211" i="5" s="1"/>
  <c r="E1219" i="5"/>
  <c r="F1219" i="5" s="1"/>
  <c r="E1227" i="5"/>
  <c r="F1227" i="5" s="1"/>
  <c r="E1196" i="5"/>
  <c r="F1196" i="5" s="1"/>
  <c r="E1204" i="5"/>
  <c r="F1204" i="5" s="1"/>
  <c r="E1212" i="5"/>
  <c r="F1212" i="5" s="1"/>
  <c r="E1220" i="5"/>
  <c r="F1220" i="5" s="1"/>
  <c r="E1228" i="5"/>
  <c r="F1228" i="5" s="1"/>
  <c r="E1197" i="5"/>
  <c r="F1197" i="5" s="1"/>
  <c r="E1205" i="5"/>
  <c r="F1205" i="5" s="1"/>
  <c r="E1213" i="5"/>
  <c r="F1213" i="5" s="1"/>
  <c r="E1221" i="5"/>
  <c r="F1221" i="5" s="1"/>
  <c r="E1229" i="5"/>
  <c r="F1229" i="5" s="1"/>
  <c r="E1198" i="5"/>
  <c r="F1198" i="5" s="1"/>
  <c r="E1206" i="5"/>
  <c r="F1206" i="5" s="1"/>
  <c r="E1214" i="5"/>
  <c r="F1214" i="5" s="1"/>
  <c r="E1222" i="5"/>
  <c r="F1222" i="5" s="1"/>
  <c r="E1230" i="5"/>
  <c r="F1230" i="5" s="1"/>
  <c r="E1199" i="5"/>
  <c r="F1199" i="5" s="1"/>
  <c r="E1207" i="5"/>
  <c r="F1207" i="5" s="1"/>
  <c r="E1215" i="5"/>
  <c r="F1215" i="5" s="1"/>
  <c r="E1223" i="5"/>
  <c r="F1223" i="5" s="1"/>
  <c r="E1231" i="5"/>
  <c r="F1231" i="5" s="1"/>
  <c r="E1192" i="5"/>
  <c r="F1192" i="5" s="1"/>
  <c r="E1208" i="5"/>
  <c r="F1208" i="5" s="1"/>
  <c r="E1226" i="5"/>
  <c r="F1226" i="5" s="1"/>
  <c r="E1209" i="5"/>
  <c r="F1209" i="5" s="1"/>
  <c r="E1232" i="5"/>
  <c r="F1232" i="5" s="1"/>
  <c r="E1210" i="5"/>
  <c r="F1210" i="5" s="1"/>
  <c r="E1233" i="5"/>
  <c r="F1233" i="5" s="1"/>
  <c r="E1193" i="5"/>
  <c r="F1193" i="5" s="1"/>
  <c r="E1216" i="5"/>
  <c r="F1216" i="5" s="1"/>
  <c r="E1234" i="5"/>
  <c r="F1234" i="5" s="1"/>
  <c r="E1194" i="5"/>
  <c r="F1194" i="5" s="1"/>
  <c r="E1217" i="5"/>
  <c r="F1217" i="5" s="1"/>
  <c r="E1200" i="5"/>
  <c r="F1200" i="5" s="1"/>
  <c r="E1218" i="5"/>
  <c r="F1218" i="5" s="1"/>
  <c r="E1201" i="5"/>
  <c r="F1201" i="5" s="1"/>
  <c r="E1224" i="5"/>
  <c r="F1224" i="5" s="1"/>
  <c r="E1202" i="5"/>
  <c r="F1202" i="5" s="1"/>
  <c r="E1225" i="5"/>
  <c r="F1225" i="5" s="1"/>
  <c r="E2758" i="5"/>
  <c r="F2758" i="5" s="1"/>
  <c r="E2766" i="5"/>
  <c r="F2766" i="5" s="1"/>
  <c r="E2774" i="5"/>
  <c r="F2774" i="5" s="1"/>
  <c r="E2759" i="5"/>
  <c r="F2759" i="5" s="1"/>
  <c r="E2767" i="5"/>
  <c r="F2767" i="5" s="1"/>
  <c r="E2752" i="5"/>
  <c r="F2752" i="5" s="1"/>
  <c r="E2760" i="5"/>
  <c r="F2760" i="5" s="1"/>
  <c r="E2768" i="5"/>
  <c r="F2768" i="5" s="1"/>
  <c r="E2753" i="5"/>
  <c r="F2753" i="5" s="1"/>
  <c r="E2761" i="5"/>
  <c r="F2761" i="5" s="1"/>
  <c r="E2769" i="5"/>
  <c r="F2769" i="5" s="1"/>
  <c r="E2754" i="5"/>
  <c r="F2754" i="5" s="1"/>
  <c r="E2762" i="5"/>
  <c r="F2762" i="5" s="1"/>
  <c r="E2770" i="5"/>
  <c r="F2770" i="5" s="1"/>
  <c r="E2755" i="5"/>
  <c r="F2755" i="5" s="1"/>
  <c r="E2763" i="5"/>
  <c r="F2763" i="5" s="1"/>
  <c r="E2771" i="5"/>
  <c r="F2771" i="5" s="1"/>
  <c r="E2757" i="5"/>
  <c r="F2757" i="5" s="1"/>
  <c r="E2764" i="5"/>
  <c r="F2764" i="5" s="1"/>
  <c r="E2765" i="5"/>
  <c r="F2765" i="5" s="1"/>
  <c r="E2772" i="5"/>
  <c r="F2772" i="5" s="1"/>
  <c r="E2773" i="5"/>
  <c r="F2773" i="5" s="1"/>
  <c r="E2756" i="5"/>
  <c r="F2756" i="5" s="1"/>
  <c r="E64" i="6"/>
  <c r="E1414" i="5"/>
  <c r="F1414" i="5" s="1"/>
  <c r="E1422" i="5"/>
  <c r="F1422" i="5" s="1"/>
  <c r="E1415" i="5"/>
  <c r="F1415" i="5" s="1"/>
  <c r="E1423" i="5"/>
  <c r="F1423" i="5" s="1"/>
  <c r="E1416" i="5"/>
  <c r="F1416" i="5" s="1"/>
  <c r="E1424" i="5"/>
  <c r="F1424" i="5" s="1"/>
  <c r="E1417" i="5"/>
  <c r="F1417" i="5" s="1"/>
  <c r="E1425" i="5"/>
  <c r="F1425" i="5" s="1"/>
  <c r="E1418" i="5"/>
  <c r="F1418" i="5" s="1"/>
  <c r="E1426" i="5"/>
  <c r="F1426" i="5" s="1"/>
  <c r="E1419" i="5"/>
  <c r="F1419" i="5" s="1"/>
  <c r="E1427" i="5"/>
  <c r="F1427" i="5" s="1"/>
  <c r="E1412" i="5"/>
  <c r="F1412" i="5" s="1"/>
  <c r="E1420" i="5"/>
  <c r="F1420" i="5" s="1"/>
  <c r="E1428" i="5"/>
  <c r="F1428" i="5" s="1"/>
  <c r="E1413" i="5"/>
  <c r="F1413" i="5" s="1"/>
  <c r="E1421" i="5"/>
  <c r="F1421" i="5" s="1"/>
  <c r="E1429" i="5"/>
  <c r="F1429" i="5" s="1"/>
  <c r="E2951" i="5"/>
  <c r="F2951" i="5" s="1"/>
  <c r="E2952" i="5"/>
  <c r="F2952" i="5" s="1"/>
  <c r="E2953" i="5"/>
  <c r="F2953" i="5" s="1"/>
  <c r="E2954" i="5"/>
  <c r="F2954" i="5" s="1"/>
  <c r="E2947" i="5"/>
  <c r="F2947" i="5" s="1"/>
  <c r="E2955" i="5"/>
  <c r="F2955" i="5" s="1"/>
  <c r="E2948" i="5"/>
  <c r="F2948" i="5" s="1"/>
  <c r="E2956" i="5"/>
  <c r="F2956" i="5" s="1"/>
  <c r="E2949" i="5"/>
  <c r="F2949" i="5" s="1"/>
  <c r="E2957" i="5"/>
  <c r="F2957" i="5" s="1"/>
  <c r="E2950" i="5"/>
  <c r="F2950" i="5" s="1"/>
  <c r="E1566" i="5" l="1"/>
  <c r="F1566" i="5" s="1"/>
  <c r="E1574" i="5"/>
  <c r="F1574" i="5" s="1"/>
  <c r="E1582" i="5"/>
  <c r="F1582" i="5" s="1"/>
  <c r="E1567" i="5"/>
  <c r="F1567" i="5" s="1"/>
  <c r="E1575" i="5"/>
  <c r="F1575" i="5" s="1"/>
  <c r="E1583" i="5"/>
  <c r="F1583" i="5" s="1"/>
  <c r="E1568" i="5"/>
  <c r="F1568" i="5" s="1"/>
  <c r="E1576" i="5"/>
  <c r="F1576" i="5" s="1"/>
  <c r="E1561" i="5"/>
  <c r="F1561" i="5" s="1"/>
  <c r="E1569" i="5"/>
  <c r="F1569" i="5" s="1"/>
  <c r="E1577" i="5"/>
  <c r="F1577" i="5" s="1"/>
  <c r="E1562" i="5"/>
  <c r="F1562" i="5" s="1"/>
  <c r="E1570" i="5"/>
  <c r="F1570" i="5" s="1"/>
  <c r="E1578" i="5"/>
  <c r="F1578" i="5" s="1"/>
  <c r="E1563" i="5"/>
  <c r="F1563" i="5" s="1"/>
  <c r="E1571" i="5"/>
  <c r="F1571" i="5" s="1"/>
  <c r="E1579" i="5"/>
  <c r="F1579" i="5" s="1"/>
  <c r="E1564" i="5"/>
  <c r="F1564" i="5" s="1"/>
  <c r="E1572" i="5"/>
  <c r="F1572" i="5" s="1"/>
  <c r="E1580" i="5"/>
  <c r="F1580" i="5" s="1"/>
  <c r="E1565" i="5"/>
  <c r="F1565" i="5" s="1"/>
  <c r="E1573" i="5"/>
  <c r="F1573" i="5" s="1"/>
  <c r="E1581" i="5"/>
  <c r="F1581" i="5" s="1"/>
  <c r="E1502" i="5"/>
  <c r="F1502" i="5" s="1"/>
  <c r="E1510" i="5"/>
  <c r="F1510" i="5" s="1"/>
  <c r="E1518" i="5"/>
  <c r="F1518" i="5" s="1"/>
  <c r="E1526" i="5"/>
  <c r="F1526" i="5" s="1"/>
  <c r="E1534" i="5"/>
  <c r="F1534" i="5" s="1"/>
  <c r="E1542" i="5"/>
  <c r="F1542" i="5" s="1"/>
  <c r="E1550" i="5"/>
  <c r="F1550" i="5" s="1"/>
  <c r="E1503" i="5"/>
  <c r="F1503" i="5" s="1"/>
  <c r="E1511" i="5"/>
  <c r="F1511" i="5" s="1"/>
  <c r="E1519" i="5"/>
  <c r="F1519" i="5" s="1"/>
  <c r="E1527" i="5"/>
  <c r="F1527" i="5" s="1"/>
  <c r="E1535" i="5"/>
  <c r="F1535" i="5" s="1"/>
  <c r="E1543" i="5"/>
  <c r="F1543" i="5" s="1"/>
  <c r="E1551" i="5"/>
  <c r="F1551" i="5" s="1"/>
  <c r="E1504" i="5"/>
  <c r="F1504" i="5" s="1"/>
  <c r="E1512" i="5"/>
  <c r="F1512" i="5" s="1"/>
  <c r="E1520" i="5"/>
  <c r="F1520" i="5" s="1"/>
  <c r="E1528" i="5"/>
  <c r="F1528" i="5" s="1"/>
  <c r="E1536" i="5"/>
  <c r="F1536" i="5" s="1"/>
  <c r="E1544" i="5"/>
  <c r="F1544" i="5" s="1"/>
  <c r="E1552" i="5"/>
  <c r="F1552" i="5" s="1"/>
  <c r="E1505" i="5"/>
  <c r="F1505" i="5" s="1"/>
  <c r="E1513" i="5"/>
  <c r="F1513" i="5" s="1"/>
  <c r="E1521" i="5"/>
  <c r="F1521" i="5" s="1"/>
  <c r="E1529" i="5"/>
  <c r="F1529" i="5" s="1"/>
  <c r="E1537" i="5"/>
  <c r="F1537" i="5" s="1"/>
  <c r="E1545" i="5"/>
  <c r="F1545" i="5" s="1"/>
  <c r="E1553" i="5"/>
  <c r="F1553" i="5" s="1"/>
  <c r="E1506" i="5"/>
  <c r="F1506" i="5" s="1"/>
  <c r="E1514" i="5"/>
  <c r="F1514" i="5" s="1"/>
  <c r="E1522" i="5"/>
  <c r="F1522" i="5" s="1"/>
  <c r="E1530" i="5"/>
  <c r="F1530" i="5" s="1"/>
  <c r="E1538" i="5"/>
  <c r="F1538" i="5" s="1"/>
  <c r="E1546" i="5"/>
  <c r="F1546" i="5" s="1"/>
  <c r="E1499" i="5"/>
  <c r="F1499" i="5" s="1"/>
  <c r="E1507" i="5"/>
  <c r="F1507" i="5" s="1"/>
  <c r="E1515" i="5"/>
  <c r="F1515" i="5" s="1"/>
  <c r="E1523" i="5"/>
  <c r="F1523" i="5" s="1"/>
  <c r="E1531" i="5"/>
  <c r="F1531" i="5" s="1"/>
  <c r="E1539" i="5"/>
  <c r="F1539" i="5" s="1"/>
  <c r="E1547" i="5"/>
  <c r="F1547" i="5" s="1"/>
  <c r="E1500" i="5"/>
  <c r="F1500" i="5" s="1"/>
  <c r="E1508" i="5"/>
  <c r="F1508" i="5" s="1"/>
  <c r="E1516" i="5"/>
  <c r="F1516" i="5" s="1"/>
  <c r="E1524" i="5"/>
  <c r="F1524" i="5" s="1"/>
  <c r="E1532" i="5"/>
  <c r="F1532" i="5" s="1"/>
  <c r="E1540" i="5"/>
  <c r="F1540" i="5" s="1"/>
  <c r="E1548" i="5"/>
  <c r="F1548" i="5" s="1"/>
  <c r="E1541" i="5"/>
  <c r="F1541" i="5" s="1"/>
  <c r="E1549" i="5"/>
  <c r="F1549" i="5" s="1"/>
  <c r="E1501" i="5"/>
  <c r="F1501" i="5" s="1"/>
  <c r="E1509" i="5"/>
  <c r="F1509" i="5" s="1"/>
  <c r="E1525" i="5"/>
  <c r="F1525" i="5" s="1"/>
  <c r="E1533" i="5"/>
  <c r="F1533" i="5" s="1"/>
  <c r="E1517" i="5"/>
  <c r="F1517" i="5" s="1"/>
</calcChain>
</file>

<file path=xl/sharedStrings.xml><?xml version="1.0" encoding="utf-8"?>
<sst xmlns="http://schemas.openxmlformats.org/spreadsheetml/2006/main" count="16635" uniqueCount="2842">
  <si>
    <t>Average project costs ($)</t>
  </si>
  <si>
    <t>Average project costs ($/SF)</t>
  </si>
  <si>
    <t>Average site energy reduction (MMBtu)</t>
  </si>
  <si>
    <t>Average cost per energy reduction ($/btu)</t>
  </si>
  <si>
    <t>Average percent reduction in energy use</t>
  </si>
  <si>
    <t>Source</t>
  </si>
  <si>
    <t>Table 11</t>
  </si>
  <si>
    <t>Table 15</t>
  </si>
  <si>
    <t>Source:</t>
  </si>
  <si>
    <t>Lawrence Berkeley National Laboratory</t>
  </si>
  <si>
    <t>A Meta-Analysis of Single-Family Deep Energy Retrofit Performance in the U.S.</t>
  </si>
  <si>
    <t>https://www.osti.gov/servlets/purl/1129577</t>
  </si>
  <si>
    <t>Tables 11 and 15</t>
  </si>
  <si>
    <t>Residential Buildings, Single Family</t>
  </si>
  <si>
    <t>Single Family</t>
  </si>
  <si>
    <t>Multi Family</t>
  </si>
  <si>
    <t>Residential Buildings, Multifamily</t>
  </si>
  <si>
    <t>https://be-exchange.org/wp-content/uploads/2017/11/BEEx_Retrofitting_Affordability_Update_Nov2015-1.pdf</t>
  </si>
  <si>
    <t>Building Energy Exchange</t>
  </si>
  <si>
    <t>Evaluating New York City’s Multifamily Building Energy Data for Savings Opportunities: Retrofitting Affordability</t>
  </si>
  <si>
    <t>Report</t>
  </si>
  <si>
    <t>Scenario</t>
  </si>
  <si>
    <t>Reference case</t>
  </si>
  <si>
    <t>Datekey</t>
  </si>
  <si>
    <t>Release Date</t>
  </si>
  <si>
    <t>RKI000</t>
  </si>
  <si>
    <t>4. Residential Sector Key Indicators and Consumption</t>
  </si>
  <si>
    <t>(quadrillion Btu, unless otherwise noted)</t>
  </si>
  <si>
    <t/>
  </si>
  <si>
    <t xml:space="preserve"> Key Indicators and Consumption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</si>
  <si>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</si>
  <si>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</si>
  <si>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</si>
  <si>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</si>
  <si>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</si>
  <si>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</si>
  <si>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</si>
  <si>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</si>
  <si>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</si>
  <si>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</si>
  <si>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</si>
  <si>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</si>
  <si>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</si>
  <si>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</si>
  <si>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</si>
  <si>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>RKI000:da_TotalEnergyCo</t>
  </si>
  <si>
    <t xml:space="preserve"> (thousand Btu per square foot)</t>
  </si>
  <si>
    <t>RKI000:ea_DeliveredEner</t>
  </si>
  <si>
    <t>RKI000:ea_TotalEnergyCo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</si>
  <si>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</si>
  <si>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</si>
  <si>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</si>
  <si>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</si>
  <si>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</si>
  <si>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</si>
  <si>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</si>
  <si>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</si>
  <si>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</si>
  <si>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</si>
  <si>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</si>
  <si>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</si>
  <si>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</si>
  <si>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</si>
  <si>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</si>
  <si>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</si>
  <si>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</si>
  <si>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>RKI000:fa_Dishwashers</t>
  </si>
  <si>
    <t>RKI000:fa_ColorTelevisi</t>
  </si>
  <si>
    <t>RKI000:fa_PersonalCompu</t>
  </si>
  <si>
    <t>RKI000:fa_FurnaceFans</t>
  </si>
  <si>
    <t xml:space="preserve">   Furnace Fans and Boiler Circulation Pumps</t>
  </si>
  <si>
    <t>RKI000:fa_OtherUses</t>
  </si>
  <si>
    <t xml:space="preserve">   Other Uses 4/</t>
  </si>
  <si>
    <t>RKI000:fa_DeliveredEner</t>
  </si>
  <si>
    <t xml:space="preserve">     Delivered Energy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</si>
  <si>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</si>
  <si>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</si>
  <si>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</si>
  <si>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</si>
  <si>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</si>
  <si>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</si>
  <si>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</si>
  <si>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5/</t>
  </si>
  <si>
    <t>RKI000:ga_DeliveredEner</t>
  </si>
  <si>
    <t>RKI000:ha_SpaceHeating</t>
  </si>
  <si>
    <t>RKI000:ha_WaterHeating</t>
  </si>
  <si>
    <t>RKI000:Other_ha_ha</t>
  </si>
  <si>
    <t xml:space="preserve">   Other Uses 7/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</si>
  <si>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</si>
  <si>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</si>
  <si>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</si>
  <si>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</si>
  <si>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</si>
  <si>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</si>
  <si>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>RKI000:ia_DeliveredEner</t>
  </si>
  <si>
    <t>RKI000:ja_MarketedRenew</t>
  </si>
  <si>
    <t>RKI000:ka_SpaceHeating</t>
  </si>
  <si>
    <t xml:space="preserve"> Space Heating</t>
  </si>
  <si>
    <t>RKI000:ka_SpaceCooling</t>
  </si>
  <si>
    <t xml:space="preserve"> Space Cooling</t>
  </si>
  <si>
    <t>RKI000:ka_WaterHeating</t>
  </si>
  <si>
    <t xml:space="preserve"> Water Heating</t>
  </si>
  <si>
    <t>RKI000:ka_Refrigeration</t>
  </si>
  <si>
    <t xml:space="preserve"> Refrigeration</t>
  </si>
  <si>
    <t>RKI000:ka_Cooking</t>
  </si>
  <si>
    <t xml:space="preserve"> Cooking</t>
  </si>
  <si>
    <t>RKI000:ka_ClothesDryers</t>
  </si>
  <si>
    <t xml:space="preserve"> Clothes Dryers</t>
  </si>
  <si>
    <t>RKI000:ka_Freezers</t>
  </si>
  <si>
    <t xml:space="preserve"> Freezers</t>
  </si>
  <si>
    <t>RKI000:ka_Lighting</t>
  </si>
  <si>
    <t xml:space="preserve"> Lighting</t>
  </si>
  <si>
    <t>RKI000:ka_ClothesWasher</t>
  </si>
  <si>
    <t>RKI000:ka_Dishwashers</t>
  </si>
  <si>
    <t>RKI000:ka_ColorTelevisi</t>
  </si>
  <si>
    <t>RKI000:ka_PersonalCompu</t>
  </si>
  <si>
    <t>RKI000:ka_FurnaceFans</t>
  </si>
  <si>
    <t xml:space="preserve"> Furnace Fans and Boiler Circulation Pumps</t>
  </si>
  <si>
    <t>RKI000:ka_OtherUses</t>
  </si>
  <si>
    <t>RKI000:ka_DeliveredEner</t>
  </si>
  <si>
    <t>RKI000:la_ElectricityRe</t>
  </si>
  <si>
    <t>Electricity Related Losses</t>
  </si>
  <si>
    <t>Total Energy Consumption by End Use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</si>
  <si>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</si>
  <si>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</si>
  <si>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</si>
  <si>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</si>
  <si>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</si>
  <si>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</si>
  <si>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</si>
  <si>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</si>
  <si>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</si>
  <si>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</si>
  <si>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</si>
  <si>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</si>
  <si>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</si>
  <si>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</si>
  <si>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</si>
  <si>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>RKI000:na_GeothermalHea</t>
  </si>
  <si>
    <t xml:space="preserve">  Geothermal Heat Pumps</t>
  </si>
  <si>
    <t>RKI000:na_SolarHotWater</t>
  </si>
  <si>
    <t xml:space="preserve">  Solar Hot Water Heating</t>
  </si>
  <si>
    <t>RKI000:na_SolarPhotovol</t>
  </si>
  <si>
    <t xml:space="preserve">  Solar Photovoltaic</t>
  </si>
  <si>
    <t>RKI000:na_WindHuffPuff</t>
  </si>
  <si>
    <t xml:space="preserve">  Wind</t>
  </si>
  <si>
    <t>RKI000:na_Total</t>
  </si>
  <si>
    <t xml:space="preserve">    Total</t>
  </si>
  <si>
    <t>Heating Degree Days</t>
  </si>
  <si>
    <t>RKI000:hdd_NewEngland</t>
  </si>
  <si>
    <t xml:space="preserve">   New England</t>
  </si>
  <si>
    <t>RKI000:hdd_MiddleAtlant</t>
  </si>
  <si>
    <t xml:space="preserve">   Middle Atlantic</t>
  </si>
  <si>
    <t>RKI000:hdd_EastNorthCen</t>
  </si>
  <si>
    <t xml:space="preserve">   East North Central</t>
  </si>
  <si>
    <t>RKI000:hdd_WestNorthCen</t>
  </si>
  <si>
    <t xml:space="preserve">   West North Central</t>
  </si>
  <si>
    <t>RKI000:hdd_SouthAtlantc</t>
  </si>
  <si>
    <t xml:space="preserve">   South Atlantic</t>
  </si>
  <si>
    <t>RKI000:hdd_EastSouthCen</t>
  </si>
  <si>
    <t xml:space="preserve">   East South Central</t>
  </si>
  <si>
    <t>RKI000:hdd_WestSouthCen</t>
  </si>
  <si>
    <t xml:space="preserve">   West South Central</t>
  </si>
  <si>
    <t>RKI000:hdd_Mountain</t>
  </si>
  <si>
    <t xml:space="preserve">   Mountain</t>
  </si>
  <si>
    <t>RKI000:hdd_Pacific</t>
  </si>
  <si>
    <t xml:space="preserve">   Pacific</t>
  </si>
  <si>
    <t>RKI000:hdd_UnitedStates</t>
  </si>
  <si>
    <t xml:space="preserve">      United 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</si>
  <si>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</si>
  <si>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</si>
  <si>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</si>
  <si>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</si>
  <si>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</si>
  <si>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</si>
  <si>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</si>
  <si>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</si>
  <si>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</si>
  <si>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</si>
  <si>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</si>
  <si>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transportation sector.</t>
  </si>
  <si>
    <t>Survey.</t>
  </si>
  <si>
    <t>Average Costs ($/BTU saved)</t>
  </si>
  <si>
    <t>post war oil</t>
  </si>
  <si>
    <t>post war gas mid</t>
  </si>
  <si>
    <t>pre war gas low</t>
  </si>
  <si>
    <t>pre war oil mid</t>
  </si>
  <si>
    <t>post war gas high</t>
  </si>
  <si>
    <t>pre war oil low</t>
  </si>
  <si>
    <t>all electric</t>
  </si>
  <si>
    <t>all district steam</t>
  </si>
  <si>
    <t>pre war gas mid</t>
  </si>
  <si>
    <t>post war gas low</t>
  </si>
  <si>
    <t>Total Source Savings (TBTU)</t>
  </si>
  <si>
    <t>Retrofit cost (millions)</t>
  </si>
  <si>
    <t>Replace with LED</t>
  </si>
  <si>
    <t>Area (million SF)</t>
  </si>
  <si>
    <t>Total Removed Source Savings (GBTU)</t>
  </si>
  <si>
    <t>Adjusted Source Savings (TBTU)</t>
  </si>
  <si>
    <t>Building Type</t>
  </si>
  <si>
    <t>Removed Tech</t>
  </si>
  <si>
    <t>Frequency of Rec</t>
  </si>
  <si>
    <t>separate dhw from heating</t>
  </si>
  <si>
    <t>install low flow aerators</t>
  </si>
  <si>
    <t>replace boiler</t>
  </si>
  <si>
    <t>seprrate dhw from heating</t>
  </si>
  <si>
    <t>upgrade boiler</t>
  </si>
  <si>
    <t>install low flow showerheads</t>
  </si>
  <si>
    <t>installe low flow aerators</t>
  </si>
  <si>
    <t>upgrade to led</t>
  </si>
  <si>
    <t>upgrade dhw boiler</t>
  </si>
  <si>
    <t>#2 oil to natural gas</t>
  </si>
  <si>
    <t>#6 oil or #4 oil to natural gas</t>
  </si>
  <si>
    <t>Frequency adjusted measure costs ($/SF-rec)</t>
  </si>
  <si>
    <t>Measure cost ($/SF)</t>
  </si>
  <si>
    <t>Cost per BTU Saved</t>
  </si>
  <si>
    <t>Adjusted Costs ($)</t>
  </si>
  <si>
    <t>Removing non-heating/cooling/envelope related retrofit costs and savings</t>
  </si>
  <si>
    <t>Adjusted Savings by Building Type after Removing Uncovered Costs</t>
  </si>
  <si>
    <t>Floor area weighted cost per unit saved ($)</t>
  </si>
  <si>
    <t>Source Energy Use</t>
  </si>
  <si>
    <t>Percent Reduction</t>
  </si>
  <si>
    <t>Floor area weighted average percent reduction in energy consumption</t>
  </si>
  <si>
    <t>Table 3, Table 13, Figure 6</t>
  </si>
  <si>
    <t>Climate</t>
  </si>
  <si>
    <t>Hot &amp; Humid</t>
  </si>
  <si>
    <t>Hot &amp; Dry</t>
  </si>
  <si>
    <t>Marine</t>
  </si>
  <si>
    <t>Cold</t>
  </si>
  <si>
    <t>Very Cold</t>
  </si>
  <si>
    <t>Measure</t>
  </si>
  <si>
    <t>Savings as % of Total Site Energy</t>
  </si>
  <si>
    <t>Cost</t>
  </si>
  <si>
    <t>Remaining Site Energy Use</t>
  </si>
  <si>
    <t>Row Labels</t>
  </si>
  <si>
    <t>Column Labels</t>
  </si>
  <si>
    <t>Total Reductions</t>
  </si>
  <si>
    <t>State Abbrev</t>
  </si>
  <si>
    <t>State</t>
  </si>
  <si>
    <t>County</t>
  </si>
  <si>
    <r>
      <rPr>
        <sz val="11"/>
        <color theme="1"/>
        <rFont val="Calibri"/>
        <family val="2"/>
        <scheme val="minor"/>
      </rPr>
      <t>AL</t>
    </r>
  </si>
  <si>
    <r>
      <rPr>
        <sz val="11"/>
        <color theme="1"/>
        <rFont val="Calibri"/>
        <family val="2"/>
        <scheme val="minor"/>
      </rPr>
      <t>Alabama</t>
    </r>
  </si>
  <si>
    <t>Autauga</t>
  </si>
  <si>
    <t>Hot-Humid</t>
  </si>
  <si>
    <t>Baldwin</t>
  </si>
  <si>
    <t>Barbour</t>
  </si>
  <si>
    <t>Bibb</t>
  </si>
  <si>
    <t>Mixed-Humid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</si>
  <si>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</si>
  <si>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</si>
  <si>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</si>
  <si>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</si>
  <si>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</si>
  <si>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</si>
  <si>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</si>
  <si>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</si>
  <si>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</si>
  <si>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</si>
  <si>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</si>
  <si>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</si>
  <si>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</si>
  <si>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</si>
  <si>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</si>
  <si>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</si>
  <si>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</si>
  <si>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</si>
  <si>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</si>
  <si>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</si>
  <si>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</si>
  <si>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</si>
  <si>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</si>
  <si>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</si>
  <si>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</si>
  <si>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</si>
  <si>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</si>
  <si>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</si>
  <si>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</si>
  <si>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</si>
  <si>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</si>
  <si>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</si>
  <si>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</si>
  <si>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</si>
  <si>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</si>
  <si>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</si>
  <si>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</si>
  <si>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</si>
  <si>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</si>
  <si>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</si>
  <si>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</si>
  <si>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</si>
  <si>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</si>
  <si>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</si>
  <si>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</si>
  <si>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</si>
  <si>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</si>
  <si>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</si>
  <si>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</si>
  <si>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</si>
  <si>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</si>
  <si>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</si>
  <si>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</si>
  <si>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</si>
  <si>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</si>
  <si>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</si>
  <si>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</si>
  <si>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</si>
  <si>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</si>
  <si>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</si>
  <si>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Washington</t>
  </si>
  <si>
    <r>
      <rPr>
        <sz val="11"/>
        <color theme="1"/>
        <rFont val="Calibri"/>
        <family val="2"/>
        <scheme val="minor"/>
      </rPr>
      <t>AR</t>
    </r>
  </si>
  <si>
    <r>
      <rPr>
        <sz val="11"/>
        <color theme="1"/>
        <rFont val="Calibri"/>
        <family val="2"/>
        <scheme val="minor"/>
      </rPr>
      <t>Arkansas</t>
    </r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</si>
  <si>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</si>
  <si>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</si>
  <si>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</si>
  <si>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</si>
  <si>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</si>
  <si>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</si>
  <si>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</si>
  <si>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</si>
  <si>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</si>
  <si>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</si>
  <si>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</si>
  <si>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</si>
  <si>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</si>
  <si>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</si>
  <si>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</si>
  <si>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</si>
  <si>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</si>
  <si>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</si>
  <si>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</si>
  <si>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</si>
  <si>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</si>
  <si>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</si>
  <si>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</si>
  <si>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</si>
  <si>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</si>
  <si>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</si>
  <si>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</si>
  <si>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</si>
  <si>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</si>
  <si>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Scott</t>
  </si>
  <si>
    <t>Searcy</t>
  </si>
  <si>
    <t>Sebastian</t>
  </si>
  <si>
    <t>Sevier</t>
  </si>
  <si>
    <t>Sharp</t>
  </si>
  <si>
    <t>St. Francis</t>
  </si>
  <si>
    <t>Stone</t>
  </si>
  <si>
    <t>Union</t>
  </si>
  <si>
    <t>Van Buren</t>
  </si>
  <si>
    <t>White</t>
  </si>
  <si>
    <t>Woodruff</t>
  </si>
  <si>
    <t>Yell</t>
  </si>
  <si>
    <r>
      <rPr>
        <sz val="11"/>
        <color theme="1"/>
        <rFont val="Calibri"/>
        <family val="2"/>
        <scheme val="minor"/>
      </rPr>
      <t>CA</t>
    </r>
  </si>
  <si>
    <r>
      <rPr>
        <sz val="11"/>
        <color theme="1"/>
        <rFont val="Calibri"/>
        <family val="2"/>
        <scheme val="minor"/>
      </rPr>
      <t>California</t>
    </r>
  </si>
  <si>
    <t>Alameda</t>
  </si>
  <si>
    <t>Alpine</t>
  </si>
  <si>
    <t>Amador</t>
  </si>
  <si>
    <t>Mixed-Dry</t>
  </si>
  <si>
    <t>Butte</t>
  </si>
  <si>
    <t>Hot-Dry</t>
  </si>
  <si>
    <t>Calaveras</t>
  </si>
  <si>
    <t>Colusa</t>
  </si>
  <si>
    <t>Contra Costa</t>
  </si>
  <si>
    <t>Del Norte</t>
  </si>
  <si>
    <t>El Dorado</t>
  </si>
  <si>
    <t>Fresno</t>
  </si>
  <si>
    <r>
      <rPr>
        <sz val="11"/>
        <color theme="1"/>
        <rFont val="Calibri"/>
        <family val="2"/>
        <scheme val="minor"/>
      </rPr>
      <t>CO</t>
    </r>
  </si>
  <si>
    <r>
      <rPr>
        <sz val="11"/>
        <color theme="1"/>
        <rFont val="Calibri"/>
        <family val="2"/>
        <scheme val="minor"/>
      </rPr>
      <t>Colorado</t>
    </r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</si>
  <si>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</si>
  <si>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</si>
  <si>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</si>
  <si>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</si>
  <si>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</si>
  <si>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</si>
  <si>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</si>
  <si>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</si>
  <si>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</si>
  <si>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</si>
  <si>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</si>
  <si>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</si>
  <si>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</si>
  <si>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</si>
  <si>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</si>
  <si>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Lake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</si>
  <si>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</si>
  <si>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</si>
  <si>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</si>
  <si>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</si>
  <si>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</si>
  <si>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</si>
  <si>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</si>
  <si>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</si>
  <si>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</si>
  <si>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</si>
  <si>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</si>
  <si>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</si>
  <si>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</si>
  <si>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</si>
  <si>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</si>
  <si>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</si>
  <si>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</si>
  <si>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</si>
  <si>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</si>
  <si>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</si>
  <si>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</si>
  <si>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</si>
  <si>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</si>
  <si>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Yuma</t>
  </si>
  <si>
    <r>
      <rPr>
        <sz val="11"/>
        <color theme="1"/>
        <rFont val="Calibri"/>
        <family val="2"/>
        <scheme val="minor"/>
      </rPr>
      <t>CT</t>
    </r>
  </si>
  <si>
    <r>
      <rPr>
        <sz val="11"/>
        <color theme="1"/>
        <rFont val="Calibri"/>
        <family val="2"/>
        <scheme val="minor"/>
      </rPr>
      <t>Connecticut</t>
    </r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</si>
  <si>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</si>
  <si>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</si>
  <si>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</si>
  <si>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</si>
  <si>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</si>
  <si>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</si>
  <si>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</si>
  <si>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</si>
  <si>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r>
      <rPr>
        <sz val="11"/>
        <color theme="1"/>
        <rFont val="Calibri"/>
        <family val="2"/>
        <scheme val="minor"/>
      </rPr>
      <t>DE</t>
    </r>
  </si>
  <si>
    <r>
      <rPr>
        <sz val="11"/>
        <color theme="1"/>
        <rFont val="Calibri"/>
        <family val="2"/>
        <scheme val="minor"/>
      </rPr>
      <t>Delaware</t>
    </r>
  </si>
  <si>
    <t>Kent</t>
  </si>
  <si>
    <t>New Castle</t>
  </si>
  <si>
    <t>Sussex</t>
  </si>
  <si>
    <t>District of Columbia</t>
  </si>
  <si>
    <r>
      <rPr>
        <sz val="11"/>
        <color theme="1"/>
        <rFont val="Calibri"/>
        <family val="2"/>
        <scheme val="minor"/>
      </rPr>
      <t>FL</t>
    </r>
  </si>
  <si>
    <r>
      <rPr>
        <sz val="11"/>
        <color theme="1"/>
        <rFont val="Calibri"/>
        <family val="2"/>
        <scheme val="minor"/>
      </rPr>
      <t>Florida</t>
    </r>
  </si>
  <si>
    <t>Alachua</t>
  </si>
  <si>
    <t>Baker</t>
  </si>
  <si>
    <t>Bay</t>
  </si>
  <si>
    <t>Bradford</t>
  </si>
  <si>
    <t>Brevard</t>
  </si>
  <si>
    <r>
      <rPr>
        <sz val="11"/>
        <color theme="1"/>
        <rFont val="Calibri"/>
        <family val="2"/>
        <scheme val="minor"/>
      </rPr>
      <t>GA</t>
    </r>
  </si>
  <si>
    <r>
      <rPr>
        <sz val="11"/>
        <color theme="1"/>
        <rFont val="Calibri"/>
        <family val="2"/>
        <scheme val="minor"/>
      </rPr>
      <t>Georgia</t>
    </r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</si>
  <si>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</si>
  <si>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</si>
  <si>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</si>
  <si>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</si>
  <si>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</si>
  <si>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</si>
  <si>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</si>
  <si>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</si>
  <si>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</si>
  <si>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</si>
  <si>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</si>
  <si>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</si>
  <si>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</si>
  <si>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</si>
  <si>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</si>
  <si>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</si>
  <si>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</si>
  <si>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</si>
  <si>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</si>
  <si>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</si>
  <si>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</si>
  <si>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</si>
  <si>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</si>
  <si>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</si>
  <si>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</si>
  <si>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</si>
  <si>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</si>
  <si>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</si>
  <si>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</si>
  <si>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</si>
  <si>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</si>
  <si>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</si>
  <si>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</si>
  <si>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</si>
  <si>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</si>
  <si>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</si>
  <si>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</si>
  <si>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</si>
  <si>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</si>
  <si>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</si>
  <si>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</si>
  <si>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</si>
  <si>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</si>
  <si>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</si>
  <si>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</si>
  <si>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</si>
  <si>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</si>
  <si>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</si>
  <si>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</si>
  <si>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</si>
  <si>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Telfair</t>
  </si>
  <si>
    <t>Hot-humid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</si>
  <si>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</si>
  <si>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</si>
  <si>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</si>
  <si>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</si>
  <si>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</si>
  <si>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</si>
  <si>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</si>
  <si>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</si>
  <si>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</si>
  <si>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</si>
  <si>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Walton</t>
  </si>
  <si>
    <t>Ware</t>
  </si>
  <si>
    <t>Warren</t>
  </si>
  <si>
    <t>Wayne</t>
  </si>
  <si>
    <t>Webster</t>
  </si>
  <si>
    <t>Wheeler</t>
  </si>
  <si>
    <t>Whitfield</t>
  </si>
  <si>
    <t>Wilcox</t>
  </si>
  <si>
    <t>Wilkes</t>
  </si>
  <si>
    <t>Wilkinson</t>
  </si>
  <si>
    <t>Worth</t>
  </si>
  <si>
    <r>
      <rPr>
        <sz val="11"/>
        <color theme="1"/>
        <rFont val="Calibri"/>
        <family val="2"/>
        <scheme val="minor"/>
      </rPr>
      <t>HI</t>
    </r>
  </si>
  <si>
    <r>
      <rPr>
        <sz val="11"/>
        <color theme="1"/>
        <rFont val="Calibri"/>
        <family val="2"/>
        <scheme val="minor"/>
      </rPr>
      <t>Hawaii</t>
    </r>
  </si>
  <si>
    <t>Hawaii</t>
  </si>
  <si>
    <t>Honolulu</t>
  </si>
  <si>
    <t>Kalawao</t>
  </si>
  <si>
    <t>Kauai</t>
  </si>
  <si>
    <t>Maui</t>
  </si>
  <si>
    <r>
      <rPr>
        <sz val="11"/>
        <color theme="1"/>
        <rFont val="Calibri"/>
        <family val="2"/>
        <scheme val="minor"/>
      </rPr>
      <t>ID</t>
    </r>
  </si>
  <si>
    <r>
      <rPr>
        <sz val="11"/>
        <color theme="1"/>
        <rFont val="Calibri"/>
        <family val="2"/>
        <scheme val="minor"/>
      </rPr>
      <t>Idaho</t>
    </r>
  </si>
  <si>
    <t>Ada</t>
  </si>
  <si>
    <t>Adams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</si>
  <si>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</si>
  <si>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</si>
  <si>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</si>
  <si>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</si>
  <si>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</si>
  <si>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</si>
  <si>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</si>
  <si>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</si>
  <si>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</si>
  <si>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</si>
  <si>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</si>
  <si>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</si>
  <si>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</si>
  <si>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Clark</t>
  </si>
  <si>
    <t>Clearwater</t>
  </si>
  <si>
    <t>Custer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</si>
  <si>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</si>
  <si>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</si>
  <si>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</si>
  <si>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</si>
  <si>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</si>
  <si>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</si>
  <si>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</si>
  <si>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</si>
  <si>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</si>
  <si>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r>
      <rPr>
        <sz val="11"/>
        <color theme="1"/>
        <rFont val="Calibri"/>
        <family val="2"/>
        <scheme val="minor"/>
      </rPr>
      <t>IL</t>
    </r>
  </si>
  <si>
    <r>
      <rPr>
        <sz val="11"/>
        <color theme="1"/>
        <rFont val="Calibri"/>
        <family val="2"/>
        <scheme val="minor"/>
      </rPr>
      <t>Illinois</t>
    </r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</si>
  <si>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</si>
  <si>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</si>
  <si>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</si>
  <si>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</si>
  <si>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</si>
  <si>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</si>
  <si>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</si>
  <si>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</si>
  <si>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</si>
  <si>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</si>
  <si>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</si>
  <si>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</si>
  <si>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Putnam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</si>
  <si>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</si>
  <si>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</si>
  <si>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</si>
  <si>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</si>
  <si>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</si>
  <si>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</si>
  <si>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</si>
  <si>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</si>
  <si>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</si>
  <si>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</si>
  <si>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</si>
  <si>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</si>
  <si>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</si>
  <si>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</si>
  <si>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r>
      <rPr>
        <sz val="11"/>
        <color theme="1"/>
        <rFont val="Calibri"/>
        <family val="2"/>
        <scheme val="minor"/>
      </rPr>
      <t>IN</t>
    </r>
  </si>
  <si>
    <r>
      <rPr>
        <sz val="11"/>
        <color theme="1"/>
        <rFont val="Calibri"/>
        <family val="2"/>
        <scheme val="minor"/>
      </rPr>
      <t>Indiana</t>
    </r>
  </si>
  <si>
    <t>Allen</t>
  </si>
  <si>
    <t>Bartholomew</t>
  </si>
  <si>
    <t>Benton</t>
  </si>
  <si>
    <t>Blackford</t>
  </si>
  <si>
    <t>Boone</t>
  </si>
  <si>
    <t>Brown</t>
  </si>
  <si>
    <t>Cass</t>
  </si>
  <si>
    <t>Clinton</t>
  </si>
  <si>
    <t>Daviess</t>
  </si>
  <si>
    <t>De Kalb</t>
  </si>
  <si>
    <t>Dearborn</t>
  </si>
  <si>
    <t>Delaware</t>
  </si>
  <si>
    <t>Vigo</t>
  </si>
  <si>
    <t>Warrick</t>
  </si>
  <si>
    <t>Wells</t>
  </si>
  <si>
    <t>Whitley</t>
  </si>
  <si>
    <r>
      <rPr>
        <sz val="11"/>
        <color theme="1"/>
        <rFont val="Calibri"/>
        <family val="2"/>
        <scheme val="minor"/>
      </rPr>
      <t>IA</t>
    </r>
  </si>
  <si>
    <r>
      <rPr>
        <sz val="11"/>
        <color theme="1"/>
        <rFont val="Calibri"/>
        <family val="2"/>
        <scheme val="minor"/>
      </rPr>
      <t>Iowa</t>
    </r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</si>
  <si>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</si>
  <si>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</si>
  <si>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</si>
  <si>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</si>
  <si>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</si>
  <si>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</si>
  <si>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</si>
  <si>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</si>
  <si>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</si>
  <si>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</si>
  <si>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</si>
  <si>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</si>
  <si>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</si>
  <si>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</si>
  <si>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</si>
  <si>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</si>
  <si>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Grundy</t>
  </si>
  <si>
    <t>Guthrie</t>
  </si>
  <si>
    <t>Hamilton</t>
  </si>
  <si>
    <t>Hancock</t>
  </si>
  <si>
    <t>Hardin</t>
  </si>
  <si>
    <t>Harrison</t>
  </si>
  <si>
    <t>Humboldt</t>
  </si>
  <si>
    <t>Ida</t>
  </si>
  <si>
    <t>Iowa</t>
  </si>
  <si>
    <t>Jasper</t>
  </si>
  <si>
    <t>Jones</t>
  </si>
  <si>
    <t>Keokuk</t>
  </si>
  <si>
    <t>Kossuth</t>
  </si>
  <si>
    <r>
      <rPr>
        <sz val="11"/>
        <color theme="1"/>
        <rFont val="Calibri"/>
        <family val="2"/>
        <scheme val="minor"/>
      </rPr>
      <t>KS</t>
    </r>
  </si>
  <si>
    <r>
      <rPr>
        <sz val="11"/>
        <color theme="1"/>
        <rFont val="Calibri"/>
        <family val="2"/>
        <scheme val="minor"/>
      </rPr>
      <t>Kansas</t>
    </r>
  </si>
  <si>
    <t>Edwards</t>
  </si>
  <si>
    <t>Elk</t>
  </si>
  <si>
    <t>Ellis</t>
  </si>
  <si>
    <t>Ellsworth</t>
  </si>
  <si>
    <t>Finney</t>
  </si>
  <si>
    <t>Ford</t>
  </si>
  <si>
    <t>Geary</t>
  </si>
  <si>
    <t>Gove</t>
  </si>
  <si>
    <t>Graham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</si>
  <si>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</si>
  <si>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</si>
  <si>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</si>
  <si>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</si>
  <si>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</si>
  <si>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</si>
  <si>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</si>
  <si>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</si>
  <si>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</si>
  <si>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</si>
  <si>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</si>
  <si>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</si>
  <si>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</si>
  <si>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Linn</t>
  </si>
  <si>
    <t>Lyon</t>
  </si>
  <si>
    <t>McPherson</t>
  </si>
  <si>
    <t>Meade</t>
  </si>
  <si>
    <t>Miami</t>
  </si>
  <si>
    <t>Mitchell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</si>
  <si>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</si>
  <si>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</si>
  <si>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</si>
  <si>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</si>
  <si>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</si>
  <si>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</si>
  <si>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</si>
  <si>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</si>
  <si>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</si>
  <si>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</si>
  <si>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</si>
  <si>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</si>
  <si>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</si>
  <si>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</si>
  <si>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</si>
  <si>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</si>
  <si>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</si>
  <si>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</si>
  <si>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Rush</t>
  </si>
  <si>
    <r>
      <rPr>
        <sz val="11"/>
        <color theme="1"/>
        <rFont val="Calibri"/>
        <family val="2"/>
        <scheme val="minor"/>
      </rPr>
      <t>KY</t>
    </r>
  </si>
  <si>
    <r>
      <rPr>
        <sz val="11"/>
        <color theme="1"/>
        <rFont val="Calibri"/>
        <family val="2"/>
        <scheme val="minor"/>
      </rPr>
      <t>Kentucky</t>
    </r>
  </si>
  <si>
    <t>Harlan</t>
  </si>
  <si>
    <t>Hart</t>
  </si>
  <si>
    <t>Henderson</t>
  </si>
  <si>
    <t>Hickman</t>
  </si>
  <si>
    <t>Hopkins</t>
  </si>
  <si>
    <t>Jessamine</t>
  </si>
  <si>
    <t>Kenton</t>
  </si>
  <si>
    <t>Knott</t>
  </si>
  <si>
    <t>Knox</t>
  </si>
  <si>
    <t>Larue</t>
  </si>
  <si>
    <t>Laurel</t>
  </si>
  <si>
    <t>Leslie</t>
  </si>
  <si>
    <t>Letcher</t>
  </si>
  <si>
    <t>Livingston</t>
  </si>
  <si>
    <t>Magoffin</t>
  </si>
  <si>
    <t>Martin</t>
  </si>
  <si>
    <t>McCracken</t>
  </si>
  <si>
    <t>McCreary</t>
  </si>
  <si>
    <t>Menifee</t>
  </si>
  <si>
    <t>Metcalfe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</si>
  <si>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</si>
  <si>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</si>
  <si>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</si>
  <si>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</si>
  <si>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</si>
  <si>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</si>
  <si>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</si>
  <si>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</si>
  <si>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Powell</t>
  </si>
  <si>
    <t>Robertson</t>
  </si>
  <si>
    <t>Rockcastle</t>
  </si>
  <si>
    <t>Rowan</t>
  </si>
  <si>
    <t>Simpson</t>
  </si>
  <si>
    <t>Spencer</t>
  </si>
  <si>
    <t>Taylor</t>
  </si>
  <si>
    <t>Todd</t>
  </si>
  <si>
    <t>Trigg</t>
  </si>
  <si>
    <t>Trimble</t>
  </si>
  <si>
    <r>
      <rPr>
        <sz val="11"/>
        <color theme="1"/>
        <rFont val="Calibri"/>
        <family val="2"/>
        <scheme val="minor"/>
      </rPr>
      <t>LA</t>
    </r>
  </si>
  <si>
    <r>
      <rPr>
        <sz val="11"/>
        <color theme="1"/>
        <rFont val="Calibri"/>
        <family val="2"/>
        <scheme val="minor"/>
      </rPr>
      <t>Louisiana</t>
    </r>
  </si>
  <si>
    <t>Vernon</t>
  </si>
  <si>
    <t>West Baton Rouge</t>
  </si>
  <si>
    <t>West Carroll</t>
  </si>
  <si>
    <t>West Feliciana</t>
  </si>
  <si>
    <t>Winn</t>
  </si>
  <si>
    <r>
      <rPr>
        <sz val="11"/>
        <color theme="1"/>
        <rFont val="Calibri"/>
        <family val="2"/>
        <scheme val="minor"/>
      </rPr>
      <t>ME</t>
    </r>
  </si>
  <si>
    <r>
      <rPr>
        <sz val="11"/>
        <color theme="1"/>
        <rFont val="Calibri"/>
        <family val="2"/>
        <scheme val="minor"/>
      </rPr>
      <t>Maine</t>
    </r>
  </si>
  <si>
    <t>Androscoggin</t>
  </si>
  <si>
    <t>Aroostook</t>
  </si>
  <si>
    <t>Cumberland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</si>
  <si>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</si>
  <si>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</si>
  <si>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</si>
  <si>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</si>
  <si>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</si>
  <si>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</si>
  <si>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</si>
  <si>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</si>
  <si>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r>
      <rPr>
        <sz val="11"/>
        <color theme="1"/>
        <rFont val="Calibri"/>
        <family val="2"/>
        <scheme val="minor"/>
      </rPr>
      <t>MD</t>
    </r>
  </si>
  <si>
    <r>
      <rPr>
        <sz val="11"/>
        <color theme="1"/>
        <rFont val="Calibri"/>
        <family val="2"/>
        <scheme val="minor"/>
      </rPr>
      <t>Maryland</t>
    </r>
  </si>
  <si>
    <t>Allegany</t>
  </si>
  <si>
    <t>Anne Arundel</t>
  </si>
  <si>
    <t>Baltimore</t>
  </si>
  <si>
    <t>Baltimore (city)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</si>
  <si>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</si>
  <si>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</si>
  <si>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</si>
  <si>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</si>
  <si>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</si>
  <si>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</si>
  <si>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</si>
  <si>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</si>
  <si>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</si>
  <si>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</si>
  <si>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</si>
  <si>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Talbot</t>
  </si>
  <si>
    <t>Wicomico</t>
  </si>
  <si>
    <t>Worcester</t>
  </si>
  <si>
    <r>
      <rPr>
        <sz val="11"/>
        <color theme="1"/>
        <rFont val="Calibri"/>
        <family val="2"/>
        <scheme val="minor"/>
      </rPr>
      <t>MA</t>
    </r>
  </si>
  <si>
    <r>
      <rPr>
        <sz val="11"/>
        <color theme="1"/>
        <rFont val="Calibri"/>
        <family val="2"/>
        <scheme val="minor"/>
      </rPr>
      <t>Massachusetts</t>
    </r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</si>
  <si>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</si>
  <si>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</si>
  <si>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</si>
  <si>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</si>
  <si>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</si>
  <si>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</si>
  <si>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</si>
  <si>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</si>
  <si>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</si>
  <si>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Plymouth</t>
  </si>
  <si>
    <t>Suffolk</t>
  </si>
  <si>
    <r>
      <rPr>
        <sz val="11"/>
        <color theme="1"/>
        <rFont val="Calibri"/>
        <family val="2"/>
        <scheme val="minor"/>
      </rPr>
      <t>MI</t>
    </r>
  </si>
  <si>
    <r>
      <rPr>
        <sz val="11"/>
        <color theme="1"/>
        <rFont val="Calibri"/>
        <family val="2"/>
        <scheme val="minor"/>
      </rPr>
      <t>Michigan</t>
    </r>
  </si>
  <si>
    <t>Alcona</t>
  </si>
  <si>
    <t>Alger</t>
  </si>
  <si>
    <t>Allegan</t>
  </si>
  <si>
    <t>Alpena</t>
  </si>
  <si>
    <t>Presque Isle</t>
  </si>
  <si>
    <t>Roscommon</t>
  </si>
  <si>
    <t>Saginaw</t>
  </si>
  <si>
    <t>Sanilac</t>
  </si>
  <si>
    <t>Schoolcraft</t>
  </si>
  <si>
    <t>Shiawassee</t>
  </si>
  <si>
    <t>St. Joseph</t>
  </si>
  <si>
    <t>Tuscola</t>
  </si>
  <si>
    <t>Washtenaw</t>
  </si>
  <si>
    <t>Wexford</t>
  </si>
  <si>
    <r>
      <rPr>
        <sz val="11"/>
        <color theme="1"/>
        <rFont val="Calibri"/>
        <family val="2"/>
        <scheme val="minor"/>
      </rPr>
      <t>MN</t>
    </r>
  </si>
  <si>
    <r>
      <rPr>
        <sz val="11"/>
        <color theme="1"/>
        <rFont val="Calibri"/>
        <family val="2"/>
        <scheme val="minor"/>
      </rPr>
      <t>Minnesota</t>
    </r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</si>
  <si>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</si>
  <si>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</si>
  <si>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</si>
  <si>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</si>
  <si>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</si>
  <si>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</si>
  <si>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</si>
  <si>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</si>
  <si>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Chippewa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</si>
  <si>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</si>
  <si>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</si>
  <si>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</si>
  <si>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</si>
  <si>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</si>
  <si>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</si>
  <si>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</si>
  <si>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</si>
  <si>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</si>
  <si>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</si>
  <si>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</si>
  <si>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</si>
  <si>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</si>
  <si>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</si>
  <si>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</si>
  <si>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</si>
  <si>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</si>
  <si>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</si>
  <si>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</si>
  <si>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</si>
  <si>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</si>
  <si>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</si>
  <si>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</si>
  <si>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</si>
  <si>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</si>
  <si>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Murray</t>
  </si>
  <si>
    <r>
      <rPr>
        <sz val="11"/>
        <color theme="1"/>
        <rFont val="Calibri"/>
        <family val="2"/>
        <scheme val="minor"/>
      </rPr>
      <t>MS</t>
    </r>
  </si>
  <si>
    <r>
      <rPr>
        <sz val="11"/>
        <color theme="1"/>
        <rFont val="Calibri"/>
        <family val="2"/>
        <scheme val="minor"/>
      </rPr>
      <t>Mississippi</t>
    </r>
  </si>
  <si>
    <t>Jefferson Davis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</si>
  <si>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</si>
  <si>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</si>
  <si>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</si>
  <si>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</si>
  <si>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</si>
  <si>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</si>
  <si>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</si>
  <si>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</si>
  <si>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</si>
  <si>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</si>
  <si>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Quitman</t>
  </si>
  <si>
    <t>Rankin</t>
  </si>
  <si>
    <t>Sharkey</t>
  </si>
  <si>
    <t>Smith</t>
  </si>
  <si>
    <t>Sunflower</t>
  </si>
  <si>
    <t>Tallahatchie</t>
  </si>
  <si>
    <t>Tate</t>
  </si>
  <si>
    <t>Tippah</t>
  </si>
  <si>
    <t>Tishomingo</t>
  </si>
  <si>
    <t>Tunica</t>
  </si>
  <si>
    <t>Walthall</t>
  </si>
  <si>
    <t>Winston</t>
  </si>
  <si>
    <t>Yalobusha</t>
  </si>
  <si>
    <t>Yazoo</t>
  </si>
  <si>
    <r>
      <rPr>
        <sz val="11"/>
        <color theme="1"/>
        <rFont val="Calibri"/>
        <family val="2"/>
        <scheme val="minor"/>
      </rPr>
      <t>MO</t>
    </r>
  </si>
  <si>
    <r>
      <rPr>
        <sz val="11"/>
        <color theme="1"/>
        <rFont val="Calibri"/>
        <family val="2"/>
        <scheme val="minor"/>
      </rPr>
      <t>Missouri</t>
    </r>
  </si>
  <si>
    <t>Andrew</t>
  </si>
  <si>
    <t>Atchison</t>
  </si>
  <si>
    <t>Audrain</t>
  </si>
  <si>
    <t>Barry</t>
  </si>
  <si>
    <t>Barton</t>
  </si>
  <si>
    <t>Bates</t>
  </si>
  <si>
    <t>Bollinger</t>
  </si>
  <si>
    <t>Pemiscot</t>
  </si>
  <si>
    <t>Pettis</t>
  </si>
  <si>
    <t>Phelps</t>
  </si>
  <si>
    <t>Platte</t>
  </si>
  <si>
    <t>Ralls</t>
  </si>
  <si>
    <t>Ray</t>
  </si>
  <si>
    <t>Reynolds</t>
  </si>
  <si>
    <t>Ripley</t>
  </si>
  <si>
    <t>Scotland</t>
  </si>
  <si>
    <t>Shannon</t>
  </si>
  <si>
    <t>St. Charles</t>
  </si>
  <si>
    <t>St. Francois</t>
  </si>
  <si>
    <t>St. Louis</t>
  </si>
  <si>
    <t>St. Louis (city)</t>
  </si>
  <si>
    <t>Ste. Genevieve</t>
  </si>
  <si>
    <t>Stoddard</t>
  </si>
  <si>
    <t>Sullivan</t>
  </si>
  <si>
    <t>Taney</t>
  </si>
  <si>
    <t>Texas</t>
  </si>
  <si>
    <t>Wright</t>
  </si>
  <si>
    <r>
      <rPr>
        <sz val="11"/>
        <color theme="1"/>
        <rFont val="Calibri"/>
        <family val="2"/>
        <scheme val="minor"/>
      </rPr>
      <t>MT</t>
    </r>
  </si>
  <si>
    <r>
      <rPr>
        <sz val="11"/>
        <color theme="1"/>
        <rFont val="Calibri"/>
        <family val="2"/>
        <scheme val="minor"/>
      </rPr>
      <t>Montana</t>
    </r>
  </si>
  <si>
    <t>Beaverhead</t>
  </si>
  <si>
    <t>Big Horn</t>
  </si>
  <si>
    <t>Broadwater</t>
  </si>
  <si>
    <t>Carbon</t>
  </si>
  <si>
    <t>Carter</t>
  </si>
  <si>
    <t>Cascade</t>
  </si>
  <si>
    <t>Chouteau</t>
  </si>
  <si>
    <t>Daniels</t>
  </si>
  <si>
    <t>Deer Lodge</t>
  </si>
  <si>
    <t>Fallon</t>
  </si>
  <si>
    <t>Fergus</t>
  </si>
  <si>
    <t>Flathead</t>
  </si>
  <si>
    <t>Gallatin</t>
  </si>
  <si>
    <t>Glacier</t>
  </si>
  <si>
    <t>Golden Valley</t>
  </si>
  <si>
    <t>Granite</t>
  </si>
  <si>
    <t>Hill</t>
  </si>
  <si>
    <t>Judith Basin</t>
  </si>
  <si>
    <t>Lewis and Clark</t>
  </si>
  <si>
    <t>Liberty</t>
  </si>
  <si>
    <r>
      <rPr>
        <sz val="11"/>
        <color theme="1"/>
        <rFont val="Calibri"/>
        <family val="2"/>
        <scheme val="minor"/>
      </rPr>
      <t>NE</t>
    </r>
  </si>
  <si>
    <r>
      <rPr>
        <sz val="11"/>
        <color theme="1"/>
        <rFont val="Calibri"/>
        <family val="2"/>
        <scheme val="minor"/>
      </rPr>
      <t>Nebraska</t>
    </r>
  </si>
  <si>
    <t>Gosper</t>
  </si>
  <si>
    <t>Hall</t>
  </si>
  <si>
    <t>Hayes</t>
  </si>
  <si>
    <t>Hitchcock</t>
  </si>
  <si>
    <t>Holt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</si>
  <si>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</si>
  <si>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</si>
  <si>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</si>
  <si>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</si>
  <si>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</si>
  <si>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</si>
  <si>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</si>
  <si>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</si>
  <si>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</si>
  <si>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</si>
  <si>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</si>
  <si>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</si>
  <si>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</si>
  <si>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Pierce</t>
  </si>
  <si>
    <t>Red Willow</t>
  </si>
  <si>
    <t>Richardson</t>
  </si>
  <si>
    <t>Rock</t>
  </si>
  <si>
    <t>Sarpy</t>
  </si>
  <si>
    <t>Saunders</t>
  </si>
  <si>
    <t>Scotts Bluff</t>
  </si>
  <si>
    <t>Seward</t>
  </si>
  <si>
    <t>Sheridan</t>
  </si>
  <si>
    <t>Sherman</t>
  </si>
  <si>
    <t>Sioux</t>
  </si>
  <si>
    <t>Stanton</t>
  </si>
  <si>
    <t>Thayer</t>
  </si>
  <si>
    <t>Thurston</t>
  </si>
  <si>
    <t>Valley</t>
  </si>
  <si>
    <r>
      <rPr>
        <sz val="11"/>
        <color theme="1"/>
        <rFont val="Calibri"/>
        <family val="2"/>
        <scheme val="minor"/>
      </rPr>
      <t>NV</t>
    </r>
  </si>
  <si>
    <r>
      <rPr>
        <sz val="11"/>
        <color theme="1"/>
        <rFont val="Calibri"/>
        <family val="2"/>
        <scheme val="minor"/>
      </rPr>
      <t>Nevada</t>
    </r>
  </si>
  <si>
    <t>Carson City (city)</t>
  </si>
  <si>
    <t>Churchill</t>
  </si>
  <si>
    <t>Elko</t>
  </si>
  <si>
    <t>Esmeralda</t>
  </si>
  <si>
    <t>Eureka</t>
  </si>
  <si>
    <r>
      <rPr>
        <sz val="11"/>
        <color theme="1"/>
        <rFont val="Calibri"/>
        <family val="2"/>
        <scheme val="minor"/>
      </rPr>
      <t>NM</t>
    </r>
  </si>
  <si>
    <r>
      <rPr>
        <sz val="11"/>
        <color theme="1"/>
        <rFont val="Calibri"/>
        <family val="2"/>
        <scheme val="minor"/>
      </rPr>
      <t>New Mexico</t>
    </r>
  </si>
  <si>
    <t>Sandoval</t>
  </si>
  <si>
    <t>Santa Fe</t>
  </si>
  <si>
    <t>Sierra</t>
  </si>
  <si>
    <t>Socorro</t>
  </si>
  <si>
    <t>Taos</t>
  </si>
  <si>
    <t>Torrance</t>
  </si>
  <si>
    <t>Valencia</t>
  </si>
  <si>
    <r>
      <rPr>
        <sz val="11"/>
        <color theme="1"/>
        <rFont val="Calibri"/>
        <family val="2"/>
        <scheme val="minor"/>
      </rPr>
      <t>NY</t>
    </r>
  </si>
  <si>
    <r>
      <rPr>
        <sz val="11"/>
        <color theme="1"/>
        <rFont val="Calibri"/>
        <family val="2"/>
        <scheme val="minor"/>
      </rPr>
      <t>New York</t>
    </r>
  </si>
  <si>
    <t>Albany</t>
  </si>
  <si>
    <t>Bronx</t>
  </si>
  <si>
    <t>Broome</t>
  </si>
  <si>
    <t>Cattaraugus</t>
  </si>
  <si>
    <t>Cayuga</t>
  </si>
  <si>
    <t>Chautauqua</t>
  </si>
  <si>
    <t>Chemung</t>
  </si>
  <si>
    <t>Chenango</t>
  </si>
  <si>
    <t>Cortland</t>
  </si>
  <si>
    <t>Dutchess</t>
  </si>
  <si>
    <t>Erie</t>
  </si>
  <si>
    <t>Genesee</t>
  </si>
  <si>
    <t>Herkimer</t>
  </si>
  <si>
    <t>Kings</t>
  </si>
  <si>
    <t>Nassau</t>
  </si>
  <si>
    <t>New York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</si>
  <si>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</si>
  <si>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</si>
  <si>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</si>
  <si>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</si>
  <si>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</si>
  <si>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</si>
  <si>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</si>
  <si>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</si>
  <si>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Queens</t>
  </si>
  <si>
    <t>Rensselaer</t>
  </si>
  <si>
    <t>Richmond</t>
  </si>
  <si>
    <t>Rockland</t>
  </si>
  <si>
    <t>Saratoga</t>
  </si>
  <si>
    <t>Schenectady</t>
  </si>
  <si>
    <t>Schoharie</t>
  </si>
  <si>
    <t>Seneca</t>
  </si>
  <si>
    <t>St. Lawrence</t>
  </si>
  <si>
    <t>Steuben</t>
  </si>
  <si>
    <t>Tioga</t>
  </si>
  <si>
    <t>Tompkins</t>
  </si>
  <si>
    <t>Ulster</t>
  </si>
  <si>
    <r>
      <rPr>
        <sz val="11"/>
        <color theme="1"/>
        <rFont val="Calibri"/>
        <family val="2"/>
        <scheme val="minor"/>
      </rPr>
      <t>NC</t>
    </r>
  </si>
  <si>
    <r>
      <rPr>
        <sz val="11"/>
        <color theme="1"/>
        <rFont val="Calibri"/>
        <family val="2"/>
        <scheme val="minor"/>
      </rPr>
      <t>North Carolina</t>
    </r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</si>
  <si>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</si>
  <si>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</si>
  <si>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</si>
  <si>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</si>
  <si>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</si>
  <si>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</si>
  <si>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</si>
  <si>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</si>
  <si>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</si>
  <si>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</si>
  <si>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</si>
  <si>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</si>
  <si>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</si>
  <si>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</si>
  <si>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</si>
  <si>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</si>
  <si>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</si>
  <si>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</si>
  <si>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</si>
  <si>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</si>
  <si>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</si>
  <si>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</si>
  <si>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</si>
  <si>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</si>
  <si>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Wilson</t>
  </si>
  <si>
    <t>Yadkin</t>
  </si>
  <si>
    <t>Yancey</t>
  </si>
  <si>
    <r>
      <rPr>
        <sz val="11"/>
        <color theme="1"/>
        <rFont val="Calibri"/>
        <family val="2"/>
        <scheme val="minor"/>
      </rPr>
      <t>ND</t>
    </r>
  </si>
  <si>
    <r>
      <rPr>
        <sz val="11"/>
        <color theme="1"/>
        <rFont val="Calibri"/>
        <family val="2"/>
        <scheme val="minor"/>
      </rPr>
      <t>North Dakota</t>
    </r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</si>
  <si>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</si>
  <si>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</si>
  <si>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</si>
  <si>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</si>
  <si>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</si>
  <si>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</si>
  <si>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</si>
  <si>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</si>
  <si>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</si>
  <si>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</si>
  <si>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</si>
  <si>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</si>
  <si>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</si>
  <si>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</si>
  <si>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</si>
  <si>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</si>
  <si>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</si>
  <si>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</si>
  <si>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r>
      <rPr>
        <sz val="11"/>
        <color theme="1"/>
        <rFont val="Calibri"/>
        <family val="2"/>
        <scheme val="minor"/>
      </rPr>
      <t>OH</t>
    </r>
  </si>
  <si>
    <r>
      <rPr>
        <sz val="11"/>
        <color theme="1"/>
        <rFont val="Calibri"/>
        <family val="2"/>
        <scheme val="minor"/>
      </rPr>
      <t>Ohio</t>
    </r>
  </si>
  <si>
    <t>Holmes</t>
  </si>
  <si>
    <t>Huron</t>
  </si>
  <si>
    <t>Licking</t>
  </si>
  <si>
    <t>Lorain</t>
  </si>
  <si>
    <t>Lucas</t>
  </si>
  <si>
    <t>Mahoning</t>
  </si>
  <si>
    <t>Medina</t>
  </si>
  <si>
    <t>Meigs</t>
  </si>
  <si>
    <t>Morrow</t>
  </si>
  <si>
    <t>Muskingum</t>
  </si>
  <si>
    <t>Noble</t>
  </si>
  <si>
    <t>Paulding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</si>
  <si>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</si>
  <si>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</si>
  <si>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</si>
  <si>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</si>
  <si>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</si>
  <si>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</si>
  <si>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</si>
  <si>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</si>
  <si>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</si>
  <si>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</si>
  <si>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Williams</t>
  </si>
  <si>
    <t>Wood</t>
  </si>
  <si>
    <t>Wyandot</t>
  </si>
  <si>
    <r>
      <rPr>
        <sz val="11"/>
        <color theme="1"/>
        <rFont val="Calibri"/>
        <family val="2"/>
        <scheme val="minor"/>
      </rPr>
      <t>OK</t>
    </r>
  </si>
  <si>
    <r>
      <rPr>
        <sz val="11"/>
        <color theme="1"/>
        <rFont val="Calibri"/>
        <family val="2"/>
        <scheme val="minor"/>
      </rPr>
      <t>Oklahoma</t>
    </r>
  </si>
  <si>
    <t>Alfalfa</t>
  </si>
  <si>
    <t>Atoka</t>
  </si>
  <si>
    <t>Beaver</t>
  </si>
  <si>
    <t>Beckham</t>
  </si>
  <si>
    <t>Caddo</t>
  </si>
  <si>
    <t>Canadian</t>
  </si>
  <si>
    <t>Cimarron</t>
  </si>
  <si>
    <t>Cleveland</t>
  </si>
  <si>
    <r>
      <rPr>
        <sz val="11"/>
        <color theme="1"/>
        <rFont val="Calibri"/>
        <family val="2"/>
        <scheme val="minor"/>
      </rPr>
      <t>OR</t>
    </r>
  </si>
  <si>
    <r>
      <rPr>
        <sz val="11"/>
        <color theme="1"/>
        <rFont val="Calibri"/>
        <family val="2"/>
        <scheme val="minor"/>
      </rPr>
      <t>Oregon</t>
    </r>
  </si>
  <si>
    <t>Clackamas</t>
  </si>
  <si>
    <t>Clatsop</t>
  </si>
  <si>
    <t>Coos</t>
  </si>
  <si>
    <t>Crook</t>
  </si>
  <si>
    <t>Curry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</si>
  <si>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</si>
  <si>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</si>
  <si>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</si>
  <si>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</si>
  <si>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</si>
  <si>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</si>
  <si>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</si>
  <si>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</si>
  <si>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</si>
  <si>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</si>
  <si>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</si>
  <si>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</si>
  <si>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</si>
  <si>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r>
      <rPr>
        <sz val="11"/>
        <color theme="1"/>
        <rFont val="Calibri"/>
        <family val="2"/>
        <scheme val="minor"/>
      </rPr>
      <t>PA</t>
    </r>
  </si>
  <si>
    <r>
      <rPr>
        <sz val="11"/>
        <color theme="1"/>
        <rFont val="Calibri"/>
        <family val="2"/>
        <scheme val="minor"/>
      </rPr>
      <t>Pennsylvania</t>
    </r>
  </si>
  <si>
    <t>Allegheny</t>
  </si>
  <si>
    <t>Armstrong</t>
  </si>
  <si>
    <t>Bedford</t>
  </si>
  <si>
    <t>Berks</t>
  </si>
  <si>
    <t>Blair</t>
  </si>
  <si>
    <t>Bucks</t>
  </si>
  <si>
    <t>Cambria</t>
  </si>
  <si>
    <t>Cameron</t>
  </si>
  <si>
    <t>Centre</t>
  </si>
  <si>
    <t>Chester</t>
  </si>
  <si>
    <t>Clarion</t>
  </si>
  <si>
    <t>Clearfield</t>
  </si>
  <si>
    <t>Dauphin</t>
  </si>
  <si>
    <t>Forest</t>
  </si>
  <si>
    <t>Huntingdon</t>
  </si>
  <si>
    <r>
      <rPr>
        <sz val="11"/>
        <color theme="1"/>
        <rFont val="Calibri"/>
        <family val="2"/>
        <scheme val="minor"/>
      </rPr>
      <t>SC</t>
    </r>
  </si>
  <si>
    <r>
      <rPr>
        <sz val="11"/>
        <color theme="1"/>
        <rFont val="Calibri"/>
        <family val="2"/>
        <scheme val="minor"/>
      </rPr>
      <t>South Carolina</t>
    </r>
  </si>
  <si>
    <t>Hampton</t>
  </si>
  <si>
    <t>Horry</t>
  </si>
  <si>
    <t>Kershaw</t>
  </si>
  <si>
    <t>Laurens</t>
  </si>
  <si>
    <t>Lexington</t>
  </si>
  <si>
    <t>Marlboro</t>
  </si>
  <si>
    <t>McCormick</t>
  </si>
  <si>
    <t>Newberry</t>
  </si>
  <si>
    <t>Oconee</t>
  </si>
  <si>
    <t>Orangeburg</t>
  </si>
  <si>
    <t>Saluda</t>
  </si>
  <si>
    <t>Spartanburg</t>
  </si>
  <si>
    <t>Williamsburg</t>
  </si>
  <si>
    <r>
      <rPr>
        <sz val="11"/>
        <color theme="1"/>
        <rFont val="Calibri"/>
        <family val="2"/>
        <scheme val="minor"/>
      </rPr>
      <t>SD</t>
    </r>
  </si>
  <si>
    <r>
      <rPr>
        <sz val="11"/>
        <color theme="1"/>
        <rFont val="Calibri"/>
        <family val="2"/>
        <scheme val="minor"/>
      </rPr>
      <t>South Dakota</t>
    </r>
  </si>
  <si>
    <t>Aurora</t>
  </si>
  <si>
    <t>Beadle</t>
  </si>
  <si>
    <t>Bennett</t>
  </si>
  <si>
    <t>Bon Homme</t>
  </si>
  <si>
    <t>Brookings</t>
  </si>
  <si>
    <t>Brule</t>
  </si>
  <si>
    <t>Buffalo</t>
  </si>
  <si>
    <t>Campbell</t>
  </si>
  <si>
    <t>Charles Mix</t>
  </si>
  <si>
    <t>Codington</t>
  </si>
  <si>
    <t>Corson</t>
  </si>
  <si>
    <t>Davison</t>
  </si>
  <si>
    <t>Day</t>
  </si>
  <si>
    <t>Deuel</t>
  </si>
  <si>
    <t>Dewey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</si>
  <si>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</si>
  <si>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</si>
  <si>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</si>
  <si>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</si>
  <si>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</si>
  <si>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</si>
  <si>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</si>
  <si>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</si>
  <si>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Harding</t>
  </si>
  <si>
    <t>Hughes</t>
  </si>
  <si>
    <t>Hutchinson</t>
  </si>
  <si>
    <t>Hyde</t>
  </si>
  <si>
    <t>Jerauld</t>
  </si>
  <si>
    <t>Kingsbury</t>
  </si>
  <si>
    <t>Lyman</t>
  </si>
  <si>
    <r>
      <rPr>
        <sz val="11"/>
        <color theme="1"/>
        <rFont val="Calibri"/>
        <family val="2"/>
        <scheme val="minor"/>
      </rPr>
      <t>TN</t>
    </r>
  </si>
  <si>
    <r>
      <rPr>
        <sz val="11"/>
        <color theme="1"/>
        <rFont val="Calibri"/>
        <family val="2"/>
        <scheme val="minor"/>
      </rPr>
      <t>Tennessee</t>
    </r>
  </si>
  <si>
    <t>Humphreys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</si>
  <si>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</si>
  <si>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</si>
  <si>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</si>
  <si>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</si>
  <si>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</si>
  <si>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</si>
  <si>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</si>
  <si>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</si>
  <si>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</si>
  <si>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</si>
  <si>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Stewart</t>
  </si>
  <si>
    <t>Sumner</t>
  </si>
  <si>
    <t>Tipton</t>
  </si>
  <si>
    <t>Trousdale</t>
  </si>
  <si>
    <t>Unicoi</t>
  </si>
  <si>
    <t>Weakley</t>
  </si>
  <si>
    <r>
      <rPr>
        <sz val="11"/>
        <color theme="1"/>
        <rFont val="Calibri"/>
        <family val="2"/>
        <scheme val="minor"/>
      </rPr>
      <t>TX</t>
    </r>
  </si>
  <si>
    <r>
      <rPr>
        <sz val="11"/>
        <color theme="1"/>
        <rFont val="Calibri"/>
        <family val="2"/>
        <scheme val="minor"/>
      </rPr>
      <t>Texas</t>
    </r>
  </si>
  <si>
    <t>Anderson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</si>
  <si>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</si>
  <si>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</si>
  <si>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</si>
  <si>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</si>
  <si>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</si>
  <si>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</si>
  <si>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</si>
  <si>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</si>
  <si>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</si>
  <si>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</si>
  <si>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</si>
  <si>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</si>
  <si>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</si>
  <si>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</si>
  <si>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</si>
  <si>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</si>
  <si>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</si>
  <si>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</si>
  <si>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</si>
  <si>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</si>
  <si>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</si>
  <si>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Grayson</t>
  </si>
  <si>
    <t>Gregg</t>
  </si>
  <si>
    <t>Grimes</t>
  </si>
  <si>
    <t>Guadalupe</t>
  </si>
  <si>
    <t>Hansford</t>
  </si>
  <si>
    <t>Hardeman</t>
  </si>
  <si>
    <t>Harris</t>
  </si>
  <si>
    <t>Hartley</t>
  </si>
  <si>
    <t>Hays</t>
  </si>
  <si>
    <t>Hemphill</t>
  </si>
  <si>
    <t>Hidalgo</t>
  </si>
  <si>
    <t>Hockley</t>
  </si>
  <si>
    <t>Hood</t>
  </si>
  <si>
    <t>Hudspeth</t>
  </si>
  <si>
    <t>Hunt</t>
  </si>
  <si>
    <t>Irion</t>
  </si>
  <si>
    <t>Jack</t>
  </si>
  <si>
    <t>Jeff Davis</t>
  </si>
  <si>
    <t>Jim Hogg</t>
  </si>
  <si>
    <t>Jim Wells</t>
  </si>
  <si>
    <t>Karnes</t>
  </si>
  <si>
    <t>Kaufman</t>
  </si>
  <si>
    <t>Kendall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</si>
  <si>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</si>
  <si>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</si>
  <si>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</si>
  <si>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</si>
  <si>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</si>
  <si>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</si>
  <si>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</si>
  <si>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</si>
  <si>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</si>
  <si>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Scurry</t>
  </si>
  <si>
    <t>Shackelford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</si>
  <si>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</si>
  <si>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</si>
  <si>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</si>
  <si>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</si>
  <si>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</si>
  <si>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</si>
  <si>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</si>
  <si>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</si>
  <si>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</si>
  <si>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</si>
  <si>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</si>
  <si>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</si>
  <si>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</si>
  <si>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</si>
  <si>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</si>
  <si>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</si>
  <si>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</si>
  <si>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</si>
  <si>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</si>
  <si>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</si>
  <si>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</si>
  <si>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</si>
  <si>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Ward</t>
  </si>
  <si>
    <t>Webb</t>
  </si>
  <si>
    <t>Wharton</t>
  </si>
  <si>
    <t>Wichita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</si>
  <si>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</si>
  <si>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</si>
  <si>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</si>
  <si>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</si>
  <si>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</si>
  <si>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</si>
  <si>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</si>
  <si>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</si>
  <si>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r>
      <rPr>
        <sz val="11"/>
        <color theme="1"/>
        <rFont val="Calibri"/>
        <family val="2"/>
        <scheme val="minor"/>
      </rPr>
      <t>UT</t>
    </r>
  </si>
  <si>
    <r>
      <rPr>
        <sz val="11"/>
        <color theme="1"/>
        <rFont val="Calibri"/>
        <family val="2"/>
        <scheme val="minor"/>
      </rPr>
      <t>Utah</t>
    </r>
  </si>
  <si>
    <t>Box Elder</t>
  </si>
  <si>
    <t>Cache</t>
  </si>
  <si>
    <t>Daggett</t>
  </si>
  <si>
    <t>Duchesne</t>
  </si>
  <si>
    <t>Emery</t>
  </si>
  <si>
    <t>Iron</t>
  </si>
  <si>
    <t>Juab</t>
  </si>
  <si>
    <t>Kane</t>
  </si>
  <si>
    <t>Millard</t>
  </si>
  <si>
    <t>Piute</t>
  </si>
  <si>
    <t>Rich</t>
  </si>
  <si>
    <t>Salt Lake</t>
  </si>
  <si>
    <r>
      <rPr>
        <sz val="11"/>
        <color theme="1"/>
        <rFont val="Calibri"/>
        <family val="2"/>
        <scheme val="minor"/>
      </rPr>
      <t>VA</t>
    </r>
  </si>
  <si>
    <r>
      <rPr>
        <sz val="11"/>
        <color theme="1"/>
        <rFont val="Calibri"/>
        <family val="2"/>
        <scheme val="minor"/>
      </rPr>
      <t>Virginia</t>
    </r>
  </si>
  <si>
    <t>Fairfax (city)</t>
  </si>
  <si>
    <t>Falls Church (city)</t>
  </si>
  <si>
    <t>Fauquier</t>
  </si>
  <si>
    <t>Fluvanna</t>
  </si>
  <si>
    <t>Franklin (city)</t>
  </si>
  <si>
    <t>Fredericksburg (city)</t>
  </si>
  <si>
    <t>Galax (city)</t>
  </si>
  <si>
    <t>Giles</t>
  </si>
  <si>
    <t>Gloucester</t>
  </si>
  <si>
    <t>Goochland</t>
  </si>
  <si>
    <t>Greensville</t>
  </si>
  <si>
    <t>Halifax</t>
  </si>
  <si>
    <t>Hampton (city)</t>
  </si>
  <si>
    <t>Hanover</t>
  </si>
  <si>
    <t>Harrisonburg (city)</t>
  </si>
  <si>
    <t>Henrico</t>
  </si>
  <si>
    <t>Highland</t>
  </si>
  <si>
    <t>Hopewell (city)</t>
  </si>
  <si>
    <t>Isle of Wight</t>
  </si>
  <si>
    <t>James City</t>
  </si>
  <si>
    <t>King and Queen</t>
  </si>
  <si>
    <t>King George</t>
  </si>
  <si>
    <t>King William</t>
  </si>
  <si>
    <t>Lexington (city)</t>
  </si>
  <si>
    <t>Loudoun</t>
  </si>
  <si>
    <t>Louisa</t>
  </si>
  <si>
    <t>Lunenburg</t>
  </si>
  <si>
    <t>Lynchburg (city)</t>
  </si>
  <si>
    <t>Manassas (city)</t>
  </si>
  <si>
    <t>Manassas Park (city)</t>
  </si>
  <si>
    <t>Martinsville (city)</t>
  </si>
  <si>
    <t>Mathews</t>
  </si>
  <si>
    <t>Mecklenburg</t>
  </si>
  <si>
    <t>New Kent</t>
  </si>
  <si>
    <t>Newport News (city)</t>
  </si>
  <si>
    <t>Norfolk (city)</t>
  </si>
  <si>
    <t>Northumberland</t>
  </si>
  <si>
    <t>Norton (city)</t>
  </si>
  <si>
    <t>Nottoway</t>
  </si>
  <si>
    <t>Page</t>
  </si>
  <si>
    <t>Patrick</t>
  </si>
  <si>
    <t>Petersburg (city)</t>
  </si>
  <si>
    <t>Pittsylvania</t>
  </si>
  <si>
    <t>Poquoson (city)</t>
  </si>
  <si>
    <t>Portsmouth (city)</t>
  </si>
  <si>
    <t>Powhatan</t>
  </si>
  <si>
    <t>Prince Edward</t>
  </si>
  <si>
    <t>Prince George</t>
  </si>
  <si>
    <t>Prince William</t>
  </si>
  <si>
    <t>Radford (city)</t>
  </si>
  <si>
    <r>
      <rPr>
        <sz val="11"/>
        <color theme="1"/>
        <rFont val="Calibri"/>
        <family val="2"/>
        <scheme val="minor"/>
      </rPr>
      <t>WA</t>
    </r>
  </si>
  <si>
    <r>
      <rPr>
        <sz val="11"/>
        <color theme="1"/>
        <rFont val="Calibri"/>
        <family val="2"/>
        <scheme val="minor"/>
      </rPr>
      <t>Washington</t>
    </r>
  </si>
  <si>
    <t>Walla Walla</t>
  </si>
  <si>
    <t>Whatcom</t>
  </si>
  <si>
    <t>Whitman</t>
  </si>
  <si>
    <t>Yakima</t>
  </si>
  <si>
    <r>
      <rPr>
        <sz val="11"/>
        <color theme="1"/>
        <rFont val="Calibri"/>
        <family val="2"/>
        <scheme val="minor"/>
      </rPr>
      <t>WV</t>
    </r>
  </si>
  <si>
    <r>
      <rPr>
        <sz val="11"/>
        <color theme="1"/>
        <rFont val="Calibri"/>
        <family val="2"/>
        <scheme val="minor"/>
      </rPr>
      <t>West Virginia</t>
    </r>
  </si>
  <si>
    <t>Berkeley</t>
  </si>
  <si>
    <t>Braxton</t>
  </si>
  <si>
    <t>Brooke</t>
  </si>
  <si>
    <t>Cabell</t>
  </si>
  <si>
    <t>Doddridge</t>
  </si>
  <si>
    <t>Greenbrier</t>
  </si>
  <si>
    <t>Hardy</t>
  </si>
  <si>
    <t>Kanawha</t>
  </si>
  <si>
    <t>McDowell</t>
  </si>
  <si>
    <t>Mingo</t>
  </si>
  <si>
    <t>Monongalia</t>
  </si>
  <si>
    <t>Pleasants</t>
  </si>
  <si>
    <t>Pocahontas</t>
  </si>
  <si>
    <t>Preston</t>
  </si>
  <si>
    <t>Raleigh</t>
  </si>
  <si>
    <t>Ritchie</t>
  </si>
  <si>
    <t>Summers</t>
  </si>
  <si>
    <t>Tucker</t>
  </si>
  <si>
    <t>Wetzel</t>
  </si>
  <si>
    <t>Wirt</t>
  </si>
  <si>
    <t>Wyoming</t>
  </si>
  <si>
    <r>
      <rPr>
        <sz val="11"/>
        <color theme="1"/>
        <rFont val="Calibri"/>
        <family val="2"/>
        <scheme val="minor"/>
      </rPr>
      <t>WI</t>
    </r>
  </si>
  <si>
    <r>
      <rPr>
        <sz val="11"/>
        <color theme="1"/>
        <rFont val="Calibri"/>
        <family val="2"/>
        <scheme val="minor"/>
      </rPr>
      <t>Wisconsin</t>
    </r>
  </si>
  <si>
    <t>Ashland</t>
  </si>
  <si>
    <t>Barron</t>
  </si>
  <si>
    <t>Bayfield</t>
  </si>
  <si>
    <r>
      <rPr>
        <sz val="11"/>
        <color theme="1"/>
        <rFont val="Calibri"/>
        <family val="2"/>
        <scheme val="minor"/>
      </rPr>
      <t>WY</t>
    </r>
  </si>
  <si>
    <r>
      <rPr>
        <sz val="11"/>
        <color theme="1"/>
        <rFont val="Calibri"/>
        <family val="2"/>
        <scheme val="minor"/>
      </rPr>
      <t>Wyoming</t>
    </r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</si>
  <si>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</si>
  <si>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</si>
  <si>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</si>
  <si>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</si>
  <si>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</si>
  <si>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</si>
  <si>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</si>
  <si>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</si>
  <si>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Teton</t>
  </si>
  <si>
    <t>Uinta</t>
  </si>
  <si>
    <t>Washakie</t>
  </si>
  <si>
    <t>Weston</t>
  </si>
  <si>
    <t>AL</t>
  </si>
  <si>
    <t>Alabama</t>
  </si>
  <si>
    <t>AK</t>
  </si>
  <si>
    <t>Alaska</t>
  </si>
  <si>
    <t>Aleutians East</t>
  </si>
  <si>
    <t>Aleutians West (CA)</t>
  </si>
  <si>
    <t>Anchorage</t>
  </si>
  <si>
    <t>Bethel (CA)</t>
  </si>
  <si>
    <t>Subarctic</t>
  </si>
  <si>
    <t>Bristol Bay</t>
  </si>
  <si>
    <t>Denali</t>
  </si>
  <si>
    <t>Dillingham (CA)</t>
  </si>
  <si>
    <t>Fairbanks North Star</t>
  </si>
  <si>
    <t>Haines</t>
  </si>
  <si>
    <t>Juneau</t>
  </si>
  <si>
    <t>Kenai Peninsula</t>
  </si>
  <si>
    <t>Ketchikan Gateway</t>
  </si>
  <si>
    <t>Kodiak Island</t>
  </si>
  <si>
    <t>Lake and Peninsula</t>
  </si>
  <si>
    <t>Matanuska-Susitna</t>
  </si>
  <si>
    <t>Nome (CA)</t>
  </si>
  <si>
    <t>North Slope</t>
  </si>
  <si>
    <t>Northwest Arctic</t>
  </si>
  <si>
    <t>Sitka</t>
  </si>
  <si>
    <t>Skagway-Hoonah-Angoon (CA)</t>
  </si>
  <si>
    <t>Southeast Fairbanks (CA)</t>
  </si>
  <si>
    <t>Valdez-Cordova (CA)</t>
  </si>
  <si>
    <t>Wade Hampton (CA)</t>
  </si>
  <si>
    <t>Wrangell-Petersburg (CA)</t>
  </si>
  <si>
    <t>Yakutat</t>
  </si>
  <si>
    <t>Yukon-Koyukuk (CA)</t>
  </si>
  <si>
    <t>AZ</t>
  </si>
  <si>
    <t>Arizona</t>
  </si>
  <si>
    <t>Apache</t>
  </si>
  <si>
    <t>Cochise</t>
  </si>
  <si>
    <t>Coconino</t>
  </si>
  <si>
    <t>Gila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</si>
  <si>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</si>
  <si>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</si>
  <si>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</si>
  <si>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</si>
  <si>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</si>
  <si>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</si>
  <si>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</si>
  <si>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</si>
  <si>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</si>
  <si>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AR</t>
  </si>
  <si>
    <t>Arkansas</t>
  </si>
  <si>
    <t>Ashley</t>
  </si>
  <si>
    <t>Baxter</t>
  </si>
  <si>
    <t>Bradley</t>
  </si>
  <si>
    <t>Chicot</t>
  </si>
  <si>
    <t>Conway</t>
  </si>
  <si>
    <t>Craighead</t>
  </si>
  <si>
    <t>Crittenden</t>
  </si>
  <si>
    <t>Cross</t>
  </si>
  <si>
    <t>CA</t>
  </si>
  <si>
    <t>California</t>
  </si>
  <si>
    <t>Glenn</t>
  </si>
  <si>
    <t>Imperial</t>
  </si>
  <si>
    <t>Inyo</t>
  </si>
  <si>
    <t>Kern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</si>
  <si>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</si>
  <si>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</si>
  <si>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</si>
  <si>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</si>
  <si>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</si>
  <si>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</si>
  <si>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</si>
  <si>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</si>
  <si>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</si>
  <si>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</si>
  <si>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</si>
  <si>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</si>
  <si>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</si>
  <si>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</si>
  <si>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</si>
  <si>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</si>
  <si>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</si>
  <si>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</si>
  <si>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</si>
  <si>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</si>
  <si>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</si>
  <si>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</si>
  <si>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</si>
  <si>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</si>
  <si>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</si>
  <si>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Siskiyou</t>
  </si>
  <si>
    <t>Solano</t>
  </si>
  <si>
    <t>Sonoma</t>
  </si>
  <si>
    <t>Stanislaus</t>
  </si>
  <si>
    <t>Sutter</t>
  </si>
  <si>
    <t>Tehama</t>
  </si>
  <si>
    <t>Tulare</t>
  </si>
  <si>
    <t>Tuolumne</t>
  </si>
  <si>
    <t>Ventura</t>
  </si>
  <si>
    <t>Yolo</t>
  </si>
  <si>
    <t>Yuba</t>
  </si>
  <si>
    <t>CO</t>
  </si>
  <si>
    <t>Colorado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</si>
  <si>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</si>
  <si>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</si>
  <si>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</si>
  <si>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</si>
  <si>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</si>
  <si>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</si>
  <si>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</si>
  <si>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</si>
  <si>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</si>
  <si>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</si>
  <si>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</si>
  <si>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</si>
  <si>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</si>
  <si>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Delta</t>
  </si>
  <si>
    <t>Denver</t>
  </si>
  <si>
    <t>FL</t>
  </si>
  <si>
    <t>Florida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</si>
  <si>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</si>
  <si>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</si>
  <si>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</si>
  <si>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</si>
  <si>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</si>
  <si>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</si>
  <si>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</si>
  <si>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</si>
  <si>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</si>
  <si>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</si>
  <si>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</si>
  <si>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</si>
  <si>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Hardee</t>
  </si>
  <si>
    <t>Hendry</t>
  </si>
  <si>
    <t>Hernando</t>
  </si>
  <si>
    <t>Highlands</t>
  </si>
  <si>
    <t>Hillsborough</t>
  </si>
  <si>
    <t>Indian River</t>
  </si>
  <si>
    <t>Leon</t>
  </si>
  <si>
    <t>Levy</t>
  </si>
  <si>
    <t>Manatee</t>
  </si>
  <si>
    <t>Miami-Dade</t>
  </si>
  <si>
    <t>Okaloosa</t>
  </si>
  <si>
    <t>Okeechobee</t>
  </si>
  <si>
    <t>Osceola</t>
  </si>
  <si>
    <t>Palm Beach</t>
  </si>
  <si>
    <t>Pasco</t>
  </si>
  <si>
    <t>Pinellas</t>
  </si>
  <si>
    <t>Santa Rosa</t>
  </si>
  <si>
    <t>Sarasota</t>
  </si>
  <si>
    <t>Seminole</t>
  </si>
  <si>
    <t>St. Johns</t>
  </si>
  <si>
    <t>St. Lucie</t>
  </si>
  <si>
    <t>Suwannee</t>
  </si>
  <si>
    <t>Volusia</t>
  </si>
  <si>
    <t>Wakulla</t>
  </si>
  <si>
    <t>GA</t>
  </si>
  <si>
    <t>Georgia</t>
  </si>
  <si>
    <t>Appling</t>
  </si>
  <si>
    <t>Atkinson</t>
  </si>
  <si>
    <t>Bacon</t>
  </si>
  <si>
    <t>Haralson</t>
  </si>
  <si>
    <t>Heard</t>
  </si>
  <si>
    <t>Irwin</t>
  </si>
  <si>
    <t>Jenkins</t>
  </si>
  <si>
    <t>Lanier</t>
  </si>
  <si>
    <t>Long</t>
  </si>
  <si>
    <t>Lumpkin</t>
  </si>
  <si>
    <t>McDuffie</t>
  </si>
  <si>
    <t>McIntosh</t>
  </si>
  <si>
    <t>Meriwether</t>
  </si>
  <si>
    <t>Muscogee</t>
  </si>
  <si>
    <t>Oglethorpe</t>
  </si>
  <si>
    <t>Peach</t>
  </si>
  <si>
    <t>Rabun</t>
  </si>
  <si>
    <t>Rockdale</t>
  </si>
  <si>
    <t>Schley</t>
  </si>
  <si>
    <t>Screven</t>
  </si>
  <si>
    <t>Spalding</t>
  </si>
  <si>
    <t>Taliaferro</t>
  </si>
  <si>
    <t>Tattnall</t>
  </si>
  <si>
    <t>ID</t>
  </si>
  <si>
    <t>Nez Perce</t>
  </si>
  <si>
    <t>Owyhee</t>
  </si>
  <si>
    <t>Payette</t>
  </si>
  <si>
    <t>Power</t>
  </si>
  <si>
    <t>Shoshone</t>
  </si>
  <si>
    <t>Twin Falls</t>
  </si>
  <si>
    <t>IL</t>
  </si>
  <si>
    <t>Illinois</t>
  </si>
  <si>
    <t>Alexander</t>
  </si>
  <si>
    <t>Bond</t>
  </si>
  <si>
    <t>Bureau</t>
  </si>
  <si>
    <t>Champaign</t>
  </si>
  <si>
    <t>Christian</t>
  </si>
  <si>
    <t>Coles</t>
  </si>
  <si>
    <t>De Witt</t>
  </si>
  <si>
    <t>DuPage</t>
  </si>
  <si>
    <t>Edgar</t>
  </si>
  <si>
    <t>Iroquois</t>
  </si>
  <si>
    <t>Jersey</t>
  </si>
  <si>
    <t>Jo Daviess</t>
  </si>
  <si>
    <t>Kankakee</t>
  </si>
  <si>
    <t>IN</t>
  </si>
  <si>
    <t>Indiana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</si>
  <si>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</si>
  <si>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</si>
  <si>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</si>
  <si>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</si>
  <si>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</si>
  <si>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</si>
  <si>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</si>
  <si>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</si>
  <si>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</si>
  <si>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 Porte</t>
  </si>
  <si>
    <t>Lagrange</t>
  </si>
  <si>
    <t>Parke</t>
  </si>
  <si>
    <t>Porter</t>
  </si>
  <si>
    <t>Posey</t>
  </si>
  <si>
    <t>Starke</t>
  </si>
  <si>
    <t>Switzerland</t>
  </si>
  <si>
    <t>Tippecanoe</t>
  </si>
  <si>
    <t>Vanderburgh</t>
  </si>
  <si>
    <t>Vermillion</t>
  </si>
  <si>
    <t>IA</t>
  </si>
  <si>
    <t>Mahaska</t>
  </si>
  <si>
    <t>Mills</t>
  </si>
  <si>
    <t>Monona</t>
  </si>
  <si>
    <t>Muscatine</t>
  </si>
  <si>
    <t>O'Brien</t>
  </si>
  <si>
    <t>Palo Alto</t>
  </si>
  <si>
    <t>Pottawattamie</t>
  </si>
  <si>
    <t>Poweshiek</t>
  </si>
  <si>
    <t>Ringgold</t>
  </si>
  <si>
    <t>Sac</t>
  </si>
  <si>
    <t>Story</t>
  </si>
  <si>
    <t>Tama</t>
  </si>
  <si>
    <t>Wapello</t>
  </si>
  <si>
    <t>Winneshiek</t>
  </si>
  <si>
    <t>Woodbury</t>
  </si>
  <si>
    <t>KS</t>
  </si>
  <si>
    <t>Kansas</t>
  </si>
  <si>
    <t>Barber</t>
  </si>
  <si>
    <t>Bourbon</t>
  </si>
  <si>
    <t>Chase</t>
  </si>
  <si>
    <t>Cloud</t>
  </si>
  <si>
    <t>Coffey</t>
  </si>
  <si>
    <t>Comanche</t>
  </si>
  <si>
    <t>Cowley</t>
  </si>
  <si>
    <t>Doniphan</t>
  </si>
  <si>
    <t>Shawnee</t>
  </si>
  <si>
    <t>Stafford</t>
  </si>
  <si>
    <t>Stevens</t>
  </si>
  <si>
    <t>Trego</t>
  </si>
  <si>
    <t>Wabaunsee</t>
  </si>
  <si>
    <t>Wallace</t>
  </si>
  <si>
    <t>Woodson</t>
  </si>
  <si>
    <t>Wyandotte</t>
  </si>
  <si>
    <t>KY</t>
  </si>
  <si>
    <t>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</si>
  <si>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</si>
  <si>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</si>
  <si>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</si>
  <si>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</si>
  <si>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</si>
  <si>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</si>
  <si>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</si>
  <si>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</si>
  <si>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</si>
  <si>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</si>
  <si>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</si>
  <si>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</si>
  <si>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Carlisle</t>
  </si>
  <si>
    <t>Casey</t>
  </si>
  <si>
    <t>Edmonson</t>
  </si>
  <si>
    <t>Elliott</t>
  </si>
  <si>
    <t>Estill</t>
  </si>
  <si>
    <t>Fleming</t>
  </si>
  <si>
    <t>Garrard</t>
  </si>
  <si>
    <t>Graves</t>
  </si>
  <si>
    <t>Green</t>
  </si>
  <si>
    <t>Greenup</t>
  </si>
  <si>
    <t>Wolfe</t>
  </si>
  <si>
    <t>LA</t>
  </si>
  <si>
    <t>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</si>
  <si>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</si>
  <si>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</si>
  <si>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</si>
  <si>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</si>
  <si>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</si>
  <si>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</si>
  <si>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</si>
  <si>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Calcasieu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</si>
  <si>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</si>
  <si>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</si>
  <si>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</si>
  <si>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</si>
  <si>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</si>
  <si>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</si>
  <si>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</si>
  <si>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</si>
  <si>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</si>
  <si>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</si>
  <si>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Lafourche</t>
  </si>
  <si>
    <t>Morehouse</t>
  </si>
  <si>
    <t>Natchitoches</t>
  </si>
  <si>
    <t>Plaquemines</t>
  </si>
  <si>
    <t>Pointe Coupee</t>
  </si>
  <si>
    <t>Rapides</t>
  </si>
  <si>
    <t>Red River</t>
  </si>
  <si>
    <t>Sabine</t>
  </si>
  <si>
    <t>St. Bernard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</si>
  <si>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</si>
  <si>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</si>
  <si>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</si>
  <si>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</si>
  <si>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</si>
  <si>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</si>
  <si>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</si>
  <si>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</si>
  <si>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</si>
  <si>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</si>
  <si>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MI</t>
  </si>
  <si>
    <t>Michigan</t>
  </si>
  <si>
    <t>Antrim</t>
  </si>
  <si>
    <t>Arenac</t>
  </si>
  <si>
    <t>Baraga</t>
  </si>
  <si>
    <t>Benzie</t>
  </si>
  <si>
    <t>Branch</t>
  </si>
  <si>
    <t>Charlevoix</t>
  </si>
  <si>
    <t>Cheboygan</t>
  </si>
  <si>
    <t>Clare</t>
  </si>
  <si>
    <t>Eaton</t>
  </si>
  <si>
    <t>Gladwin</t>
  </si>
  <si>
    <t>Gogebic</t>
  </si>
  <si>
    <t>Grand Traverse</t>
  </si>
  <si>
    <t>Gratiot</t>
  </si>
  <si>
    <t>Hillsdale</t>
  </si>
  <si>
    <t>Houghton</t>
  </si>
  <si>
    <t>Ingham</t>
  </si>
  <si>
    <t>Ionia</t>
  </si>
  <si>
    <t>Iosco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</si>
  <si>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</si>
  <si>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</si>
  <si>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</si>
  <si>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</si>
  <si>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</si>
  <si>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</si>
  <si>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</si>
  <si>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</si>
  <si>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</si>
  <si>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</si>
  <si>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</si>
  <si>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</si>
  <si>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</si>
  <si>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</si>
  <si>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</si>
  <si>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</si>
  <si>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</si>
  <si>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</si>
  <si>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</si>
  <si>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</si>
  <si>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</si>
  <si>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</si>
  <si>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</si>
  <si>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</si>
  <si>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</si>
  <si>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MN</t>
  </si>
  <si>
    <t>Minnesota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</si>
  <si>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</si>
  <si>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</si>
  <si>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</si>
  <si>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</si>
  <si>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</si>
  <si>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</si>
  <si>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</si>
  <si>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</si>
  <si>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</si>
  <si>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</si>
  <si>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</si>
  <si>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</si>
  <si>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Roseau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</si>
  <si>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</si>
  <si>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</si>
  <si>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</si>
  <si>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</si>
  <si>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</si>
  <si>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</si>
  <si>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</si>
  <si>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</si>
  <si>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</si>
  <si>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</si>
  <si>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</si>
  <si>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</si>
  <si>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</si>
  <si>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</si>
  <si>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</si>
  <si>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</si>
  <si>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</si>
  <si>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</si>
  <si>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</si>
  <si>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</si>
  <si>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</si>
  <si>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</si>
  <si>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</si>
  <si>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</si>
  <si>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Issaquena</t>
  </si>
  <si>
    <t>Itawamba</t>
  </si>
  <si>
    <t>MO</t>
  </si>
  <si>
    <t>Missouri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</si>
  <si>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</si>
  <si>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</si>
  <si>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</si>
  <si>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</si>
  <si>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</si>
  <si>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</si>
  <si>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</si>
  <si>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</si>
  <si>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</si>
  <si>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</si>
  <si>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Howell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</si>
  <si>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</si>
  <si>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</si>
  <si>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</si>
  <si>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</si>
  <si>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</si>
  <si>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</si>
  <si>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</si>
  <si>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</si>
  <si>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MT</t>
  </si>
  <si>
    <t>Montana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</si>
  <si>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</si>
  <si>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</si>
  <si>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</si>
  <si>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</si>
  <si>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</si>
  <si>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</si>
  <si>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</si>
  <si>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</si>
  <si>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</si>
  <si>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</si>
  <si>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</si>
  <si>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</si>
  <si>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</si>
  <si>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</si>
  <si>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</si>
  <si>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</si>
  <si>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</si>
  <si>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</si>
  <si>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</si>
  <si>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NE</t>
  </si>
  <si>
    <t>Nebraska</t>
  </si>
  <si>
    <t>Antelope</t>
  </si>
  <si>
    <t>Arthur</t>
  </si>
  <si>
    <t>Banner</t>
  </si>
  <si>
    <t>Box Butte</t>
  </si>
  <si>
    <t>Burt</t>
  </si>
  <si>
    <t>Cherry</t>
  </si>
  <si>
    <t>Colfax</t>
  </si>
  <si>
    <t>Cuming</t>
  </si>
  <si>
    <t>Dawes</t>
  </si>
  <si>
    <t>Dixon</t>
  </si>
  <si>
    <t>Dundy</t>
  </si>
  <si>
    <t>Frontier</t>
  </si>
  <si>
    <t>Furnas</t>
  </si>
  <si>
    <t>Gage</t>
  </si>
  <si>
    <t>Garden</t>
  </si>
  <si>
    <t>NV</t>
  </si>
  <si>
    <t>Lander</t>
  </si>
  <si>
    <t>Nye</t>
  </si>
  <si>
    <t>Pershing</t>
  </si>
  <si>
    <t>Storey</t>
  </si>
  <si>
    <t>Washoe</t>
  </si>
  <si>
    <t>White Pine</t>
  </si>
  <si>
    <t>NH</t>
  </si>
  <si>
    <t>New Hampshire</t>
  </si>
  <si>
    <t>Belknap</t>
  </si>
  <si>
    <t>Cheshire</t>
  </si>
  <si>
    <t>Grafton</t>
  </si>
  <si>
    <t>Merrimack</t>
  </si>
  <si>
    <t>Strafford</t>
  </si>
  <si>
    <t>NJ</t>
  </si>
  <si>
    <t>New Jersey</t>
  </si>
  <si>
    <t>Atlantic</t>
  </si>
  <si>
    <t>Bergen</t>
  </si>
  <si>
    <t>Burlington</t>
  </si>
  <si>
    <t>Cape May</t>
  </si>
  <si>
    <t>Hudson</t>
  </si>
  <si>
    <t>Hunterdon</t>
  </si>
  <si>
    <t>Monmouth</t>
  </si>
  <si>
    <t>Ocean</t>
  </si>
  <si>
    <t>Passaic</t>
  </si>
  <si>
    <t>Salem</t>
  </si>
  <si>
    <t>NM</t>
  </si>
  <si>
    <t>New Mexico</t>
  </si>
  <si>
    <t>Bernalillo</t>
  </si>
  <si>
    <t>Catron</t>
  </si>
  <si>
    <t>Chaves</t>
  </si>
  <si>
    <t>Cibola</t>
  </si>
  <si>
    <t>DeBaca</t>
  </si>
  <si>
    <t>Dona Ana</t>
  </si>
  <si>
    <t>Lea</t>
  </si>
  <si>
    <t>Los Alamos</t>
  </si>
  <si>
    <t>Luna</t>
  </si>
  <si>
    <t>McKinley</t>
  </si>
  <si>
    <t>Mora</t>
  </si>
  <si>
    <t>Quay</t>
  </si>
  <si>
    <t>Rio Arriba</t>
  </si>
  <si>
    <t>NY</t>
  </si>
  <si>
    <t>Westchester</t>
  </si>
  <si>
    <t>Yates</t>
  </si>
  <si>
    <t>NC</t>
  </si>
  <si>
    <t>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</si>
  <si>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</si>
  <si>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</si>
  <si>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</si>
  <si>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</si>
  <si>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</si>
  <si>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</si>
  <si>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</si>
  <si>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</si>
  <si>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</si>
  <si>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</si>
  <si>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</si>
  <si>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</si>
  <si>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</si>
  <si>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</si>
  <si>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</si>
  <si>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</si>
  <si>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</si>
  <si>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</si>
  <si>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</si>
  <si>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</si>
  <si>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</si>
  <si>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</si>
  <si>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</si>
  <si>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</si>
  <si>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</si>
  <si>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</si>
  <si>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</si>
  <si>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</si>
  <si>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Harnett</t>
  </si>
  <si>
    <t>Haywood</t>
  </si>
  <si>
    <t>Hertford</t>
  </si>
  <si>
    <t>Hoke</t>
  </si>
  <si>
    <t>Iredell</t>
  </si>
  <si>
    <t>Johnston</t>
  </si>
  <si>
    <t>Lenoir</t>
  </si>
  <si>
    <t>ND</t>
  </si>
  <si>
    <t>North Dakota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</si>
  <si>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</si>
  <si>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</si>
  <si>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</si>
  <si>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</si>
  <si>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</si>
  <si>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</si>
  <si>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</si>
  <si>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</si>
  <si>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</si>
  <si>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</si>
  <si>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</si>
  <si>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</si>
  <si>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OH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</si>
  <si>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</si>
  <si>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</si>
  <si>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</si>
  <si>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</si>
  <si>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</si>
  <si>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</si>
  <si>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</si>
  <si>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</si>
  <si>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</si>
  <si>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</si>
  <si>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</si>
  <si>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</si>
  <si>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</si>
  <si>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Hocking</t>
  </si>
  <si>
    <t>OK</t>
  </si>
  <si>
    <t>Oklahoma</t>
  </si>
  <si>
    <t>Coal</t>
  </si>
  <si>
    <t>Cotton</t>
  </si>
  <si>
    <t>Craig</t>
  </si>
  <si>
    <t>Creek</t>
  </si>
  <si>
    <t>Garvin</t>
  </si>
  <si>
    <t>Greer</t>
  </si>
  <si>
    <t>Harmon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</si>
  <si>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</si>
  <si>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</si>
  <si>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</si>
  <si>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</si>
  <si>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</si>
  <si>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</si>
  <si>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</si>
  <si>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</si>
  <si>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</si>
  <si>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</si>
  <si>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</si>
  <si>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</si>
  <si>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</si>
  <si>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</si>
  <si>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</si>
  <si>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</si>
  <si>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</si>
  <si>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</si>
  <si>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</si>
  <si>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</si>
  <si>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</si>
  <si>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</si>
  <si>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</si>
  <si>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</si>
  <si>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</si>
  <si>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OR</t>
  </si>
  <si>
    <t>PA</t>
  </si>
  <si>
    <t>Pennsylvania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</si>
  <si>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</si>
  <si>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</si>
  <si>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</si>
  <si>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</si>
  <si>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</si>
  <si>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</si>
  <si>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</si>
  <si>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</si>
  <si>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</si>
  <si>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</si>
  <si>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</si>
  <si>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</si>
  <si>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</si>
  <si>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</si>
  <si>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</si>
  <si>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</si>
  <si>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RI</t>
  </si>
  <si>
    <t>Rhode Island</t>
  </si>
  <si>
    <t>Newport</t>
  </si>
  <si>
    <t>Providence</t>
  </si>
  <si>
    <t>SC</t>
  </si>
  <si>
    <t>South Carolina</t>
  </si>
  <si>
    <t>Abbeville</t>
  </si>
  <si>
    <t>Aiken</t>
  </si>
  <si>
    <t>Allendale</t>
  </si>
  <si>
    <t>Bamberg</t>
  </si>
  <si>
    <t>Barnwell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</si>
  <si>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</si>
  <si>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</si>
  <si>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</si>
  <si>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</si>
  <si>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</si>
  <si>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</si>
  <si>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</si>
  <si>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</si>
  <si>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</si>
  <si>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</si>
  <si>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SD</t>
  </si>
  <si>
    <t>South Dakota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</si>
  <si>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</si>
  <si>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</si>
  <si>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</si>
  <si>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</si>
  <si>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</si>
  <si>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</si>
  <si>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</si>
  <si>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</si>
  <si>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</si>
  <si>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</si>
  <si>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</si>
  <si>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</si>
  <si>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</si>
  <si>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</si>
  <si>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TN</t>
  </si>
  <si>
    <t>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</si>
  <si>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</si>
  <si>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</si>
  <si>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</si>
  <si>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</si>
  <si>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</si>
  <si>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</si>
  <si>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</si>
  <si>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</si>
  <si>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Grainger</t>
  </si>
  <si>
    <t>Hamblen</t>
  </si>
  <si>
    <t>Hawkins</t>
  </si>
  <si>
    <t>TX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</si>
  <si>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</si>
  <si>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</si>
  <si>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</si>
  <si>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</si>
  <si>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</si>
  <si>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</si>
  <si>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</si>
  <si>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</si>
  <si>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</si>
  <si>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</si>
  <si>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</si>
  <si>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</si>
  <si>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</si>
  <si>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</si>
  <si>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</si>
  <si>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</si>
  <si>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</si>
  <si>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</si>
  <si>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</si>
  <si>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</si>
  <si>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</si>
  <si>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</si>
  <si>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</si>
  <si>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</si>
  <si>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</si>
  <si>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</si>
  <si>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</si>
  <si>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</si>
  <si>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</si>
  <si>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</si>
  <si>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</si>
  <si>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</si>
  <si>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</si>
  <si>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</si>
  <si>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</si>
  <si>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</si>
  <si>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</si>
  <si>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</si>
  <si>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</si>
  <si>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</si>
  <si>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</si>
  <si>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</si>
  <si>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</si>
  <si>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</si>
  <si>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</si>
  <si>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</si>
  <si>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</si>
  <si>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</si>
  <si>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</si>
  <si>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</si>
  <si>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</si>
  <si>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</si>
  <si>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</si>
  <si>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</si>
  <si>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</si>
  <si>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</si>
  <si>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</si>
  <si>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</si>
  <si>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</si>
  <si>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</si>
  <si>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</si>
  <si>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</si>
  <si>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</si>
  <si>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</si>
  <si>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</si>
  <si>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</si>
  <si>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</si>
  <si>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</si>
  <si>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</si>
  <si>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</si>
  <si>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</si>
  <si>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</si>
  <si>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</si>
  <si>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</si>
  <si>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</si>
  <si>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</si>
  <si>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</si>
  <si>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</si>
  <si>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</si>
  <si>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</si>
  <si>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</si>
  <si>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UT</t>
  </si>
  <si>
    <t>Utah</t>
  </si>
  <si>
    <t>Sanpete</t>
  </si>
  <si>
    <t>Tooele</t>
  </si>
  <si>
    <t>Uintah</t>
  </si>
  <si>
    <t>Wasatch</t>
  </si>
  <si>
    <t>Weber</t>
  </si>
  <si>
    <t>VT</t>
  </si>
  <si>
    <t>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</si>
  <si>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</si>
  <si>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</si>
  <si>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</si>
  <si>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</si>
  <si>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</si>
  <si>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</si>
  <si>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</si>
  <si>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</si>
  <si>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VA</t>
  </si>
  <si>
    <t>Virginia</t>
  </si>
  <si>
    <t>Accomack</t>
  </si>
  <si>
    <t>Albemarle</t>
  </si>
  <si>
    <t>Alexandria (city)</t>
  </si>
  <si>
    <t>Amelia</t>
  </si>
  <si>
    <t>Amherst</t>
  </si>
  <si>
    <t>Appomattox</t>
  </si>
  <si>
    <t>Arlington</t>
  </si>
  <si>
    <t>Augusta</t>
  </si>
  <si>
    <t>Bedford (city)</t>
  </si>
  <si>
    <t>Bland</t>
  </si>
  <si>
    <t>Botetourt</t>
  </si>
  <si>
    <t>Bristol (city)</t>
  </si>
  <si>
    <t>Buckingham</t>
  </si>
  <si>
    <t>Buena Vista (city)</t>
  </si>
  <si>
    <t>Charles City</t>
  </si>
  <si>
    <t>Charlottesville (city)</t>
  </si>
  <si>
    <t>Chesapeake (city)</t>
  </si>
  <si>
    <t>Clifton Forge (city)</t>
  </si>
  <si>
    <t>Colonial Heights (city)</t>
  </si>
  <si>
    <t>Covington (city)</t>
  </si>
  <si>
    <t>Culpeper</t>
  </si>
  <si>
    <t>Danville (city)</t>
  </si>
  <si>
    <t>Dickenson</t>
  </si>
  <si>
    <t>Dinwiddie</t>
  </si>
  <si>
    <t>Emporia (city)</t>
  </si>
  <si>
    <t>Fairfax</t>
  </si>
  <si>
    <t>Rappahannock</t>
  </si>
  <si>
    <t>Richmond (city)</t>
  </si>
  <si>
    <t>Roanoke</t>
  </si>
  <si>
    <t>Roanoke (city)</t>
  </si>
  <si>
    <t>Rockbridge</t>
  </si>
  <si>
    <t>Salem (city)</t>
  </si>
  <si>
    <t>Shenandoah</t>
  </si>
  <si>
    <t>Smyth</t>
  </si>
  <si>
    <t>Southampton</t>
  </si>
  <si>
    <t>Spotsylvania</t>
  </si>
  <si>
    <t>Staunton (city)</t>
  </si>
  <si>
    <t>Suffolk (city)</t>
  </si>
  <si>
    <t>Virginia Beach (city)</t>
  </si>
  <si>
    <t>Waynesboro (city)</t>
  </si>
  <si>
    <t>Williamsburg (city)</t>
  </si>
  <si>
    <t>Winchester (city)</t>
  </si>
  <si>
    <t>Wythe</t>
  </si>
  <si>
    <t>WA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</si>
  <si>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</si>
  <si>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</si>
  <si>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</si>
  <si>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</si>
  <si>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</si>
  <si>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</si>
  <si>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</si>
  <si>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</si>
  <si>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</si>
  <si>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</si>
  <si>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</si>
  <si>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</si>
  <si>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</si>
  <si>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</si>
  <si>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</si>
  <si>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</si>
  <si>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</si>
  <si>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</si>
  <si>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WI</t>
  </si>
  <si>
    <t>Wisconsin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</si>
  <si>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</si>
  <si>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</si>
  <si>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</si>
  <si>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</si>
  <si>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</si>
  <si>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</si>
  <si>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</si>
  <si>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</si>
  <si>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</si>
  <si>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</si>
  <si>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</si>
  <si>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</si>
  <si>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</si>
  <si>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</si>
  <si>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</si>
  <si>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</si>
  <si>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</si>
  <si>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</si>
  <si>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</si>
  <si>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</si>
  <si>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</si>
  <si>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</si>
  <si>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</si>
  <si>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</si>
  <si>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</si>
  <si>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</si>
  <si>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</si>
  <si>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</si>
  <si>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Washburn</t>
  </si>
  <si>
    <t>Waukesha</t>
  </si>
  <si>
    <t>Waupaca</t>
  </si>
  <si>
    <t>Waushara</t>
  </si>
  <si>
    <t>Census Bureau Region and Division Codes and Federal Information Processing System (FIPS) Codes for States</t>
  </si>
  <si>
    <t>Source: U.S. Census Bureau, Population Division</t>
  </si>
  <si>
    <t>Internet Release Date: May 2017</t>
  </si>
  <si>
    <t>Region</t>
  </si>
  <si>
    <t>Division</t>
  </si>
  <si>
    <t>State (FIPS)</t>
  </si>
  <si>
    <t>Name</t>
  </si>
  <si>
    <t>1</t>
  </si>
  <si>
    <t>Northeast Region</t>
  </si>
  <si>
    <t>New England Division</t>
  </si>
  <si>
    <t>Connecticut</t>
  </si>
  <si>
    <t>Maine</t>
  </si>
  <si>
    <t>Massachusetts</t>
  </si>
  <si>
    <t>2</t>
  </si>
  <si>
    <t>Middle Atlantic Division</t>
  </si>
  <si>
    <t>0</t>
  </si>
  <si>
    <t>Midwest Region</t>
  </si>
  <si>
    <t>3</t>
  </si>
  <si>
    <t>East North Central Division</t>
  </si>
  <si>
    <t>4</t>
  </si>
  <si>
    <t>West North Central Division</t>
  </si>
  <si>
    <t>South Region</t>
  </si>
  <si>
    <t>5</t>
  </si>
  <si>
    <t>South Atlantic Division</t>
  </si>
  <si>
    <t>Maryland</t>
  </si>
  <si>
    <t>West Virginia</t>
  </si>
  <si>
    <t>6</t>
  </si>
  <si>
    <t>East South Central Division</t>
  </si>
  <si>
    <t>7</t>
  </si>
  <si>
    <t>West South Central Division</t>
  </si>
  <si>
    <t>West Region</t>
  </si>
  <si>
    <t>8</t>
  </si>
  <si>
    <t>Mountain Division</t>
  </si>
  <si>
    <t>9</t>
  </si>
  <si>
    <t>Pacific Division</t>
  </si>
  <si>
    <t>Release date: February 2015
Revised date: May 2016</t>
  </si>
  <si>
    <t>Table B5.  Census region and division, floorspace, 2012</t>
  </si>
  <si>
    <t>Total floorspace (million square feet)</t>
  </si>
  <si>
    <t>Northeast</t>
  </si>
  <si>
    <t>Midwest</t>
  </si>
  <si>
    <t>South</t>
  </si>
  <si>
    <t>West</t>
  </si>
  <si>
    <t>All
buildings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</si>
  <si>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</si>
  <si>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</si>
  <si>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</si>
  <si>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</si>
  <si>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</si>
  <si>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</si>
  <si>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</si>
  <si>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All buildings</t>
  </si>
  <si>
    <t>Building floorspace (square feet)</t>
  </si>
  <si>
    <t xml:space="preserve">1,001 to 5,000 </t>
  </si>
  <si>
    <t xml:space="preserve">5,001 to 10,000 </t>
  </si>
  <si>
    <t>10,001 to 25,000</t>
  </si>
  <si>
    <t>25,001 to 50,000</t>
  </si>
  <si>
    <t xml:space="preserve">50,001 to 100,000 </t>
  </si>
  <si>
    <t xml:space="preserve">100,001 to 200,000 </t>
  </si>
  <si>
    <t xml:space="preserve">200,001 to 500,000 </t>
  </si>
  <si>
    <t xml:space="preserve">Over 500,000 </t>
  </si>
  <si>
    <t>Q</t>
  </si>
  <si>
    <t>Principal building activity</t>
  </si>
  <si>
    <t>Education</t>
  </si>
  <si>
    <t xml:space="preserve">Food sales </t>
  </si>
  <si>
    <t xml:space="preserve">Food service </t>
  </si>
  <si>
    <t xml:space="preserve">Health care </t>
  </si>
  <si>
    <t xml:space="preserve">Inpatient </t>
  </si>
  <si>
    <t xml:space="preserve">Outpatient </t>
  </si>
  <si>
    <t xml:space="preserve">Lodging </t>
  </si>
  <si>
    <t xml:space="preserve">Mercantile </t>
  </si>
  <si>
    <t xml:space="preserve">Retail (other than mall) </t>
  </si>
  <si>
    <t xml:space="preserve">Enclosed and strip malls </t>
  </si>
  <si>
    <t xml:space="preserve">Office </t>
  </si>
  <si>
    <t xml:space="preserve">Public assembly </t>
  </si>
  <si>
    <t xml:space="preserve">Public order and safety </t>
  </si>
  <si>
    <t xml:space="preserve">Religious worship </t>
  </si>
  <si>
    <t xml:space="preserve">Service </t>
  </si>
  <si>
    <t xml:space="preserve">Warehouse and storage </t>
  </si>
  <si>
    <t xml:space="preserve">Other </t>
  </si>
  <si>
    <t xml:space="preserve">Vacant </t>
  </si>
  <si>
    <t>Year constructed</t>
  </si>
  <si>
    <t>Before 1920</t>
  </si>
  <si>
    <t>1920 to 1945</t>
  </si>
  <si>
    <t>1946 to 1959</t>
  </si>
  <si>
    <t>1960 to 1969</t>
  </si>
  <si>
    <t>1970 to 1979</t>
  </si>
  <si>
    <t>1980 to 1989</t>
  </si>
  <si>
    <t>1990 to 1999</t>
  </si>
  <si>
    <t>2000 to 2003</t>
  </si>
  <si>
    <t>2004 to 2007</t>
  </si>
  <si>
    <t>2008 to 2012</t>
  </si>
  <si>
    <t>Number of floors</t>
  </si>
  <si>
    <t>One</t>
  </si>
  <si>
    <t>Two</t>
  </si>
  <si>
    <t>Three</t>
  </si>
  <si>
    <t>Four to nine</t>
  </si>
  <si>
    <t>Ten or more</t>
  </si>
  <si>
    <t>Elevators and escalators 
(more than one may apply)</t>
  </si>
  <si>
    <t>Any elevators</t>
  </si>
  <si>
    <t>Number of elevators</t>
  </si>
  <si>
    <t>Two to five</t>
  </si>
  <si>
    <t>Six or more</t>
  </si>
  <si>
    <t>Any escalators</t>
  </si>
  <si>
    <t>Number of workers (main shift)</t>
  </si>
  <si>
    <t>Fewer than 5</t>
  </si>
  <si>
    <t>5 to 9</t>
  </si>
  <si>
    <t>10 to 19</t>
  </si>
  <si>
    <t>20 to 49</t>
  </si>
  <si>
    <t>50 to 99</t>
  </si>
  <si>
    <t>100 to 249</t>
  </si>
  <si>
    <t>250 or more</t>
  </si>
  <si>
    <t>Weekly operating hours</t>
  </si>
  <si>
    <t>Fewer than 40</t>
  </si>
  <si>
    <t>40 to 48</t>
  </si>
  <si>
    <t>49 to 60</t>
  </si>
  <si>
    <t>61 to 84</t>
  </si>
  <si>
    <t>85 to 167</t>
  </si>
  <si>
    <t>Open continuously</t>
  </si>
  <si>
    <t>Ownership and occupancy</t>
  </si>
  <si>
    <t>Nongovernment owned</t>
  </si>
  <si>
    <t>Owner occupied</t>
  </si>
  <si>
    <t>Leased to tenant(s)</t>
  </si>
  <si>
    <t>Owner occupied and leased</t>
  </si>
  <si>
    <t>Unoccupied</t>
  </si>
  <si>
    <t>Government owned</t>
  </si>
  <si>
    <t>Federal</t>
  </si>
  <si>
    <t>Local</t>
  </si>
  <si>
    <t>Party responsible for operation
and maintenance of energy
systems</t>
  </si>
  <si>
    <t>Building owner</t>
  </si>
  <si>
    <t>Business owner or tenant</t>
  </si>
  <si>
    <t>Property management</t>
  </si>
  <si>
    <t>Other</t>
  </si>
  <si>
    <t>Provider of direct input on energy-
related equipment purchases</t>
  </si>
  <si>
    <t>Number of establishments</t>
  </si>
  <si>
    <t>2 to 5</t>
  </si>
  <si>
    <t>6 to 10</t>
  </si>
  <si>
    <t>11 to 20</t>
  </si>
  <si>
    <t>More than 20</t>
  </si>
  <si>
    <t>Currently unoccupied</t>
  </si>
  <si>
    <t>Campus or complex activity</t>
  </si>
  <si>
    <t>Not part of a campus or complex</t>
  </si>
  <si>
    <t>Primary or secondary school</t>
  </si>
  <si>
    <t>College or university</t>
  </si>
  <si>
    <t>Office complex</t>
  </si>
  <si>
    <t>Retail complex</t>
  </si>
  <si>
    <t>Storage complex</t>
  </si>
  <si>
    <t>Religious campus or complex</t>
  </si>
  <si>
    <t>Health care complex</t>
  </si>
  <si>
    <t>Lodging or resort complex</t>
  </si>
  <si>
    <t>Transportation complex</t>
  </si>
  <si>
    <t>N</t>
  </si>
  <si>
    <t>Government complex</t>
  </si>
  <si>
    <t>Predominant exterior wall material</t>
  </si>
  <si>
    <t>Brick, stone, or stucco</t>
  </si>
  <si>
    <t>Concrete (block or poured)</t>
  </si>
  <si>
    <t>Concrete panels</t>
  </si>
  <si>
    <t>Siding or shingles</t>
  </si>
  <si>
    <t>Metal panels</t>
  </si>
  <si>
    <t>Window glass</t>
  </si>
  <si>
    <t>No one major type</t>
  </si>
  <si>
    <t>Predominant roof material</t>
  </si>
  <si>
    <t>Metal surfacing</t>
  </si>
  <si>
    <t>Synthetic or rubber</t>
  </si>
  <si>
    <t>Built-up</t>
  </si>
  <si>
    <t>Slate or tile shingles</t>
  </si>
  <si>
    <t>Wooden materials (including
shingles)</t>
  </si>
  <si>
    <t>Asphalt, fiberglass, or 
other shingles</t>
  </si>
  <si>
    <t>Concrete</t>
  </si>
  <si>
    <t>Roof characteristics</t>
  </si>
  <si>
    <t>Roof tilt</t>
  </si>
  <si>
    <t>Flat</t>
  </si>
  <si>
    <t>Shallow pitch</t>
  </si>
  <si>
    <t>Steeper pitch</t>
  </si>
  <si>
    <t>Cool roof</t>
  </si>
  <si>
    <t>Renovations in buildings
constructed before 2008
(more than one may apply)</t>
  </si>
  <si>
    <t>Any type of renovation</t>
  </si>
  <si>
    <t>Addition or annex</t>
  </si>
  <si>
    <t>Reduction in floorspace</t>
  </si>
  <si>
    <t>Roof replacement</t>
  </si>
  <si>
    <t>Exterior wall replacement</t>
  </si>
  <si>
    <t>Interior wall reconfiguration</t>
  </si>
  <si>
    <t>Window replacement</t>
  </si>
  <si>
    <t>HVAC equipment upgrade</t>
  </si>
  <si>
    <t>Lighting upgrade</t>
  </si>
  <si>
    <t>Electrical upgrade</t>
  </si>
  <si>
    <t>Plumbing system upgrade</t>
  </si>
  <si>
    <t>Insulation upgrade</t>
  </si>
  <si>
    <t>Fire, safety, or security upgrade</t>
  </si>
  <si>
    <t>Structural upgrade</t>
  </si>
  <si>
    <t>No renovations</t>
  </si>
  <si>
    <t>Buildings constructed 2008 or later</t>
  </si>
  <si>
    <t>Energy sources
(more than one may apply)</t>
  </si>
  <si>
    <t>Electricity</t>
  </si>
  <si>
    <t>Natural gas</t>
  </si>
  <si>
    <t>Fuel oil</t>
  </si>
  <si>
    <t>District heat</t>
  </si>
  <si>
    <t>District chilled water</t>
  </si>
  <si>
    <t>Propane</t>
  </si>
  <si>
    <t>Space-heating energy sources
(more than one may apply)</t>
  </si>
  <si>
    <t>Primary space-heating 
energy source</t>
  </si>
  <si>
    <t>Cooling energy sources
(more than one may apply)</t>
  </si>
  <si>
    <t>Water-heating energy sources
(more than one may apply)</t>
  </si>
  <si>
    <t>Cooking energy sources
(more than one may apply)</t>
  </si>
  <si>
    <t>Energy end uses
(more than one may apply)</t>
  </si>
  <si>
    <t>Buildings with space heating</t>
  </si>
  <si>
    <t>Buildings with cooling</t>
  </si>
  <si>
    <t>Buildings with water heating</t>
  </si>
  <si>
    <t>Buildings with cooking</t>
  </si>
  <si>
    <t>Buildings with manufacturing</t>
  </si>
  <si>
    <t>Buildings with electricity
generation</t>
  </si>
  <si>
    <t>Percent of floorspace heated</t>
  </si>
  <si>
    <t>Not heated</t>
  </si>
  <si>
    <t>1 to 50</t>
  </si>
  <si>
    <t>51 to 99</t>
  </si>
  <si>
    <t>100</t>
  </si>
  <si>
    <t>Percent of floorspace cooled</t>
  </si>
  <si>
    <t>Not cooled</t>
  </si>
  <si>
    <t>Percent lit when open</t>
  </si>
  <si>
    <t>Zero</t>
  </si>
  <si>
    <t>Building never open/electricity
not used</t>
  </si>
  <si>
    <t>Percent lit during off hours</t>
  </si>
  <si>
    <t>51 to 100</t>
  </si>
  <si>
    <t>Building always open with 
no "off hours"</t>
  </si>
  <si>
    <t>Electricity not used</t>
  </si>
  <si>
    <t>Heating equipment 
(more than one may apply)</t>
  </si>
  <si>
    <t>Heat pumps</t>
  </si>
  <si>
    <t>Furnaces</t>
  </si>
  <si>
    <t>Individual space heaters</t>
  </si>
  <si>
    <t>Boilers</t>
  </si>
  <si>
    <t>Packaged heating units</t>
  </si>
  <si>
    <t>Cooling equipment 
(more than one may apply)</t>
  </si>
  <si>
    <t>Residential-type central air
conditioners</t>
  </si>
  <si>
    <t>Individual air conditioners</t>
  </si>
  <si>
    <t>Central chillers</t>
  </si>
  <si>
    <t>Packaged air conditioning units</t>
  </si>
  <si>
    <t>Swamp coolers</t>
  </si>
  <si>
    <t>Main equipment replaced since 
1990 (more than one may apply)</t>
  </si>
  <si>
    <t>Heating</t>
  </si>
  <si>
    <t>Cooling</t>
  </si>
  <si>
    <t>Water-heating equipment</t>
  </si>
  <si>
    <t>Centralized system</t>
  </si>
  <si>
    <t>Distributed system</t>
  </si>
  <si>
    <t>Combination of centralized and
distributed system</t>
  </si>
  <si>
    <t>Lighting equipment types
(more than one may apply)</t>
  </si>
  <si>
    <t>Incandescent</t>
  </si>
  <si>
    <t>Standard fluorescent</t>
  </si>
  <si>
    <t>Compact fluorescent</t>
  </si>
  <si>
    <t>High-intensity discharge (HID)</t>
  </si>
  <si>
    <t>Halogen</t>
  </si>
  <si>
    <t>LED</t>
  </si>
  <si>
    <t>Refrigeration equipment
(more than one may apply)</t>
  </si>
  <si>
    <t>Any refrigeration</t>
  </si>
  <si>
    <t>Walk-in units</t>
  </si>
  <si>
    <t>Cases or cabinets</t>
  </si>
  <si>
    <t>Large cold storage areas</t>
  </si>
  <si>
    <t>Commercial ice makers</t>
  </si>
  <si>
    <t>Residential-type or compact units</t>
  </si>
  <si>
    <t>Vending machines</t>
  </si>
  <si>
    <t>No refrigeration</t>
  </si>
  <si>
    <t>Office equipment
(more than one may apply)</t>
  </si>
  <si>
    <t>Desktop computers</t>
  </si>
  <si>
    <t>With flat screen monitors</t>
  </si>
  <si>
    <t>With multiple monitors</t>
  </si>
  <si>
    <t>Laptop computers</t>
  </si>
  <si>
    <t>Dedicated servers</t>
  </si>
  <si>
    <t>Laser printers</t>
  </si>
  <si>
    <t>Inkjet printers</t>
  </si>
  <si>
    <t>FAX machines</t>
  </si>
  <si>
    <t>Photocopiers</t>
  </si>
  <si>
    <t>Number of desktop computers</t>
  </si>
  <si>
    <t>None</t>
  </si>
  <si>
    <t>1 to 4</t>
  </si>
  <si>
    <t>Number of laptop computers</t>
  </si>
  <si>
    <t>Number of dedicated servers</t>
  </si>
  <si>
    <t>50 or more</t>
  </si>
  <si>
    <t>Number of photocopiers</t>
  </si>
  <si>
    <t>2 to 4</t>
  </si>
  <si>
    <t>10 or more</t>
  </si>
  <si>
    <t>Number of TVs or video displays</t>
  </si>
  <si>
    <t>100 or more</t>
  </si>
  <si>
    <t>Food preparation or serving areas 
in non-food service buildings
(more than one may apply)</t>
  </si>
  <si>
    <t>Snack bar or concession stand</t>
  </si>
  <si>
    <t>Fast food or small restaurant</t>
  </si>
  <si>
    <t>Cafeteria or large restaurant</t>
  </si>
  <si>
    <t>Commercial kitchen/
food preparation area</t>
  </si>
  <si>
    <t>Small kitchen area</t>
  </si>
  <si>
    <t>Separate computer areas
(more than one may apply)</t>
  </si>
  <si>
    <t>Data center or server farm</t>
  </si>
  <si>
    <t>Computer-based training room</t>
  </si>
  <si>
    <t>Student or public computer center</t>
  </si>
  <si>
    <t>HVAC conservation features 
(more than one may apply)</t>
  </si>
  <si>
    <t>Economizer cycle</t>
  </si>
  <si>
    <t>Regular HVAC maintenance</t>
  </si>
  <si>
    <r>
      <t>Building automation system (BAS)</t>
    </r>
    <r>
      <rPr>
        <vertAlign val="superscript"/>
        <sz val="10"/>
        <color theme="1"/>
        <rFont val="Calibri"/>
        <family val="2"/>
        <scheme val="minor"/>
      </rPr>
      <t>1</t>
    </r>
  </si>
  <si>
    <t>Window and interior lighting 
features (more than one may
apply)</t>
  </si>
  <si>
    <t>Multipaned windows</t>
  </si>
  <si>
    <t>Tinted window glass</t>
  </si>
  <si>
    <t>Reflective window glass</t>
  </si>
  <si>
    <t>External overhangs or awnings</t>
  </si>
  <si>
    <t>Skylights or atriums</t>
  </si>
  <si>
    <t>Light scheduling</t>
  </si>
  <si>
    <t>Occupancy sensors</t>
  </si>
  <si>
    <t>Multi-level lighting or dimming</t>
  </si>
  <si>
    <t>Daylight harvesting</t>
  </si>
  <si>
    <t>Demand responsive lighting</t>
  </si>
  <si>
    <r>
      <t>Building automation system (BAS) for lighting</t>
    </r>
    <r>
      <rPr>
        <vertAlign val="superscript"/>
        <sz val="10"/>
        <color theme="1"/>
        <rFont val="Calibri"/>
        <family val="2"/>
        <scheme val="minor"/>
      </rPr>
      <t>1</t>
    </r>
  </si>
  <si>
    <t>Equipment usage reduced when 
building not in full use 
(more than one may apply)</t>
  </si>
  <si>
    <t>Lighting</t>
  </si>
  <si>
    <r>
      <t xml:space="preserve">    </t>
    </r>
    <r>
      <rPr>
        <vertAlign val="superscript"/>
        <sz val="9"/>
        <color theme="1"/>
        <rFont val="Calibri"/>
        <family val="2"/>
        <scheme val="minor"/>
      </rPr>
      <t xml:space="preserve"> 1</t>
    </r>
    <r>
      <rPr>
        <sz val="9"/>
        <color theme="1"/>
        <rFont val="Calibri"/>
        <family val="2"/>
        <scheme val="minor"/>
      </rPr>
      <t xml:space="preserve">In earlier CBECS publications, BAS was referred to as </t>
    </r>
    <r>
      <rPr>
        <i/>
        <sz val="9"/>
        <color theme="1"/>
        <rFont val="Calibri"/>
        <family val="2"/>
        <scheme val="minor"/>
      </rPr>
      <t>Energy Management and Control System (EMCS)</t>
    </r>
    <r>
      <rPr>
        <sz val="9"/>
        <color theme="1"/>
        <rFont val="Calibri"/>
        <family val="2"/>
        <scheme val="minor"/>
      </rPr>
      <t xml:space="preserve">.
     Q = Data withheld either because the Relative Standard Error (RSE) was greater than 50 percent or fewer than 20 buildings were sampled.
     N = No cases in reporting sample.
     Notes:  ● Because of rounding, data may not sum to totals.  ● See </t>
    </r>
    <r>
      <rPr>
        <i/>
        <sz val="9"/>
        <color theme="1"/>
        <rFont val="Calibri"/>
        <family val="2"/>
        <scheme val="minor"/>
      </rPr>
      <t>Guide to the 2012 CBECS Detailed Tables</t>
    </r>
    <r>
      <rPr>
        <sz val="9"/>
        <color theme="1"/>
        <rFont val="Calibri"/>
        <family val="2"/>
        <scheme val="minor"/>
      </rPr>
      <t xml:space="preserve"> or </t>
    </r>
    <r>
      <rPr>
        <i/>
        <sz val="9"/>
        <color theme="1"/>
        <rFont val="Calibri"/>
        <family val="2"/>
        <scheme val="minor"/>
      </rPr>
      <t>CBECS Terminology</t>
    </r>
    <r>
      <rPr>
        <sz val="9"/>
        <color theme="1"/>
        <rFont val="Calibri"/>
        <family val="2"/>
        <scheme val="minor"/>
      </rPr>
      <t xml:space="preserve"> for definition of terms used in these tables and/or comparison of differences with prior CBECS tables. Both references can be accessed from http://www.eia.gov/consumption/commercial/data/2012/
     Source: U.S. Energy Information Administration, Office of Energy Consumption and Efficiency Statistics, Form EIA-871A of the 2012 Commercial Buildings Energy Consumption Survey.</t>
    </r>
  </si>
  <si>
    <t>Total Floor Space (million)</t>
  </si>
  <si>
    <t>Count of County</t>
  </si>
  <si>
    <t>Total Floor Area</t>
  </si>
  <si>
    <t>mountain</t>
  </si>
  <si>
    <t>Share of Floorspace</t>
  </si>
  <si>
    <t>Total</t>
  </si>
  <si>
    <t>Floorspace allocation</t>
  </si>
  <si>
    <t>Table B10.  Number of floors, number of buildings and floorspace, 2012</t>
  </si>
  <si>
    <t>Number of buildings (thousand)</t>
  </si>
  <si>
    <t>One floor</t>
  </si>
  <si>
    <t>Two floors</t>
  </si>
  <si>
    <t>Three floors</t>
  </si>
  <si>
    <t>Four to nine floors</t>
  </si>
  <si>
    <t>Ten or more floors</t>
  </si>
  <si>
    <t>Census region</t>
  </si>
  <si>
    <r>
      <t>Climate region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</si>
  <si>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Very cold/Cold</t>
  </si>
  <si>
    <t>Mixed-humid</t>
  </si>
  <si>
    <t>Mixed-dry/Hot-dry</t>
  </si>
  <si>
    <t>Provider of direct input on energy-related equipment purchases</t>
  </si>
  <si>
    <t>Energy sources 
(more than one may apply)</t>
  </si>
  <si>
    <t>Building never open/electricity 
not used</t>
  </si>
  <si>
    <t>(*)</t>
  </si>
  <si>
    <t>Cooling equipment
(more than one may apply)</t>
  </si>
  <si>
    <t>Residential-type central air conditioners</t>
  </si>
  <si>
    <t>Combination of centralized and distributed system</t>
  </si>
  <si>
    <t>High-intensity discharge</t>
  </si>
  <si>
    <t>Food preparation or serving areas
in non-food service buildings 
(more than one may apply)</t>
  </si>
  <si>
    <t>Window and interior lighting
features (more than one may 
apply)</t>
  </si>
  <si>
    <r>
      <t>Building automation system (BAS) for lighting</t>
    </r>
    <r>
      <rPr>
        <vertAlign val="superscript"/>
        <sz val="10"/>
        <color theme="1"/>
        <rFont val="Calibri"/>
        <family val="2"/>
        <scheme val="minor"/>
      </rPr>
      <t>2</t>
    </r>
  </si>
  <si>
    <t>Average Building Sqaure Footage</t>
  </si>
  <si>
    <t>Release date: May 2016
Revised date: December 2016</t>
  </si>
  <si>
    <t>Table C4. Sum of major fuel consumption and expenditure gross energy intensities , 2012</t>
  </si>
  <si>
    <t xml:space="preserve">Sum of major fuel consumption </t>
  </si>
  <si>
    <t>Sum of major fuel expenditures</t>
  </si>
  <si>
    <t>per
building
(million
Btu)</t>
  </si>
  <si>
    <t>per
square foot
(thousand
Btu)</t>
  </si>
  <si>
    <t>per 
worker
(million
Btu)</t>
  </si>
  <si>
    <t>Distribution of 
building-level intensities
(thousand Btu/square foot)</t>
  </si>
  <si>
    <t>per
building
(thousand
dollars)</t>
  </si>
  <si>
    <t>per
square foot
(dollars)</t>
  </si>
  <si>
    <t>per 
million
Btu (dollars)</t>
  </si>
  <si>
    <t>25th
per-
centile</t>
  </si>
  <si>
    <t>Median</t>
  </si>
  <si>
    <t>75th
per-
centile</t>
  </si>
  <si>
    <t>Census region and division</t>
  </si>
  <si>
    <t xml:space="preserve">New England </t>
  </si>
  <si>
    <t xml:space="preserve">South Atlantic </t>
  </si>
  <si>
    <t>Mountain</t>
  </si>
  <si>
    <r>
      <t>Building automation system (BAS)</t>
    </r>
    <r>
      <rPr>
        <vertAlign val="superscript"/>
        <sz val="10"/>
        <color theme="1"/>
        <rFont val="Calibri"/>
        <family val="2"/>
        <scheme val="minor"/>
      </rPr>
      <t>2</t>
    </r>
  </si>
  <si>
    <t>Average Energy Consumption per Building (MMBtu)</t>
  </si>
  <si>
    <t>E7 Add AEDG roof insulation</t>
  </si>
  <si>
    <t>HA13 Widen Zone Temperature Deadband, Add Conference Room Standby Control (Upgrade To DDC Zone Control)</t>
  </si>
  <si>
    <t>HA14 Lower VAV Box Minimum Flow Setpoints, Reset Duct Static Pressure (Upgrade to DDC Zone Control)</t>
  </si>
  <si>
    <t>HA15 Add Demand Controlled Ventilation</t>
  </si>
  <si>
    <t>HA16 Replace Supply Fan Motor and VFD</t>
  </si>
  <si>
    <t>HW7 Shut Down Heating Plant When There's No Heating Load</t>
  </si>
  <si>
    <t>HW8 Increase Efficiency of Condenser Water System</t>
  </si>
  <si>
    <t>HW9 Increase Efficiency of Condenser Water Pumping System</t>
  </si>
  <si>
    <t>HW10 Change Cooling Plant Pumping System to Variable Primary</t>
  </si>
  <si>
    <t>HW12 Add a VFD to One Chiller</t>
  </si>
  <si>
    <t>HW15 Replace Boiler Burners with Modulating Burners</t>
  </si>
  <si>
    <t>Commercial Buildings Deep Retrofit Measures</t>
  </si>
  <si>
    <t>PNNL</t>
  </si>
  <si>
    <t>https://www.pnnl.gov/main/publications/external/technical_reports/PNNL-20761.pdf</t>
  </si>
  <si>
    <t>Advanced Energy Retrofit Guides OFFICE BUILDINGS</t>
  </si>
  <si>
    <t>Include?</t>
  </si>
  <si>
    <t>Total Cost</t>
  </si>
  <si>
    <t>Table 5.3 and Appendix</t>
  </si>
  <si>
    <t>Commercial Buildings Statistics</t>
  </si>
  <si>
    <t>EIA</t>
  </si>
  <si>
    <t>Commercial Building Energy Consumption Survey 2012</t>
  </si>
  <si>
    <t>https://www.eia.gov/consumption/commercial/data/2012/index.php?view=characteristics</t>
  </si>
  <si>
    <t>Tables B5, B10, and C4</t>
  </si>
  <si>
    <t>US County Climate Zones</t>
  </si>
  <si>
    <t>PNNL and ORNL</t>
  </si>
  <si>
    <t>Guide to Determining Climate Regions by County</t>
  </si>
  <si>
    <t>https://www1.eere.energy.gov/buildings/publications/pdfs/building_america/ba_climateguide_7_1.pdf</t>
  </si>
  <si>
    <t>other component</t>
  </si>
  <si>
    <t>appliances</t>
  </si>
  <si>
    <t>lighting</t>
  </si>
  <si>
    <t>envelope</t>
  </si>
  <si>
    <t>cooling and ventilation</t>
  </si>
  <si>
    <t>heating</t>
  </si>
  <si>
    <t>commercial</t>
  </si>
  <si>
    <t>rural residential</t>
  </si>
  <si>
    <t>urban residential</t>
  </si>
  <si>
    <t>BRESaC Percent Energy Savings from Retrofitting by Component</t>
  </si>
  <si>
    <t>BRESaC Retrofitting Cost per Unit Energy Saved</t>
  </si>
  <si>
    <t>escalators, off-road electric vehicles, laboratory fume hoods, laundry equipment, coffee brewers, water services, emergency generators,</t>
  </si>
  <si>
    <t>performed in commercial buildings.</t>
  </si>
  <si>
    <t>escalators, off-road electric vehicles, laboratory fume hoods, laundry equipment, coffee brewers, and water services.</t>
  </si>
  <si>
    <t>CKI000:cdd_UnitedStates</t>
  </si>
  <si>
    <t>CKI000:cdd_Pacific</t>
  </si>
  <si>
    <t>CKI000:cdd_Mountain</t>
  </si>
  <si>
    <t>CKI000:cdd_WestSouthCen</t>
  </si>
  <si>
    <t>CKI000:cdd_EastSouthCen</t>
  </si>
  <si>
    <t>CKI000:cdd_SouthAtlantc</t>
  </si>
  <si>
    <t>CKI000:cdd_WestNorthCen</t>
  </si>
  <si>
    <t>CKI000:cdd_EastNorthCen</t>
  </si>
  <si>
    <t>CKI000:cdd_MiddleAtlant</t>
  </si>
  <si>
    <t>CKI000:cdd_NewEngland</t>
  </si>
  <si>
    <t>CKI000:hdd_UnitedStates</t>
  </si>
  <si>
    <t>CKI000:hdd_Pacific</t>
  </si>
  <si>
    <t>CKI000:hdd_Mountain</t>
  </si>
  <si>
    <t>CKI000:hdd_WestSouthCen</t>
  </si>
  <si>
    <t>CKI000:hdd_EastSouthCen</t>
  </si>
  <si>
    <t>CKI000:hdd_SouthAtlantc</t>
  </si>
  <si>
    <t>CKI000:hdd_WestNorthCen</t>
  </si>
  <si>
    <t>CKI000:hdd_EastNorthCen</t>
  </si>
  <si>
    <t>CKI000:hdd_MiddleAtlant</t>
  </si>
  <si>
    <t>CKI000:hdd_NewEngland</t>
  </si>
  <si>
    <t>CKI000:qa_TotalSolar</t>
  </si>
  <si>
    <t>CKI000:qa_EKnowitzWindy</t>
  </si>
  <si>
    <t>CKI000:qa_SolarPhotovol</t>
  </si>
  <si>
    <t xml:space="preserve">  Solar Thermal</t>
  </si>
  <si>
    <t>CKI000:qa_SolarThermal</t>
  </si>
  <si>
    <t>CKI000:pa_Total</t>
  </si>
  <si>
    <t xml:space="preserve">   Other Uses 6/</t>
  </si>
  <si>
    <t>CKI000:pa_OtherUses</t>
  </si>
  <si>
    <t xml:space="preserve">   Office Equipment</t>
  </si>
  <si>
    <t>CKI000:pa_OfficeEquipme</t>
  </si>
  <si>
    <t xml:space="preserve">   Computing</t>
  </si>
  <si>
    <t>CKI000:oa_OfficeEquipme</t>
  </si>
  <si>
    <t>CKI000:oa_Refrigeration</t>
  </si>
  <si>
    <t>CKI000:oa_Lighting</t>
  </si>
  <si>
    <t>CKI000:oa_Cooking</t>
  </si>
  <si>
    <t xml:space="preserve">   Ventilation</t>
  </si>
  <si>
    <t>CKI000:oa_Ventilation</t>
  </si>
  <si>
    <t>CKI000:oa_WaterHeating</t>
  </si>
  <si>
    <t>CKI000:oa_SpaceCooling</t>
  </si>
  <si>
    <t>CKI000:oa_SpaceHeating</t>
  </si>
  <si>
    <t>CKI000:na_ElectricityRe</t>
  </si>
  <si>
    <t>CKI000:ma_DeliveredEner</t>
  </si>
  <si>
    <t>CKI000:ma_OtherUses</t>
  </si>
  <si>
    <t>CKI000:ma_OfficeEquipme</t>
  </si>
  <si>
    <t>CKI000:la_OfficeEquipme</t>
  </si>
  <si>
    <t>CKI000:la_Refrigeration</t>
  </si>
  <si>
    <t>CKI000:la_Lighting</t>
  </si>
  <si>
    <t>CKI000:la_Cooking</t>
  </si>
  <si>
    <t>CKI000:la_Ventilation</t>
  </si>
  <si>
    <t>CKI000:la_WaterHeating</t>
  </si>
  <si>
    <t>CKI000:la_SpaceCooling</t>
  </si>
  <si>
    <t>CKI000:la_SpaceHeating</t>
  </si>
  <si>
    <t>CKI000:ka_OtherFuels</t>
  </si>
  <si>
    <t xml:space="preserve"> Marketed Renewables (biomass)</t>
  </si>
  <si>
    <t>CKI000:ka_MarketedRenew</t>
  </si>
  <si>
    <t>CKI000:ja_DeliveredEner</t>
  </si>
  <si>
    <t>CKI000:ja_OtherUses</t>
  </si>
  <si>
    <t>CKI000:ja_WaterHeating</t>
  </si>
  <si>
    <t>CKI000:ja_SpaceHeating</t>
  </si>
  <si>
    <t xml:space="preserve"> Distillate Fuel Oil</t>
  </si>
  <si>
    <t>CKI000:ia_DeliveredEner</t>
  </si>
  <si>
    <t xml:space="preserve">   Other Uses 3/</t>
  </si>
  <si>
    <t>CKI000:ia_OtherUses</t>
  </si>
  <si>
    <t>CKI000:ia_Cooking</t>
  </si>
  <si>
    <t>CKI000:ia_WaterHeating</t>
  </si>
  <si>
    <t>CKI000:ia_SpaceCooling</t>
  </si>
  <si>
    <t>CKI000:ia_SpaceHeating</t>
  </si>
  <si>
    <t>CKI000:ha_OtherUses</t>
  </si>
  <si>
    <t>CKI000:ha_OfficeEquipme</t>
  </si>
  <si>
    <t>CKI000:ga_OfficeEquipme</t>
  </si>
  <si>
    <t>CKI000:ga_Refrigeration</t>
  </si>
  <si>
    <t>CKI000:ga_Lighting</t>
  </si>
  <si>
    <t>CKI000:ga_Cooking</t>
  </si>
  <si>
    <t>CKI000:ga_Ventilation</t>
  </si>
  <si>
    <t>CKI000:ga_WaterHeating</t>
  </si>
  <si>
    <t>CKI000:ga_SpaceCooling</t>
  </si>
  <si>
    <t>CKI000:ga_SpaceHeating</t>
  </si>
  <si>
    <t>CKI000:ea_ElectricityRe</t>
  </si>
  <si>
    <t xml:space="preserve">   Delivered Energy Consumption</t>
  </si>
  <si>
    <t>CKI000:ea_DeliveredEner</t>
  </si>
  <si>
    <t xml:space="preserve"> Energy Consumption Intensity</t>
  </si>
  <si>
    <t>CKI000:da_Total</t>
  </si>
  <si>
    <t xml:space="preserve">   New Additions</t>
  </si>
  <si>
    <t>CKI000:da_NewAdditions</t>
  </si>
  <si>
    <t xml:space="preserve">   Surviving</t>
  </si>
  <si>
    <t>CKI000:da_Surviving</t>
  </si>
  <si>
    <t xml:space="preserve"> Total Floorspace (billion square feet)</t>
  </si>
  <si>
    <t>5. Commercial Sector Key Indicators and Consumption</t>
  </si>
  <si>
    <t>CKI000</t>
  </si>
  <si>
    <t>Share of residential bldg energy use for space heating and cooling (ignoring non-appliance plug loads and "other")</t>
  </si>
  <si>
    <t>Share of commercial bldg energy use for space heating and cooling (ignoring non-appliance plug loads and "other")</t>
  </si>
  <si>
    <t>Average reduction in building energy use (%)</t>
  </si>
  <si>
    <t>Perc reduction heating and cooling energy use</t>
  </si>
  <si>
    <t>Percent energy saving (dimensionless)</t>
  </si>
  <si>
    <t>$/BTU</t>
  </si>
  <si>
    <t>highogs.d120120a</t>
  </si>
  <si>
    <t>Annual Energy Outlook 2021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</si>
  <si>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</si>
  <si>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</si>
  <si>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</si>
  <si>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</si>
  <si>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</si>
  <si>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</si>
  <si>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</si>
  <si>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 xml:space="preserve">   Gross End-use Consumption 1/</t>
  </si>
  <si>
    <t>Energy Consumption by Fuel</t>
  </si>
  <si>
    <t xml:space="preserve"> Electricity 1/</t>
  </si>
  <si>
    <t xml:space="preserve">   Clothes Washers 2/</t>
  </si>
  <si>
    <t xml:space="preserve">   Dishwashers 2/</t>
  </si>
  <si>
    <t xml:space="preserve">   Televisions and Related Equipment 3/</t>
  </si>
  <si>
    <t xml:space="preserve">   Computers and Related Equipment 4/</t>
  </si>
  <si>
    <t xml:space="preserve">     Electricity Subtotal</t>
  </si>
  <si>
    <t>RKI000:fa_OwnGeneration</t>
  </si>
  <si>
    <t xml:space="preserve">   Onsite Generation for Own Use</t>
  </si>
  <si>
    <t>RKI000:fa_PurchasedElec</t>
  </si>
  <si>
    <t xml:space="preserve">     Purchased Electricity</t>
  </si>
  <si>
    <t xml:space="preserve"> Distillate Fuel Oil 7/</t>
  </si>
  <si>
    <t xml:space="preserve">   Other Uses 8/</t>
  </si>
  <si>
    <t xml:space="preserve">   Other Uses 9/</t>
  </si>
  <si>
    <t xml:space="preserve"> Marketed Renewables (wood) 10/</t>
  </si>
  <si>
    <t>Energy Consumption by End Use 1/</t>
  </si>
  <si>
    <t xml:space="preserve"> Clothes Washers 2/</t>
  </si>
  <si>
    <t xml:space="preserve"> Dishwashers 2/</t>
  </si>
  <si>
    <t xml:space="preserve"> Televisions and Related Equipment 3/</t>
  </si>
  <si>
    <t xml:space="preserve"> Computers and Related Equipment 4/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</si>
  <si>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</si>
  <si>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</si>
  <si>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</si>
  <si>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</si>
  <si>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Onsite Generation for Own Use</t>
  </si>
  <si>
    <t xml:space="preserve">    Delivered Energy</t>
  </si>
  <si>
    <t>Total Energy Consumption by End Use 1/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</si>
  <si>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</si>
  <si>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</si>
  <si>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</si>
  <si>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</si>
  <si>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Total Net Own-use Generation</t>
  </si>
  <si>
    <t>Nonmarketed Renewables 12/</t>
  </si>
  <si>
    <t>1/ Unless otherwise specified, energy consumption by end use includes all electricity consumed for that end use,</t>
  </si>
  <si>
    <t>including purchased electricity and onsite generation for own use.</t>
  </si>
  <si>
    <t>2/ Does not include water heating portion of load.</t>
  </si>
  <si>
    <t>3/ Includes televisions, set-top boxes, home theater systems, DVD and Blu-ray players, and video game consoles.</t>
  </si>
  <si>
    <t>4/ Includes desktop and laptop computers, monitors, and networking equipment.</t>
  </si>
  <si>
    <t>5/ Includes electric and electronic devices, heating elements, and motors not listed above.  Electric vehicles are included in the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</si>
  <si>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</si>
  <si>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</si>
  <si>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</si>
  <si>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</si>
  <si>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</si>
  <si>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11/ Includes electric and electronic devices, heating elements, motors, outdoor grills, natural gas-and propane-fueled lights, pool</t>
  </si>
  <si>
    <t>heaters, spa heaters, and backup electricity generators not listed above.  Electric vehicles are included in the transportation sector.</t>
  </si>
  <si>
    <t>12/ Consumption determined by using the average electric power sector net heat rate for fossil fuels.</t>
  </si>
  <si>
    <t>Btu = British thermal unit.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</si>
  <si>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</si>
  <si>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</si>
  <si>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 AEO2021</t>
  </si>
  <si>
    <t>National Energy Modeling System run highogs.d120120a.  Projections:  EIA, AEO2021 National Energy Modeling System run highogs.d120120a.</t>
  </si>
  <si>
    <t xml:space="preserve">   Space Heating 2/</t>
  </si>
  <si>
    <t xml:space="preserve">   Space Cooling 2/</t>
  </si>
  <si>
    <t xml:space="preserve">   Water Heating 2/</t>
  </si>
  <si>
    <t>CKI000:ha_ElecSubtotal</t>
  </si>
  <si>
    <t>CKI000:ha_OwnGeneration</t>
  </si>
  <si>
    <t>CKI000:ha_PurchasedElec</t>
  </si>
  <si>
    <t xml:space="preserve"> Other Fuels 6/</t>
  </si>
  <si>
    <t>CKI000:ma_GrsEndUseCons</t>
  </si>
  <si>
    <t xml:space="preserve">     Gross End-use Consumption</t>
  </si>
  <si>
    <t>CKI000:ma_OwnGeneration</t>
  </si>
  <si>
    <t xml:space="preserve">     Total Gross End-use Consumption</t>
  </si>
  <si>
    <t>CKI000:pa_OwnGeneration</t>
  </si>
  <si>
    <t>CKI000:pa_TtllOwnUseGen</t>
  </si>
  <si>
    <t>Nonmarketed Renewable Fuels 8/</t>
  </si>
  <si>
    <t>2/ Includes fuel consumption for district services.</t>
  </si>
  <si>
    <t>3/ Includes (but is not limited to) miscellaneous uses such as transformers, medical imaging and other medical equipment, elevators,</t>
  </si>
  <si>
    <t>4/ Includes miscellaneous uses, such as emergency generators, combined heat and power in commercial buildings, and manufacturing</t>
  </si>
  <si>
    <t>5/ Includes miscellaneous uses, such as cooking, emergency generators, and combined heat and power in commercial buildings.</t>
  </si>
  <si>
    <t>6/ Includes residual fuel oil, propane, coal, motor gasoline, and kerosene.</t>
  </si>
  <si>
    <t>7/ Includes (but is not limited to) miscellaneous uses such as transformers, medical imaging and other medical equipment, elevators,</t>
  </si>
  <si>
    <t>combined heat and power in commercial buildings, manufacturing performed in commercial buildings, and cooking (distillate).  Also</t>
  </si>
  <si>
    <t>includes residual fuel oil, propane, coal, motor gasoline, kerosene, and marketed renewable fuels (biomass).</t>
  </si>
  <si>
    <t>8/ Consumption determined by using the average electric power sector net heat rate for fossil fuels.</t>
  </si>
  <si>
    <t>Notes</t>
  </si>
  <si>
    <t>This variable helps control the building retrofitting policy, whose effects are cumulative with other</t>
  </si>
  <si>
    <t>policies affecting the energy use of building components.</t>
  </si>
  <si>
    <t>Therefore, for energy savings, this variable should contain the percentage of energy savings from</t>
  </si>
  <si>
    <r>
      <t xml:space="preserve">retrofitting </t>
    </r>
    <r>
      <rPr>
        <b/>
        <sz val="11"/>
        <color theme="1"/>
        <rFont val="Calibri"/>
        <family val="2"/>
        <scheme val="minor"/>
      </rPr>
      <t>in a scenario where retrofitting is the only enabled policy</t>
    </r>
    <r>
      <rPr>
        <sz val="11"/>
        <color theme="1"/>
        <rFont val="Calibri"/>
        <family val="2"/>
        <scheme val="minor"/>
      </rPr>
      <t>.  For example, you should</t>
    </r>
  </si>
  <si>
    <t>incorporate any effects from future improvement of building codes that is part of the BAU case,</t>
  </si>
  <si>
    <t>but you should not incorporate any effects from future improvement of building codes above</t>
  </si>
  <si>
    <t>and beyond the improvement in the BAU case (caused by the building energy efficiency standards</t>
  </si>
  <si>
    <t>policy lever).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</si>
</sst>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#,##0.0"/>
    <numFmt numFmtId="167" formatCode="0.0E+00"/>
    <numFmt numFmtId="168" formatCode="_(* #,##0_);_(* \(#,##0\);_(* &quot;-&quot;??_);_(@_)"/>
    <numFmt numFmtId="169" formatCode="0.00000"/>
    <numFmt numFmtId="170" formatCode="0.000"/>
    <numFmt numFmtId="171" formatCode="0.00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0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0"/>
      <name val="Calibri"/>
    </font>
    <font>
      <sz val="10"/>
      <color indexed="8"/>
      <name val="Calibri"/>
      <family val="2"/>
    </font>
    <font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ck">
        <color theme="0"/>
      </left>
      <right/>
      <top/>
      <bottom style="thin">
        <color theme="0" tint="-0.24994659260841701"/>
      </bottom>
      <diagonal/>
    </border>
    <border>
      <left/>
      <right/>
      <top style="thick">
        <color theme="4"/>
      </top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 style="thick">
        <color theme="0"/>
      </right>
      <top/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ashed">
        <color rgb="FFBFBFBF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2" applyNumberFormat="0" applyProtection="0">
      <alignment wrapText="1"/>
    </xf>
    <xf numFmtId="0" fontId="7" fillId="0" borderId="0" applyNumberFormat="0" applyProtection="0">
      <alignment horizontal="left"/>
    </xf>
    <xf numFmtId="0" fontId="5" fillId="0" borderId="3" applyNumberFormat="0" applyProtection="0">
      <alignment wrapText="1"/>
    </xf>
    <xf numFmtId="0" fontId="4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43" fontId="1" fillId="0" borderId="0" applyFont="0" applyFill="0" applyBorder="0" applyAlignment="0" applyProtection="0"/>
    <xf numFmtId="0" fontId="20" fillId="4" borderId="0" applyNumberFormat="0" applyBorder="0" applyAlignment="0" applyProtection="0"/>
    <xf numFmtId="0" fontId="4" fillId="0" borderId="0"/>
  </cellStyleXfs>
  <cellXfs count="161">
    <xf numFmtId="0" fontId="0" fillId="0" borderId="0" xfId="0"/>
    <xf numFmtId="9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3"/>
    <xf numFmtId="0" fontId="0" fillId="2" borderId="0" xfId="0" applyFill="1"/>
    <xf numFmtId="0" fontId="2" fillId="2" borderId="0" xfId="0" applyFont="1" applyFill="1"/>
    <xf numFmtId="164" fontId="0" fillId="0" borderId="0" xfId="1" applyNumberFormat="1" applyFont="1"/>
    <xf numFmtId="0" fontId="6" fillId="0" borderId="0" xfId="0" applyFont="1"/>
    <xf numFmtId="0" fontId="8" fillId="0" borderId="0" xfId="0" applyFont="1"/>
    <xf numFmtId="9" fontId="0" fillId="0" borderId="0" xfId="2" applyFont="1"/>
    <xf numFmtId="11" fontId="0" fillId="0" borderId="0" xfId="0" applyNumberFormat="1"/>
    <xf numFmtId="0" fontId="2" fillId="3" borderId="0" xfId="0" applyFont="1" applyFill="1"/>
    <xf numFmtId="0" fontId="0" fillId="3" borderId="0" xfId="0" applyFill="1"/>
    <xf numFmtId="165" fontId="0" fillId="0" borderId="0" xfId="2" applyNumberFormat="1" applyFont="1"/>
    <xf numFmtId="0" fontId="0" fillId="0" borderId="0" xfId="0" pivotButton="1"/>
    <xf numFmtId="0" fontId="0" fillId="0" borderId="0" xfId="0" applyNumberFormat="1"/>
    <xf numFmtId="0" fontId="11" fillId="0" borderId="0" xfId="0" applyFont="1" applyAlignment="1" applyProtection="1">
      <protection locked="0"/>
    </xf>
    <xf numFmtId="49" fontId="11" fillId="0" borderId="0" xfId="0" applyNumberFormat="1" applyFont="1" applyAlignment="1" applyProtection="1">
      <protection locked="0"/>
    </xf>
    <xf numFmtId="0" fontId="12" fillId="0" borderId="0" xfId="0" applyNumberFormat="1" applyFont="1" applyBorder="1" applyAlignment="1" applyProtection="1">
      <alignment horizontal="left" vertical="center"/>
      <protection locked="0"/>
    </xf>
    <xf numFmtId="49" fontId="12" fillId="0" borderId="0" xfId="0" applyNumberFormat="1" applyFont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1" fillId="0" borderId="0" xfId="0" quotePrefix="1" applyNumberFormat="1" applyFont="1" applyBorder="1" applyAlignment="1" applyProtection="1">
      <protection locked="0"/>
    </xf>
    <xf numFmtId="49" fontId="11" fillId="0" borderId="0" xfId="0" applyNumberFormat="1" applyFont="1" applyBorder="1" applyAlignment="1" applyProtection="1">
      <protection locked="0"/>
    </xf>
    <xf numFmtId="49" fontId="11" fillId="0" borderId="0" xfId="0" quotePrefix="1" applyNumberFormat="1" applyFont="1" applyBorder="1" applyAlignment="1" applyProtection="1">
      <protection locked="0"/>
    </xf>
    <xf numFmtId="0" fontId="11" fillId="0" borderId="0" xfId="0" quotePrefix="1" applyNumberFormat="1" applyFont="1" applyBorder="1" applyAlignment="1" applyProtection="1">
      <alignment horizontal="left" indent="1"/>
      <protection locked="0"/>
    </xf>
    <xf numFmtId="0" fontId="11" fillId="0" borderId="0" xfId="0" quotePrefix="1" applyNumberFormat="1" applyFont="1" applyBorder="1" applyAlignment="1" applyProtection="1">
      <alignment horizontal="left" indent="2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1" fillId="0" borderId="0" xfId="0" applyNumberFormat="1" applyFont="1" applyBorder="1" applyAlignment="1" applyProtection="1">
      <protection locked="0"/>
    </xf>
    <xf numFmtId="0" fontId="13" fillId="0" borderId="0" xfId="0" applyFont="1" applyAlignment="1">
      <alignment wrapText="1"/>
    </xf>
    <xf numFmtId="3" fontId="14" fillId="0" borderId="0" xfId="0" applyNumberFormat="1" applyFont="1"/>
    <xf numFmtId="0" fontId="0" fillId="0" borderId="0" xfId="0" applyAlignment="1">
      <alignment wrapText="1"/>
    </xf>
    <xf numFmtId="0" fontId="7" fillId="0" borderId="0" xfId="6" applyAlignment="1">
      <alignment horizontal="left" wrapText="1"/>
    </xf>
    <xf numFmtId="3" fontId="15" fillId="0" borderId="0" xfId="0" applyNumberFormat="1" applyFont="1" applyBorder="1" applyAlignment="1">
      <alignment horizontal="left" wrapText="1"/>
    </xf>
    <xf numFmtId="0" fontId="15" fillId="0" borderId="2" xfId="5" applyFont="1">
      <alignment wrapText="1"/>
    </xf>
    <xf numFmtId="3" fontId="15" fillId="0" borderId="1" xfId="5" applyNumberFormat="1" applyFont="1" applyBorder="1" applyAlignment="1">
      <alignment horizontal="right" wrapText="1"/>
    </xf>
    <xf numFmtId="0" fontId="15" fillId="0" borderId="10" xfId="8" applyFont="1" applyBorder="1">
      <alignment wrapText="1"/>
    </xf>
    <xf numFmtId="3" fontId="14" fillId="0" borderId="10" xfId="8" applyNumberFormat="1" applyFont="1" applyBorder="1" applyAlignment="1">
      <alignment horizontal="center" wrapText="1"/>
    </xf>
    <xf numFmtId="0" fontId="15" fillId="0" borderId="3" xfId="7" applyFont="1" applyFill="1" applyAlignment="1">
      <alignment wrapText="1"/>
    </xf>
    <xf numFmtId="3" fontId="15" fillId="0" borderId="3" xfId="7" applyNumberFormat="1" applyFont="1" applyAlignment="1">
      <alignment horizontal="center" wrapText="1"/>
    </xf>
    <xf numFmtId="0" fontId="14" fillId="0" borderId="4" xfId="8" applyFont="1" applyFill="1">
      <alignment wrapText="1"/>
    </xf>
    <xf numFmtId="3" fontId="14" fillId="0" borderId="4" xfId="8" applyNumberFormat="1" applyFont="1" applyAlignment="1">
      <alignment horizontal="center" wrapText="1"/>
    </xf>
    <xf numFmtId="0" fontId="14" fillId="0" borderId="4" xfId="8" applyFont="1" applyFill="1" applyAlignment="1">
      <alignment horizontal="left" wrapText="1" indent="1"/>
    </xf>
    <xf numFmtId="0" fontId="15" fillId="0" borderId="3" xfId="7" applyFont="1" applyFill="1">
      <alignment wrapText="1"/>
    </xf>
    <xf numFmtId="0" fontId="14" fillId="0" borderId="4" xfId="8" applyFont="1" applyFill="1" applyAlignment="1">
      <alignment wrapText="1"/>
    </xf>
    <xf numFmtId="3" fontId="14" fillId="0" borderId="4" xfId="8" applyNumberFormat="1" applyFont="1" applyFill="1" applyAlignment="1">
      <alignment horizontal="center" wrapText="1"/>
    </xf>
    <xf numFmtId="3" fontId="15" fillId="0" borderId="3" xfId="7" applyNumberFormat="1" applyFont="1" applyFill="1" applyAlignment="1">
      <alignment horizontal="center" wrapText="1"/>
    </xf>
    <xf numFmtId="0" fontId="14" fillId="0" borderId="4" xfId="8" quotePrefix="1" applyFont="1" applyFill="1">
      <alignment wrapText="1"/>
    </xf>
    <xf numFmtId="0" fontId="14" fillId="0" borderId="4" xfId="8" applyFont="1" applyFill="1" applyAlignment="1">
      <alignment horizontal="left" wrapText="1"/>
    </xf>
    <xf numFmtId="0" fontId="0" fillId="0" borderId="0" xfId="0" applyFill="1"/>
    <xf numFmtId="3" fontId="0" fillId="0" borderId="0" xfId="0" applyNumberFormat="1" applyAlignment="1"/>
    <xf numFmtId="10" fontId="0" fillId="0" borderId="0" xfId="0" applyNumberFormat="1"/>
    <xf numFmtId="167" fontId="0" fillId="0" borderId="0" xfId="0" applyNumberFormat="1"/>
    <xf numFmtId="0" fontId="0" fillId="0" borderId="0" xfId="0" applyFont="1"/>
    <xf numFmtId="0" fontId="7" fillId="0" borderId="0" xfId="6" applyFill="1" applyAlignment="1">
      <alignment horizontal="left" wrapText="1"/>
    </xf>
    <xf numFmtId="0" fontId="15" fillId="0" borderId="2" xfId="5" applyFont="1" applyFill="1">
      <alignment wrapText="1"/>
    </xf>
    <xf numFmtId="3" fontId="15" fillId="0" borderId="2" xfId="5" applyNumberFormat="1" applyFont="1" applyAlignment="1">
      <alignment horizontal="right" wrapText="1"/>
    </xf>
    <xf numFmtId="0" fontId="15" fillId="0" borderId="10" xfId="8" applyFont="1" applyFill="1" applyBorder="1">
      <alignment wrapText="1"/>
    </xf>
    <xf numFmtId="3" fontId="14" fillId="0" borderId="10" xfId="8" applyNumberFormat="1" applyFont="1" applyBorder="1" applyAlignment="1">
      <alignment horizontal="right" wrapText="1"/>
    </xf>
    <xf numFmtId="3" fontId="15" fillId="0" borderId="3" xfId="7" applyNumberFormat="1" applyFont="1" applyAlignment="1">
      <alignment horizontal="right" wrapText="1"/>
    </xf>
    <xf numFmtId="3" fontId="14" fillId="0" borderId="4" xfId="8" applyNumberFormat="1" applyFont="1" applyAlignment="1">
      <alignment horizontal="right" wrapText="1"/>
    </xf>
    <xf numFmtId="3" fontId="14" fillId="0" borderId="4" xfId="8" applyNumberFormat="1" applyFont="1" applyFill="1" applyAlignment="1">
      <alignment horizontal="right" wrapText="1"/>
    </xf>
    <xf numFmtId="3" fontId="15" fillId="0" borderId="3" xfId="7" applyNumberFormat="1" applyFont="1" applyFill="1" applyAlignment="1">
      <alignment horizontal="right" wrapText="1"/>
    </xf>
    <xf numFmtId="1" fontId="0" fillId="0" borderId="0" xfId="0" applyNumberFormat="1"/>
    <xf numFmtId="168" fontId="0" fillId="0" borderId="0" xfId="10" applyNumberFormat="1" applyFont="1"/>
    <xf numFmtId="168" fontId="0" fillId="0" borderId="0" xfId="0" applyNumberFormat="1"/>
    <xf numFmtId="3" fontId="0" fillId="0" borderId="0" xfId="0" applyNumberFormat="1"/>
    <xf numFmtId="0" fontId="15" fillId="0" borderId="2" xfId="5" applyFont="1" applyAlignment="1">
      <alignment horizontal="right" wrapText="1"/>
    </xf>
    <xf numFmtId="166" fontId="14" fillId="0" borderId="10" xfId="8" applyNumberFormat="1" applyFont="1" applyFill="1" applyBorder="1" applyAlignment="1">
      <alignment horizontal="right" wrapText="1"/>
    </xf>
    <xf numFmtId="166" fontId="15" fillId="0" borderId="3" xfId="7" applyNumberFormat="1" applyFont="1" applyAlignment="1">
      <alignment horizontal="right" wrapText="1"/>
    </xf>
    <xf numFmtId="166" fontId="14" fillId="0" borderId="4" xfId="8" applyNumberFormat="1" applyFont="1" applyAlignment="1">
      <alignment horizontal="right" wrapText="1"/>
    </xf>
    <xf numFmtId="166" fontId="14" fillId="0" borderId="4" xfId="8" applyNumberFormat="1" applyFont="1" applyFill="1" applyAlignment="1">
      <alignment horizontal="right" wrapText="1"/>
    </xf>
    <xf numFmtId="166" fontId="15" fillId="0" borderId="3" xfId="7" applyNumberFormat="1" applyFont="1" applyFill="1" applyAlignment="1">
      <alignment horizontal="right" wrapText="1"/>
    </xf>
    <xf numFmtId="165" fontId="1" fillId="0" borderId="0" xfId="2" applyNumberFormat="1" applyFont="1"/>
    <xf numFmtId="0" fontId="20" fillId="4" borderId="0" xfId="11"/>
    <xf numFmtId="165" fontId="20" fillId="4" borderId="0" xfId="11" applyNumberFormat="1"/>
    <xf numFmtId="164" fontId="20" fillId="4" borderId="0" xfId="11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65" fontId="2" fillId="5" borderId="6" xfId="2" applyNumberFormat="1" applyFont="1" applyFill="1" applyBorder="1"/>
    <xf numFmtId="169" fontId="2" fillId="5" borderId="6" xfId="2" applyNumberFormat="1" applyFont="1" applyFill="1" applyBorder="1"/>
    <xf numFmtId="165" fontId="1" fillId="0" borderId="0" xfId="2" applyNumberFormat="1" applyFont="1" applyFill="1" applyBorder="1"/>
    <xf numFmtId="0" fontId="0" fillId="0" borderId="0" xfId="0" applyFont="1" applyBorder="1" applyAlignment="1">
      <alignment wrapText="1"/>
    </xf>
    <xf numFmtId="165" fontId="2" fillId="5" borderId="6" xfId="0" applyNumberFormat="1" applyFont="1" applyFill="1" applyBorder="1"/>
    <xf numFmtId="0" fontId="2" fillId="0" borderId="0" xfId="0" applyFont="1" applyAlignment="1">
      <alignment wrapText="1"/>
    </xf>
    <xf numFmtId="170" fontId="0" fillId="0" borderId="0" xfId="0" applyNumberFormat="1"/>
    <xf numFmtId="169" fontId="0" fillId="0" borderId="0" xfId="0" applyNumberFormat="1"/>
    <xf numFmtId="171" fontId="0" fillId="0" borderId="0" xfId="0" applyNumberFormat="1"/>
    <xf numFmtId="0" fontId="13" fillId="0" borderId="0" xfId="0" applyFont="1" applyAlignment="1"/>
    <xf numFmtId="11" fontId="2" fillId="5" borderId="6" xfId="0" applyNumberFormat="1" applyFont="1" applyFill="1" applyBorder="1"/>
    <xf numFmtId="0" fontId="6" fillId="6" borderId="14" xfId="0" applyFont="1" applyFill="1" applyBorder="1"/>
    <xf numFmtId="4" fontId="0" fillId="6" borderId="15" xfId="8" applyNumberFormat="1" applyFont="1" applyFill="1" applyBorder="1" applyAlignment="1">
      <alignment horizontal="right" wrapText="1"/>
    </xf>
    <xf numFmtId="165" fontId="0" fillId="6" borderId="15" xfId="8" applyNumberFormat="1" applyFont="1" applyFill="1" applyBorder="1" applyAlignment="1">
      <alignment horizontal="right" wrapText="1"/>
    </xf>
    <xf numFmtId="0" fontId="0" fillId="6" borderId="16" xfId="0" applyFill="1" applyBorder="1"/>
    <xf numFmtId="0" fontId="6" fillId="6" borderId="17" xfId="0" applyFont="1" applyFill="1" applyBorder="1"/>
    <xf numFmtId="4" fontId="0" fillId="6" borderId="4" xfId="8" applyNumberFormat="1" applyFont="1" applyFill="1" applyBorder="1" applyAlignment="1">
      <alignment horizontal="right" wrapText="1"/>
    </xf>
    <xf numFmtId="165" fontId="0" fillId="6" borderId="4" xfId="8" applyNumberFormat="1" applyFont="1" applyFill="1" applyBorder="1" applyAlignment="1">
      <alignment horizontal="right" wrapText="1"/>
    </xf>
    <xf numFmtId="0" fontId="0" fillId="6" borderId="0" xfId="0" applyFill="1" applyBorder="1"/>
    <xf numFmtId="0" fontId="6" fillId="0" borderId="17" xfId="0" applyFont="1" applyBorder="1"/>
    <xf numFmtId="0" fontId="0" fillId="0" borderId="0" xfId="0" applyBorder="1"/>
    <xf numFmtId="0" fontId="6" fillId="0" borderId="18" xfId="0" applyFont="1" applyBorder="1"/>
    <xf numFmtId="0" fontId="0" fillId="0" borderId="19" xfId="0" applyBorder="1"/>
    <xf numFmtId="0" fontId="4" fillId="0" borderId="0" xfId="4"/>
    <xf numFmtId="0" fontId="5" fillId="0" borderId="2" xfId="5">
      <alignment wrapText="1"/>
    </xf>
    <xf numFmtId="0" fontId="22" fillId="0" borderId="0" xfId="0" applyFont="1"/>
    <xf numFmtId="0" fontId="23" fillId="0" borderId="0" xfId="0" applyFont="1"/>
    <xf numFmtId="0" fontId="7" fillId="0" borderId="0" xfId="6">
      <alignment horizontal="left"/>
    </xf>
    <xf numFmtId="0" fontId="5" fillId="0" borderId="0" xfId="0" applyFont="1" applyAlignment="1">
      <alignment horizontal="right"/>
    </xf>
    <xf numFmtId="0" fontId="5" fillId="0" borderId="2" xfId="5" applyAlignment="1">
      <alignment horizontal="right" wrapText="1"/>
    </xf>
    <xf numFmtId="0" fontId="5" fillId="0" borderId="3" xfId="7">
      <alignment wrapText="1"/>
    </xf>
    <xf numFmtId="0" fontId="0" fillId="0" borderId="4" xfId="8" applyFont="1">
      <alignment wrapText="1"/>
    </xf>
    <xf numFmtId="4" fontId="0" fillId="0" borderId="4" xfId="8" applyNumberFormat="1" applyFont="1" applyAlignment="1">
      <alignment horizontal="right" wrapText="1"/>
    </xf>
    <xf numFmtId="165" fontId="0" fillId="0" borderId="4" xfId="8" applyNumberFormat="1" applyFont="1" applyAlignment="1">
      <alignment horizontal="right" wrapText="1"/>
    </xf>
    <xf numFmtId="4" fontId="5" fillId="0" borderId="3" xfId="7" applyNumberFormat="1" applyAlignment="1">
      <alignment horizontal="right" wrapText="1"/>
    </xf>
    <xf numFmtId="165" fontId="5" fillId="0" borderId="3" xfId="7" applyNumberFormat="1" applyAlignment="1">
      <alignment horizontal="right" wrapText="1"/>
    </xf>
    <xf numFmtId="3" fontId="5" fillId="0" borderId="3" xfId="7" applyNumberFormat="1" applyAlignment="1">
      <alignment horizontal="right" wrapText="1"/>
    </xf>
    <xf numFmtId="166" fontId="0" fillId="0" borderId="4" xfId="8" applyNumberFormat="1" applyFont="1" applyAlignment="1">
      <alignment horizontal="right" wrapText="1"/>
    </xf>
    <xf numFmtId="3" fontId="0" fillId="0" borderId="4" xfId="8" applyNumberFormat="1" applyFont="1" applyAlignment="1">
      <alignment horizontal="right" wrapText="1"/>
    </xf>
    <xf numFmtId="0" fontId="0" fillId="0" borderId="5" xfId="0" applyBorder="1"/>
    <xf numFmtId="0" fontId="0" fillId="0" borderId="0" xfId="0"/>
    <xf numFmtId="166" fontId="5" fillId="0" borderId="3" xfId="7" applyNumberFormat="1" applyAlignment="1">
      <alignment horizontal="right" wrapText="1"/>
    </xf>
    <xf numFmtId="0" fontId="5" fillId="0" borderId="0" xfId="7" applyBorder="1">
      <alignment wrapText="1"/>
    </xf>
    <xf numFmtId="0" fontId="0" fillId="6" borderId="15" xfId="8" applyFont="1" applyFill="1" applyBorder="1">
      <alignment wrapText="1"/>
    </xf>
    <xf numFmtId="0" fontId="0" fillId="6" borderId="4" xfId="8" applyFont="1" applyFill="1" applyBorder="1">
      <alignment wrapText="1"/>
    </xf>
    <xf numFmtId="0" fontId="0" fillId="0" borderId="4" xfId="8" applyFont="1" applyBorder="1">
      <alignment wrapText="1"/>
    </xf>
    <xf numFmtId="4" fontId="0" fillId="0" borderId="4" xfId="8" applyNumberFormat="1" applyFont="1" applyBorder="1" applyAlignment="1">
      <alignment horizontal="right" wrapText="1"/>
    </xf>
    <xf numFmtId="165" fontId="0" fillId="0" borderId="4" xfId="8" applyNumberFormat="1" applyFont="1" applyBorder="1" applyAlignment="1">
      <alignment horizontal="right" wrapText="1"/>
    </xf>
    <xf numFmtId="0" fontId="0" fillId="0" borderId="19" xfId="8" applyFont="1" applyBorder="1">
      <alignment wrapText="1"/>
    </xf>
    <xf numFmtId="4" fontId="0" fillId="0" borderId="19" xfId="8" applyNumberFormat="1" applyFont="1" applyBorder="1" applyAlignment="1">
      <alignment horizontal="right" wrapText="1"/>
    </xf>
    <xf numFmtId="165" fontId="0" fillId="0" borderId="19" xfId="8" applyNumberFormat="1" applyFont="1" applyBorder="1" applyAlignment="1">
      <alignment horizontal="righ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5" xfId="9" applyAlignment="1">
      <alignment wrapText="1"/>
    </xf>
    <xf numFmtId="0" fontId="0" fillId="0" borderId="11" xfId="0" applyBorder="1" applyAlignment="1">
      <alignment wrapText="1"/>
    </xf>
    <xf numFmtId="0" fontId="7" fillId="0" borderId="0" xfId="6" applyAlignment="1">
      <alignment horizontal="left" wrapText="1"/>
    </xf>
    <xf numFmtId="0" fontId="0" fillId="0" borderId="0" xfId="0" applyAlignment="1">
      <alignment wrapText="1"/>
    </xf>
    <xf numFmtId="3" fontId="15" fillId="0" borderId="7" xfId="0" applyNumberFormat="1" applyFont="1" applyBorder="1" applyAlignment="1">
      <alignment horizontal="left" wrapText="1"/>
    </xf>
    <xf numFmtId="0" fontId="0" fillId="0" borderId="7" xfId="0" applyBorder="1" applyAlignment="1">
      <alignment horizontal="left"/>
    </xf>
    <xf numFmtId="3" fontId="15" fillId="0" borderId="8" xfId="0" applyNumberFormat="1" applyFont="1" applyBorder="1" applyAlignment="1">
      <alignment horizontal="left" wrapText="1"/>
    </xf>
    <xf numFmtId="0" fontId="0" fillId="0" borderId="8" xfId="0" applyBorder="1" applyAlignment="1">
      <alignment horizontal="left" wrapText="1"/>
    </xf>
    <xf numFmtId="3" fontId="15" fillId="0" borderId="9" xfId="0" applyNumberFormat="1" applyFont="1" applyBorder="1" applyAlignment="1">
      <alignment horizontal="left" wrapText="1"/>
    </xf>
    <xf numFmtId="0" fontId="0" fillId="0" borderId="8" xfId="0" applyBorder="1" applyAlignment="1">
      <alignment horizontal="left"/>
    </xf>
    <xf numFmtId="0" fontId="15" fillId="0" borderId="9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0" fillId="0" borderId="0" xfId="0" applyAlignment="1"/>
    <xf numFmtId="3" fontId="15" fillId="0" borderId="12" xfId="0" applyNumberFormat="1" applyFont="1" applyBorder="1" applyAlignment="1">
      <alignment horizontal="left" wrapText="1"/>
    </xf>
    <xf numFmtId="0" fontId="15" fillId="0" borderId="8" xfId="0" applyFont="1" applyBorder="1" applyAlignment="1">
      <alignment horizontal="left" wrapText="1"/>
    </xf>
    <xf numFmtId="0" fontId="15" fillId="0" borderId="13" xfId="5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15" fillId="0" borderId="2" xfId="5" applyFont="1" applyAlignment="1">
      <alignment horizontal="right" wrapText="1"/>
    </xf>
    <xf numFmtId="0" fontId="9" fillId="0" borderId="0" xfId="0" applyFont="1" applyAlignment="1" applyProtection="1">
      <alignment wrapText="1"/>
      <protection locked="0"/>
    </xf>
    <xf numFmtId="0" fontId="10" fillId="0" borderId="0" xfId="0" applyFont="1" applyAlignment="1" applyProtection="1">
      <alignment wrapText="1"/>
      <protection locked="0"/>
    </xf>
    <xf numFmtId="0" fontId="0" fillId="0" borderId="0" xfId="0"/>
    <xf numFmtId="0" fontId="5" fillId="0" borderId="3" xfId="7">
      <alignment wrapText="1"/>
    </xf>
    <xf numFmtId="4" fontId="5" fillId="0" borderId="3" xfId="7" applyNumberFormat="1" applyAlignment="1">
      <alignment horizontal="right" wrapText="1"/>
    </xf>
    <xf numFmtId="165" fontId="5" fillId="0" borderId="3" xfId="7" applyNumberFormat="1" applyAlignment="1">
      <alignment horizontal="right" wrapText="1"/>
    </xf>
    <xf numFmtId="0" fontId="24" fillId="0" borderId="5" xfId="9" applyFont="1">
      <alignment wrapText="1"/>
    </xf>
    <xf numFmtId="0" fontId="0" fillId="0" borderId="5" xfId="0" applyBorder="1"/>
    <xf numFmtId="0" fontId="0" fillId="0" borderId="4" xfId="8" applyFont="1">
      <alignment wrapText="1"/>
    </xf>
    <xf numFmtId="3" fontId="0" fillId="0" borderId="4" xfId="8" applyNumberFormat="1" applyFont="1" applyAlignment="1">
      <alignment horizontal="right" wrapText="1"/>
    </xf>
    <xf numFmtId="165" fontId="0" fillId="0" borderId="4" xfId="8" applyNumberFormat="1" applyFont="1" applyAlignment="1">
      <alignment horizontal="right" wrapText="1"/>
    </xf>
  </cellXfs>
  <cellStyles count="13">
    <cellStyle name="Bad" xfId="11" builtinId="27"/>
    <cellStyle name="Body: normal cell" xfId="8" xr:uid="{00000000-0005-0000-0000-000001000000}"/>
    <cellStyle name="Comma" xfId="10" builtinId="3"/>
    <cellStyle name="Currency" xfId="1" builtinId="4"/>
    <cellStyle name="Font: Calibri, 9pt regular" xfId="4" xr:uid="{00000000-0005-0000-0000-000004000000}"/>
    <cellStyle name="Footnotes: top row" xfId="9" xr:uid="{00000000-0005-0000-0000-000005000000}"/>
    <cellStyle name="Header: bottom row" xfId="5" xr:uid="{00000000-0005-0000-0000-000006000000}"/>
    <cellStyle name="Hyperlink" xfId="3" builtinId="8"/>
    <cellStyle name="Normal" xfId="0" builtinId="0"/>
    <cellStyle name="Normal 2" xfId="12" xr:uid="{00000000-0005-0000-0000-000009000000}"/>
    <cellStyle name="Parent row" xfId="7" xr:uid="{00000000-0005-0000-0000-00000A000000}"/>
    <cellStyle name="Percent" xfId="2" builtinId="5"/>
    <cellStyle name="Table title" xfId="6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bie Orvis" refreshedDate="43609.746432638887" createdVersion="6" refreshedVersion="6" minRefreshableVersion="3" recordCount="3140" xr:uid="{00000000-000A-0000-FFFF-FFFF02000000}">
  <cacheSource type="worksheet">
    <worksheetSource ref="A1:F3141" sheet="County Climates"/>
  </cacheSource>
  <cacheFields count="6">
    <cacheField name="State Abbrev" numFmtId="0">
      <sharedItems/>
    </cacheField>
    <cacheField name="State" numFmtId="0">
      <sharedItems/>
    </cacheField>
    <cacheField name="County" numFmtId="0">
      <sharedItems/>
    </cacheField>
    <cacheField name="Climate" numFmtId="0">
      <sharedItems containsMixedTypes="1" containsNumber="1" containsInteger="1" minValue="0" maxValue="0" count="9">
        <s v="Hot-Humid"/>
        <s v="Mixed-Humid"/>
        <s v="Marine"/>
        <s v="Cold"/>
        <s v="Mixed-Dry"/>
        <s v="Hot-Dry"/>
        <s v="Very Cold"/>
        <s v="Subarctic"/>
        <n v="0" u="1"/>
      </sharedItems>
    </cacheField>
    <cacheField name="Division" numFmtId="0">
      <sharedItems count="10">
        <s v="East South Central Division"/>
        <s v="West South Central Division"/>
        <s v="Pacific Division"/>
        <s v="Mountain Division"/>
        <s v="New England Division"/>
        <s v="South Atlantic Division"/>
        <s v="East North Central Division"/>
        <s v="West North Central Division"/>
        <s v="Middle Atlantic Division"/>
        <e v="#N/A" u="1"/>
      </sharedItems>
    </cacheField>
    <cacheField name="Total Floor Space (million)" numFmtId="0">
      <sharedItems containsSemiMixedTypes="0" containsString="0" containsNumber="1" containsInteger="1" minValue="4302" maxValue="179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40">
  <r>
    <s v="AL"/>
    <s v="Alabama"/>
    <s v="Autauga"/>
    <x v="0"/>
    <x v="0"/>
    <n v="4904"/>
  </r>
  <r>
    <s v="AL"/>
    <s v="Alabama"/>
    <s v="Baldwin"/>
    <x v="0"/>
    <x v="0"/>
    <n v="4904"/>
  </r>
  <r>
    <s v="AL"/>
    <s v="Alabama"/>
    <s v="Barbour"/>
    <x v="0"/>
    <x v="0"/>
    <n v="4904"/>
  </r>
  <r>
    <s v="AL"/>
    <s v="Alabama"/>
    <s v="Bibb"/>
    <x v="1"/>
    <x v="0"/>
    <n v="4904"/>
  </r>
  <r>
    <s v="AL"/>
    <s v="Alabama"/>
    <s v="Blount"/>
    <x v="1"/>
    <x v="0"/>
    <n v="4904"/>
  </r>
  <r>
    <s v="AL"/>
    <s v="Alabama"/>
    <s v="Bullock"/>
    <x v="0"/>
    <x v="0"/>
    <n v="4904"/>
  </r>
  <r>
    <s v="AL"/>
    <s v="Alabama"/>
    <s v="Butler"/>
    <x v="0"/>
    <x v="0"/>
    <n v="4904"/>
  </r>
  <r>
    <s v="AL"/>
    <s v="Alabama"/>
    <s v="Calhoun"/>
    <x v="1"/>
    <x v="0"/>
    <n v="4904"/>
  </r>
  <r>
    <s v="AL"/>
    <s v="Alabama"/>
    <s v="Chambers"/>
    <x v="1"/>
    <x v="0"/>
    <n v="4904"/>
  </r>
  <r>
    <s v="AL"/>
    <s v="Alabama"/>
    <s v="Cherokee"/>
    <x v="1"/>
    <x v="0"/>
    <n v="4904"/>
  </r>
  <r>
    <s v="AL"/>
    <s v="Alabama"/>
    <s v="Chilton"/>
    <x v="1"/>
    <x v="0"/>
    <n v="4904"/>
  </r>
  <r>
    <s v="AL"/>
    <s v="Alabama"/>
    <s v="Choctaw"/>
    <x v="0"/>
    <x v="0"/>
    <n v="4904"/>
  </r>
  <r>
    <s v="AL"/>
    <s v="Alabama"/>
    <s v="Clarke"/>
    <x v="0"/>
    <x v="0"/>
    <n v="4904"/>
  </r>
  <r>
    <s v="AL"/>
    <s v="Alabama"/>
    <s v="Clay"/>
    <x v="1"/>
    <x v="0"/>
    <n v="4904"/>
  </r>
  <r>
    <s v="AL"/>
    <s v="Alabama"/>
    <s v="Cleburne"/>
    <x v="1"/>
    <x v="0"/>
    <n v="4904"/>
  </r>
  <r>
    <s v="AL"/>
    <s v="Alabama"/>
    <s v="Coffee"/>
    <x v="0"/>
    <x v="0"/>
    <n v="4904"/>
  </r>
  <r>
    <s v="AL"/>
    <s v="Alabama"/>
    <s v="Colbert"/>
    <x v="1"/>
    <x v="0"/>
    <n v="4904"/>
  </r>
  <r>
    <s v="AL"/>
    <s v="Alabama"/>
    <s v="Conecuh"/>
    <x v="0"/>
    <x v="0"/>
    <n v="4904"/>
  </r>
  <r>
    <s v="AL"/>
    <s v="Alabama"/>
    <s v="Coosa"/>
    <x v="1"/>
    <x v="0"/>
    <n v="4904"/>
  </r>
  <r>
    <s v="AL"/>
    <s v="Alabama"/>
    <s v="Covington"/>
    <x v="0"/>
    <x v="0"/>
    <n v="4904"/>
  </r>
  <r>
    <s v="AL"/>
    <s v="Alabama"/>
    <s v="Crenshaw"/>
    <x v="0"/>
    <x v="0"/>
    <n v="4904"/>
  </r>
  <r>
    <s v="AL"/>
    <s v="Alabama"/>
    <s v="Cullman"/>
    <x v="1"/>
    <x v="0"/>
    <n v="4904"/>
  </r>
  <r>
    <s v="AL"/>
    <s v="Alabama"/>
    <s v="Dale"/>
    <x v="0"/>
    <x v="0"/>
    <n v="4904"/>
  </r>
  <r>
    <s v="AL"/>
    <s v="Alabama"/>
    <s v="Dallas"/>
    <x v="0"/>
    <x v="0"/>
    <n v="4904"/>
  </r>
  <r>
    <s v="AL"/>
    <s v="Alabama"/>
    <s v="DeKalb"/>
    <x v="1"/>
    <x v="0"/>
    <n v="4904"/>
  </r>
  <r>
    <s v="AL"/>
    <s v="Alabama"/>
    <s v="Elmore"/>
    <x v="0"/>
    <x v="0"/>
    <n v="4904"/>
  </r>
  <r>
    <s v="AL"/>
    <s v="Alabama"/>
    <s v="Escambia"/>
    <x v="0"/>
    <x v="0"/>
    <n v="4904"/>
  </r>
  <r>
    <s v="AL"/>
    <s v="Alabama"/>
    <s v="Etowah"/>
    <x v="1"/>
    <x v="0"/>
    <n v="4904"/>
  </r>
  <r>
    <s v="AL"/>
    <s v="Alabama"/>
    <s v="Fayette"/>
    <x v="1"/>
    <x v="0"/>
    <n v="4904"/>
  </r>
  <r>
    <s v="AL"/>
    <s v="Alabama"/>
    <s v="Franklin"/>
    <x v="1"/>
    <x v="0"/>
    <n v="4904"/>
  </r>
  <r>
    <s v="AL"/>
    <s v="Alabama"/>
    <s v="Geneva"/>
    <x v="0"/>
    <x v="0"/>
    <n v="4904"/>
  </r>
  <r>
    <s v="AL"/>
    <s v="Alabama"/>
    <s v="Greene"/>
    <x v="1"/>
    <x v="0"/>
    <n v="4904"/>
  </r>
  <r>
    <s v="AL"/>
    <s v="Alabama"/>
    <s v="Hale"/>
    <x v="1"/>
    <x v="0"/>
    <n v="4904"/>
  </r>
  <r>
    <s v="AL"/>
    <s v="Alabama"/>
    <s v="Henry"/>
    <x v="0"/>
    <x v="0"/>
    <n v="4904"/>
  </r>
  <r>
    <s v="AL"/>
    <s v="Alabama"/>
    <s v="Houston"/>
    <x v="0"/>
    <x v="0"/>
    <n v="4904"/>
  </r>
  <r>
    <s v="AL"/>
    <s v="Alabama"/>
    <s v="Jackson"/>
    <x v="1"/>
    <x v="0"/>
    <n v="4904"/>
  </r>
  <r>
    <s v="AL"/>
    <s v="Alabama"/>
    <s v="Jefferson"/>
    <x v="1"/>
    <x v="0"/>
    <n v="4904"/>
  </r>
  <r>
    <s v="AL"/>
    <s v="Alabama"/>
    <s v="Lamar"/>
    <x v="1"/>
    <x v="0"/>
    <n v="4904"/>
  </r>
  <r>
    <s v="AL"/>
    <s v="Alabama"/>
    <s v="Lauderdale"/>
    <x v="1"/>
    <x v="0"/>
    <n v="4904"/>
  </r>
  <r>
    <s v="AL"/>
    <s v="Alabama"/>
    <s v="Lawrence"/>
    <x v="1"/>
    <x v="0"/>
    <n v="4904"/>
  </r>
  <r>
    <s v="AL"/>
    <s v="Alabama"/>
    <s v="Lee"/>
    <x v="1"/>
    <x v="0"/>
    <n v="4904"/>
  </r>
  <r>
    <s v="AL"/>
    <s v="Alabama"/>
    <s v="Limestone"/>
    <x v="1"/>
    <x v="0"/>
    <n v="4904"/>
  </r>
  <r>
    <s v="AL"/>
    <s v="Alabama"/>
    <s v="Lowndes"/>
    <x v="0"/>
    <x v="0"/>
    <n v="4904"/>
  </r>
  <r>
    <s v="AL"/>
    <s v="Alabama"/>
    <s v="Macon"/>
    <x v="0"/>
    <x v="0"/>
    <n v="4904"/>
  </r>
  <r>
    <s v="AL"/>
    <s v="Alabama"/>
    <s v="Madison"/>
    <x v="1"/>
    <x v="0"/>
    <n v="4904"/>
  </r>
  <r>
    <s v="AL"/>
    <s v="Alabama"/>
    <s v="Marengo"/>
    <x v="0"/>
    <x v="0"/>
    <n v="4904"/>
  </r>
  <r>
    <s v="AL"/>
    <s v="Alabama"/>
    <s v="Marion"/>
    <x v="1"/>
    <x v="0"/>
    <n v="4904"/>
  </r>
  <r>
    <s v="AL"/>
    <s v="Alabama"/>
    <s v="Marshall"/>
    <x v="1"/>
    <x v="0"/>
    <n v="4904"/>
  </r>
  <r>
    <s v="AL"/>
    <s v="Alabama"/>
    <s v="Mobile"/>
    <x v="0"/>
    <x v="0"/>
    <n v="4904"/>
  </r>
  <r>
    <s v="AL"/>
    <s v="Alabama"/>
    <s v="Monroe"/>
    <x v="0"/>
    <x v="0"/>
    <n v="4904"/>
  </r>
  <r>
    <s v="AL"/>
    <s v="Alabama"/>
    <s v="Montgomery"/>
    <x v="0"/>
    <x v="0"/>
    <n v="4904"/>
  </r>
  <r>
    <s v="AL"/>
    <s v="Alabama"/>
    <s v="Morgan"/>
    <x v="1"/>
    <x v="0"/>
    <n v="4904"/>
  </r>
  <r>
    <s v="AL"/>
    <s v="Alabama"/>
    <s v="Perry"/>
    <x v="0"/>
    <x v="0"/>
    <n v="4904"/>
  </r>
  <r>
    <s v="AL"/>
    <s v="Alabama"/>
    <s v="Pickens"/>
    <x v="1"/>
    <x v="0"/>
    <n v="4904"/>
  </r>
  <r>
    <s v="AL"/>
    <s v="Alabama"/>
    <s v="Pike"/>
    <x v="0"/>
    <x v="0"/>
    <n v="4904"/>
  </r>
  <r>
    <s v="AL"/>
    <s v="Alabama"/>
    <s v="Randolph"/>
    <x v="1"/>
    <x v="0"/>
    <n v="4904"/>
  </r>
  <r>
    <s v="AL"/>
    <s v="Alabama"/>
    <s v="Russell"/>
    <x v="0"/>
    <x v="0"/>
    <n v="4904"/>
  </r>
  <r>
    <s v="AL"/>
    <s v="Alabama"/>
    <s v="Shelby"/>
    <x v="1"/>
    <x v="0"/>
    <n v="4904"/>
  </r>
  <r>
    <s v="AL"/>
    <s v="Alabama"/>
    <s v="St. Clair"/>
    <x v="1"/>
    <x v="0"/>
    <n v="4904"/>
  </r>
  <r>
    <s v="AL"/>
    <s v="Alabama"/>
    <s v="Sumter"/>
    <x v="1"/>
    <x v="0"/>
    <n v="4904"/>
  </r>
  <r>
    <s v="AL"/>
    <s v="Alabama"/>
    <s v="Talladega"/>
    <x v="1"/>
    <x v="0"/>
    <n v="4904"/>
  </r>
  <r>
    <s v="AL"/>
    <s v="Alabama"/>
    <s v="Tallapoosa"/>
    <x v="1"/>
    <x v="0"/>
    <n v="4904"/>
  </r>
  <r>
    <s v="AL"/>
    <s v="Alabama"/>
    <s v="Tuscaloosa"/>
    <x v="1"/>
    <x v="0"/>
    <n v="4904"/>
  </r>
  <r>
    <s v="AL"/>
    <s v="Alabama"/>
    <s v="Walker"/>
    <x v="1"/>
    <x v="0"/>
    <n v="4904"/>
  </r>
  <r>
    <s v="AL"/>
    <s v="Alabama"/>
    <s v="Washington"/>
    <x v="0"/>
    <x v="0"/>
    <n v="4904"/>
  </r>
  <r>
    <s v="AR"/>
    <s v="Arkansas"/>
    <s v="Desha"/>
    <x v="1"/>
    <x v="1"/>
    <n v="11394"/>
  </r>
  <r>
    <s v="AR"/>
    <s v="Arkansas"/>
    <s v="Drew"/>
    <x v="1"/>
    <x v="1"/>
    <n v="11394"/>
  </r>
  <r>
    <s v="AR"/>
    <s v="Arkansas"/>
    <s v="Faulkner"/>
    <x v="1"/>
    <x v="1"/>
    <n v="11394"/>
  </r>
  <r>
    <s v="AR"/>
    <s v="Arkansas"/>
    <s v="Franklin"/>
    <x v="1"/>
    <x v="1"/>
    <n v="11394"/>
  </r>
  <r>
    <s v="AR"/>
    <s v="Arkansas"/>
    <s v="Fulton"/>
    <x v="1"/>
    <x v="1"/>
    <n v="11394"/>
  </r>
  <r>
    <s v="AR"/>
    <s v="Arkansas"/>
    <s v="Garland"/>
    <x v="1"/>
    <x v="1"/>
    <n v="11394"/>
  </r>
  <r>
    <s v="AR"/>
    <s v="Arkansas"/>
    <s v="Grant"/>
    <x v="1"/>
    <x v="1"/>
    <n v="11394"/>
  </r>
  <r>
    <s v="AR"/>
    <s v="Arkansas"/>
    <s v="Greene"/>
    <x v="1"/>
    <x v="1"/>
    <n v="11394"/>
  </r>
  <r>
    <s v="AR"/>
    <s v="Arkansas"/>
    <s v="Hempstead"/>
    <x v="1"/>
    <x v="1"/>
    <n v="11394"/>
  </r>
  <r>
    <s v="AR"/>
    <s v="Arkansas"/>
    <s v="Hot Spring"/>
    <x v="1"/>
    <x v="1"/>
    <n v="11394"/>
  </r>
  <r>
    <s v="AR"/>
    <s v="Arkansas"/>
    <s v="Howard"/>
    <x v="1"/>
    <x v="1"/>
    <n v="11394"/>
  </r>
  <r>
    <s v="AR"/>
    <s v="Arkansas"/>
    <s v="Independence"/>
    <x v="1"/>
    <x v="1"/>
    <n v="11394"/>
  </r>
  <r>
    <s v="AR"/>
    <s v="Arkansas"/>
    <s v="Izard"/>
    <x v="1"/>
    <x v="1"/>
    <n v="11394"/>
  </r>
  <r>
    <s v="AR"/>
    <s v="Arkansas"/>
    <s v="Jackson"/>
    <x v="1"/>
    <x v="1"/>
    <n v="11394"/>
  </r>
  <r>
    <s v="AR"/>
    <s v="Arkansas"/>
    <s v="Jefferson"/>
    <x v="1"/>
    <x v="1"/>
    <n v="11394"/>
  </r>
  <r>
    <s v="AR"/>
    <s v="Arkansas"/>
    <s v="Johnson"/>
    <x v="1"/>
    <x v="1"/>
    <n v="11394"/>
  </r>
  <r>
    <s v="AR"/>
    <s v="Arkansas"/>
    <s v="Lafayette"/>
    <x v="0"/>
    <x v="1"/>
    <n v="11394"/>
  </r>
  <r>
    <s v="AR"/>
    <s v="Arkansas"/>
    <s v="Lawrence"/>
    <x v="1"/>
    <x v="1"/>
    <n v="11394"/>
  </r>
  <r>
    <s v="AR"/>
    <s v="Arkansas"/>
    <s v="Lee"/>
    <x v="1"/>
    <x v="1"/>
    <n v="11394"/>
  </r>
  <r>
    <s v="AR"/>
    <s v="Arkansas"/>
    <s v="Lincoln"/>
    <x v="1"/>
    <x v="1"/>
    <n v="11394"/>
  </r>
  <r>
    <s v="AR"/>
    <s v="Arkansas"/>
    <s v="Little River"/>
    <x v="0"/>
    <x v="1"/>
    <n v="11394"/>
  </r>
  <r>
    <s v="AR"/>
    <s v="Arkansas"/>
    <s v="Logan"/>
    <x v="1"/>
    <x v="1"/>
    <n v="11394"/>
  </r>
  <r>
    <s v="AR"/>
    <s v="Arkansas"/>
    <s v="Lonoke"/>
    <x v="1"/>
    <x v="1"/>
    <n v="11394"/>
  </r>
  <r>
    <s v="AR"/>
    <s v="Arkansas"/>
    <s v="Madison"/>
    <x v="1"/>
    <x v="1"/>
    <n v="11394"/>
  </r>
  <r>
    <s v="AR"/>
    <s v="Arkansas"/>
    <s v="Marion"/>
    <x v="1"/>
    <x v="1"/>
    <n v="11394"/>
  </r>
  <r>
    <s v="AR"/>
    <s v="Arkansas"/>
    <s v="Miller"/>
    <x v="0"/>
    <x v="1"/>
    <n v="11394"/>
  </r>
  <r>
    <s v="AR"/>
    <s v="Arkansas"/>
    <s v="Mississippi"/>
    <x v="1"/>
    <x v="1"/>
    <n v="11394"/>
  </r>
  <r>
    <s v="AR"/>
    <s v="Arkansas"/>
    <s v="Monroe"/>
    <x v="1"/>
    <x v="1"/>
    <n v="11394"/>
  </r>
  <r>
    <s v="AR"/>
    <s v="Arkansas"/>
    <s v="Montgomery"/>
    <x v="1"/>
    <x v="1"/>
    <n v="11394"/>
  </r>
  <r>
    <s v="AR"/>
    <s v="Arkansas"/>
    <s v="Nevada"/>
    <x v="1"/>
    <x v="1"/>
    <n v="11394"/>
  </r>
  <r>
    <s v="AR"/>
    <s v="Arkansas"/>
    <s v="Newton"/>
    <x v="1"/>
    <x v="1"/>
    <n v="11394"/>
  </r>
  <r>
    <s v="AR"/>
    <s v="Arkansas"/>
    <s v="Ouachita"/>
    <x v="1"/>
    <x v="1"/>
    <n v="11394"/>
  </r>
  <r>
    <s v="AR"/>
    <s v="Arkansas"/>
    <s v="Perry"/>
    <x v="1"/>
    <x v="1"/>
    <n v="11394"/>
  </r>
  <r>
    <s v="AR"/>
    <s v="Arkansas"/>
    <s v="Phillips"/>
    <x v="1"/>
    <x v="1"/>
    <n v="11394"/>
  </r>
  <r>
    <s v="AR"/>
    <s v="Arkansas"/>
    <s v="Pike"/>
    <x v="1"/>
    <x v="1"/>
    <n v="11394"/>
  </r>
  <r>
    <s v="AR"/>
    <s v="Arkansas"/>
    <s v="Poinsett"/>
    <x v="1"/>
    <x v="1"/>
    <n v="11394"/>
  </r>
  <r>
    <s v="AR"/>
    <s v="Arkansas"/>
    <s v="Polk"/>
    <x v="1"/>
    <x v="1"/>
    <n v="11394"/>
  </r>
  <r>
    <s v="AR"/>
    <s v="Arkansas"/>
    <s v="Pope"/>
    <x v="1"/>
    <x v="1"/>
    <n v="11394"/>
  </r>
  <r>
    <s v="AR"/>
    <s v="Arkansas"/>
    <s v="Prairie"/>
    <x v="1"/>
    <x v="1"/>
    <n v="11394"/>
  </r>
  <r>
    <s v="AR"/>
    <s v="Arkansas"/>
    <s v="Pulaski"/>
    <x v="1"/>
    <x v="1"/>
    <n v="11394"/>
  </r>
  <r>
    <s v="AR"/>
    <s v="Arkansas"/>
    <s v="Randolph"/>
    <x v="1"/>
    <x v="1"/>
    <n v="11394"/>
  </r>
  <r>
    <s v="AR"/>
    <s v="Arkansas"/>
    <s v="Saline"/>
    <x v="1"/>
    <x v="1"/>
    <n v="11394"/>
  </r>
  <r>
    <s v="AR"/>
    <s v="Arkansas"/>
    <s v="Scott"/>
    <x v="1"/>
    <x v="1"/>
    <n v="11394"/>
  </r>
  <r>
    <s v="AR"/>
    <s v="Arkansas"/>
    <s v="Searcy"/>
    <x v="1"/>
    <x v="1"/>
    <n v="11394"/>
  </r>
  <r>
    <s v="AR"/>
    <s v="Arkansas"/>
    <s v="Sebastian"/>
    <x v="1"/>
    <x v="1"/>
    <n v="11394"/>
  </r>
  <r>
    <s v="AR"/>
    <s v="Arkansas"/>
    <s v="Sevier"/>
    <x v="1"/>
    <x v="1"/>
    <n v="11394"/>
  </r>
  <r>
    <s v="AR"/>
    <s v="Arkansas"/>
    <s v="Sharp"/>
    <x v="1"/>
    <x v="1"/>
    <n v="11394"/>
  </r>
  <r>
    <s v="AR"/>
    <s v="Arkansas"/>
    <s v="St. Francis"/>
    <x v="1"/>
    <x v="1"/>
    <n v="11394"/>
  </r>
  <r>
    <s v="AR"/>
    <s v="Arkansas"/>
    <s v="Stone"/>
    <x v="1"/>
    <x v="1"/>
    <n v="11394"/>
  </r>
  <r>
    <s v="AR"/>
    <s v="Arkansas"/>
    <s v="Union"/>
    <x v="0"/>
    <x v="1"/>
    <n v="11394"/>
  </r>
  <r>
    <s v="AR"/>
    <s v="Arkansas"/>
    <s v="Van Buren"/>
    <x v="1"/>
    <x v="1"/>
    <n v="11394"/>
  </r>
  <r>
    <s v="AR"/>
    <s v="Arkansas"/>
    <s v="Washington"/>
    <x v="1"/>
    <x v="1"/>
    <n v="11394"/>
  </r>
  <r>
    <s v="AR"/>
    <s v="Arkansas"/>
    <s v="White"/>
    <x v="1"/>
    <x v="1"/>
    <n v="11394"/>
  </r>
  <r>
    <s v="AR"/>
    <s v="Arkansas"/>
    <s v="Woodruff"/>
    <x v="1"/>
    <x v="1"/>
    <n v="11394"/>
  </r>
  <r>
    <s v="AR"/>
    <s v="Arkansas"/>
    <s v="Yell"/>
    <x v="1"/>
    <x v="1"/>
    <n v="11394"/>
  </r>
  <r>
    <s v="CA"/>
    <s v="California"/>
    <s v="Alameda"/>
    <x v="2"/>
    <x v="2"/>
    <n v="13379"/>
  </r>
  <r>
    <s v="CA"/>
    <s v="California"/>
    <s v="Alpine"/>
    <x v="3"/>
    <x v="2"/>
    <n v="13379"/>
  </r>
  <r>
    <s v="CA"/>
    <s v="California"/>
    <s v="Amador"/>
    <x v="4"/>
    <x v="2"/>
    <n v="13379"/>
  </r>
  <r>
    <s v="CA"/>
    <s v="California"/>
    <s v="Butte"/>
    <x v="5"/>
    <x v="2"/>
    <n v="13379"/>
  </r>
  <r>
    <s v="CA"/>
    <s v="California"/>
    <s v="Calaveras"/>
    <x v="4"/>
    <x v="2"/>
    <n v="13379"/>
  </r>
  <r>
    <s v="CA"/>
    <s v="California"/>
    <s v="Colusa"/>
    <x v="5"/>
    <x v="2"/>
    <n v="13379"/>
  </r>
  <r>
    <s v="CA"/>
    <s v="California"/>
    <s v="Contra Costa"/>
    <x v="5"/>
    <x v="2"/>
    <n v="13379"/>
  </r>
  <r>
    <s v="CA"/>
    <s v="California"/>
    <s v="Del Norte"/>
    <x v="2"/>
    <x v="2"/>
    <n v="13379"/>
  </r>
  <r>
    <s v="CA"/>
    <s v="California"/>
    <s v="El Dorado"/>
    <x v="4"/>
    <x v="2"/>
    <n v="13379"/>
  </r>
  <r>
    <s v="CA"/>
    <s v="California"/>
    <s v="Fresno"/>
    <x v="5"/>
    <x v="2"/>
    <n v="13379"/>
  </r>
  <r>
    <s v="CO"/>
    <s v="Colorado"/>
    <s v="Dolores"/>
    <x v="3"/>
    <x v="3"/>
    <n v="4981"/>
  </r>
  <r>
    <s v="CO"/>
    <s v="Colorado"/>
    <s v="Douglas"/>
    <x v="3"/>
    <x v="3"/>
    <n v="4981"/>
  </r>
  <r>
    <s v="CO"/>
    <s v="Colorado"/>
    <s v="Eagle"/>
    <x v="3"/>
    <x v="3"/>
    <n v="4981"/>
  </r>
  <r>
    <s v="CO"/>
    <s v="Colorado"/>
    <s v="El Paso"/>
    <x v="3"/>
    <x v="3"/>
    <n v="4981"/>
  </r>
  <r>
    <s v="CO"/>
    <s v="Colorado"/>
    <s v="Elbert"/>
    <x v="3"/>
    <x v="3"/>
    <n v="4981"/>
  </r>
  <r>
    <s v="CO"/>
    <s v="Colorado"/>
    <s v="Fremont"/>
    <x v="3"/>
    <x v="3"/>
    <n v="4981"/>
  </r>
  <r>
    <s v="CO"/>
    <s v="Colorado"/>
    <s v="Garfield"/>
    <x v="3"/>
    <x v="3"/>
    <n v="4981"/>
  </r>
  <r>
    <s v="CO"/>
    <s v="Colorado"/>
    <s v="Gilpin"/>
    <x v="3"/>
    <x v="3"/>
    <n v="4981"/>
  </r>
  <r>
    <s v="CO"/>
    <s v="Colorado"/>
    <s v="Grand"/>
    <x v="6"/>
    <x v="3"/>
    <n v="4981"/>
  </r>
  <r>
    <s v="CO"/>
    <s v="Colorado"/>
    <s v="Gunnison"/>
    <x v="6"/>
    <x v="3"/>
    <n v="4981"/>
  </r>
  <r>
    <s v="CO"/>
    <s v="Colorado"/>
    <s v="Hinsdale"/>
    <x v="6"/>
    <x v="3"/>
    <n v="4981"/>
  </r>
  <r>
    <s v="CO"/>
    <s v="Colorado"/>
    <s v="Huerfano"/>
    <x v="3"/>
    <x v="3"/>
    <n v="4981"/>
  </r>
  <r>
    <s v="CO"/>
    <s v="Colorado"/>
    <s v="Jackson"/>
    <x v="6"/>
    <x v="3"/>
    <n v="4981"/>
  </r>
  <r>
    <s v="CO"/>
    <s v="Colorado"/>
    <s v="Jefferson"/>
    <x v="3"/>
    <x v="3"/>
    <n v="4981"/>
  </r>
  <r>
    <s v="CO"/>
    <s v="Colorado"/>
    <s v="Kiowa"/>
    <x v="3"/>
    <x v="3"/>
    <n v="4981"/>
  </r>
  <r>
    <s v="CO"/>
    <s v="Colorado"/>
    <s v="Kit Carson"/>
    <x v="3"/>
    <x v="3"/>
    <n v="4981"/>
  </r>
  <r>
    <s v="CO"/>
    <s v="Colorado"/>
    <s v="La Plata"/>
    <x v="3"/>
    <x v="3"/>
    <n v="4981"/>
  </r>
  <r>
    <s v="CO"/>
    <s v="Colorado"/>
    <s v="Lake"/>
    <x v="6"/>
    <x v="3"/>
    <n v="4981"/>
  </r>
  <r>
    <s v="CO"/>
    <s v="Colorado"/>
    <s v="Larimer"/>
    <x v="3"/>
    <x v="3"/>
    <n v="4981"/>
  </r>
  <r>
    <s v="CO"/>
    <s v="Colorado"/>
    <s v="Las Animas"/>
    <x v="4"/>
    <x v="3"/>
    <n v="4981"/>
  </r>
  <r>
    <s v="CO"/>
    <s v="Colorado"/>
    <s v="Lincoln"/>
    <x v="3"/>
    <x v="3"/>
    <n v="4981"/>
  </r>
  <r>
    <s v="CO"/>
    <s v="Colorado"/>
    <s v="Logan"/>
    <x v="3"/>
    <x v="3"/>
    <n v="4981"/>
  </r>
  <r>
    <s v="CO"/>
    <s v="Colorado"/>
    <s v="Mesa"/>
    <x v="3"/>
    <x v="3"/>
    <n v="4981"/>
  </r>
  <r>
    <s v="CO"/>
    <s v="Colorado"/>
    <s v="Mineral"/>
    <x v="6"/>
    <x v="3"/>
    <n v="4981"/>
  </r>
  <r>
    <s v="CO"/>
    <s v="Colorado"/>
    <s v="Moffat"/>
    <x v="3"/>
    <x v="3"/>
    <n v="4981"/>
  </r>
  <r>
    <s v="CO"/>
    <s v="Colorado"/>
    <s v="Montezuma"/>
    <x v="3"/>
    <x v="3"/>
    <n v="4981"/>
  </r>
  <r>
    <s v="CO"/>
    <s v="Colorado"/>
    <s v="Montrose"/>
    <x v="3"/>
    <x v="3"/>
    <n v="4981"/>
  </r>
  <r>
    <s v="CO"/>
    <s v="Colorado"/>
    <s v="Morgan"/>
    <x v="3"/>
    <x v="3"/>
    <n v="4981"/>
  </r>
  <r>
    <s v="CO"/>
    <s v="Colorado"/>
    <s v="Otero"/>
    <x v="4"/>
    <x v="3"/>
    <n v="4981"/>
  </r>
  <r>
    <s v="CO"/>
    <s v="Colorado"/>
    <s v="Ouray"/>
    <x v="3"/>
    <x v="3"/>
    <n v="4981"/>
  </r>
  <r>
    <s v="CO"/>
    <s v="Colorado"/>
    <s v="Park"/>
    <x v="6"/>
    <x v="3"/>
    <n v="4981"/>
  </r>
  <r>
    <s v="CO"/>
    <s v="Colorado"/>
    <s v="Phillips"/>
    <x v="3"/>
    <x v="3"/>
    <n v="4981"/>
  </r>
  <r>
    <s v="CO"/>
    <s v="Colorado"/>
    <s v="Pitkin"/>
    <x v="6"/>
    <x v="3"/>
    <n v="4981"/>
  </r>
  <r>
    <s v="CO"/>
    <s v="Colorado"/>
    <s v="Prowers"/>
    <x v="3"/>
    <x v="3"/>
    <n v="4981"/>
  </r>
  <r>
    <s v="CO"/>
    <s v="Colorado"/>
    <s v="Pueblo"/>
    <x v="3"/>
    <x v="3"/>
    <n v="4981"/>
  </r>
  <r>
    <s v="CO"/>
    <s v="Colorado"/>
    <s v="Rio Blanco"/>
    <x v="3"/>
    <x v="3"/>
    <n v="4981"/>
  </r>
  <r>
    <s v="CO"/>
    <s v="Colorado"/>
    <s v="Rio Grande"/>
    <x v="6"/>
    <x v="3"/>
    <n v="4981"/>
  </r>
  <r>
    <s v="CO"/>
    <s v="Colorado"/>
    <s v="Routt"/>
    <x v="6"/>
    <x v="3"/>
    <n v="4981"/>
  </r>
  <r>
    <s v="CO"/>
    <s v="Colorado"/>
    <s v="Saguache"/>
    <x v="3"/>
    <x v="3"/>
    <n v="4981"/>
  </r>
  <r>
    <s v="CO"/>
    <s v="Colorado"/>
    <s v="San Juan"/>
    <x v="6"/>
    <x v="3"/>
    <n v="4981"/>
  </r>
  <r>
    <s v="CO"/>
    <s v="Colorado"/>
    <s v="San Miguel"/>
    <x v="3"/>
    <x v="3"/>
    <n v="4981"/>
  </r>
  <r>
    <s v="CO"/>
    <s v="Colorado"/>
    <s v="Sedgwick"/>
    <x v="3"/>
    <x v="3"/>
    <n v="4981"/>
  </r>
  <r>
    <s v="CO"/>
    <s v="Colorado"/>
    <s v="Summit"/>
    <x v="6"/>
    <x v="3"/>
    <n v="4981"/>
  </r>
  <r>
    <s v="CO"/>
    <s v="Colorado"/>
    <s v="Teller"/>
    <x v="3"/>
    <x v="3"/>
    <n v="4981"/>
  </r>
  <r>
    <s v="CO"/>
    <s v="Colorado"/>
    <s v="Washington"/>
    <x v="3"/>
    <x v="3"/>
    <n v="4981"/>
  </r>
  <r>
    <s v="CO"/>
    <s v="Colorado"/>
    <s v="Weld"/>
    <x v="3"/>
    <x v="3"/>
    <n v="4981"/>
  </r>
  <r>
    <s v="CO"/>
    <s v="Colorado"/>
    <s v="Yuma"/>
    <x v="3"/>
    <x v="3"/>
    <n v="4981"/>
  </r>
  <r>
    <s v="CT"/>
    <s v="Connecticut"/>
    <s v="Fairfield"/>
    <x v="3"/>
    <x v="4"/>
    <n v="4302"/>
  </r>
  <r>
    <s v="CT"/>
    <s v="Connecticut"/>
    <s v="Hartford"/>
    <x v="3"/>
    <x v="4"/>
    <n v="4302"/>
  </r>
  <r>
    <s v="CT"/>
    <s v="Connecticut"/>
    <s v="Litchfield"/>
    <x v="3"/>
    <x v="4"/>
    <n v="4302"/>
  </r>
  <r>
    <s v="CT"/>
    <s v="Connecticut"/>
    <s v="Middlesex"/>
    <x v="3"/>
    <x v="4"/>
    <n v="4302"/>
  </r>
  <r>
    <s v="CT"/>
    <s v="Connecticut"/>
    <s v="New Haven"/>
    <x v="3"/>
    <x v="4"/>
    <n v="4302"/>
  </r>
  <r>
    <s v="CT"/>
    <s v="Connecticut"/>
    <s v="New London"/>
    <x v="3"/>
    <x v="4"/>
    <n v="4302"/>
  </r>
  <r>
    <s v="CT"/>
    <s v="Connecticut"/>
    <s v="Tolland"/>
    <x v="3"/>
    <x v="4"/>
    <n v="4302"/>
  </r>
  <r>
    <s v="CT"/>
    <s v="Connecticut"/>
    <s v="Windham"/>
    <x v="3"/>
    <x v="4"/>
    <n v="4302"/>
  </r>
  <r>
    <s v="DE"/>
    <s v="Delaware"/>
    <s v="Kent"/>
    <x v="1"/>
    <x v="5"/>
    <n v="17981"/>
  </r>
  <r>
    <s v="DE"/>
    <s v="Delaware"/>
    <s v="New Castle"/>
    <x v="1"/>
    <x v="5"/>
    <n v="17981"/>
  </r>
  <r>
    <s v="DE"/>
    <s v="Delaware"/>
    <s v="Sussex"/>
    <x v="1"/>
    <x v="5"/>
    <n v="17981"/>
  </r>
  <r>
    <s v="FL"/>
    <s v="Florida"/>
    <s v="Alachua"/>
    <x v="0"/>
    <x v="5"/>
    <n v="17981"/>
  </r>
  <r>
    <s v="FL"/>
    <s v="Florida"/>
    <s v="Baker"/>
    <x v="0"/>
    <x v="5"/>
    <n v="17981"/>
  </r>
  <r>
    <s v="FL"/>
    <s v="Florida"/>
    <s v="Bay"/>
    <x v="0"/>
    <x v="5"/>
    <n v="17981"/>
  </r>
  <r>
    <s v="FL"/>
    <s v="Florida"/>
    <s v="Bradford"/>
    <x v="0"/>
    <x v="5"/>
    <n v="17981"/>
  </r>
  <r>
    <s v="FL"/>
    <s v="Florida"/>
    <s v="Brevard"/>
    <x v="0"/>
    <x v="5"/>
    <n v="17981"/>
  </r>
  <r>
    <s v="GA"/>
    <s v="Georgia"/>
    <s v="Baker"/>
    <x v="0"/>
    <x v="5"/>
    <n v="17981"/>
  </r>
  <r>
    <s v="GA"/>
    <s v="Georgia"/>
    <s v="Baldwin"/>
    <x v="1"/>
    <x v="5"/>
    <n v="17981"/>
  </r>
  <r>
    <s v="GA"/>
    <s v="Georgia"/>
    <s v="Banks"/>
    <x v="1"/>
    <x v="5"/>
    <n v="17981"/>
  </r>
  <r>
    <s v="GA"/>
    <s v="Georgia"/>
    <s v="Barrow"/>
    <x v="1"/>
    <x v="5"/>
    <n v="17981"/>
  </r>
  <r>
    <s v="GA"/>
    <s v="Georgia"/>
    <s v="Bartow"/>
    <x v="1"/>
    <x v="5"/>
    <n v="17981"/>
  </r>
  <r>
    <s v="GA"/>
    <s v="Georgia"/>
    <s v="Ben Hill"/>
    <x v="0"/>
    <x v="5"/>
    <n v="17981"/>
  </r>
  <r>
    <s v="GA"/>
    <s v="Georgia"/>
    <s v="Berrien"/>
    <x v="0"/>
    <x v="5"/>
    <n v="17981"/>
  </r>
  <r>
    <s v="GA"/>
    <s v="Georgia"/>
    <s v="Bibb"/>
    <x v="1"/>
    <x v="5"/>
    <n v="17981"/>
  </r>
  <r>
    <s v="GA"/>
    <s v="Georgia"/>
    <s v="Bleckley"/>
    <x v="0"/>
    <x v="5"/>
    <n v="17981"/>
  </r>
  <r>
    <s v="GA"/>
    <s v="Georgia"/>
    <s v="Brantley"/>
    <x v="0"/>
    <x v="5"/>
    <n v="17981"/>
  </r>
  <r>
    <s v="GA"/>
    <s v="Georgia"/>
    <s v="Brooks"/>
    <x v="0"/>
    <x v="5"/>
    <n v="17981"/>
  </r>
  <r>
    <s v="GA"/>
    <s v="Georgia"/>
    <s v="Bryan"/>
    <x v="0"/>
    <x v="5"/>
    <n v="17981"/>
  </r>
  <r>
    <s v="GA"/>
    <s v="Georgia"/>
    <s v="Bulloch"/>
    <x v="0"/>
    <x v="5"/>
    <n v="17981"/>
  </r>
  <r>
    <s v="GA"/>
    <s v="Georgia"/>
    <s v="Burke"/>
    <x v="1"/>
    <x v="5"/>
    <n v="17981"/>
  </r>
  <r>
    <s v="GA"/>
    <s v="Georgia"/>
    <s v="Butts"/>
    <x v="1"/>
    <x v="5"/>
    <n v="17981"/>
  </r>
  <r>
    <s v="GA"/>
    <s v="Georgia"/>
    <s v="Calhoun"/>
    <x v="0"/>
    <x v="5"/>
    <n v="17981"/>
  </r>
  <r>
    <s v="GA"/>
    <s v="Georgia"/>
    <s v="Camden"/>
    <x v="0"/>
    <x v="5"/>
    <n v="17981"/>
  </r>
  <r>
    <s v="GA"/>
    <s v="Georgia"/>
    <s v="Candler"/>
    <x v="0"/>
    <x v="5"/>
    <n v="17981"/>
  </r>
  <r>
    <s v="GA"/>
    <s v="Georgia"/>
    <s v="Carroll"/>
    <x v="1"/>
    <x v="5"/>
    <n v="17981"/>
  </r>
  <r>
    <s v="GA"/>
    <s v="Georgia"/>
    <s v="Catoosa"/>
    <x v="1"/>
    <x v="5"/>
    <n v="17981"/>
  </r>
  <r>
    <s v="GA"/>
    <s v="Georgia"/>
    <s v="Charlton"/>
    <x v="0"/>
    <x v="5"/>
    <n v="17981"/>
  </r>
  <r>
    <s v="GA"/>
    <s v="Georgia"/>
    <s v="Chatham"/>
    <x v="0"/>
    <x v="5"/>
    <n v="17981"/>
  </r>
  <r>
    <s v="GA"/>
    <s v="Georgia"/>
    <s v="Chattahoochee"/>
    <x v="0"/>
    <x v="5"/>
    <n v="17981"/>
  </r>
  <r>
    <s v="GA"/>
    <s v="Georgia"/>
    <s v="Chattooga"/>
    <x v="1"/>
    <x v="5"/>
    <n v="17981"/>
  </r>
  <r>
    <s v="GA"/>
    <s v="Georgia"/>
    <s v="Cherokee"/>
    <x v="1"/>
    <x v="5"/>
    <n v="17981"/>
  </r>
  <r>
    <s v="GA"/>
    <s v="Georgia"/>
    <s v="Clarke"/>
    <x v="1"/>
    <x v="5"/>
    <n v="17981"/>
  </r>
  <r>
    <s v="GA"/>
    <s v="Georgia"/>
    <s v="Clay"/>
    <x v="0"/>
    <x v="5"/>
    <n v="17981"/>
  </r>
  <r>
    <s v="GA"/>
    <s v="Georgia"/>
    <s v="Clayton"/>
    <x v="1"/>
    <x v="5"/>
    <n v="17981"/>
  </r>
  <r>
    <s v="GA"/>
    <s v="Georgia"/>
    <s v="Clinch"/>
    <x v="0"/>
    <x v="5"/>
    <n v="17981"/>
  </r>
  <r>
    <s v="GA"/>
    <s v="Georgia"/>
    <s v="Cobb"/>
    <x v="1"/>
    <x v="5"/>
    <n v="17981"/>
  </r>
  <r>
    <s v="GA"/>
    <s v="Georgia"/>
    <s v="Coffee"/>
    <x v="0"/>
    <x v="5"/>
    <n v="17981"/>
  </r>
  <r>
    <s v="GA"/>
    <s v="Georgia"/>
    <s v="Colquitt"/>
    <x v="0"/>
    <x v="5"/>
    <n v="17981"/>
  </r>
  <r>
    <s v="GA"/>
    <s v="Georgia"/>
    <s v="Columbia"/>
    <x v="1"/>
    <x v="5"/>
    <n v="17981"/>
  </r>
  <r>
    <s v="GA"/>
    <s v="Georgia"/>
    <s v="Cook"/>
    <x v="0"/>
    <x v="5"/>
    <n v="17981"/>
  </r>
  <r>
    <s v="GA"/>
    <s v="Georgia"/>
    <s v="Coweta"/>
    <x v="1"/>
    <x v="5"/>
    <n v="17981"/>
  </r>
  <r>
    <s v="GA"/>
    <s v="Georgia"/>
    <s v="Crawford"/>
    <x v="1"/>
    <x v="5"/>
    <n v="17981"/>
  </r>
  <r>
    <s v="GA"/>
    <s v="Georgia"/>
    <s v="Crisp"/>
    <x v="0"/>
    <x v="5"/>
    <n v="17981"/>
  </r>
  <r>
    <s v="GA"/>
    <s v="Georgia"/>
    <s v="Dade"/>
    <x v="1"/>
    <x v="5"/>
    <n v="17981"/>
  </r>
  <r>
    <s v="GA"/>
    <s v="Georgia"/>
    <s v="Dawson"/>
    <x v="1"/>
    <x v="5"/>
    <n v="17981"/>
  </r>
  <r>
    <s v="GA"/>
    <s v="Georgia"/>
    <s v="Decatur"/>
    <x v="0"/>
    <x v="5"/>
    <n v="17981"/>
  </r>
  <r>
    <s v="GA"/>
    <s v="Georgia"/>
    <s v="DeKalb"/>
    <x v="1"/>
    <x v="5"/>
    <n v="17981"/>
  </r>
  <r>
    <s v="GA"/>
    <s v="Georgia"/>
    <s v="Dodge"/>
    <x v="0"/>
    <x v="5"/>
    <n v="17981"/>
  </r>
  <r>
    <s v="GA"/>
    <s v="Georgia"/>
    <s v="Dooly"/>
    <x v="0"/>
    <x v="5"/>
    <n v="17981"/>
  </r>
  <r>
    <s v="GA"/>
    <s v="Georgia"/>
    <s v="Dougherty"/>
    <x v="0"/>
    <x v="5"/>
    <n v="17981"/>
  </r>
  <r>
    <s v="GA"/>
    <s v="Georgia"/>
    <s v="Douglas"/>
    <x v="1"/>
    <x v="5"/>
    <n v="17981"/>
  </r>
  <r>
    <s v="GA"/>
    <s v="Georgia"/>
    <s v="Early"/>
    <x v="0"/>
    <x v="5"/>
    <n v="17981"/>
  </r>
  <r>
    <s v="GA"/>
    <s v="Georgia"/>
    <s v="Echols"/>
    <x v="0"/>
    <x v="5"/>
    <n v="17981"/>
  </r>
  <r>
    <s v="GA"/>
    <s v="Georgia"/>
    <s v="Effingham"/>
    <x v="0"/>
    <x v="5"/>
    <n v="17981"/>
  </r>
  <r>
    <s v="GA"/>
    <s v="Georgia"/>
    <s v="Elbert"/>
    <x v="1"/>
    <x v="5"/>
    <n v="17981"/>
  </r>
  <r>
    <s v="GA"/>
    <s v="Georgia"/>
    <s v="Emanuel"/>
    <x v="0"/>
    <x v="5"/>
    <n v="17981"/>
  </r>
  <r>
    <s v="GA"/>
    <s v="Georgia"/>
    <s v="Evans"/>
    <x v="0"/>
    <x v="5"/>
    <n v="17981"/>
  </r>
  <r>
    <s v="GA"/>
    <s v="Georgia"/>
    <s v="Fannin"/>
    <x v="1"/>
    <x v="5"/>
    <n v="17981"/>
  </r>
  <r>
    <s v="GA"/>
    <s v="Georgia"/>
    <s v="Fayette"/>
    <x v="1"/>
    <x v="5"/>
    <n v="17981"/>
  </r>
  <r>
    <s v="GA"/>
    <s v="Georgia"/>
    <s v="Floyd"/>
    <x v="1"/>
    <x v="5"/>
    <n v="17981"/>
  </r>
  <r>
    <s v="GA"/>
    <s v="Georgia"/>
    <s v="Forsyth"/>
    <x v="1"/>
    <x v="5"/>
    <n v="17981"/>
  </r>
  <r>
    <s v="GA"/>
    <s v="Georgia"/>
    <s v="Franklin"/>
    <x v="1"/>
    <x v="5"/>
    <n v="17981"/>
  </r>
  <r>
    <s v="GA"/>
    <s v="Georgia"/>
    <s v="Fulton"/>
    <x v="1"/>
    <x v="5"/>
    <n v="17981"/>
  </r>
  <r>
    <s v="GA"/>
    <s v="Georgia"/>
    <s v="Gilmer"/>
    <x v="1"/>
    <x v="5"/>
    <n v="17981"/>
  </r>
  <r>
    <s v="GA"/>
    <s v="Georgia"/>
    <s v="Glascock"/>
    <x v="1"/>
    <x v="5"/>
    <n v="17981"/>
  </r>
  <r>
    <s v="GA"/>
    <s v="Georgia"/>
    <s v="Glynn"/>
    <x v="0"/>
    <x v="5"/>
    <n v="17981"/>
  </r>
  <r>
    <s v="GA"/>
    <s v="Georgia"/>
    <s v="Gordon"/>
    <x v="1"/>
    <x v="5"/>
    <n v="17981"/>
  </r>
  <r>
    <s v="GA"/>
    <s v="Georgia"/>
    <s v="Grady"/>
    <x v="0"/>
    <x v="5"/>
    <n v="17981"/>
  </r>
  <r>
    <s v="GA"/>
    <s v="Georgia"/>
    <s v="Greene"/>
    <x v="1"/>
    <x v="5"/>
    <n v="17981"/>
  </r>
  <r>
    <s v="GA"/>
    <s v="Georgia"/>
    <s v="Gwinnett"/>
    <x v="1"/>
    <x v="5"/>
    <n v="17981"/>
  </r>
  <r>
    <s v="GA"/>
    <s v="Georgia"/>
    <s v="Habersham"/>
    <x v="1"/>
    <x v="5"/>
    <n v="17981"/>
  </r>
  <r>
    <s v="GA"/>
    <s v="Georgia"/>
    <s v="Telfair"/>
    <x v="0"/>
    <x v="5"/>
    <n v="17981"/>
  </r>
  <r>
    <s v="GA"/>
    <s v="Georgia"/>
    <s v="Terrell"/>
    <x v="0"/>
    <x v="5"/>
    <n v="17981"/>
  </r>
  <r>
    <s v="GA"/>
    <s v="Georgia"/>
    <s v="Thomas"/>
    <x v="0"/>
    <x v="5"/>
    <n v="17981"/>
  </r>
  <r>
    <s v="GA"/>
    <s v="Georgia"/>
    <s v="Tift"/>
    <x v="0"/>
    <x v="5"/>
    <n v="17981"/>
  </r>
  <r>
    <s v="GA"/>
    <s v="Georgia"/>
    <s v="Toombs"/>
    <x v="0"/>
    <x v="5"/>
    <n v="17981"/>
  </r>
  <r>
    <s v="GA"/>
    <s v="Georgia"/>
    <s v="Towns"/>
    <x v="1"/>
    <x v="5"/>
    <n v="17981"/>
  </r>
  <r>
    <s v="GA"/>
    <s v="Georgia"/>
    <s v="Treutlen"/>
    <x v="0"/>
    <x v="5"/>
    <n v="17981"/>
  </r>
  <r>
    <s v="GA"/>
    <s v="Georgia"/>
    <s v="Troup"/>
    <x v="1"/>
    <x v="5"/>
    <n v="17981"/>
  </r>
  <r>
    <s v="GA"/>
    <s v="Georgia"/>
    <s v="Turner"/>
    <x v="0"/>
    <x v="5"/>
    <n v="17981"/>
  </r>
  <r>
    <s v="GA"/>
    <s v="Georgia"/>
    <s v="Twiggs"/>
    <x v="0"/>
    <x v="5"/>
    <n v="17981"/>
  </r>
  <r>
    <s v="GA"/>
    <s v="Georgia"/>
    <s v="Union"/>
    <x v="1"/>
    <x v="5"/>
    <n v="17981"/>
  </r>
  <r>
    <s v="GA"/>
    <s v="Georgia"/>
    <s v="Upson"/>
    <x v="1"/>
    <x v="5"/>
    <n v="17981"/>
  </r>
  <r>
    <s v="GA"/>
    <s v="Georgia"/>
    <s v="Walker"/>
    <x v="1"/>
    <x v="5"/>
    <n v="17981"/>
  </r>
  <r>
    <s v="GA"/>
    <s v="Georgia"/>
    <s v="Walton"/>
    <x v="1"/>
    <x v="5"/>
    <n v="17981"/>
  </r>
  <r>
    <s v="GA"/>
    <s v="Georgia"/>
    <s v="Ware"/>
    <x v="0"/>
    <x v="5"/>
    <n v="17981"/>
  </r>
  <r>
    <s v="GA"/>
    <s v="Georgia"/>
    <s v="Warren"/>
    <x v="1"/>
    <x v="5"/>
    <n v="17981"/>
  </r>
  <r>
    <s v="GA"/>
    <s v="Georgia"/>
    <s v="Washington"/>
    <x v="1"/>
    <x v="5"/>
    <n v="17981"/>
  </r>
  <r>
    <s v="GA"/>
    <s v="Georgia"/>
    <s v="Wayne"/>
    <x v="0"/>
    <x v="5"/>
    <n v="17981"/>
  </r>
  <r>
    <s v="GA"/>
    <s v="Georgia"/>
    <s v="Webster"/>
    <x v="0"/>
    <x v="5"/>
    <n v="17981"/>
  </r>
  <r>
    <s v="GA"/>
    <s v="Georgia"/>
    <s v="Wheeler"/>
    <x v="0"/>
    <x v="5"/>
    <n v="17981"/>
  </r>
  <r>
    <s v="GA"/>
    <s v="Georgia"/>
    <s v="White"/>
    <x v="1"/>
    <x v="5"/>
    <n v="17981"/>
  </r>
  <r>
    <s v="GA"/>
    <s v="Georgia"/>
    <s v="Whitfield"/>
    <x v="1"/>
    <x v="5"/>
    <n v="17981"/>
  </r>
  <r>
    <s v="GA"/>
    <s v="Georgia"/>
    <s v="Wilcox"/>
    <x v="0"/>
    <x v="5"/>
    <n v="17981"/>
  </r>
  <r>
    <s v="GA"/>
    <s v="Georgia"/>
    <s v="Wilkes"/>
    <x v="1"/>
    <x v="5"/>
    <n v="17981"/>
  </r>
  <r>
    <s v="GA"/>
    <s v="Georgia"/>
    <s v="Wilkinson"/>
    <x v="1"/>
    <x v="5"/>
    <n v="17981"/>
  </r>
  <r>
    <s v="GA"/>
    <s v="Georgia"/>
    <s v="Worth"/>
    <x v="0"/>
    <x v="5"/>
    <n v="17981"/>
  </r>
  <r>
    <s v="HI"/>
    <s v="Hawaii"/>
    <s v="Hawaii"/>
    <x v="0"/>
    <x v="2"/>
    <n v="13379"/>
  </r>
  <r>
    <s v="HI"/>
    <s v="Hawaii"/>
    <s v="Honolulu"/>
    <x v="0"/>
    <x v="2"/>
    <n v="13379"/>
  </r>
  <r>
    <s v="HI"/>
    <s v="Hawaii"/>
    <s v="Kalawao"/>
    <x v="0"/>
    <x v="2"/>
    <n v="13379"/>
  </r>
  <r>
    <s v="HI"/>
    <s v="Hawaii"/>
    <s v="Kauai"/>
    <x v="0"/>
    <x v="2"/>
    <n v="13379"/>
  </r>
  <r>
    <s v="HI"/>
    <s v="Hawaii"/>
    <s v="Maui"/>
    <x v="0"/>
    <x v="2"/>
    <n v="13379"/>
  </r>
  <r>
    <s v="ID"/>
    <s v="Idaho"/>
    <s v="Ada"/>
    <x v="3"/>
    <x v="3"/>
    <n v="4981"/>
  </r>
  <r>
    <s v="ID"/>
    <s v="Idaho"/>
    <s v="Adams"/>
    <x v="3"/>
    <x v="3"/>
    <n v="4981"/>
  </r>
  <r>
    <s v="ID"/>
    <s v="Idaho"/>
    <s v="Bannock"/>
    <x v="3"/>
    <x v="3"/>
    <n v="4981"/>
  </r>
  <r>
    <s v="ID"/>
    <s v="Idaho"/>
    <s v="Bear Lake"/>
    <x v="3"/>
    <x v="3"/>
    <n v="4981"/>
  </r>
  <r>
    <s v="ID"/>
    <s v="Idaho"/>
    <s v="Benewah"/>
    <x v="3"/>
    <x v="3"/>
    <n v="4981"/>
  </r>
  <r>
    <s v="ID"/>
    <s v="Idaho"/>
    <s v="Bingham"/>
    <x v="3"/>
    <x v="3"/>
    <n v="4981"/>
  </r>
  <r>
    <s v="ID"/>
    <s v="Idaho"/>
    <s v="Blaine"/>
    <x v="3"/>
    <x v="3"/>
    <n v="4981"/>
  </r>
  <r>
    <s v="ID"/>
    <s v="Idaho"/>
    <s v="Boise"/>
    <x v="3"/>
    <x v="3"/>
    <n v="4981"/>
  </r>
  <r>
    <s v="ID"/>
    <s v="Idaho"/>
    <s v="Bonner"/>
    <x v="3"/>
    <x v="3"/>
    <n v="4981"/>
  </r>
  <r>
    <s v="ID"/>
    <s v="Idaho"/>
    <s v="Bonneville"/>
    <x v="3"/>
    <x v="3"/>
    <n v="4981"/>
  </r>
  <r>
    <s v="ID"/>
    <s v="Idaho"/>
    <s v="Boundary"/>
    <x v="3"/>
    <x v="3"/>
    <n v="4981"/>
  </r>
  <r>
    <s v="ID"/>
    <s v="Idaho"/>
    <s v="Butte"/>
    <x v="3"/>
    <x v="3"/>
    <n v="4981"/>
  </r>
  <r>
    <s v="ID"/>
    <s v="Idaho"/>
    <s v="Camas"/>
    <x v="3"/>
    <x v="3"/>
    <n v="4981"/>
  </r>
  <r>
    <s v="ID"/>
    <s v="Idaho"/>
    <s v="Canyon"/>
    <x v="3"/>
    <x v="3"/>
    <n v="4981"/>
  </r>
  <r>
    <s v="ID"/>
    <s v="Idaho"/>
    <s v="Caribou"/>
    <x v="3"/>
    <x v="3"/>
    <n v="4981"/>
  </r>
  <r>
    <s v="ID"/>
    <s v="Idaho"/>
    <s v="Cassia"/>
    <x v="3"/>
    <x v="3"/>
    <n v="4981"/>
  </r>
  <r>
    <s v="ID"/>
    <s v="Idaho"/>
    <s v="Clark"/>
    <x v="3"/>
    <x v="3"/>
    <n v="4981"/>
  </r>
  <r>
    <s v="ID"/>
    <s v="Idaho"/>
    <s v="Clearwater"/>
    <x v="3"/>
    <x v="3"/>
    <n v="4981"/>
  </r>
  <r>
    <s v="ID"/>
    <s v="Idaho"/>
    <s v="Custer"/>
    <x v="3"/>
    <x v="3"/>
    <n v="4981"/>
  </r>
  <r>
    <s v="ID"/>
    <s v="Idaho"/>
    <s v="Elmore"/>
    <x v="3"/>
    <x v="3"/>
    <n v="4981"/>
  </r>
  <r>
    <s v="ID"/>
    <s v="Idaho"/>
    <s v="Franklin"/>
    <x v="3"/>
    <x v="3"/>
    <n v="4981"/>
  </r>
  <r>
    <s v="ID"/>
    <s v="Idaho"/>
    <s v="Fremont"/>
    <x v="3"/>
    <x v="3"/>
    <n v="4981"/>
  </r>
  <r>
    <s v="ID"/>
    <s v="Idaho"/>
    <s v="Gem"/>
    <x v="3"/>
    <x v="3"/>
    <n v="4981"/>
  </r>
  <r>
    <s v="ID"/>
    <s v="Idaho"/>
    <s v="Gooding"/>
    <x v="3"/>
    <x v="3"/>
    <n v="4981"/>
  </r>
  <r>
    <s v="ID"/>
    <s v="Idaho"/>
    <s v="Idaho"/>
    <x v="3"/>
    <x v="3"/>
    <n v="4981"/>
  </r>
  <r>
    <s v="ID"/>
    <s v="Idaho"/>
    <s v="Jefferson"/>
    <x v="3"/>
    <x v="3"/>
    <n v="4981"/>
  </r>
  <r>
    <s v="ID"/>
    <s v="Idaho"/>
    <s v="Jerome"/>
    <x v="3"/>
    <x v="3"/>
    <n v="4981"/>
  </r>
  <r>
    <s v="ID"/>
    <s v="Idaho"/>
    <s v="Kootenai"/>
    <x v="3"/>
    <x v="3"/>
    <n v="4981"/>
  </r>
  <r>
    <s v="ID"/>
    <s v="Idaho"/>
    <s v="Latah"/>
    <x v="3"/>
    <x v="3"/>
    <n v="4981"/>
  </r>
  <r>
    <s v="ID"/>
    <s v="Idaho"/>
    <s v="Lemhi"/>
    <x v="3"/>
    <x v="3"/>
    <n v="4981"/>
  </r>
  <r>
    <s v="ID"/>
    <s v="Idaho"/>
    <s v="Lewis"/>
    <x v="3"/>
    <x v="3"/>
    <n v="4981"/>
  </r>
  <r>
    <s v="ID"/>
    <s v="Idaho"/>
    <s v="Lincoln"/>
    <x v="3"/>
    <x v="3"/>
    <n v="4981"/>
  </r>
  <r>
    <s v="ID"/>
    <s v="Idaho"/>
    <s v="Madison"/>
    <x v="3"/>
    <x v="3"/>
    <n v="4981"/>
  </r>
  <r>
    <s v="ID"/>
    <s v="Idaho"/>
    <s v="Minidoka"/>
    <x v="3"/>
    <x v="3"/>
    <n v="4981"/>
  </r>
  <r>
    <s v="IL"/>
    <s v="Illinois"/>
    <s v="Macoupin"/>
    <x v="1"/>
    <x v="6"/>
    <n v="12742"/>
  </r>
  <r>
    <s v="IL"/>
    <s v="Illinois"/>
    <s v="Madison"/>
    <x v="1"/>
    <x v="6"/>
    <n v="12742"/>
  </r>
  <r>
    <s v="IL"/>
    <s v="Illinois"/>
    <s v="Marion"/>
    <x v="1"/>
    <x v="6"/>
    <n v="12742"/>
  </r>
  <r>
    <s v="IL"/>
    <s v="Illinois"/>
    <s v="Marshall"/>
    <x v="3"/>
    <x v="6"/>
    <n v="12742"/>
  </r>
  <r>
    <s v="IL"/>
    <s v="Illinois"/>
    <s v="Mason"/>
    <x v="3"/>
    <x v="6"/>
    <n v="12742"/>
  </r>
  <r>
    <s v="IL"/>
    <s v="Illinois"/>
    <s v="Massac"/>
    <x v="1"/>
    <x v="6"/>
    <n v="12742"/>
  </r>
  <r>
    <s v="IL"/>
    <s v="Illinois"/>
    <s v="McDonough"/>
    <x v="3"/>
    <x v="6"/>
    <n v="12742"/>
  </r>
  <r>
    <s v="IL"/>
    <s v="Illinois"/>
    <s v="McHenry"/>
    <x v="3"/>
    <x v="6"/>
    <n v="12742"/>
  </r>
  <r>
    <s v="IL"/>
    <s v="Illinois"/>
    <s v="McLean"/>
    <x v="3"/>
    <x v="6"/>
    <n v="12742"/>
  </r>
  <r>
    <s v="IL"/>
    <s v="Illinois"/>
    <s v="Menard"/>
    <x v="3"/>
    <x v="6"/>
    <n v="12742"/>
  </r>
  <r>
    <s v="IL"/>
    <s v="Illinois"/>
    <s v="Mercer"/>
    <x v="3"/>
    <x v="6"/>
    <n v="12742"/>
  </r>
  <r>
    <s v="IL"/>
    <s v="Illinois"/>
    <s v="Monroe"/>
    <x v="1"/>
    <x v="6"/>
    <n v="12742"/>
  </r>
  <r>
    <s v="IL"/>
    <s v="Illinois"/>
    <s v="Montgomery"/>
    <x v="1"/>
    <x v="6"/>
    <n v="12742"/>
  </r>
  <r>
    <s v="IL"/>
    <s v="Illinois"/>
    <s v="Morgan"/>
    <x v="3"/>
    <x v="6"/>
    <n v="12742"/>
  </r>
  <r>
    <s v="IL"/>
    <s v="Illinois"/>
    <s v="Moultrie"/>
    <x v="3"/>
    <x v="6"/>
    <n v="12742"/>
  </r>
  <r>
    <s v="IL"/>
    <s v="Illinois"/>
    <s v="Ogle"/>
    <x v="3"/>
    <x v="6"/>
    <n v="12742"/>
  </r>
  <r>
    <s v="IL"/>
    <s v="Illinois"/>
    <s v="Peoria"/>
    <x v="3"/>
    <x v="6"/>
    <n v="12742"/>
  </r>
  <r>
    <s v="IL"/>
    <s v="Illinois"/>
    <s v="Perry"/>
    <x v="1"/>
    <x v="6"/>
    <n v="12742"/>
  </r>
  <r>
    <s v="IL"/>
    <s v="Illinois"/>
    <s v="Piatt"/>
    <x v="3"/>
    <x v="6"/>
    <n v="12742"/>
  </r>
  <r>
    <s v="IL"/>
    <s v="Illinois"/>
    <s v="Pike"/>
    <x v="3"/>
    <x v="6"/>
    <n v="12742"/>
  </r>
  <r>
    <s v="IL"/>
    <s v="Illinois"/>
    <s v="Pope"/>
    <x v="1"/>
    <x v="6"/>
    <n v="12742"/>
  </r>
  <r>
    <s v="IL"/>
    <s v="Illinois"/>
    <s v="Pulaski"/>
    <x v="1"/>
    <x v="6"/>
    <n v="12742"/>
  </r>
  <r>
    <s v="IL"/>
    <s v="Illinois"/>
    <s v="Putnam"/>
    <x v="3"/>
    <x v="6"/>
    <n v="12742"/>
  </r>
  <r>
    <s v="IL"/>
    <s v="Illinois"/>
    <s v="Randolph"/>
    <x v="1"/>
    <x v="6"/>
    <n v="12742"/>
  </r>
  <r>
    <s v="IL"/>
    <s v="Illinois"/>
    <s v="Richland"/>
    <x v="1"/>
    <x v="6"/>
    <n v="12742"/>
  </r>
  <r>
    <s v="IL"/>
    <s v="Illinois"/>
    <s v="Rock Island"/>
    <x v="3"/>
    <x v="6"/>
    <n v="12742"/>
  </r>
  <r>
    <s v="IL"/>
    <s v="Illinois"/>
    <s v="Saline"/>
    <x v="1"/>
    <x v="6"/>
    <n v="12742"/>
  </r>
  <r>
    <s v="IL"/>
    <s v="Illinois"/>
    <s v="Sangamon"/>
    <x v="3"/>
    <x v="6"/>
    <n v="12742"/>
  </r>
  <r>
    <s v="IL"/>
    <s v="Illinois"/>
    <s v="Schuyler"/>
    <x v="3"/>
    <x v="6"/>
    <n v="12742"/>
  </r>
  <r>
    <s v="IL"/>
    <s v="Illinois"/>
    <s v="Scott"/>
    <x v="3"/>
    <x v="6"/>
    <n v="12742"/>
  </r>
  <r>
    <s v="IL"/>
    <s v="Illinois"/>
    <s v="Shelby"/>
    <x v="1"/>
    <x v="6"/>
    <n v="12742"/>
  </r>
  <r>
    <s v="IL"/>
    <s v="Illinois"/>
    <s v="St. Clair"/>
    <x v="1"/>
    <x v="6"/>
    <n v="12742"/>
  </r>
  <r>
    <s v="IL"/>
    <s v="Illinois"/>
    <s v="Stark"/>
    <x v="3"/>
    <x v="6"/>
    <n v="12742"/>
  </r>
  <r>
    <s v="IL"/>
    <s v="Illinois"/>
    <s v="Stephenson"/>
    <x v="3"/>
    <x v="6"/>
    <n v="12742"/>
  </r>
  <r>
    <s v="IL"/>
    <s v="Illinois"/>
    <s v="Tazewell"/>
    <x v="3"/>
    <x v="6"/>
    <n v="12742"/>
  </r>
  <r>
    <s v="IL"/>
    <s v="Illinois"/>
    <s v="Union"/>
    <x v="1"/>
    <x v="6"/>
    <n v="12742"/>
  </r>
  <r>
    <s v="IL"/>
    <s v="Illinois"/>
    <s v="Vermilion"/>
    <x v="3"/>
    <x v="6"/>
    <n v="12742"/>
  </r>
  <r>
    <s v="IL"/>
    <s v="Illinois"/>
    <s v="Wabash"/>
    <x v="1"/>
    <x v="6"/>
    <n v="12742"/>
  </r>
  <r>
    <s v="IL"/>
    <s v="Illinois"/>
    <s v="Warren"/>
    <x v="3"/>
    <x v="6"/>
    <n v="12742"/>
  </r>
  <r>
    <s v="IL"/>
    <s v="Illinois"/>
    <s v="Washington"/>
    <x v="1"/>
    <x v="6"/>
    <n v="12742"/>
  </r>
  <r>
    <s v="IL"/>
    <s v="Illinois"/>
    <s v="Wayne"/>
    <x v="1"/>
    <x v="6"/>
    <n v="12742"/>
  </r>
  <r>
    <s v="IL"/>
    <s v="Illinois"/>
    <s v="White"/>
    <x v="1"/>
    <x v="6"/>
    <n v="12742"/>
  </r>
  <r>
    <s v="IL"/>
    <s v="Illinois"/>
    <s v="Whiteside"/>
    <x v="3"/>
    <x v="6"/>
    <n v="12742"/>
  </r>
  <r>
    <s v="IL"/>
    <s v="Illinois"/>
    <s v="Will"/>
    <x v="3"/>
    <x v="6"/>
    <n v="12742"/>
  </r>
  <r>
    <s v="IL"/>
    <s v="Illinois"/>
    <s v="Williamson"/>
    <x v="1"/>
    <x v="6"/>
    <n v="12742"/>
  </r>
  <r>
    <s v="IL"/>
    <s v="Illinois"/>
    <s v="Winnebago"/>
    <x v="3"/>
    <x v="6"/>
    <n v="12742"/>
  </r>
  <r>
    <s v="IL"/>
    <s v="Illinois"/>
    <s v="Woodford"/>
    <x v="3"/>
    <x v="6"/>
    <n v="12742"/>
  </r>
  <r>
    <s v="IN"/>
    <s v="Indiana"/>
    <s v="Adams"/>
    <x v="3"/>
    <x v="6"/>
    <n v="12742"/>
  </r>
  <r>
    <s v="IN"/>
    <s v="Indiana"/>
    <s v="Allen"/>
    <x v="3"/>
    <x v="6"/>
    <n v="12742"/>
  </r>
  <r>
    <s v="IN"/>
    <s v="Indiana"/>
    <s v="Bartholomew"/>
    <x v="3"/>
    <x v="6"/>
    <n v="12742"/>
  </r>
  <r>
    <s v="IN"/>
    <s v="Indiana"/>
    <s v="Benton"/>
    <x v="3"/>
    <x v="6"/>
    <n v="12742"/>
  </r>
  <r>
    <s v="IN"/>
    <s v="Indiana"/>
    <s v="Blackford"/>
    <x v="3"/>
    <x v="6"/>
    <n v="12742"/>
  </r>
  <r>
    <s v="IN"/>
    <s v="Indiana"/>
    <s v="Boone"/>
    <x v="3"/>
    <x v="6"/>
    <n v="12742"/>
  </r>
  <r>
    <s v="IN"/>
    <s v="Indiana"/>
    <s v="Brown"/>
    <x v="1"/>
    <x v="6"/>
    <n v="12742"/>
  </r>
  <r>
    <s v="IN"/>
    <s v="Indiana"/>
    <s v="Carroll"/>
    <x v="3"/>
    <x v="6"/>
    <n v="12742"/>
  </r>
  <r>
    <s v="IN"/>
    <s v="Indiana"/>
    <s v="Cass"/>
    <x v="3"/>
    <x v="6"/>
    <n v="12742"/>
  </r>
  <r>
    <s v="IN"/>
    <s v="Indiana"/>
    <s v="Clark"/>
    <x v="1"/>
    <x v="6"/>
    <n v="12742"/>
  </r>
  <r>
    <s v="IN"/>
    <s v="Indiana"/>
    <s v="Clay"/>
    <x v="3"/>
    <x v="6"/>
    <n v="12742"/>
  </r>
  <r>
    <s v="IN"/>
    <s v="Indiana"/>
    <s v="Clinton"/>
    <x v="3"/>
    <x v="6"/>
    <n v="12742"/>
  </r>
  <r>
    <s v="IN"/>
    <s v="Indiana"/>
    <s v="Crawford"/>
    <x v="1"/>
    <x v="6"/>
    <n v="12742"/>
  </r>
  <r>
    <s v="IN"/>
    <s v="Indiana"/>
    <s v="Daviess"/>
    <x v="1"/>
    <x v="6"/>
    <n v="12742"/>
  </r>
  <r>
    <s v="IN"/>
    <s v="Indiana"/>
    <s v="De Kalb"/>
    <x v="3"/>
    <x v="6"/>
    <n v="12742"/>
  </r>
  <r>
    <s v="IN"/>
    <s v="Indiana"/>
    <s v="Dearborn"/>
    <x v="1"/>
    <x v="6"/>
    <n v="12742"/>
  </r>
  <r>
    <s v="IN"/>
    <s v="Indiana"/>
    <s v="Decatur"/>
    <x v="3"/>
    <x v="6"/>
    <n v="12742"/>
  </r>
  <r>
    <s v="IN"/>
    <s v="Indiana"/>
    <s v="Delaware"/>
    <x v="3"/>
    <x v="6"/>
    <n v="12742"/>
  </r>
  <r>
    <s v="IN"/>
    <s v="Indiana"/>
    <s v="Vigo"/>
    <x v="3"/>
    <x v="6"/>
    <n v="12742"/>
  </r>
  <r>
    <s v="IN"/>
    <s v="Indiana"/>
    <s v="Wabash"/>
    <x v="3"/>
    <x v="6"/>
    <n v="12742"/>
  </r>
  <r>
    <s v="IN"/>
    <s v="Indiana"/>
    <s v="Warren"/>
    <x v="3"/>
    <x v="6"/>
    <n v="12742"/>
  </r>
  <r>
    <s v="IN"/>
    <s v="Indiana"/>
    <s v="Warrick"/>
    <x v="1"/>
    <x v="6"/>
    <n v="12742"/>
  </r>
  <r>
    <s v="IN"/>
    <s v="Indiana"/>
    <s v="Washington"/>
    <x v="1"/>
    <x v="6"/>
    <n v="12742"/>
  </r>
  <r>
    <s v="IN"/>
    <s v="Indiana"/>
    <s v="Wayne"/>
    <x v="3"/>
    <x v="6"/>
    <n v="12742"/>
  </r>
  <r>
    <s v="IN"/>
    <s v="Indiana"/>
    <s v="Wells"/>
    <x v="3"/>
    <x v="6"/>
    <n v="12742"/>
  </r>
  <r>
    <s v="IN"/>
    <s v="Indiana"/>
    <s v="White"/>
    <x v="3"/>
    <x v="6"/>
    <n v="12742"/>
  </r>
  <r>
    <s v="IN"/>
    <s v="Indiana"/>
    <s v="Whitley"/>
    <x v="3"/>
    <x v="6"/>
    <n v="12742"/>
  </r>
  <r>
    <s v="IA"/>
    <s v="Iowa"/>
    <s v="Adair"/>
    <x v="3"/>
    <x v="7"/>
    <n v="6178"/>
  </r>
  <r>
    <s v="IA"/>
    <s v="Iowa"/>
    <s v="Adams"/>
    <x v="3"/>
    <x v="7"/>
    <n v="6178"/>
  </r>
  <r>
    <s v="IA"/>
    <s v="Iowa"/>
    <s v="Allamakee"/>
    <x v="3"/>
    <x v="7"/>
    <n v="6178"/>
  </r>
  <r>
    <s v="IA"/>
    <s v="Iowa"/>
    <s v="Appanoose"/>
    <x v="3"/>
    <x v="7"/>
    <n v="6178"/>
  </r>
  <r>
    <s v="IA"/>
    <s v="Iowa"/>
    <s v="Audubon"/>
    <x v="3"/>
    <x v="7"/>
    <n v="6178"/>
  </r>
  <r>
    <s v="IA"/>
    <s v="Iowa"/>
    <s v="Benton"/>
    <x v="3"/>
    <x v="7"/>
    <n v="6178"/>
  </r>
  <r>
    <s v="IA"/>
    <s v="Iowa"/>
    <s v="Black Hawk"/>
    <x v="3"/>
    <x v="7"/>
    <n v="6178"/>
  </r>
  <r>
    <s v="IA"/>
    <s v="Iowa"/>
    <s v="Boone"/>
    <x v="3"/>
    <x v="7"/>
    <n v="6178"/>
  </r>
  <r>
    <s v="IA"/>
    <s v="Iowa"/>
    <s v="Bremer"/>
    <x v="3"/>
    <x v="7"/>
    <n v="6178"/>
  </r>
  <r>
    <s v="IA"/>
    <s v="Iowa"/>
    <s v="Buchanan"/>
    <x v="3"/>
    <x v="7"/>
    <n v="6178"/>
  </r>
  <r>
    <s v="IA"/>
    <s v="Iowa"/>
    <s v="Buena Vista"/>
    <x v="3"/>
    <x v="7"/>
    <n v="6178"/>
  </r>
  <r>
    <s v="IA"/>
    <s v="Iowa"/>
    <s v="Butler"/>
    <x v="3"/>
    <x v="7"/>
    <n v="6178"/>
  </r>
  <r>
    <s v="IA"/>
    <s v="Iowa"/>
    <s v="Calhoun"/>
    <x v="3"/>
    <x v="7"/>
    <n v="6178"/>
  </r>
  <r>
    <s v="IA"/>
    <s v="Iowa"/>
    <s v="Carroll"/>
    <x v="3"/>
    <x v="7"/>
    <n v="6178"/>
  </r>
  <r>
    <s v="IA"/>
    <s v="Iowa"/>
    <s v="Cass"/>
    <x v="3"/>
    <x v="7"/>
    <n v="6178"/>
  </r>
  <r>
    <s v="IA"/>
    <s v="Iowa"/>
    <s v="Cedar"/>
    <x v="3"/>
    <x v="7"/>
    <n v="6178"/>
  </r>
  <r>
    <s v="IA"/>
    <s v="Iowa"/>
    <s v="Cerro Gordo"/>
    <x v="3"/>
    <x v="7"/>
    <n v="6178"/>
  </r>
  <r>
    <s v="IA"/>
    <s v="Iowa"/>
    <s v="Cherokee"/>
    <x v="3"/>
    <x v="7"/>
    <n v="6178"/>
  </r>
  <r>
    <s v="IA"/>
    <s v="Iowa"/>
    <s v="Chickasaw"/>
    <x v="3"/>
    <x v="7"/>
    <n v="6178"/>
  </r>
  <r>
    <s v="IA"/>
    <s v="Iowa"/>
    <s v="Clarke"/>
    <x v="3"/>
    <x v="7"/>
    <n v="6178"/>
  </r>
  <r>
    <s v="IA"/>
    <s v="Iowa"/>
    <s v="Clay"/>
    <x v="3"/>
    <x v="7"/>
    <n v="6178"/>
  </r>
  <r>
    <s v="IA"/>
    <s v="Iowa"/>
    <s v="Clayton"/>
    <x v="3"/>
    <x v="7"/>
    <n v="6178"/>
  </r>
  <r>
    <s v="IA"/>
    <s v="Iowa"/>
    <s v="Clinton"/>
    <x v="3"/>
    <x v="7"/>
    <n v="6178"/>
  </r>
  <r>
    <s v="IA"/>
    <s v="Iowa"/>
    <s v="Crawford"/>
    <x v="3"/>
    <x v="7"/>
    <n v="6178"/>
  </r>
  <r>
    <s v="IA"/>
    <s v="Iowa"/>
    <s v="Dallas"/>
    <x v="3"/>
    <x v="7"/>
    <n v="6178"/>
  </r>
  <r>
    <s v="IA"/>
    <s v="Iowa"/>
    <s v="Davis"/>
    <x v="3"/>
    <x v="7"/>
    <n v="6178"/>
  </r>
  <r>
    <s v="IA"/>
    <s v="Iowa"/>
    <s v="Decatur"/>
    <x v="3"/>
    <x v="7"/>
    <n v="6178"/>
  </r>
  <r>
    <s v="IA"/>
    <s v="Iowa"/>
    <s v="Delaware"/>
    <x v="3"/>
    <x v="7"/>
    <n v="6178"/>
  </r>
  <r>
    <s v="IA"/>
    <s v="Iowa"/>
    <s v="Des Moines"/>
    <x v="3"/>
    <x v="7"/>
    <n v="6178"/>
  </r>
  <r>
    <s v="IA"/>
    <s v="Iowa"/>
    <s v="Dickinson"/>
    <x v="3"/>
    <x v="7"/>
    <n v="6178"/>
  </r>
  <r>
    <s v="IA"/>
    <s v="Iowa"/>
    <s v="Dubuque"/>
    <x v="3"/>
    <x v="7"/>
    <n v="6178"/>
  </r>
  <r>
    <s v="IA"/>
    <s v="Iowa"/>
    <s v="Emmet"/>
    <x v="3"/>
    <x v="7"/>
    <n v="6178"/>
  </r>
  <r>
    <s v="IA"/>
    <s v="Iowa"/>
    <s v="Fayette"/>
    <x v="3"/>
    <x v="7"/>
    <n v="6178"/>
  </r>
  <r>
    <s v="IA"/>
    <s v="Iowa"/>
    <s v="Floyd"/>
    <x v="3"/>
    <x v="7"/>
    <n v="6178"/>
  </r>
  <r>
    <s v="IA"/>
    <s v="Iowa"/>
    <s v="Franklin"/>
    <x v="3"/>
    <x v="7"/>
    <n v="6178"/>
  </r>
  <r>
    <s v="IA"/>
    <s v="Iowa"/>
    <s v="Fremont"/>
    <x v="3"/>
    <x v="7"/>
    <n v="6178"/>
  </r>
  <r>
    <s v="IA"/>
    <s v="Iowa"/>
    <s v="Greene"/>
    <x v="3"/>
    <x v="7"/>
    <n v="6178"/>
  </r>
  <r>
    <s v="IA"/>
    <s v="Iowa"/>
    <s v="Grundy"/>
    <x v="3"/>
    <x v="7"/>
    <n v="6178"/>
  </r>
  <r>
    <s v="IA"/>
    <s v="Iowa"/>
    <s v="Guthrie"/>
    <x v="3"/>
    <x v="7"/>
    <n v="6178"/>
  </r>
  <r>
    <s v="IA"/>
    <s v="Iowa"/>
    <s v="Hamilton"/>
    <x v="3"/>
    <x v="7"/>
    <n v="6178"/>
  </r>
  <r>
    <s v="IA"/>
    <s v="Iowa"/>
    <s v="Hancock"/>
    <x v="3"/>
    <x v="7"/>
    <n v="6178"/>
  </r>
  <r>
    <s v="IA"/>
    <s v="Iowa"/>
    <s v="Hardin"/>
    <x v="3"/>
    <x v="7"/>
    <n v="6178"/>
  </r>
  <r>
    <s v="IA"/>
    <s v="Iowa"/>
    <s v="Harrison"/>
    <x v="3"/>
    <x v="7"/>
    <n v="6178"/>
  </r>
  <r>
    <s v="IA"/>
    <s v="Iowa"/>
    <s v="Henry"/>
    <x v="3"/>
    <x v="7"/>
    <n v="6178"/>
  </r>
  <r>
    <s v="IA"/>
    <s v="Iowa"/>
    <s v="Howard"/>
    <x v="3"/>
    <x v="7"/>
    <n v="6178"/>
  </r>
  <r>
    <s v="IA"/>
    <s v="Iowa"/>
    <s v="Humboldt"/>
    <x v="3"/>
    <x v="7"/>
    <n v="6178"/>
  </r>
  <r>
    <s v="IA"/>
    <s v="Iowa"/>
    <s v="Ida"/>
    <x v="3"/>
    <x v="7"/>
    <n v="6178"/>
  </r>
  <r>
    <s v="IA"/>
    <s v="Iowa"/>
    <s v="Iowa"/>
    <x v="3"/>
    <x v="7"/>
    <n v="6178"/>
  </r>
  <r>
    <s v="IA"/>
    <s v="Iowa"/>
    <s v="Jackson"/>
    <x v="3"/>
    <x v="7"/>
    <n v="6178"/>
  </r>
  <r>
    <s v="IA"/>
    <s v="Iowa"/>
    <s v="Jasper"/>
    <x v="3"/>
    <x v="7"/>
    <n v="6178"/>
  </r>
  <r>
    <s v="IA"/>
    <s v="Iowa"/>
    <s v="Jefferson"/>
    <x v="3"/>
    <x v="7"/>
    <n v="6178"/>
  </r>
  <r>
    <s v="IA"/>
    <s v="Iowa"/>
    <s v="Johnson"/>
    <x v="3"/>
    <x v="7"/>
    <n v="6178"/>
  </r>
  <r>
    <s v="IA"/>
    <s v="Iowa"/>
    <s v="Jones"/>
    <x v="3"/>
    <x v="7"/>
    <n v="6178"/>
  </r>
  <r>
    <s v="IA"/>
    <s v="Iowa"/>
    <s v="Keokuk"/>
    <x v="3"/>
    <x v="7"/>
    <n v="6178"/>
  </r>
  <r>
    <s v="IA"/>
    <s v="Iowa"/>
    <s v="Kossuth"/>
    <x v="3"/>
    <x v="7"/>
    <n v="6178"/>
  </r>
  <r>
    <s v="IA"/>
    <s v="Iowa"/>
    <s v="Lee"/>
    <x v="3"/>
    <x v="7"/>
    <n v="6178"/>
  </r>
  <r>
    <s v="KS"/>
    <s v="Kansas"/>
    <s v="Douglas"/>
    <x v="1"/>
    <x v="7"/>
    <n v="6178"/>
  </r>
  <r>
    <s v="KS"/>
    <s v="Kansas"/>
    <s v="Edwards"/>
    <x v="1"/>
    <x v="7"/>
    <n v="6178"/>
  </r>
  <r>
    <s v="KS"/>
    <s v="Kansas"/>
    <s v="Elk"/>
    <x v="1"/>
    <x v="7"/>
    <n v="6178"/>
  </r>
  <r>
    <s v="KS"/>
    <s v="Kansas"/>
    <s v="Ellis"/>
    <x v="3"/>
    <x v="7"/>
    <n v="6178"/>
  </r>
  <r>
    <s v="KS"/>
    <s v="Kansas"/>
    <s v="Ellsworth"/>
    <x v="1"/>
    <x v="7"/>
    <n v="6178"/>
  </r>
  <r>
    <s v="KS"/>
    <s v="Kansas"/>
    <s v="Finney"/>
    <x v="1"/>
    <x v="7"/>
    <n v="6178"/>
  </r>
  <r>
    <s v="KS"/>
    <s v="Kansas"/>
    <s v="Ford"/>
    <x v="1"/>
    <x v="7"/>
    <n v="6178"/>
  </r>
  <r>
    <s v="KS"/>
    <s v="Kansas"/>
    <s v="Franklin"/>
    <x v="1"/>
    <x v="7"/>
    <n v="6178"/>
  </r>
  <r>
    <s v="KS"/>
    <s v="Kansas"/>
    <s v="Geary"/>
    <x v="1"/>
    <x v="7"/>
    <n v="6178"/>
  </r>
  <r>
    <s v="KS"/>
    <s v="Kansas"/>
    <s v="Gove"/>
    <x v="3"/>
    <x v="7"/>
    <n v="6178"/>
  </r>
  <r>
    <s v="KS"/>
    <s v="Kansas"/>
    <s v="Graham"/>
    <x v="3"/>
    <x v="7"/>
    <n v="6178"/>
  </r>
  <r>
    <s v="KS"/>
    <s v="Kansas"/>
    <s v="Grant"/>
    <x v="1"/>
    <x v="7"/>
    <n v="6178"/>
  </r>
  <r>
    <s v="KS"/>
    <s v="Kansas"/>
    <s v="Gray"/>
    <x v="1"/>
    <x v="7"/>
    <n v="6178"/>
  </r>
  <r>
    <s v="KS"/>
    <s v="Kansas"/>
    <s v="Greeley"/>
    <x v="3"/>
    <x v="7"/>
    <n v="6178"/>
  </r>
  <r>
    <s v="KS"/>
    <s v="Kansas"/>
    <s v="Greenwood"/>
    <x v="1"/>
    <x v="7"/>
    <n v="6178"/>
  </r>
  <r>
    <s v="KS"/>
    <s v="Kansas"/>
    <s v="Hamilton"/>
    <x v="3"/>
    <x v="7"/>
    <n v="6178"/>
  </r>
  <r>
    <s v="KS"/>
    <s v="Kansas"/>
    <s v="Harper"/>
    <x v="1"/>
    <x v="7"/>
    <n v="6178"/>
  </r>
  <r>
    <s v="KS"/>
    <s v="Kansas"/>
    <s v="Harvey"/>
    <x v="1"/>
    <x v="7"/>
    <n v="6178"/>
  </r>
  <r>
    <s v="KS"/>
    <s v="Kansas"/>
    <s v="Haskell"/>
    <x v="1"/>
    <x v="7"/>
    <n v="6178"/>
  </r>
  <r>
    <s v="KS"/>
    <s v="Kansas"/>
    <s v="Hodgeman"/>
    <x v="1"/>
    <x v="7"/>
    <n v="6178"/>
  </r>
  <r>
    <s v="KS"/>
    <s v="Kansas"/>
    <s v="Jackson"/>
    <x v="1"/>
    <x v="7"/>
    <n v="6178"/>
  </r>
  <r>
    <s v="KS"/>
    <s v="Kansas"/>
    <s v="Jefferson"/>
    <x v="1"/>
    <x v="7"/>
    <n v="6178"/>
  </r>
  <r>
    <s v="KS"/>
    <s v="Kansas"/>
    <s v="Jewell"/>
    <x v="3"/>
    <x v="7"/>
    <n v="6178"/>
  </r>
  <r>
    <s v="KS"/>
    <s v="Kansas"/>
    <s v="Johnson"/>
    <x v="1"/>
    <x v="7"/>
    <n v="6178"/>
  </r>
  <r>
    <s v="KS"/>
    <s v="Kansas"/>
    <s v="Kearny"/>
    <x v="1"/>
    <x v="7"/>
    <n v="6178"/>
  </r>
  <r>
    <s v="KS"/>
    <s v="Kansas"/>
    <s v="Kingman"/>
    <x v="1"/>
    <x v="7"/>
    <n v="6178"/>
  </r>
  <r>
    <s v="KS"/>
    <s v="Kansas"/>
    <s v="Kiowa"/>
    <x v="1"/>
    <x v="7"/>
    <n v="6178"/>
  </r>
  <r>
    <s v="KS"/>
    <s v="Kansas"/>
    <s v="Labette"/>
    <x v="1"/>
    <x v="7"/>
    <n v="6178"/>
  </r>
  <r>
    <s v="KS"/>
    <s v="Kansas"/>
    <s v="Lane"/>
    <x v="3"/>
    <x v="7"/>
    <n v="6178"/>
  </r>
  <r>
    <s v="KS"/>
    <s v="Kansas"/>
    <s v="Leavenworth"/>
    <x v="1"/>
    <x v="7"/>
    <n v="6178"/>
  </r>
  <r>
    <s v="KS"/>
    <s v="Kansas"/>
    <s v="Lincoln"/>
    <x v="1"/>
    <x v="7"/>
    <n v="6178"/>
  </r>
  <r>
    <s v="KS"/>
    <s v="Kansas"/>
    <s v="Linn"/>
    <x v="1"/>
    <x v="7"/>
    <n v="6178"/>
  </r>
  <r>
    <s v="KS"/>
    <s v="Kansas"/>
    <s v="Logan"/>
    <x v="3"/>
    <x v="7"/>
    <n v="6178"/>
  </r>
  <r>
    <s v="KS"/>
    <s v="Kansas"/>
    <s v="Lyon"/>
    <x v="1"/>
    <x v="7"/>
    <n v="6178"/>
  </r>
  <r>
    <s v="KS"/>
    <s v="Kansas"/>
    <s v="Marion"/>
    <x v="1"/>
    <x v="7"/>
    <n v="6178"/>
  </r>
  <r>
    <s v="KS"/>
    <s v="Kansas"/>
    <s v="Marshall"/>
    <x v="1"/>
    <x v="7"/>
    <n v="6178"/>
  </r>
  <r>
    <s v="KS"/>
    <s v="Kansas"/>
    <s v="McPherson"/>
    <x v="1"/>
    <x v="7"/>
    <n v="6178"/>
  </r>
  <r>
    <s v="KS"/>
    <s v="Kansas"/>
    <s v="Meade"/>
    <x v="1"/>
    <x v="7"/>
    <n v="6178"/>
  </r>
  <r>
    <s v="KS"/>
    <s v="Kansas"/>
    <s v="Miami"/>
    <x v="1"/>
    <x v="7"/>
    <n v="6178"/>
  </r>
  <r>
    <s v="KS"/>
    <s v="Kansas"/>
    <s v="Mitchell"/>
    <x v="3"/>
    <x v="7"/>
    <n v="6178"/>
  </r>
  <r>
    <s v="KS"/>
    <s v="Kansas"/>
    <s v="Montgomery"/>
    <x v="1"/>
    <x v="7"/>
    <n v="6178"/>
  </r>
  <r>
    <s v="KS"/>
    <s v="Kansas"/>
    <s v="Morris"/>
    <x v="1"/>
    <x v="7"/>
    <n v="6178"/>
  </r>
  <r>
    <s v="KS"/>
    <s v="Kansas"/>
    <s v="Morton"/>
    <x v="1"/>
    <x v="7"/>
    <n v="6178"/>
  </r>
  <r>
    <s v="KS"/>
    <s v="Kansas"/>
    <s v="Nemaha"/>
    <x v="1"/>
    <x v="7"/>
    <n v="6178"/>
  </r>
  <r>
    <s v="KS"/>
    <s v="Kansas"/>
    <s v="Neosho"/>
    <x v="1"/>
    <x v="7"/>
    <n v="6178"/>
  </r>
  <r>
    <s v="KS"/>
    <s v="Kansas"/>
    <s v="Ness"/>
    <x v="3"/>
    <x v="7"/>
    <n v="6178"/>
  </r>
  <r>
    <s v="KS"/>
    <s v="Kansas"/>
    <s v="Norton"/>
    <x v="3"/>
    <x v="7"/>
    <n v="6178"/>
  </r>
  <r>
    <s v="KS"/>
    <s v="Kansas"/>
    <s v="Osage"/>
    <x v="1"/>
    <x v="7"/>
    <n v="6178"/>
  </r>
  <r>
    <s v="KS"/>
    <s v="Kansas"/>
    <s v="Osborne"/>
    <x v="3"/>
    <x v="7"/>
    <n v="6178"/>
  </r>
  <r>
    <s v="KS"/>
    <s v="Kansas"/>
    <s v="Ottawa"/>
    <x v="1"/>
    <x v="7"/>
    <n v="6178"/>
  </r>
  <r>
    <s v="KS"/>
    <s v="Kansas"/>
    <s v="Pawnee"/>
    <x v="1"/>
    <x v="7"/>
    <n v="6178"/>
  </r>
  <r>
    <s v="KS"/>
    <s v="Kansas"/>
    <s v="Phillips"/>
    <x v="3"/>
    <x v="7"/>
    <n v="6178"/>
  </r>
  <r>
    <s v="KS"/>
    <s v="Kansas"/>
    <s v="Pottawatomie"/>
    <x v="1"/>
    <x v="7"/>
    <n v="6178"/>
  </r>
  <r>
    <s v="KS"/>
    <s v="Kansas"/>
    <s v="Pratt"/>
    <x v="1"/>
    <x v="7"/>
    <n v="6178"/>
  </r>
  <r>
    <s v="KS"/>
    <s v="Kansas"/>
    <s v="Rawlins"/>
    <x v="3"/>
    <x v="7"/>
    <n v="6178"/>
  </r>
  <r>
    <s v="KS"/>
    <s v="Kansas"/>
    <s v="Reno"/>
    <x v="1"/>
    <x v="7"/>
    <n v="6178"/>
  </r>
  <r>
    <s v="KS"/>
    <s v="Kansas"/>
    <s v="Republic"/>
    <x v="3"/>
    <x v="7"/>
    <n v="6178"/>
  </r>
  <r>
    <s v="KS"/>
    <s v="Kansas"/>
    <s v="Rice"/>
    <x v="1"/>
    <x v="7"/>
    <n v="6178"/>
  </r>
  <r>
    <s v="KS"/>
    <s v="Kansas"/>
    <s v="Riley"/>
    <x v="1"/>
    <x v="7"/>
    <n v="6178"/>
  </r>
  <r>
    <s v="KS"/>
    <s v="Kansas"/>
    <s v="Rooks"/>
    <x v="3"/>
    <x v="7"/>
    <n v="6178"/>
  </r>
  <r>
    <s v="KS"/>
    <s v="Kansas"/>
    <s v="Rush"/>
    <x v="1"/>
    <x v="7"/>
    <n v="6178"/>
  </r>
  <r>
    <s v="KS"/>
    <s v="Kansas"/>
    <s v="Russell"/>
    <x v="1"/>
    <x v="7"/>
    <n v="6178"/>
  </r>
  <r>
    <s v="KS"/>
    <s v="Kansas"/>
    <s v="Saline"/>
    <x v="1"/>
    <x v="7"/>
    <n v="6178"/>
  </r>
  <r>
    <s v="KS"/>
    <s v="Kansas"/>
    <s v="Scott"/>
    <x v="3"/>
    <x v="7"/>
    <n v="6178"/>
  </r>
  <r>
    <s v="KS"/>
    <s v="Kansas"/>
    <s v="Sedgwick"/>
    <x v="1"/>
    <x v="7"/>
    <n v="6178"/>
  </r>
  <r>
    <s v="KY"/>
    <s v="Kentucky"/>
    <s v="Harlan"/>
    <x v="1"/>
    <x v="0"/>
    <n v="4904"/>
  </r>
  <r>
    <s v="KY"/>
    <s v="Kentucky"/>
    <s v="Harrison"/>
    <x v="1"/>
    <x v="0"/>
    <n v="4904"/>
  </r>
  <r>
    <s v="KY"/>
    <s v="Kentucky"/>
    <s v="Hart"/>
    <x v="1"/>
    <x v="0"/>
    <n v="4904"/>
  </r>
  <r>
    <s v="KY"/>
    <s v="Kentucky"/>
    <s v="Henderson"/>
    <x v="1"/>
    <x v="0"/>
    <n v="4904"/>
  </r>
  <r>
    <s v="KY"/>
    <s v="Kentucky"/>
    <s v="Henry"/>
    <x v="1"/>
    <x v="0"/>
    <n v="4904"/>
  </r>
  <r>
    <s v="KY"/>
    <s v="Kentucky"/>
    <s v="Hickman"/>
    <x v="1"/>
    <x v="0"/>
    <n v="4904"/>
  </r>
  <r>
    <s v="KY"/>
    <s v="Kentucky"/>
    <s v="Hopkins"/>
    <x v="1"/>
    <x v="0"/>
    <n v="4904"/>
  </r>
  <r>
    <s v="KY"/>
    <s v="Kentucky"/>
    <s v="Jackson"/>
    <x v="1"/>
    <x v="0"/>
    <n v="4904"/>
  </r>
  <r>
    <s v="KY"/>
    <s v="Kentucky"/>
    <s v="Jefferson"/>
    <x v="1"/>
    <x v="0"/>
    <n v="4904"/>
  </r>
  <r>
    <s v="KY"/>
    <s v="Kentucky"/>
    <s v="Jessamine"/>
    <x v="1"/>
    <x v="0"/>
    <n v="4904"/>
  </r>
  <r>
    <s v="KY"/>
    <s v="Kentucky"/>
    <s v="Johnson"/>
    <x v="1"/>
    <x v="0"/>
    <n v="4904"/>
  </r>
  <r>
    <s v="KY"/>
    <s v="Kentucky"/>
    <s v="Kenton"/>
    <x v="1"/>
    <x v="0"/>
    <n v="4904"/>
  </r>
  <r>
    <s v="KY"/>
    <s v="Kentucky"/>
    <s v="Knott"/>
    <x v="1"/>
    <x v="0"/>
    <n v="4904"/>
  </r>
  <r>
    <s v="KY"/>
    <s v="Kentucky"/>
    <s v="Knox"/>
    <x v="1"/>
    <x v="0"/>
    <n v="4904"/>
  </r>
  <r>
    <s v="KY"/>
    <s v="Kentucky"/>
    <s v="Larue"/>
    <x v="1"/>
    <x v="0"/>
    <n v="4904"/>
  </r>
  <r>
    <s v="KY"/>
    <s v="Kentucky"/>
    <s v="Laurel"/>
    <x v="1"/>
    <x v="0"/>
    <n v="4904"/>
  </r>
  <r>
    <s v="KY"/>
    <s v="Kentucky"/>
    <s v="Lawrence"/>
    <x v="1"/>
    <x v="0"/>
    <n v="4904"/>
  </r>
  <r>
    <s v="KY"/>
    <s v="Kentucky"/>
    <s v="Lee"/>
    <x v="1"/>
    <x v="0"/>
    <n v="4904"/>
  </r>
  <r>
    <s v="KY"/>
    <s v="Kentucky"/>
    <s v="Leslie"/>
    <x v="1"/>
    <x v="0"/>
    <n v="4904"/>
  </r>
  <r>
    <s v="KY"/>
    <s v="Kentucky"/>
    <s v="Letcher"/>
    <x v="1"/>
    <x v="0"/>
    <n v="4904"/>
  </r>
  <r>
    <s v="KY"/>
    <s v="Kentucky"/>
    <s v="Lewis"/>
    <x v="1"/>
    <x v="0"/>
    <n v="4904"/>
  </r>
  <r>
    <s v="KY"/>
    <s v="Kentucky"/>
    <s v="Lincoln"/>
    <x v="1"/>
    <x v="0"/>
    <n v="4904"/>
  </r>
  <r>
    <s v="KY"/>
    <s v="Kentucky"/>
    <s v="Livingston"/>
    <x v="1"/>
    <x v="0"/>
    <n v="4904"/>
  </r>
  <r>
    <s v="KY"/>
    <s v="Kentucky"/>
    <s v="Logan"/>
    <x v="1"/>
    <x v="0"/>
    <n v="4904"/>
  </r>
  <r>
    <s v="KY"/>
    <s v="Kentucky"/>
    <s v="Lyon"/>
    <x v="1"/>
    <x v="0"/>
    <n v="4904"/>
  </r>
  <r>
    <s v="KY"/>
    <s v="Kentucky"/>
    <s v="Madison"/>
    <x v="1"/>
    <x v="0"/>
    <n v="4904"/>
  </r>
  <r>
    <s v="KY"/>
    <s v="Kentucky"/>
    <s v="Magoffin"/>
    <x v="1"/>
    <x v="0"/>
    <n v="4904"/>
  </r>
  <r>
    <s v="KY"/>
    <s v="Kentucky"/>
    <s v="Marion"/>
    <x v="1"/>
    <x v="0"/>
    <n v="4904"/>
  </r>
  <r>
    <s v="KY"/>
    <s v="Kentucky"/>
    <s v="Marshall"/>
    <x v="1"/>
    <x v="0"/>
    <n v="4904"/>
  </r>
  <r>
    <s v="KY"/>
    <s v="Kentucky"/>
    <s v="Martin"/>
    <x v="1"/>
    <x v="0"/>
    <n v="4904"/>
  </r>
  <r>
    <s v="KY"/>
    <s v="Kentucky"/>
    <s v="Mason"/>
    <x v="1"/>
    <x v="0"/>
    <n v="4904"/>
  </r>
  <r>
    <s v="KY"/>
    <s v="Kentucky"/>
    <s v="McCracken"/>
    <x v="1"/>
    <x v="0"/>
    <n v="4904"/>
  </r>
  <r>
    <s v="KY"/>
    <s v="Kentucky"/>
    <s v="McCreary"/>
    <x v="1"/>
    <x v="0"/>
    <n v="4904"/>
  </r>
  <r>
    <s v="KY"/>
    <s v="Kentucky"/>
    <s v="McLean"/>
    <x v="1"/>
    <x v="0"/>
    <n v="4904"/>
  </r>
  <r>
    <s v="KY"/>
    <s v="Kentucky"/>
    <s v="Meade"/>
    <x v="1"/>
    <x v="0"/>
    <n v="4904"/>
  </r>
  <r>
    <s v="KY"/>
    <s v="Kentucky"/>
    <s v="Menifee"/>
    <x v="1"/>
    <x v="0"/>
    <n v="4904"/>
  </r>
  <r>
    <s v="KY"/>
    <s v="Kentucky"/>
    <s v="Mercer"/>
    <x v="1"/>
    <x v="0"/>
    <n v="4904"/>
  </r>
  <r>
    <s v="KY"/>
    <s v="Kentucky"/>
    <s v="Metcalfe"/>
    <x v="1"/>
    <x v="0"/>
    <n v="4904"/>
  </r>
  <r>
    <s v="KY"/>
    <s v="Kentucky"/>
    <s v="Monroe"/>
    <x v="1"/>
    <x v="0"/>
    <n v="4904"/>
  </r>
  <r>
    <s v="KY"/>
    <s v="Kentucky"/>
    <s v="Montgomery"/>
    <x v="1"/>
    <x v="0"/>
    <n v="4904"/>
  </r>
  <r>
    <s v="KY"/>
    <s v="Kentucky"/>
    <s v="Morgan"/>
    <x v="1"/>
    <x v="0"/>
    <n v="4904"/>
  </r>
  <r>
    <s v="KY"/>
    <s v="Kentucky"/>
    <s v="Muhlenberg"/>
    <x v="1"/>
    <x v="0"/>
    <n v="4904"/>
  </r>
  <r>
    <s v="KY"/>
    <s v="Kentucky"/>
    <s v="Nelson"/>
    <x v="1"/>
    <x v="0"/>
    <n v="4904"/>
  </r>
  <r>
    <s v="KY"/>
    <s v="Kentucky"/>
    <s v="Nicholas"/>
    <x v="1"/>
    <x v="0"/>
    <n v="4904"/>
  </r>
  <r>
    <s v="KY"/>
    <s v="Kentucky"/>
    <s v="Ohio"/>
    <x v="1"/>
    <x v="0"/>
    <n v="4904"/>
  </r>
  <r>
    <s v="KY"/>
    <s v="Kentucky"/>
    <s v="Oldham"/>
    <x v="1"/>
    <x v="0"/>
    <n v="4904"/>
  </r>
  <r>
    <s v="KY"/>
    <s v="Kentucky"/>
    <s v="Owen"/>
    <x v="1"/>
    <x v="0"/>
    <n v="4904"/>
  </r>
  <r>
    <s v="KY"/>
    <s v="Kentucky"/>
    <s v="Owsley"/>
    <x v="1"/>
    <x v="0"/>
    <n v="4904"/>
  </r>
  <r>
    <s v="KY"/>
    <s v="Kentucky"/>
    <s v="Pendleton"/>
    <x v="1"/>
    <x v="0"/>
    <n v="4904"/>
  </r>
  <r>
    <s v="KY"/>
    <s v="Kentucky"/>
    <s v="Perry"/>
    <x v="1"/>
    <x v="0"/>
    <n v="4904"/>
  </r>
  <r>
    <s v="KY"/>
    <s v="Kentucky"/>
    <s v="Pike"/>
    <x v="1"/>
    <x v="0"/>
    <n v="4904"/>
  </r>
  <r>
    <s v="KY"/>
    <s v="Kentucky"/>
    <s v="Powell"/>
    <x v="1"/>
    <x v="0"/>
    <n v="4904"/>
  </r>
  <r>
    <s v="KY"/>
    <s v="Kentucky"/>
    <s v="Pulaski"/>
    <x v="1"/>
    <x v="0"/>
    <n v="4904"/>
  </r>
  <r>
    <s v="KY"/>
    <s v="Kentucky"/>
    <s v="Robertson"/>
    <x v="1"/>
    <x v="0"/>
    <n v="4904"/>
  </r>
  <r>
    <s v="KY"/>
    <s v="Kentucky"/>
    <s v="Rockcastle"/>
    <x v="1"/>
    <x v="0"/>
    <n v="4904"/>
  </r>
  <r>
    <s v="KY"/>
    <s v="Kentucky"/>
    <s v="Rowan"/>
    <x v="1"/>
    <x v="0"/>
    <n v="4904"/>
  </r>
  <r>
    <s v="KY"/>
    <s v="Kentucky"/>
    <s v="Russell"/>
    <x v="1"/>
    <x v="0"/>
    <n v="4904"/>
  </r>
  <r>
    <s v="KY"/>
    <s v="Kentucky"/>
    <s v="Scott"/>
    <x v="1"/>
    <x v="0"/>
    <n v="4904"/>
  </r>
  <r>
    <s v="KY"/>
    <s v="Kentucky"/>
    <s v="Shelby"/>
    <x v="1"/>
    <x v="0"/>
    <n v="4904"/>
  </r>
  <r>
    <s v="KY"/>
    <s v="Kentucky"/>
    <s v="Simpson"/>
    <x v="1"/>
    <x v="0"/>
    <n v="4904"/>
  </r>
  <r>
    <s v="KY"/>
    <s v="Kentucky"/>
    <s v="Spencer"/>
    <x v="1"/>
    <x v="0"/>
    <n v="4904"/>
  </r>
  <r>
    <s v="KY"/>
    <s v="Kentucky"/>
    <s v="Taylor"/>
    <x v="1"/>
    <x v="0"/>
    <n v="4904"/>
  </r>
  <r>
    <s v="KY"/>
    <s v="Kentucky"/>
    <s v="Todd"/>
    <x v="1"/>
    <x v="0"/>
    <n v="4904"/>
  </r>
  <r>
    <s v="KY"/>
    <s v="Kentucky"/>
    <s v="Trigg"/>
    <x v="1"/>
    <x v="0"/>
    <n v="4904"/>
  </r>
  <r>
    <s v="KY"/>
    <s v="Kentucky"/>
    <s v="Trimble"/>
    <x v="1"/>
    <x v="0"/>
    <n v="4904"/>
  </r>
  <r>
    <s v="LA"/>
    <s v="Louisiana"/>
    <s v="Vernon"/>
    <x v="0"/>
    <x v="1"/>
    <n v="11394"/>
  </r>
  <r>
    <s v="LA"/>
    <s v="Louisiana"/>
    <s v="Washington"/>
    <x v="0"/>
    <x v="1"/>
    <n v="11394"/>
  </r>
  <r>
    <s v="LA"/>
    <s v="Louisiana"/>
    <s v="Webster"/>
    <x v="0"/>
    <x v="1"/>
    <n v="11394"/>
  </r>
  <r>
    <s v="LA"/>
    <s v="Louisiana"/>
    <s v="West Baton Rouge"/>
    <x v="0"/>
    <x v="1"/>
    <n v="11394"/>
  </r>
  <r>
    <s v="LA"/>
    <s v="Louisiana"/>
    <s v="West Carroll"/>
    <x v="1"/>
    <x v="1"/>
    <n v="11394"/>
  </r>
  <r>
    <s v="LA"/>
    <s v="Louisiana"/>
    <s v="West Feliciana"/>
    <x v="0"/>
    <x v="1"/>
    <n v="11394"/>
  </r>
  <r>
    <s v="LA"/>
    <s v="Louisiana"/>
    <s v="Winn"/>
    <x v="0"/>
    <x v="1"/>
    <n v="11394"/>
  </r>
  <r>
    <s v="ME"/>
    <s v="Maine"/>
    <s v="Androscoggin"/>
    <x v="3"/>
    <x v="4"/>
    <n v="4302"/>
  </r>
  <r>
    <s v="ME"/>
    <s v="Maine"/>
    <s v="Aroostook"/>
    <x v="6"/>
    <x v="4"/>
    <n v="4302"/>
  </r>
  <r>
    <s v="ME"/>
    <s v="Maine"/>
    <s v="Cumberland"/>
    <x v="3"/>
    <x v="4"/>
    <n v="4302"/>
  </r>
  <r>
    <s v="ME"/>
    <s v="Maine"/>
    <s v="Franklin"/>
    <x v="3"/>
    <x v="4"/>
    <n v="4302"/>
  </r>
  <r>
    <s v="ME"/>
    <s v="Maine"/>
    <s v="Hancock"/>
    <x v="3"/>
    <x v="4"/>
    <n v="4302"/>
  </r>
  <r>
    <s v="ME"/>
    <s v="Maine"/>
    <s v="Kennebec"/>
    <x v="3"/>
    <x v="4"/>
    <n v="4302"/>
  </r>
  <r>
    <s v="ME"/>
    <s v="Maine"/>
    <s v="Knox"/>
    <x v="3"/>
    <x v="4"/>
    <n v="4302"/>
  </r>
  <r>
    <s v="ME"/>
    <s v="Maine"/>
    <s v="Lincoln"/>
    <x v="3"/>
    <x v="4"/>
    <n v="4302"/>
  </r>
  <r>
    <s v="ME"/>
    <s v="Maine"/>
    <s v="Oxford"/>
    <x v="3"/>
    <x v="4"/>
    <n v="4302"/>
  </r>
  <r>
    <s v="ME"/>
    <s v="Maine"/>
    <s v="Penobscot"/>
    <x v="3"/>
    <x v="4"/>
    <n v="4302"/>
  </r>
  <r>
    <s v="ME"/>
    <s v="Maine"/>
    <s v="Piscataquis"/>
    <x v="3"/>
    <x v="4"/>
    <n v="4302"/>
  </r>
  <r>
    <s v="ME"/>
    <s v="Maine"/>
    <s v="Sagadahoc"/>
    <x v="3"/>
    <x v="4"/>
    <n v="4302"/>
  </r>
  <r>
    <s v="ME"/>
    <s v="Maine"/>
    <s v="Somerset"/>
    <x v="3"/>
    <x v="4"/>
    <n v="4302"/>
  </r>
  <r>
    <s v="ME"/>
    <s v="Maine"/>
    <s v="Waldo"/>
    <x v="3"/>
    <x v="4"/>
    <n v="4302"/>
  </r>
  <r>
    <s v="ME"/>
    <s v="Maine"/>
    <s v="Washington"/>
    <x v="3"/>
    <x v="4"/>
    <n v="4302"/>
  </r>
  <r>
    <s v="ME"/>
    <s v="Maine"/>
    <s v="York"/>
    <x v="3"/>
    <x v="4"/>
    <n v="4302"/>
  </r>
  <r>
    <s v="MD"/>
    <s v="Maryland"/>
    <s v="Allegany"/>
    <x v="1"/>
    <x v="5"/>
    <n v="17981"/>
  </r>
  <r>
    <s v="MD"/>
    <s v="Maryland"/>
    <s v="Anne Arundel"/>
    <x v="1"/>
    <x v="5"/>
    <n v="17981"/>
  </r>
  <r>
    <s v="MD"/>
    <s v="Maryland"/>
    <s v="Baltimore"/>
    <x v="1"/>
    <x v="5"/>
    <n v="17981"/>
  </r>
  <r>
    <s v="MD"/>
    <s v="Maryland"/>
    <s v="Baltimore (city)"/>
    <x v="1"/>
    <x v="5"/>
    <n v="17981"/>
  </r>
  <r>
    <s v="MD"/>
    <s v="Maryland"/>
    <s v="Calvert"/>
    <x v="1"/>
    <x v="5"/>
    <n v="17981"/>
  </r>
  <r>
    <s v="MD"/>
    <s v="Maryland"/>
    <s v="Caroline"/>
    <x v="1"/>
    <x v="5"/>
    <n v="17981"/>
  </r>
  <r>
    <s v="MD"/>
    <s v="Maryland"/>
    <s v="Carroll"/>
    <x v="1"/>
    <x v="5"/>
    <n v="17981"/>
  </r>
  <r>
    <s v="MD"/>
    <s v="Maryland"/>
    <s v="Cecil"/>
    <x v="1"/>
    <x v="5"/>
    <n v="17981"/>
  </r>
  <r>
    <s v="MD"/>
    <s v="Maryland"/>
    <s v="Charles"/>
    <x v="1"/>
    <x v="5"/>
    <n v="17981"/>
  </r>
  <r>
    <s v="MD"/>
    <s v="Maryland"/>
    <s v="Dorchester"/>
    <x v="1"/>
    <x v="5"/>
    <n v="17981"/>
  </r>
  <r>
    <s v="MD"/>
    <s v="Maryland"/>
    <s v="Frederick"/>
    <x v="1"/>
    <x v="5"/>
    <n v="17981"/>
  </r>
  <r>
    <s v="MD"/>
    <s v="Maryland"/>
    <s v="Garrett"/>
    <x v="3"/>
    <x v="5"/>
    <n v="17981"/>
  </r>
  <r>
    <s v="MD"/>
    <s v="Maryland"/>
    <s v="Harford"/>
    <x v="1"/>
    <x v="5"/>
    <n v="17981"/>
  </r>
  <r>
    <s v="MD"/>
    <s v="Maryland"/>
    <s v="Howard"/>
    <x v="1"/>
    <x v="5"/>
    <n v="17981"/>
  </r>
  <r>
    <s v="MD"/>
    <s v="Maryland"/>
    <s v="Kent"/>
    <x v="1"/>
    <x v="5"/>
    <n v="17981"/>
  </r>
  <r>
    <s v="MD"/>
    <s v="Maryland"/>
    <s v="Montgomery"/>
    <x v="1"/>
    <x v="5"/>
    <n v="17981"/>
  </r>
  <r>
    <s v="MD"/>
    <s v="Maryland"/>
    <s v="Prince George's"/>
    <x v="1"/>
    <x v="5"/>
    <n v="17981"/>
  </r>
  <r>
    <s v="MD"/>
    <s v="Maryland"/>
    <s v="Queen Anne's"/>
    <x v="1"/>
    <x v="5"/>
    <n v="17981"/>
  </r>
  <r>
    <s v="MD"/>
    <s v="Maryland"/>
    <s v="Somerset"/>
    <x v="1"/>
    <x v="5"/>
    <n v="17981"/>
  </r>
  <r>
    <s v="MD"/>
    <s v="Maryland"/>
    <s v="St. Mary's"/>
    <x v="1"/>
    <x v="5"/>
    <n v="17981"/>
  </r>
  <r>
    <s v="MD"/>
    <s v="Maryland"/>
    <s v="Talbot"/>
    <x v="1"/>
    <x v="5"/>
    <n v="17981"/>
  </r>
  <r>
    <s v="MD"/>
    <s v="Maryland"/>
    <s v="Washington"/>
    <x v="1"/>
    <x v="5"/>
    <n v="17981"/>
  </r>
  <r>
    <s v="MD"/>
    <s v="Maryland"/>
    <s v="Wicomico"/>
    <x v="1"/>
    <x v="5"/>
    <n v="17981"/>
  </r>
  <r>
    <s v="MD"/>
    <s v="Maryland"/>
    <s v="Worcester"/>
    <x v="1"/>
    <x v="5"/>
    <n v="17981"/>
  </r>
  <r>
    <s v="MA"/>
    <s v="Massachusetts"/>
    <s v="Barnstable"/>
    <x v="3"/>
    <x v="4"/>
    <n v="4302"/>
  </r>
  <r>
    <s v="MA"/>
    <s v="Massachusetts"/>
    <s v="Berkshire"/>
    <x v="3"/>
    <x v="4"/>
    <n v="4302"/>
  </r>
  <r>
    <s v="MA"/>
    <s v="Massachusetts"/>
    <s v="Bristol"/>
    <x v="3"/>
    <x v="4"/>
    <n v="4302"/>
  </r>
  <r>
    <s v="MA"/>
    <s v="Massachusetts"/>
    <s v="Dukes"/>
    <x v="3"/>
    <x v="4"/>
    <n v="4302"/>
  </r>
  <r>
    <s v="MA"/>
    <s v="Massachusetts"/>
    <s v="Essex"/>
    <x v="3"/>
    <x v="4"/>
    <n v="4302"/>
  </r>
  <r>
    <s v="MA"/>
    <s v="Massachusetts"/>
    <s v="Franklin"/>
    <x v="3"/>
    <x v="4"/>
    <n v="4302"/>
  </r>
  <r>
    <s v="MA"/>
    <s v="Massachusetts"/>
    <s v="Hampden"/>
    <x v="3"/>
    <x v="4"/>
    <n v="4302"/>
  </r>
  <r>
    <s v="MA"/>
    <s v="Massachusetts"/>
    <s v="Hampshire"/>
    <x v="3"/>
    <x v="4"/>
    <n v="4302"/>
  </r>
  <r>
    <s v="MA"/>
    <s v="Massachusetts"/>
    <s v="Middlesex"/>
    <x v="3"/>
    <x v="4"/>
    <n v="4302"/>
  </r>
  <r>
    <s v="MA"/>
    <s v="Massachusetts"/>
    <s v="Nantucket"/>
    <x v="3"/>
    <x v="4"/>
    <n v="4302"/>
  </r>
  <r>
    <s v="MA"/>
    <s v="Massachusetts"/>
    <s v="Norfolk"/>
    <x v="3"/>
    <x v="4"/>
    <n v="4302"/>
  </r>
  <r>
    <s v="MA"/>
    <s v="Massachusetts"/>
    <s v="Plymouth"/>
    <x v="3"/>
    <x v="4"/>
    <n v="4302"/>
  </r>
  <r>
    <s v="MA"/>
    <s v="Massachusetts"/>
    <s v="Suffolk"/>
    <x v="3"/>
    <x v="4"/>
    <n v="4302"/>
  </r>
  <r>
    <s v="MA"/>
    <s v="Massachusetts"/>
    <s v="Worcester"/>
    <x v="3"/>
    <x v="4"/>
    <n v="4302"/>
  </r>
  <r>
    <s v="MI"/>
    <s v="Michigan"/>
    <s v="Alcona"/>
    <x v="3"/>
    <x v="6"/>
    <n v="12742"/>
  </r>
  <r>
    <s v="MI"/>
    <s v="Michigan"/>
    <s v="Alger"/>
    <x v="3"/>
    <x v="6"/>
    <n v="12742"/>
  </r>
  <r>
    <s v="MI"/>
    <s v="Michigan"/>
    <s v="Allegan"/>
    <x v="3"/>
    <x v="6"/>
    <n v="12742"/>
  </r>
  <r>
    <s v="MI"/>
    <s v="Michigan"/>
    <s v="Alpena"/>
    <x v="3"/>
    <x v="6"/>
    <n v="12742"/>
  </r>
  <r>
    <s v="MI"/>
    <s v="Michigan"/>
    <s v="Ottawa"/>
    <x v="3"/>
    <x v="6"/>
    <n v="12742"/>
  </r>
  <r>
    <s v="MI"/>
    <s v="Michigan"/>
    <s v="Presque Isle"/>
    <x v="3"/>
    <x v="6"/>
    <n v="12742"/>
  </r>
  <r>
    <s v="MI"/>
    <s v="Michigan"/>
    <s v="Roscommon"/>
    <x v="3"/>
    <x v="6"/>
    <n v="12742"/>
  </r>
  <r>
    <s v="MI"/>
    <s v="Michigan"/>
    <s v="Saginaw"/>
    <x v="3"/>
    <x v="6"/>
    <n v="12742"/>
  </r>
  <r>
    <s v="MI"/>
    <s v="Michigan"/>
    <s v="Sanilac"/>
    <x v="3"/>
    <x v="6"/>
    <n v="12742"/>
  </r>
  <r>
    <s v="MI"/>
    <s v="Michigan"/>
    <s v="Schoolcraft"/>
    <x v="6"/>
    <x v="6"/>
    <n v="12742"/>
  </r>
  <r>
    <s v="MI"/>
    <s v="Michigan"/>
    <s v="Shiawassee"/>
    <x v="3"/>
    <x v="6"/>
    <n v="12742"/>
  </r>
  <r>
    <s v="MI"/>
    <s v="Michigan"/>
    <s v="St. Clair"/>
    <x v="3"/>
    <x v="6"/>
    <n v="12742"/>
  </r>
  <r>
    <s v="MI"/>
    <s v="Michigan"/>
    <s v="St. Joseph"/>
    <x v="3"/>
    <x v="6"/>
    <n v="12742"/>
  </r>
  <r>
    <s v="MI"/>
    <s v="Michigan"/>
    <s v="Tuscola"/>
    <x v="3"/>
    <x v="6"/>
    <n v="12742"/>
  </r>
  <r>
    <s v="MI"/>
    <s v="Michigan"/>
    <s v="Van Buren"/>
    <x v="3"/>
    <x v="6"/>
    <n v="12742"/>
  </r>
  <r>
    <s v="MI"/>
    <s v="Michigan"/>
    <s v="Washtenaw"/>
    <x v="3"/>
    <x v="6"/>
    <n v="12742"/>
  </r>
  <r>
    <s v="MI"/>
    <s v="Michigan"/>
    <s v="Wayne"/>
    <x v="3"/>
    <x v="6"/>
    <n v="12742"/>
  </r>
  <r>
    <s v="MI"/>
    <s v="Michigan"/>
    <s v="Wexford"/>
    <x v="3"/>
    <x v="6"/>
    <n v="12742"/>
  </r>
  <r>
    <s v="MN"/>
    <s v="Minnesota"/>
    <s v="Aitkin"/>
    <x v="6"/>
    <x v="7"/>
    <n v="6178"/>
  </r>
  <r>
    <s v="MN"/>
    <s v="Minnesota"/>
    <s v="Anoka"/>
    <x v="3"/>
    <x v="7"/>
    <n v="6178"/>
  </r>
  <r>
    <s v="MN"/>
    <s v="Minnesota"/>
    <s v="Becker"/>
    <x v="6"/>
    <x v="7"/>
    <n v="6178"/>
  </r>
  <r>
    <s v="MN"/>
    <s v="Minnesota"/>
    <s v="Beltrami"/>
    <x v="6"/>
    <x v="7"/>
    <n v="6178"/>
  </r>
  <r>
    <s v="MN"/>
    <s v="Minnesota"/>
    <s v="Benton"/>
    <x v="3"/>
    <x v="7"/>
    <n v="6178"/>
  </r>
  <r>
    <s v="MN"/>
    <s v="Minnesota"/>
    <s v="Big Stone"/>
    <x v="3"/>
    <x v="7"/>
    <n v="6178"/>
  </r>
  <r>
    <s v="MN"/>
    <s v="Minnesota"/>
    <s v="Blue Earth"/>
    <x v="3"/>
    <x v="7"/>
    <n v="6178"/>
  </r>
  <r>
    <s v="MN"/>
    <s v="Minnesota"/>
    <s v="Brown"/>
    <x v="3"/>
    <x v="7"/>
    <n v="6178"/>
  </r>
  <r>
    <s v="MN"/>
    <s v="Minnesota"/>
    <s v="Carlton"/>
    <x v="6"/>
    <x v="7"/>
    <n v="6178"/>
  </r>
  <r>
    <s v="MN"/>
    <s v="Minnesota"/>
    <s v="Carver"/>
    <x v="3"/>
    <x v="7"/>
    <n v="6178"/>
  </r>
  <r>
    <s v="MN"/>
    <s v="Minnesota"/>
    <s v="Cass"/>
    <x v="6"/>
    <x v="7"/>
    <n v="6178"/>
  </r>
  <r>
    <s v="MN"/>
    <s v="Minnesota"/>
    <s v="Chippewa"/>
    <x v="3"/>
    <x v="7"/>
    <n v="6178"/>
  </r>
  <r>
    <s v="MN"/>
    <s v="Minnesota"/>
    <s v="Chisago"/>
    <x v="3"/>
    <x v="7"/>
    <n v="6178"/>
  </r>
  <r>
    <s v="MN"/>
    <s v="Minnesota"/>
    <s v="Clay"/>
    <x v="6"/>
    <x v="7"/>
    <n v="6178"/>
  </r>
  <r>
    <s v="MN"/>
    <s v="Minnesota"/>
    <s v="Clearwater"/>
    <x v="6"/>
    <x v="7"/>
    <n v="6178"/>
  </r>
  <r>
    <s v="MN"/>
    <s v="Minnesota"/>
    <s v="Cook"/>
    <x v="6"/>
    <x v="7"/>
    <n v="6178"/>
  </r>
  <r>
    <s v="MN"/>
    <s v="Minnesota"/>
    <s v="Cottonwood"/>
    <x v="3"/>
    <x v="7"/>
    <n v="6178"/>
  </r>
  <r>
    <s v="MN"/>
    <s v="Minnesota"/>
    <s v="Crow Wing"/>
    <x v="6"/>
    <x v="7"/>
    <n v="6178"/>
  </r>
  <r>
    <s v="MN"/>
    <s v="Minnesota"/>
    <s v="Dakota"/>
    <x v="3"/>
    <x v="7"/>
    <n v="6178"/>
  </r>
  <r>
    <s v="MN"/>
    <s v="Minnesota"/>
    <s v="Dodge"/>
    <x v="3"/>
    <x v="7"/>
    <n v="6178"/>
  </r>
  <r>
    <s v="MN"/>
    <s v="Minnesota"/>
    <s v="Douglas"/>
    <x v="3"/>
    <x v="7"/>
    <n v="6178"/>
  </r>
  <r>
    <s v="MN"/>
    <s v="Minnesota"/>
    <s v="Faribault"/>
    <x v="3"/>
    <x v="7"/>
    <n v="6178"/>
  </r>
  <r>
    <s v="MN"/>
    <s v="Minnesota"/>
    <s v="Fillmore"/>
    <x v="3"/>
    <x v="7"/>
    <n v="6178"/>
  </r>
  <r>
    <s v="MN"/>
    <s v="Minnesota"/>
    <s v="Freeborn"/>
    <x v="3"/>
    <x v="7"/>
    <n v="6178"/>
  </r>
  <r>
    <s v="MN"/>
    <s v="Minnesota"/>
    <s v="Goodhue"/>
    <x v="3"/>
    <x v="7"/>
    <n v="6178"/>
  </r>
  <r>
    <s v="MN"/>
    <s v="Minnesota"/>
    <s v="Grant"/>
    <x v="6"/>
    <x v="7"/>
    <n v="6178"/>
  </r>
  <r>
    <s v="MN"/>
    <s v="Minnesota"/>
    <s v="Hennepin"/>
    <x v="3"/>
    <x v="7"/>
    <n v="6178"/>
  </r>
  <r>
    <s v="MN"/>
    <s v="Minnesota"/>
    <s v="Houston"/>
    <x v="3"/>
    <x v="7"/>
    <n v="6178"/>
  </r>
  <r>
    <s v="MN"/>
    <s v="Minnesota"/>
    <s v="Hubbard"/>
    <x v="6"/>
    <x v="7"/>
    <n v="6178"/>
  </r>
  <r>
    <s v="MN"/>
    <s v="Minnesota"/>
    <s v="Isanti"/>
    <x v="3"/>
    <x v="7"/>
    <n v="6178"/>
  </r>
  <r>
    <s v="MN"/>
    <s v="Minnesota"/>
    <s v="Itasca"/>
    <x v="6"/>
    <x v="7"/>
    <n v="6178"/>
  </r>
  <r>
    <s v="MN"/>
    <s v="Minnesota"/>
    <s v="Jackson"/>
    <x v="3"/>
    <x v="7"/>
    <n v="6178"/>
  </r>
  <r>
    <s v="MN"/>
    <s v="Minnesota"/>
    <s v="Kanabec"/>
    <x v="6"/>
    <x v="7"/>
    <n v="6178"/>
  </r>
  <r>
    <s v="MN"/>
    <s v="Minnesota"/>
    <s v="Kandiyohi"/>
    <x v="3"/>
    <x v="7"/>
    <n v="6178"/>
  </r>
  <r>
    <s v="MN"/>
    <s v="Minnesota"/>
    <s v="Kittson"/>
    <x v="6"/>
    <x v="7"/>
    <n v="6178"/>
  </r>
  <r>
    <s v="MN"/>
    <s v="Minnesota"/>
    <s v="Koochiching"/>
    <x v="6"/>
    <x v="7"/>
    <n v="6178"/>
  </r>
  <r>
    <s v="MN"/>
    <s v="Minnesota"/>
    <s v="Lac qui Parle"/>
    <x v="3"/>
    <x v="7"/>
    <n v="6178"/>
  </r>
  <r>
    <s v="MN"/>
    <s v="Minnesota"/>
    <s v="Lake"/>
    <x v="6"/>
    <x v="7"/>
    <n v="6178"/>
  </r>
  <r>
    <s v="MN"/>
    <s v="Minnesota"/>
    <s v="Lake of the Woods"/>
    <x v="6"/>
    <x v="7"/>
    <n v="6178"/>
  </r>
  <r>
    <s v="MN"/>
    <s v="Minnesota"/>
    <s v="Le Sueur"/>
    <x v="3"/>
    <x v="7"/>
    <n v="6178"/>
  </r>
  <r>
    <s v="MN"/>
    <s v="Minnesota"/>
    <s v="Lincoln"/>
    <x v="3"/>
    <x v="7"/>
    <n v="6178"/>
  </r>
  <r>
    <s v="MN"/>
    <s v="Minnesota"/>
    <s v="Lyon"/>
    <x v="3"/>
    <x v="7"/>
    <n v="6178"/>
  </r>
  <r>
    <s v="MN"/>
    <s v="Minnesota"/>
    <s v="Mahnomen"/>
    <x v="6"/>
    <x v="7"/>
    <n v="6178"/>
  </r>
  <r>
    <s v="MN"/>
    <s v="Minnesota"/>
    <s v="Marshall"/>
    <x v="6"/>
    <x v="7"/>
    <n v="6178"/>
  </r>
  <r>
    <s v="MN"/>
    <s v="Minnesota"/>
    <s v="Martin"/>
    <x v="3"/>
    <x v="7"/>
    <n v="6178"/>
  </r>
  <r>
    <s v="MN"/>
    <s v="Minnesota"/>
    <s v="McLeod"/>
    <x v="3"/>
    <x v="7"/>
    <n v="6178"/>
  </r>
  <r>
    <s v="MN"/>
    <s v="Minnesota"/>
    <s v="Meeker"/>
    <x v="3"/>
    <x v="7"/>
    <n v="6178"/>
  </r>
  <r>
    <s v="MN"/>
    <s v="Minnesota"/>
    <s v="Mille Lacs"/>
    <x v="6"/>
    <x v="7"/>
    <n v="6178"/>
  </r>
  <r>
    <s v="MN"/>
    <s v="Minnesota"/>
    <s v="Morrison"/>
    <x v="3"/>
    <x v="7"/>
    <n v="6178"/>
  </r>
  <r>
    <s v="MN"/>
    <s v="Minnesota"/>
    <s v="Mower"/>
    <x v="3"/>
    <x v="7"/>
    <n v="6178"/>
  </r>
  <r>
    <s v="MN"/>
    <s v="Minnesota"/>
    <s v="Murray"/>
    <x v="3"/>
    <x v="7"/>
    <n v="6178"/>
  </r>
  <r>
    <s v="MS"/>
    <s v="Mississippi"/>
    <s v="Jackson"/>
    <x v="1"/>
    <x v="0"/>
    <n v="4904"/>
  </r>
  <r>
    <s v="MS"/>
    <s v="Mississippi"/>
    <s v="Jasper"/>
    <x v="1"/>
    <x v="0"/>
    <n v="4904"/>
  </r>
  <r>
    <s v="MS"/>
    <s v="Mississippi"/>
    <s v="Jefferson"/>
    <x v="0"/>
    <x v="0"/>
    <n v="4904"/>
  </r>
  <r>
    <s v="MS"/>
    <s v="Mississippi"/>
    <s v="Jefferson Davis"/>
    <x v="0"/>
    <x v="0"/>
    <n v="4904"/>
  </r>
  <r>
    <s v="MS"/>
    <s v="Mississippi"/>
    <s v="Jones"/>
    <x v="0"/>
    <x v="0"/>
    <n v="4904"/>
  </r>
  <r>
    <s v="MS"/>
    <s v="Mississippi"/>
    <s v="Kemper"/>
    <x v="1"/>
    <x v="0"/>
    <n v="4904"/>
  </r>
  <r>
    <s v="MS"/>
    <s v="Mississippi"/>
    <s v="Lafayette"/>
    <x v="1"/>
    <x v="0"/>
    <n v="4904"/>
  </r>
  <r>
    <s v="MS"/>
    <s v="Mississippi"/>
    <s v="Lamar"/>
    <x v="0"/>
    <x v="0"/>
    <n v="4904"/>
  </r>
  <r>
    <s v="MS"/>
    <s v="Mississippi"/>
    <s v="Lauderdale"/>
    <x v="1"/>
    <x v="0"/>
    <n v="4904"/>
  </r>
  <r>
    <s v="MS"/>
    <s v="Mississippi"/>
    <s v="Lawrence"/>
    <x v="0"/>
    <x v="0"/>
    <n v="4904"/>
  </r>
  <r>
    <s v="MS"/>
    <s v="Mississippi"/>
    <s v="Leake"/>
    <x v="1"/>
    <x v="0"/>
    <n v="4904"/>
  </r>
  <r>
    <s v="MS"/>
    <s v="Mississippi"/>
    <s v="Lee"/>
    <x v="1"/>
    <x v="0"/>
    <n v="4904"/>
  </r>
  <r>
    <s v="MS"/>
    <s v="Mississippi"/>
    <s v="Leflore"/>
    <x v="1"/>
    <x v="0"/>
    <n v="4904"/>
  </r>
  <r>
    <s v="MS"/>
    <s v="Mississippi"/>
    <s v="Lincoln"/>
    <x v="0"/>
    <x v="0"/>
    <n v="4904"/>
  </r>
  <r>
    <s v="MS"/>
    <s v="Mississippi"/>
    <s v="Lowndes"/>
    <x v="1"/>
    <x v="0"/>
    <n v="4904"/>
  </r>
  <r>
    <s v="MS"/>
    <s v="Mississippi"/>
    <s v="Madison"/>
    <x v="1"/>
    <x v="0"/>
    <n v="4904"/>
  </r>
  <r>
    <s v="MS"/>
    <s v="Mississippi"/>
    <s v="Marion"/>
    <x v="0"/>
    <x v="0"/>
    <n v="4904"/>
  </r>
  <r>
    <s v="MS"/>
    <s v="Mississippi"/>
    <s v="Marshall"/>
    <x v="1"/>
    <x v="0"/>
    <n v="4904"/>
  </r>
  <r>
    <s v="MS"/>
    <s v="Mississippi"/>
    <s v="Monroe"/>
    <x v="1"/>
    <x v="0"/>
    <n v="4904"/>
  </r>
  <r>
    <s v="MS"/>
    <s v="Mississippi"/>
    <s v="Montgomery"/>
    <x v="1"/>
    <x v="0"/>
    <n v="4904"/>
  </r>
  <r>
    <s v="MS"/>
    <s v="Mississippi"/>
    <s v="Neshoba"/>
    <x v="1"/>
    <x v="0"/>
    <n v="4904"/>
  </r>
  <r>
    <s v="MS"/>
    <s v="Mississippi"/>
    <s v="Newton"/>
    <x v="1"/>
    <x v="0"/>
    <n v="4904"/>
  </r>
  <r>
    <s v="MS"/>
    <s v="Mississippi"/>
    <s v="Noxubee"/>
    <x v="1"/>
    <x v="0"/>
    <n v="4904"/>
  </r>
  <r>
    <s v="MS"/>
    <s v="Mississippi"/>
    <s v="Oktibbeha"/>
    <x v="1"/>
    <x v="0"/>
    <n v="4904"/>
  </r>
  <r>
    <s v="MS"/>
    <s v="Mississippi"/>
    <s v="Panola"/>
    <x v="1"/>
    <x v="0"/>
    <n v="4904"/>
  </r>
  <r>
    <s v="MS"/>
    <s v="Mississippi"/>
    <s v="Pearl River"/>
    <x v="1"/>
    <x v="0"/>
    <n v="4904"/>
  </r>
  <r>
    <s v="MS"/>
    <s v="Mississippi"/>
    <s v="Perry"/>
    <x v="0"/>
    <x v="0"/>
    <n v="4904"/>
  </r>
  <r>
    <s v="MS"/>
    <s v="Mississippi"/>
    <s v="Pike"/>
    <x v="0"/>
    <x v="0"/>
    <n v="4904"/>
  </r>
  <r>
    <s v="MS"/>
    <s v="Mississippi"/>
    <s v="Pontotoc"/>
    <x v="1"/>
    <x v="0"/>
    <n v="4904"/>
  </r>
  <r>
    <s v="MS"/>
    <s v="Mississippi"/>
    <s v="Prentiss"/>
    <x v="1"/>
    <x v="0"/>
    <n v="4904"/>
  </r>
  <r>
    <s v="MS"/>
    <s v="Mississippi"/>
    <s v="Quitman"/>
    <x v="1"/>
    <x v="0"/>
    <n v="4904"/>
  </r>
  <r>
    <s v="MS"/>
    <s v="Mississippi"/>
    <s v="Rankin"/>
    <x v="0"/>
    <x v="0"/>
    <n v="4904"/>
  </r>
  <r>
    <s v="MS"/>
    <s v="Mississippi"/>
    <s v="Scott"/>
    <x v="1"/>
    <x v="0"/>
    <n v="4904"/>
  </r>
  <r>
    <s v="MS"/>
    <s v="Mississippi"/>
    <s v="Sharkey"/>
    <x v="1"/>
    <x v="0"/>
    <n v="4904"/>
  </r>
  <r>
    <s v="MS"/>
    <s v="Mississippi"/>
    <s v="Simpson"/>
    <x v="0"/>
    <x v="0"/>
    <n v="4904"/>
  </r>
  <r>
    <s v="MS"/>
    <s v="Mississippi"/>
    <s v="Smith"/>
    <x v="0"/>
    <x v="0"/>
    <n v="4904"/>
  </r>
  <r>
    <s v="MS"/>
    <s v="Mississippi"/>
    <s v="Stone"/>
    <x v="1"/>
    <x v="0"/>
    <n v="4904"/>
  </r>
  <r>
    <s v="MS"/>
    <s v="Mississippi"/>
    <s v="Sunflower"/>
    <x v="1"/>
    <x v="0"/>
    <n v="4904"/>
  </r>
  <r>
    <s v="MS"/>
    <s v="Mississippi"/>
    <s v="Tallahatchie"/>
    <x v="1"/>
    <x v="0"/>
    <n v="4904"/>
  </r>
  <r>
    <s v="MS"/>
    <s v="Mississippi"/>
    <s v="Tate"/>
    <x v="1"/>
    <x v="0"/>
    <n v="4904"/>
  </r>
  <r>
    <s v="MS"/>
    <s v="Mississippi"/>
    <s v="Tippah"/>
    <x v="1"/>
    <x v="0"/>
    <n v="4904"/>
  </r>
  <r>
    <s v="MS"/>
    <s v="Mississippi"/>
    <s v="Tishomingo"/>
    <x v="1"/>
    <x v="0"/>
    <n v="4904"/>
  </r>
  <r>
    <s v="MS"/>
    <s v="Mississippi"/>
    <s v="Tunica"/>
    <x v="1"/>
    <x v="0"/>
    <n v="4904"/>
  </r>
  <r>
    <s v="MS"/>
    <s v="Mississippi"/>
    <s v="Union"/>
    <x v="1"/>
    <x v="0"/>
    <n v="4904"/>
  </r>
  <r>
    <s v="MS"/>
    <s v="Mississippi"/>
    <s v="Walthall"/>
    <x v="0"/>
    <x v="0"/>
    <n v="4904"/>
  </r>
  <r>
    <s v="MS"/>
    <s v="Mississippi"/>
    <s v="Warren"/>
    <x v="0"/>
    <x v="0"/>
    <n v="4904"/>
  </r>
  <r>
    <s v="MS"/>
    <s v="Mississippi"/>
    <s v="Washington"/>
    <x v="1"/>
    <x v="0"/>
    <n v="4904"/>
  </r>
  <r>
    <s v="MS"/>
    <s v="Mississippi"/>
    <s v="Wayne"/>
    <x v="0"/>
    <x v="0"/>
    <n v="4904"/>
  </r>
  <r>
    <s v="MS"/>
    <s v="Mississippi"/>
    <s v="Webster"/>
    <x v="1"/>
    <x v="0"/>
    <n v="4904"/>
  </r>
  <r>
    <s v="MS"/>
    <s v="Mississippi"/>
    <s v="Wilkinson"/>
    <x v="0"/>
    <x v="0"/>
    <n v="4904"/>
  </r>
  <r>
    <s v="MS"/>
    <s v="Mississippi"/>
    <s v="Winston"/>
    <x v="1"/>
    <x v="0"/>
    <n v="4904"/>
  </r>
  <r>
    <s v="MS"/>
    <s v="Mississippi"/>
    <s v="Yalobusha"/>
    <x v="1"/>
    <x v="0"/>
    <n v="4904"/>
  </r>
  <r>
    <s v="MS"/>
    <s v="Mississippi"/>
    <s v="Yazoo"/>
    <x v="1"/>
    <x v="0"/>
    <n v="4904"/>
  </r>
  <r>
    <s v="MO"/>
    <s v="Missouri"/>
    <s v="Adair"/>
    <x v="3"/>
    <x v="7"/>
    <n v="6178"/>
  </r>
  <r>
    <s v="MO"/>
    <s v="Missouri"/>
    <s v="Andrew"/>
    <x v="3"/>
    <x v="7"/>
    <n v="6178"/>
  </r>
  <r>
    <s v="MO"/>
    <s v="Missouri"/>
    <s v="Atchison"/>
    <x v="3"/>
    <x v="7"/>
    <n v="6178"/>
  </r>
  <r>
    <s v="MO"/>
    <s v="Missouri"/>
    <s v="Audrain"/>
    <x v="1"/>
    <x v="7"/>
    <n v="6178"/>
  </r>
  <r>
    <s v="MO"/>
    <s v="Missouri"/>
    <s v="Barry"/>
    <x v="1"/>
    <x v="7"/>
    <n v="6178"/>
  </r>
  <r>
    <s v="MO"/>
    <s v="Missouri"/>
    <s v="Barton"/>
    <x v="1"/>
    <x v="7"/>
    <n v="6178"/>
  </r>
  <r>
    <s v="MO"/>
    <s v="Missouri"/>
    <s v="Bates"/>
    <x v="1"/>
    <x v="7"/>
    <n v="6178"/>
  </r>
  <r>
    <s v="MO"/>
    <s v="Missouri"/>
    <s v="Benton"/>
    <x v="1"/>
    <x v="7"/>
    <n v="6178"/>
  </r>
  <r>
    <s v="MO"/>
    <s v="Missouri"/>
    <s v="Bollinger"/>
    <x v="1"/>
    <x v="7"/>
    <n v="6178"/>
  </r>
  <r>
    <s v="MO"/>
    <s v="Missouri"/>
    <s v="Boone"/>
    <x v="1"/>
    <x v="7"/>
    <n v="6178"/>
  </r>
  <r>
    <s v="MO"/>
    <s v="Missouri"/>
    <s v="Buchanan"/>
    <x v="3"/>
    <x v="7"/>
    <n v="6178"/>
  </r>
  <r>
    <s v="MO"/>
    <s v="Missouri"/>
    <s v="Butler"/>
    <x v="1"/>
    <x v="7"/>
    <n v="6178"/>
  </r>
  <r>
    <s v="MO"/>
    <s v="Missouri"/>
    <s v="Pemiscot"/>
    <x v="1"/>
    <x v="7"/>
    <n v="6178"/>
  </r>
  <r>
    <s v="MO"/>
    <s v="Missouri"/>
    <s v="Perry"/>
    <x v="1"/>
    <x v="7"/>
    <n v="6178"/>
  </r>
  <r>
    <s v="MO"/>
    <s v="Missouri"/>
    <s v="Pettis"/>
    <x v="1"/>
    <x v="7"/>
    <n v="6178"/>
  </r>
  <r>
    <s v="MO"/>
    <s v="Missouri"/>
    <s v="Phelps"/>
    <x v="1"/>
    <x v="7"/>
    <n v="6178"/>
  </r>
  <r>
    <s v="MO"/>
    <s v="Missouri"/>
    <s v="Pike"/>
    <x v="3"/>
    <x v="7"/>
    <n v="6178"/>
  </r>
  <r>
    <s v="MO"/>
    <s v="Missouri"/>
    <s v="Platte"/>
    <x v="1"/>
    <x v="7"/>
    <n v="6178"/>
  </r>
  <r>
    <s v="MO"/>
    <s v="Missouri"/>
    <s v="Polk"/>
    <x v="1"/>
    <x v="7"/>
    <n v="6178"/>
  </r>
  <r>
    <s v="MO"/>
    <s v="Missouri"/>
    <s v="Pulaski"/>
    <x v="1"/>
    <x v="7"/>
    <n v="6178"/>
  </r>
  <r>
    <s v="MO"/>
    <s v="Missouri"/>
    <s v="Putnam"/>
    <x v="3"/>
    <x v="7"/>
    <n v="6178"/>
  </r>
  <r>
    <s v="MO"/>
    <s v="Missouri"/>
    <s v="Ralls"/>
    <x v="3"/>
    <x v="7"/>
    <n v="6178"/>
  </r>
  <r>
    <s v="MO"/>
    <s v="Missouri"/>
    <s v="Randolph"/>
    <x v="1"/>
    <x v="7"/>
    <n v="6178"/>
  </r>
  <r>
    <s v="MO"/>
    <s v="Missouri"/>
    <s v="Ray"/>
    <x v="1"/>
    <x v="7"/>
    <n v="6178"/>
  </r>
  <r>
    <s v="MO"/>
    <s v="Missouri"/>
    <s v="Reynolds"/>
    <x v="1"/>
    <x v="7"/>
    <n v="6178"/>
  </r>
  <r>
    <s v="MO"/>
    <s v="Missouri"/>
    <s v="Ripley"/>
    <x v="1"/>
    <x v="7"/>
    <n v="6178"/>
  </r>
  <r>
    <s v="MO"/>
    <s v="Missouri"/>
    <s v="Saline"/>
    <x v="1"/>
    <x v="7"/>
    <n v="6178"/>
  </r>
  <r>
    <s v="MO"/>
    <s v="Missouri"/>
    <s v="Schuyler"/>
    <x v="3"/>
    <x v="7"/>
    <n v="6178"/>
  </r>
  <r>
    <s v="MO"/>
    <s v="Missouri"/>
    <s v="Scotland"/>
    <x v="3"/>
    <x v="7"/>
    <n v="6178"/>
  </r>
  <r>
    <s v="MO"/>
    <s v="Missouri"/>
    <s v="Scott"/>
    <x v="1"/>
    <x v="7"/>
    <n v="6178"/>
  </r>
  <r>
    <s v="MO"/>
    <s v="Missouri"/>
    <s v="Shannon"/>
    <x v="1"/>
    <x v="7"/>
    <n v="6178"/>
  </r>
  <r>
    <s v="MO"/>
    <s v="Missouri"/>
    <s v="Shelby"/>
    <x v="3"/>
    <x v="7"/>
    <n v="6178"/>
  </r>
  <r>
    <s v="MO"/>
    <s v="Missouri"/>
    <s v="St. Charles"/>
    <x v="1"/>
    <x v="7"/>
    <n v="6178"/>
  </r>
  <r>
    <s v="MO"/>
    <s v="Missouri"/>
    <s v="St. Clair"/>
    <x v="1"/>
    <x v="7"/>
    <n v="6178"/>
  </r>
  <r>
    <s v="MO"/>
    <s v="Missouri"/>
    <s v="St. Francois"/>
    <x v="1"/>
    <x v="7"/>
    <n v="6178"/>
  </r>
  <r>
    <s v="MO"/>
    <s v="Missouri"/>
    <s v="St. Louis"/>
    <x v="1"/>
    <x v="7"/>
    <n v="6178"/>
  </r>
  <r>
    <s v="MO"/>
    <s v="Missouri"/>
    <s v="St. Louis (city)"/>
    <x v="1"/>
    <x v="7"/>
    <n v="6178"/>
  </r>
  <r>
    <s v="MO"/>
    <s v="Missouri"/>
    <s v="Ste. Genevieve"/>
    <x v="1"/>
    <x v="7"/>
    <n v="6178"/>
  </r>
  <r>
    <s v="MO"/>
    <s v="Missouri"/>
    <s v="Stoddard"/>
    <x v="1"/>
    <x v="7"/>
    <n v="6178"/>
  </r>
  <r>
    <s v="MO"/>
    <s v="Missouri"/>
    <s v="Stone"/>
    <x v="1"/>
    <x v="7"/>
    <n v="6178"/>
  </r>
  <r>
    <s v="MO"/>
    <s v="Missouri"/>
    <s v="Sullivan"/>
    <x v="3"/>
    <x v="7"/>
    <n v="6178"/>
  </r>
  <r>
    <s v="MO"/>
    <s v="Missouri"/>
    <s v="Taney"/>
    <x v="1"/>
    <x v="7"/>
    <n v="6178"/>
  </r>
  <r>
    <s v="MO"/>
    <s v="Missouri"/>
    <s v="Texas"/>
    <x v="1"/>
    <x v="7"/>
    <n v="6178"/>
  </r>
  <r>
    <s v="MO"/>
    <s v="Missouri"/>
    <s v="Vernon"/>
    <x v="1"/>
    <x v="7"/>
    <n v="6178"/>
  </r>
  <r>
    <s v="MO"/>
    <s v="Missouri"/>
    <s v="Warren"/>
    <x v="1"/>
    <x v="7"/>
    <n v="6178"/>
  </r>
  <r>
    <s v="MO"/>
    <s v="Missouri"/>
    <s v="Washington"/>
    <x v="1"/>
    <x v="7"/>
    <n v="6178"/>
  </r>
  <r>
    <s v="MO"/>
    <s v="Missouri"/>
    <s v="Wayne"/>
    <x v="1"/>
    <x v="7"/>
    <n v="6178"/>
  </r>
  <r>
    <s v="MO"/>
    <s v="Missouri"/>
    <s v="Webster"/>
    <x v="1"/>
    <x v="7"/>
    <n v="6178"/>
  </r>
  <r>
    <s v="MO"/>
    <s v="Missouri"/>
    <s v="Worth"/>
    <x v="3"/>
    <x v="7"/>
    <n v="6178"/>
  </r>
  <r>
    <s v="MO"/>
    <s v="Missouri"/>
    <s v="Wright"/>
    <x v="1"/>
    <x v="7"/>
    <n v="6178"/>
  </r>
  <r>
    <s v="MT"/>
    <s v="Montana"/>
    <s v="Beaverhead"/>
    <x v="3"/>
    <x v="3"/>
    <n v="4981"/>
  </r>
  <r>
    <s v="MT"/>
    <s v="Montana"/>
    <s v="Big Horn"/>
    <x v="3"/>
    <x v="3"/>
    <n v="4981"/>
  </r>
  <r>
    <s v="MT"/>
    <s v="Montana"/>
    <s v="Blaine"/>
    <x v="3"/>
    <x v="3"/>
    <n v="4981"/>
  </r>
  <r>
    <s v="MT"/>
    <s v="Montana"/>
    <s v="Broadwater"/>
    <x v="3"/>
    <x v="3"/>
    <n v="4981"/>
  </r>
  <r>
    <s v="MT"/>
    <s v="Montana"/>
    <s v="Carbon"/>
    <x v="3"/>
    <x v="3"/>
    <n v="4981"/>
  </r>
  <r>
    <s v="MT"/>
    <s v="Montana"/>
    <s v="Carter"/>
    <x v="3"/>
    <x v="3"/>
    <n v="4981"/>
  </r>
  <r>
    <s v="MT"/>
    <s v="Montana"/>
    <s v="Cascade"/>
    <x v="3"/>
    <x v="3"/>
    <n v="4981"/>
  </r>
  <r>
    <s v="MT"/>
    <s v="Montana"/>
    <s v="Chouteau"/>
    <x v="3"/>
    <x v="3"/>
    <n v="4981"/>
  </r>
  <r>
    <s v="MT"/>
    <s v="Montana"/>
    <s v="Custer"/>
    <x v="3"/>
    <x v="3"/>
    <n v="4981"/>
  </r>
  <r>
    <s v="MT"/>
    <s v="Montana"/>
    <s v="Daniels"/>
    <x v="3"/>
    <x v="3"/>
    <n v="4981"/>
  </r>
  <r>
    <s v="MT"/>
    <s v="Montana"/>
    <s v="Dawson"/>
    <x v="3"/>
    <x v="3"/>
    <n v="4981"/>
  </r>
  <r>
    <s v="MT"/>
    <s v="Montana"/>
    <s v="Deer Lodge"/>
    <x v="3"/>
    <x v="3"/>
    <n v="4981"/>
  </r>
  <r>
    <s v="MT"/>
    <s v="Montana"/>
    <s v="Fallon"/>
    <x v="3"/>
    <x v="3"/>
    <n v="4981"/>
  </r>
  <r>
    <s v="MT"/>
    <s v="Montana"/>
    <s v="Fergus"/>
    <x v="3"/>
    <x v="3"/>
    <n v="4981"/>
  </r>
  <r>
    <s v="MT"/>
    <s v="Montana"/>
    <s v="Flathead"/>
    <x v="3"/>
    <x v="3"/>
    <n v="4981"/>
  </r>
  <r>
    <s v="MT"/>
    <s v="Montana"/>
    <s v="Gallatin"/>
    <x v="3"/>
    <x v="3"/>
    <n v="4981"/>
  </r>
  <r>
    <s v="MT"/>
    <s v="Montana"/>
    <s v="Garfield"/>
    <x v="3"/>
    <x v="3"/>
    <n v="4981"/>
  </r>
  <r>
    <s v="MT"/>
    <s v="Montana"/>
    <s v="Glacier"/>
    <x v="3"/>
    <x v="3"/>
    <n v="4981"/>
  </r>
  <r>
    <s v="MT"/>
    <s v="Montana"/>
    <s v="Golden Valley"/>
    <x v="3"/>
    <x v="3"/>
    <n v="4981"/>
  </r>
  <r>
    <s v="MT"/>
    <s v="Montana"/>
    <s v="Granite"/>
    <x v="3"/>
    <x v="3"/>
    <n v="4981"/>
  </r>
  <r>
    <s v="MT"/>
    <s v="Montana"/>
    <s v="Hill"/>
    <x v="3"/>
    <x v="3"/>
    <n v="4981"/>
  </r>
  <r>
    <s v="MT"/>
    <s v="Montana"/>
    <s v="Jefferson"/>
    <x v="3"/>
    <x v="3"/>
    <n v="4981"/>
  </r>
  <r>
    <s v="MT"/>
    <s v="Montana"/>
    <s v="Judith Basin"/>
    <x v="3"/>
    <x v="3"/>
    <n v="4981"/>
  </r>
  <r>
    <s v="MT"/>
    <s v="Montana"/>
    <s v="Lake"/>
    <x v="3"/>
    <x v="3"/>
    <n v="4981"/>
  </r>
  <r>
    <s v="MT"/>
    <s v="Montana"/>
    <s v="Lewis and Clark"/>
    <x v="3"/>
    <x v="3"/>
    <n v="4981"/>
  </r>
  <r>
    <s v="MT"/>
    <s v="Montana"/>
    <s v="Liberty"/>
    <x v="3"/>
    <x v="3"/>
    <n v="4981"/>
  </r>
  <r>
    <s v="MT"/>
    <s v="Montana"/>
    <s v="Lincoln"/>
    <x v="3"/>
    <x v="3"/>
    <n v="4981"/>
  </r>
  <r>
    <s v="NE"/>
    <s v="Nebraska"/>
    <s v="Gosper"/>
    <x v="3"/>
    <x v="7"/>
    <n v="6178"/>
  </r>
  <r>
    <s v="NE"/>
    <s v="Nebraska"/>
    <s v="Grant"/>
    <x v="3"/>
    <x v="7"/>
    <n v="6178"/>
  </r>
  <r>
    <s v="NE"/>
    <s v="Nebraska"/>
    <s v="Greeley"/>
    <x v="3"/>
    <x v="7"/>
    <n v="6178"/>
  </r>
  <r>
    <s v="NE"/>
    <s v="Nebraska"/>
    <s v="Hall"/>
    <x v="3"/>
    <x v="7"/>
    <n v="6178"/>
  </r>
  <r>
    <s v="NE"/>
    <s v="Nebraska"/>
    <s v="Hamilton"/>
    <x v="3"/>
    <x v="7"/>
    <n v="6178"/>
  </r>
  <r>
    <s v="NE"/>
    <s v="Nebraska"/>
    <s v="Harlan"/>
    <x v="3"/>
    <x v="7"/>
    <n v="6178"/>
  </r>
  <r>
    <s v="NE"/>
    <s v="Nebraska"/>
    <s v="Hayes"/>
    <x v="3"/>
    <x v="7"/>
    <n v="6178"/>
  </r>
  <r>
    <s v="NE"/>
    <s v="Nebraska"/>
    <s v="Hitchcock"/>
    <x v="3"/>
    <x v="7"/>
    <n v="6178"/>
  </r>
  <r>
    <s v="NE"/>
    <s v="Nebraska"/>
    <s v="Holt"/>
    <x v="3"/>
    <x v="7"/>
    <n v="6178"/>
  </r>
  <r>
    <s v="NE"/>
    <s v="Nebraska"/>
    <s v="Hooker"/>
    <x v="3"/>
    <x v="7"/>
    <n v="6178"/>
  </r>
  <r>
    <s v="NE"/>
    <s v="Nebraska"/>
    <s v="Howard"/>
    <x v="3"/>
    <x v="7"/>
    <n v="6178"/>
  </r>
  <r>
    <s v="NE"/>
    <s v="Nebraska"/>
    <s v="Jefferson"/>
    <x v="3"/>
    <x v="7"/>
    <n v="6178"/>
  </r>
  <r>
    <s v="NE"/>
    <s v="Nebraska"/>
    <s v="Johnson"/>
    <x v="3"/>
    <x v="7"/>
    <n v="6178"/>
  </r>
  <r>
    <s v="NE"/>
    <s v="Nebraska"/>
    <s v="Kearney"/>
    <x v="3"/>
    <x v="7"/>
    <n v="6178"/>
  </r>
  <r>
    <s v="NE"/>
    <s v="Nebraska"/>
    <s v="Keith"/>
    <x v="3"/>
    <x v="7"/>
    <n v="6178"/>
  </r>
  <r>
    <s v="NE"/>
    <s v="Nebraska"/>
    <s v="Keya Paha"/>
    <x v="3"/>
    <x v="7"/>
    <n v="6178"/>
  </r>
  <r>
    <s v="NE"/>
    <s v="Nebraska"/>
    <s v="Kimball"/>
    <x v="3"/>
    <x v="7"/>
    <n v="6178"/>
  </r>
  <r>
    <s v="NE"/>
    <s v="Nebraska"/>
    <s v="Knox"/>
    <x v="3"/>
    <x v="7"/>
    <n v="6178"/>
  </r>
  <r>
    <s v="NE"/>
    <s v="Nebraska"/>
    <s v="Lancaster"/>
    <x v="3"/>
    <x v="7"/>
    <n v="6178"/>
  </r>
  <r>
    <s v="NE"/>
    <s v="Nebraska"/>
    <s v="Lincoln"/>
    <x v="3"/>
    <x v="7"/>
    <n v="6178"/>
  </r>
  <r>
    <s v="NE"/>
    <s v="Nebraska"/>
    <s v="Logan"/>
    <x v="3"/>
    <x v="7"/>
    <n v="6178"/>
  </r>
  <r>
    <s v="NE"/>
    <s v="Nebraska"/>
    <s v="Loup"/>
    <x v="3"/>
    <x v="7"/>
    <n v="6178"/>
  </r>
  <r>
    <s v="NE"/>
    <s v="Nebraska"/>
    <s v="Madison"/>
    <x v="3"/>
    <x v="7"/>
    <n v="6178"/>
  </r>
  <r>
    <s v="NE"/>
    <s v="Nebraska"/>
    <s v="McPherson"/>
    <x v="3"/>
    <x v="7"/>
    <n v="6178"/>
  </r>
  <r>
    <s v="NE"/>
    <s v="Nebraska"/>
    <s v="Merrick"/>
    <x v="3"/>
    <x v="7"/>
    <n v="6178"/>
  </r>
  <r>
    <s v="NE"/>
    <s v="Nebraska"/>
    <s v="Morrill"/>
    <x v="3"/>
    <x v="7"/>
    <n v="6178"/>
  </r>
  <r>
    <s v="NE"/>
    <s v="Nebraska"/>
    <s v="Nance"/>
    <x v="3"/>
    <x v="7"/>
    <n v="6178"/>
  </r>
  <r>
    <s v="NE"/>
    <s v="Nebraska"/>
    <s v="Nemaha"/>
    <x v="3"/>
    <x v="7"/>
    <n v="6178"/>
  </r>
  <r>
    <s v="NE"/>
    <s v="Nebraska"/>
    <s v="Nuckolls"/>
    <x v="3"/>
    <x v="7"/>
    <n v="6178"/>
  </r>
  <r>
    <s v="NE"/>
    <s v="Nebraska"/>
    <s v="Otoe"/>
    <x v="3"/>
    <x v="7"/>
    <n v="6178"/>
  </r>
  <r>
    <s v="NE"/>
    <s v="Nebraska"/>
    <s v="Pawnee"/>
    <x v="3"/>
    <x v="7"/>
    <n v="6178"/>
  </r>
  <r>
    <s v="NE"/>
    <s v="Nebraska"/>
    <s v="Perkins"/>
    <x v="3"/>
    <x v="7"/>
    <n v="6178"/>
  </r>
  <r>
    <s v="NE"/>
    <s v="Nebraska"/>
    <s v="Phelps"/>
    <x v="3"/>
    <x v="7"/>
    <n v="6178"/>
  </r>
  <r>
    <s v="NE"/>
    <s v="Nebraska"/>
    <s v="Pierce"/>
    <x v="3"/>
    <x v="7"/>
    <n v="6178"/>
  </r>
  <r>
    <s v="NE"/>
    <s v="Nebraska"/>
    <s v="Platte"/>
    <x v="3"/>
    <x v="7"/>
    <n v="6178"/>
  </r>
  <r>
    <s v="NE"/>
    <s v="Nebraska"/>
    <s v="Polk"/>
    <x v="3"/>
    <x v="7"/>
    <n v="6178"/>
  </r>
  <r>
    <s v="NE"/>
    <s v="Nebraska"/>
    <s v="Red Willow"/>
    <x v="3"/>
    <x v="7"/>
    <n v="6178"/>
  </r>
  <r>
    <s v="NE"/>
    <s v="Nebraska"/>
    <s v="Richardson"/>
    <x v="3"/>
    <x v="7"/>
    <n v="6178"/>
  </r>
  <r>
    <s v="NE"/>
    <s v="Nebraska"/>
    <s v="Rock"/>
    <x v="3"/>
    <x v="7"/>
    <n v="6178"/>
  </r>
  <r>
    <s v="NE"/>
    <s v="Nebraska"/>
    <s v="Saline"/>
    <x v="3"/>
    <x v="7"/>
    <n v="6178"/>
  </r>
  <r>
    <s v="NE"/>
    <s v="Nebraska"/>
    <s v="Sarpy"/>
    <x v="3"/>
    <x v="7"/>
    <n v="6178"/>
  </r>
  <r>
    <s v="NE"/>
    <s v="Nebraska"/>
    <s v="Saunders"/>
    <x v="3"/>
    <x v="7"/>
    <n v="6178"/>
  </r>
  <r>
    <s v="NE"/>
    <s v="Nebraska"/>
    <s v="Scotts Bluff"/>
    <x v="3"/>
    <x v="7"/>
    <n v="6178"/>
  </r>
  <r>
    <s v="NE"/>
    <s v="Nebraska"/>
    <s v="Seward"/>
    <x v="3"/>
    <x v="7"/>
    <n v="6178"/>
  </r>
  <r>
    <s v="NE"/>
    <s v="Nebraska"/>
    <s v="Sheridan"/>
    <x v="3"/>
    <x v="7"/>
    <n v="6178"/>
  </r>
  <r>
    <s v="NE"/>
    <s v="Nebraska"/>
    <s v="Sherman"/>
    <x v="3"/>
    <x v="7"/>
    <n v="6178"/>
  </r>
  <r>
    <s v="NE"/>
    <s v="Nebraska"/>
    <s v="Sioux"/>
    <x v="3"/>
    <x v="7"/>
    <n v="6178"/>
  </r>
  <r>
    <s v="NE"/>
    <s v="Nebraska"/>
    <s v="Stanton"/>
    <x v="3"/>
    <x v="7"/>
    <n v="6178"/>
  </r>
  <r>
    <s v="NE"/>
    <s v="Nebraska"/>
    <s v="Thayer"/>
    <x v="3"/>
    <x v="7"/>
    <n v="6178"/>
  </r>
  <r>
    <s v="NE"/>
    <s v="Nebraska"/>
    <s v="Thomas"/>
    <x v="3"/>
    <x v="7"/>
    <n v="6178"/>
  </r>
  <r>
    <s v="NE"/>
    <s v="Nebraska"/>
    <s v="Thurston"/>
    <x v="3"/>
    <x v="7"/>
    <n v="6178"/>
  </r>
  <r>
    <s v="NE"/>
    <s v="Nebraska"/>
    <s v="Valley"/>
    <x v="3"/>
    <x v="7"/>
    <n v="6178"/>
  </r>
  <r>
    <s v="NE"/>
    <s v="Nebraska"/>
    <s v="Washington"/>
    <x v="3"/>
    <x v="7"/>
    <n v="6178"/>
  </r>
  <r>
    <s v="NE"/>
    <s v="Nebraska"/>
    <s v="Wayne"/>
    <x v="3"/>
    <x v="7"/>
    <n v="6178"/>
  </r>
  <r>
    <s v="NE"/>
    <s v="Nebraska"/>
    <s v="Webster"/>
    <x v="3"/>
    <x v="7"/>
    <n v="6178"/>
  </r>
  <r>
    <s v="NE"/>
    <s v="Nebraska"/>
    <s v="Wheeler"/>
    <x v="3"/>
    <x v="7"/>
    <n v="6178"/>
  </r>
  <r>
    <s v="NE"/>
    <s v="Nebraska"/>
    <s v="York"/>
    <x v="3"/>
    <x v="7"/>
    <n v="6178"/>
  </r>
  <r>
    <s v="NV"/>
    <s v="Nevada"/>
    <s v="Carson City (city)"/>
    <x v="3"/>
    <x v="3"/>
    <n v="4981"/>
  </r>
  <r>
    <s v="NV"/>
    <s v="Nevada"/>
    <s v="Churchill"/>
    <x v="3"/>
    <x v="3"/>
    <n v="4981"/>
  </r>
  <r>
    <s v="NV"/>
    <s v="Nevada"/>
    <s v="Clark"/>
    <x v="5"/>
    <x v="3"/>
    <n v="4981"/>
  </r>
  <r>
    <s v="NV"/>
    <s v="Nevada"/>
    <s v="Douglas"/>
    <x v="3"/>
    <x v="3"/>
    <n v="4981"/>
  </r>
  <r>
    <s v="NV"/>
    <s v="Nevada"/>
    <s v="Elko"/>
    <x v="3"/>
    <x v="3"/>
    <n v="4981"/>
  </r>
  <r>
    <s v="NV"/>
    <s v="Nevada"/>
    <s v="Esmeralda"/>
    <x v="3"/>
    <x v="3"/>
    <n v="4981"/>
  </r>
  <r>
    <s v="NV"/>
    <s v="Nevada"/>
    <s v="Eureka"/>
    <x v="3"/>
    <x v="3"/>
    <n v="4981"/>
  </r>
  <r>
    <s v="NV"/>
    <s v="Nevada"/>
    <s v="Humboldt"/>
    <x v="3"/>
    <x v="3"/>
    <n v="4981"/>
  </r>
  <r>
    <s v="NM"/>
    <s v="New Mexico"/>
    <s v="Sandoval"/>
    <x v="3"/>
    <x v="3"/>
    <n v="4981"/>
  </r>
  <r>
    <s v="NM"/>
    <s v="New Mexico"/>
    <s v="Santa Fe"/>
    <x v="3"/>
    <x v="3"/>
    <n v="4981"/>
  </r>
  <r>
    <s v="NM"/>
    <s v="New Mexico"/>
    <s v="Sierra"/>
    <x v="4"/>
    <x v="3"/>
    <n v="4981"/>
  </r>
  <r>
    <s v="NM"/>
    <s v="New Mexico"/>
    <s v="Socorro"/>
    <x v="4"/>
    <x v="3"/>
    <n v="4981"/>
  </r>
  <r>
    <s v="NM"/>
    <s v="New Mexico"/>
    <s v="Taos"/>
    <x v="3"/>
    <x v="3"/>
    <n v="4981"/>
  </r>
  <r>
    <s v="NM"/>
    <s v="New Mexico"/>
    <s v="Torrance"/>
    <x v="3"/>
    <x v="3"/>
    <n v="4981"/>
  </r>
  <r>
    <s v="NM"/>
    <s v="New Mexico"/>
    <s v="Union"/>
    <x v="4"/>
    <x v="3"/>
    <n v="4981"/>
  </r>
  <r>
    <s v="NM"/>
    <s v="New Mexico"/>
    <s v="Valencia"/>
    <x v="4"/>
    <x v="3"/>
    <n v="4981"/>
  </r>
  <r>
    <s v="NY"/>
    <s v="New York"/>
    <s v="Albany"/>
    <x v="3"/>
    <x v="8"/>
    <n v="11232"/>
  </r>
  <r>
    <s v="NY"/>
    <s v="New York"/>
    <s v="Allegany"/>
    <x v="3"/>
    <x v="8"/>
    <n v="11232"/>
  </r>
  <r>
    <s v="NY"/>
    <s v="New York"/>
    <s v="Bronx"/>
    <x v="1"/>
    <x v="8"/>
    <n v="11232"/>
  </r>
  <r>
    <s v="NY"/>
    <s v="New York"/>
    <s v="Broome"/>
    <x v="3"/>
    <x v="8"/>
    <n v="11232"/>
  </r>
  <r>
    <s v="NY"/>
    <s v="New York"/>
    <s v="Cattaraugus"/>
    <x v="3"/>
    <x v="8"/>
    <n v="11232"/>
  </r>
  <r>
    <s v="NY"/>
    <s v="New York"/>
    <s v="Cayuga"/>
    <x v="3"/>
    <x v="8"/>
    <n v="11232"/>
  </r>
  <r>
    <s v="NY"/>
    <s v="New York"/>
    <s v="Chautauqua"/>
    <x v="3"/>
    <x v="8"/>
    <n v="11232"/>
  </r>
  <r>
    <s v="NY"/>
    <s v="New York"/>
    <s v="Chemung"/>
    <x v="3"/>
    <x v="8"/>
    <n v="11232"/>
  </r>
  <r>
    <s v="NY"/>
    <s v="New York"/>
    <s v="Chenango"/>
    <x v="3"/>
    <x v="8"/>
    <n v="11232"/>
  </r>
  <r>
    <s v="NY"/>
    <s v="New York"/>
    <s v="Clinton"/>
    <x v="3"/>
    <x v="8"/>
    <n v="11232"/>
  </r>
  <r>
    <s v="NY"/>
    <s v="New York"/>
    <s v="Columbia"/>
    <x v="3"/>
    <x v="8"/>
    <n v="11232"/>
  </r>
  <r>
    <s v="NY"/>
    <s v="New York"/>
    <s v="Cortland"/>
    <x v="3"/>
    <x v="8"/>
    <n v="11232"/>
  </r>
  <r>
    <s v="NY"/>
    <s v="New York"/>
    <s v="Delaware"/>
    <x v="3"/>
    <x v="8"/>
    <n v="11232"/>
  </r>
  <r>
    <s v="NY"/>
    <s v="New York"/>
    <s v="Dutchess"/>
    <x v="3"/>
    <x v="8"/>
    <n v="11232"/>
  </r>
  <r>
    <s v="NY"/>
    <s v="New York"/>
    <s v="Erie"/>
    <x v="3"/>
    <x v="8"/>
    <n v="11232"/>
  </r>
  <r>
    <s v="NY"/>
    <s v="New York"/>
    <s v="Essex"/>
    <x v="3"/>
    <x v="8"/>
    <n v="11232"/>
  </r>
  <r>
    <s v="NY"/>
    <s v="New York"/>
    <s v="Franklin"/>
    <x v="3"/>
    <x v="8"/>
    <n v="11232"/>
  </r>
  <r>
    <s v="NY"/>
    <s v="New York"/>
    <s v="Fulton"/>
    <x v="3"/>
    <x v="8"/>
    <n v="11232"/>
  </r>
  <r>
    <s v="NY"/>
    <s v="New York"/>
    <s v="Genesee"/>
    <x v="3"/>
    <x v="8"/>
    <n v="11232"/>
  </r>
  <r>
    <s v="NY"/>
    <s v="New York"/>
    <s v="Greene"/>
    <x v="3"/>
    <x v="8"/>
    <n v="11232"/>
  </r>
  <r>
    <s v="NY"/>
    <s v="New York"/>
    <s v="Hamilton"/>
    <x v="3"/>
    <x v="8"/>
    <n v="11232"/>
  </r>
  <r>
    <s v="NY"/>
    <s v="New York"/>
    <s v="Herkimer"/>
    <x v="3"/>
    <x v="8"/>
    <n v="11232"/>
  </r>
  <r>
    <s v="NY"/>
    <s v="New York"/>
    <s v="Jefferson"/>
    <x v="3"/>
    <x v="8"/>
    <n v="11232"/>
  </r>
  <r>
    <s v="NY"/>
    <s v="New York"/>
    <s v="Kings"/>
    <x v="1"/>
    <x v="8"/>
    <n v="11232"/>
  </r>
  <r>
    <s v="NY"/>
    <s v="New York"/>
    <s v="Lewis"/>
    <x v="3"/>
    <x v="8"/>
    <n v="11232"/>
  </r>
  <r>
    <s v="NY"/>
    <s v="New York"/>
    <s v="Livingston"/>
    <x v="3"/>
    <x v="8"/>
    <n v="11232"/>
  </r>
  <r>
    <s v="NY"/>
    <s v="New York"/>
    <s v="Madison"/>
    <x v="3"/>
    <x v="8"/>
    <n v="11232"/>
  </r>
  <r>
    <s v="NY"/>
    <s v="New York"/>
    <s v="Monroe"/>
    <x v="3"/>
    <x v="8"/>
    <n v="11232"/>
  </r>
  <r>
    <s v="NY"/>
    <s v="New York"/>
    <s v="Montgomery"/>
    <x v="3"/>
    <x v="8"/>
    <n v="11232"/>
  </r>
  <r>
    <s v="NY"/>
    <s v="New York"/>
    <s v="Nassau"/>
    <x v="1"/>
    <x v="8"/>
    <n v="11232"/>
  </r>
  <r>
    <s v="NY"/>
    <s v="New York"/>
    <s v="New York"/>
    <x v="1"/>
    <x v="8"/>
    <n v="11232"/>
  </r>
  <r>
    <s v="NY"/>
    <s v="New York"/>
    <s v="Niagara"/>
    <x v="3"/>
    <x v="8"/>
    <n v="11232"/>
  </r>
  <r>
    <s v="NY"/>
    <s v="New York"/>
    <s v="Oneida"/>
    <x v="3"/>
    <x v="8"/>
    <n v="11232"/>
  </r>
  <r>
    <s v="NY"/>
    <s v="New York"/>
    <s v="Onondaga"/>
    <x v="3"/>
    <x v="8"/>
    <n v="11232"/>
  </r>
  <r>
    <s v="NY"/>
    <s v="New York"/>
    <s v="Ontario"/>
    <x v="3"/>
    <x v="8"/>
    <n v="11232"/>
  </r>
  <r>
    <s v="NY"/>
    <s v="New York"/>
    <s v="Orange"/>
    <x v="3"/>
    <x v="8"/>
    <n v="11232"/>
  </r>
  <r>
    <s v="NY"/>
    <s v="New York"/>
    <s v="Orleans"/>
    <x v="3"/>
    <x v="8"/>
    <n v="11232"/>
  </r>
  <r>
    <s v="NY"/>
    <s v="New York"/>
    <s v="Oswego"/>
    <x v="3"/>
    <x v="8"/>
    <n v="11232"/>
  </r>
  <r>
    <s v="NY"/>
    <s v="New York"/>
    <s v="Otsego"/>
    <x v="3"/>
    <x v="8"/>
    <n v="11232"/>
  </r>
  <r>
    <s v="NY"/>
    <s v="New York"/>
    <s v="Putnam"/>
    <x v="3"/>
    <x v="8"/>
    <n v="11232"/>
  </r>
  <r>
    <s v="NY"/>
    <s v="New York"/>
    <s v="Queens"/>
    <x v="1"/>
    <x v="8"/>
    <n v="11232"/>
  </r>
  <r>
    <s v="NY"/>
    <s v="New York"/>
    <s v="Rensselaer"/>
    <x v="3"/>
    <x v="8"/>
    <n v="11232"/>
  </r>
  <r>
    <s v="NY"/>
    <s v="New York"/>
    <s v="Richmond"/>
    <x v="1"/>
    <x v="8"/>
    <n v="11232"/>
  </r>
  <r>
    <s v="NY"/>
    <s v="New York"/>
    <s v="Rockland"/>
    <x v="3"/>
    <x v="8"/>
    <n v="11232"/>
  </r>
  <r>
    <s v="NY"/>
    <s v="New York"/>
    <s v="Saratoga"/>
    <x v="3"/>
    <x v="8"/>
    <n v="11232"/>
  </r>
  <r>
    <s v="NY"/>
    <s v="New York"/>
    <s v="Schenectady"/>
    <x v="3"/>
    <x v="8"/>
    <n v="11232"/>
  </r>
  <r>
    <s v="NY"/>
    <s v="New York"/>
    <s v="Schoharie"/>
    <x v="3"/>
    <x v="8"/>
    <n v="11232"/>
  </r>
  <r>
    <s v="NY"/>
    <s v="New York"/>
    <s v="Schuyler"/>
    <x v="3"/>
    <x v="8"/>
    <n v="11232"/>
  </r>
  <r>
    <s v="NY"/>
    <s v="New York"/>
    <s v="Seneca"/>
    <x v="3"/>
    <x v="8"/>
    <n v="11232"/>
  </r>
  <r>
    <s v="NY"/>
    <s v="New York"/>
    <s v="St. Lawrence"/>
    <x v="3"/>
    <x v="8"/>
    <n v="11232"/>
  </r>
  <r>
    <s v="NY"/>
    <s v="New York"/>
    <s v="Steuben"/>
    <x v="3"/>
    <x v="8"/>
    <n v="11232"/>
  </r>
  <r>
    <s v="NY"/>
    <s v="New York"/>
    <s v="Suffolk"/>
    <x v="1"/>
    <x v="8"/>
    <n v="11232"/>
  </r>
  <r>
    <s v="NY"/>
    <s v="New York"/>
    <s v="Sullivan"/>
    <x v="3"/>
    <x v="8"/>
    <n v="11232"/>
  </r>
  <r>
    <s v="NY"/>
    <s v="New York"/>
    <s v="Tioga"/>
    <x v="3"/>
    <x v="8"/>
    <n v="11232"/>
  </r>
  <r>
    <s v="NY"/>
    <s v="New York"/>
    <s v="Tompkins"/>
    <x v="3"/>
    <x v="8"/>
    <n v="11232"/>
  </r>
  <r>
    <s v="NY"/>
    <s v="New York"/>
    <s v="Ulster"/>
    <x v="3"/>
    <x v="8"/>
    <n v="11232"/>
  </r>
  <r>
    <s v="NY"/>
    <s v="New York"/>
    <s v="Warren"/>
    <x v="3"/>
    <x v="8"/>
    <n v="11232"/>
  </r>
  <r>
    <s v="NC"/>
    <s v="North Carolina"/>
    <s v="Mitchell"/>
    <x v="3"/>
    <x v="5"/>
    <n v="17981"/>
  </r>
  <r>
    <s v="NC"/>
    <s v="North Carolina"/>
    <s v="Montgomery"/>
    <x v="1"/>
    <x v="5"/>
    <n v="17981"/>
  </r>
  <r>
    <s v="NC"/>
    <s v="North Carolina"/>
    <s v="Moore"/>
    <x v="1"/>
    <x v="5"/>
    <n v="17981"/>
  </r>
  <r>
    <s v="NC"/>
    <s v="North Carolina"/>
    <s v="Nash"/>
    <x v="1"/>
    <x v="5"/>
    <n v="17981"/>
  </r>
  <r>
    <s v="NC"/>
    <s v="North Carolina"/>
    <s v="New Hanover"/>
    <x v="0"/>
    <x v="5"/>
    <n v="17981"/>
  </r>
  <r>
    <s v="NC"/>
    <s v="North Carolina"/>
    <s v="Northampton"/>
    <x v="1"/>
    <x v="5"/>
    <n v="17981"/>
  </r>
  <r>
    <s v="NC"/>
    <s v="North Carolina"/>
    <s v="Onslow"/>
    <x v="0"/>
    <x v="5"/>
    <n v="17981"/>
  </r>
  <r>
    <s v="NC"/>
    <s v="North Carolina"/>
    <s v="Orange"/>
    <x v="1"/>
    <x v="5"/>
    <n v="17981"/>
  </r>
  <r>
    <s v="NC"/>
    <s v="North Carolina"/>
    <s v="Pamlico"/>
    <x v="1"/>
    <x v="5"/>
    <n v="17981"/>
  </r>
  <r>
    <s v="NC"/>
    <s v="North Carolina"/>
    <s v="Pasquotank"/>
    <x v="1"/>
    <x v="5"/>
    <n v="17981"/>
  </r>
  <r>
    <s v="NC"/>
    <s v="North Carolina"/>
    <s v="Pender"/>
    <x v="0"/>
    <x v="5"/>
    <n v="17981"/>
  </r>
  <r>
    <s v="NC"/>
    <s v="North Carolina"/>
    <s v="Perquimans"/>
    <x v="1"/>
    <x v="5"/>
    <n v="17981"/>
  </r>
  <r>
    <s v="NC"/>
    <s v="North Carolina"/>
    <s v="Person"/>
    <x v="1"/>
    <x v="5"/>
    <n v="17981"/>
  </r>
  <r>
    <s v="NC"/>
    <s v="North Carolina"/>
    <s v="Pitt"/>
    <x v="1"/>
    <x v="5"/>
    <n v="17981"/>
  </r>
  <r>
    <s v="NC"/>
    <s v="North Carolina"/>
    <s v="Polk"/>
    <x v="1"/>
    <x v="5"/>
    <n v="17981"/>
  </r>
  <r>
    <s v="NC"/>
    <s v="North Carolina"/>
    <s v="Randolph"/>
    <x v="1"/>
    <x v="5"/>
    <n v="17981"/>
  </r>
  <r>
    <s v="NC"/>
    <s v="North Carolina"/>
    <s v="Richmond"/>
    <x v="1"/>
    <x v="5"/>
    <n v="17981"/>
  </r>
  <r>
    <s v="NC"/>
    <s v="North Carolina"/>
    <s v="Robeson"/>
    <x v="1"/>
    <x v="5"/>
    <n v="17981"/>
  </r>
  <r>
    <s v="NC"/>
    <s v="North Carolina"/>
    <s v="Rockingham"/>
    <x v="1"/>
    <x v="5"/>
    <n v="17981"/>
  </r>
  <r>
    <s v="NC"/>
    <s v="North Carolina"/>
    <s v="Rowan"/>
    <x v="1"/>
    <x v="5"/>
    <n v="17981"/>
  </r>
  <r>
    <s v="NC"/>
    <s v="North Carolina"/>
    <s v="Rutherford"/>
    <x v="1"/>
    <x v="5"/>
    <n v="17981"/>
  </r>
  <r>
    <s v="NC"/>
    <s v="North Carolina"/>
    <s v="Sampson"/>
    <x v="1"/>
    <x v="5"/>
    <n v="17981"/>
  </r>
  <r>
    <s v="NC"/>
    <s v="North Carolina"/>
    <s v="Scotland"/>
    <x v="1"/>
    <x v="5"/>
    <n v="17981"/>
  </r>
  <r>
    <s v="NC"/>
    <s v="North Carolina"/>
    <s v="Stanly"/>
    <x v="1"/>
    <x v="5"/>
    <n v="17981"/>
  </r>
  <r>
    <s v="NC"/>
    <s v="North Carolina"/>
    <s v="Stokes"/>
    <x v="1"/>
    <x v="5"/>
    <n v="17981"/>
  </r>
  <r>
    <s v="NC"/>
    <s v="North Carolina"/>
    <s v="Surry"/>
    <x v="1"/>
    <x v="5"/>
    <n v="17981"/>
  </r>
  <r>
    <s v="NC"/>
    <s v="North Carolina"/>
    <s v="Swain"/>
    <x v="1"/>
    <x v="5"/>
    <n v="17981"/>
  </r>
  <r>
    <s v="NC"/>
    <s v="North Carolina"/>
    <s v="Transylvania"/>
    <x v="1"/>
    <x v="5"/>
    <n v="17981"/>
  </r>
  <r>
    <s v="NC"/>
    <s v="North Carolina"/>
    <s v="Tyrrell"/>
    <x v="1"/>
    <x v="5"/>
    <n v="17981"/>
  </r>
  <r>
    <s v="NC"/>
    <s v="North Carolina"/>
    <s v="Union"/>
    <x v="1"/>
    <x v="5"/>
    <n v="17981"/>
  </r>
  <r>
    <s v="NC"/>
    <s v="North Carolina"/>
    <s v="Vance"/>
    <x v="1"/>
    <x v="5"/>
    <n v="17981"/>
  </r>
  <r>
    <s v="NC"/>
    <s v="North Carolina"/>
    <s v="Wake"/>
    <x v="1"/>
    <x v="5"/>
    <n v="17981"/>
  </r>
  <r>
    <s v="NC"/>
    <s v="North Carolina"/>
    <s v="Warren"/>
    <x v="1"/>
    <x v="5"/>
    <n v="17981"/>
  </r>
  <r>
    <s v="NC"/>
    <s v="North Carolina"/>
    <s v="Washington"/>
    <x v="1"/>
    <x v="5"/>
    <n v="17981"/>
  </r>
  <r>
    <s v="NC"/>
    <s v="North Carolina"/>
    <s v="Watauga"/>
    <x v="3"/>
    <x v="5"/>
    <n v="17981"/>
  </r>
  <r>
    <s v="NC"/>
    <s v="North Carolina"/>
    <s v="Wayne"/>
    <x v="1"/>
    <x v="5"/>
    <n v="17981"/>
  </r>
  <r>
    <s v="NC"/>
    <s v="North Carolina"/>
    <s v="Wilkes"/>
    <x v="1"/>
    <x v="5"/>
    <n v="17981"/>
  </r>
  <r>
    <s v="NC"/>
    <s v="North Carolina"/>
    <s v="Wilson"/>
    <x v="1"/>
    <x v="5"/>
    <n v="17981"/>
  </r>
  <r>
    <s v="NC"/>
    <s v="North Carolina"/>
    <s v="Yadkin"/>
    <x v="1"/>
    <x v="5"/>
    <n v="17981"/>
  </r>
  <r>
    <s v="NC"/>
    <s v="North Carolina"/>
    <s v="Yancey"/>
    <x v="3"/>
    <x v="5"/>
    <n v="17981"/>
  </r>
  <r>
    <s v="ND"/>
    <s v="North Dakota"/>
    <s v="Adams"/>
    <x v="3"/>
    <x v="7"/>
    <n v="6178"/>
  </r>
  <r>
    <s v="ND"/>
    <s v="North Dakota"/>
    <s v="Barnes"/>
    <x v="6"/>
    <x v="7"/>
    <n v="6178"/>
  </r>
  <r>
    <s v="ND"/>
    <s v="North Dakota"/>
    <s v="Benson"/>
    <x v="6"/>
    <x v="7"/>
    <n v="6178"/>
  </r>
  <r>
    <s v="ND"/>
    <s v="North Dakota"/>
    <s v="Billings"/>
    <x v="3"/>
    <x v="7"/>
    <n v="6178"/>
  </r>
  <r>
    <s v="ND"/>
    <s v="North Dakota"/>
    <s v="Bottineau"/>
    <x v="6"/>
    <x v="7"/>
    <n v="6178"/>
  </r>
  <r>
    <s v="ND"/>
    <s v="North Dakota"/>
    <s v="Bowman"/>
    <x v="3"/>
    <x v="7"/>
    <n v="6178"/>
  </r>
  <r>
    <s v="ND"/>
    <s v="North Dakota"/>
    <s v="Burke"/>
    <x v="6"/>
    <x v="7"/>
    <n v="6178"/>
  </r>
  <r>
    <s v="ND"/>
    <s v="North Dakota"/>
    <s v="Burleigh"/>
    <x v="3"/>
    <x v="7"/>
    <n v="6178"/>
  </r>
  <r>
    <s v="ND"/>
    <s v="North Dakota"/>
    <s v="Cass"/>
    <x v="6"/>
    <x v="7"/>
    <n v="6178"/>
  </r>
  <r>
    <s v="ND"/>
    <s v="North Dakota"/>
    <s v="Cavalier"/>
    <x v="6"/>
    <x v="7"/>
    <n v="6178"/>
  </r>
  <r>
    <s v="ND"/>
    <s v="North Dakota"/>
    <s v="Dickey"/>
    <x v="3"/>
    <x v="7"/>
    <n v="6178"/>
  </r>
  <r>
    <s v="ND"/>
    <s v="North Dakota"/>
    <s v="Divide"/>
    <x v="6"/>
    <x v="7"/>
    <n v="6178"/>
  </r>
  <r>
    <s v="ND"/>
    <s v="North Dakota"/>
    <s v="Dunn"/>
    <x v="3"/>
    <x v="7"/>
    <n v="6178"/>
  </r>
  <r>
    <s v="ND"/>
    <s v="North Dakota"/>
    <s v="Eddy"/>
    <x v="6"/>
    <x v="7"/>
    <n v="6178"/>
  </r>
  <r>
    <s v="ND"/>
    <s v="North Dakota"/>
    <s v="Emmons"/>
    <x v="3"/>
    <x v="7"/>
    <n v="6178"/>
  </r>
  <r>
    <s v="ND"/>
    <s v="North Dakota"/>
    <s v="Foster"/>
    <x v="6"/>
    <x v="7"/>
    <n v="6178"/>
  </r>
  <r>
    <s v="ND"/>
    <s v="North Dakota"/>
    <s v="Golden Valley"/>
    <x v="3"/>
    <x v="7"/>
    <n v="6178"/>
  </r>
  <r>
    <s v="ND"/>
    <s v="North Dakota"/>
    <s v="Grand Forks"/>
    <x v="6"/>
    <x v="7"/>
    <n v="6178"/>
  </r>
  <r>
    <s v="ND"/>
    <s v="North Dakota"/>
    <s v="Grant"/>
    <x v="3"/>
    <x v="7"/>
    <n v="6178"/>
  </r>
  <r>
    <s v="ND"/>
    <s v="North Dakota"/>
    <s v="Griggs"/>
    <x v="6"/>
    <x v="7"/>
    <n v="6178"/>
  </r>
  <r>
    <s v="ND"/>
    <s v="North Dakota"/>
    <s v="Hettinger"/>
    <x v="3"/>
    <x v="7"/>
    <n v="6178"/>
  </r>
  <r>
    <s v="ND"/>
    <s v="North Dakota"/>
    <s v="Kidder"/>
    <x v="6"/>
    <x v="7"/>
    <n v="6178"/>
  </r>
  <r>
    <s v="ND"/>
    <s v="North Dakota"/>
    <s v="LaMoure"/>
    <x v="3"/>
    <x v="7"/>
    <n v="6178"/>
  </r>
  <r>
    <s v="ND"/>
    <s v="North Dakota"/>
    <s v="Logan"/>
    <x v="3"/>
    <x v="7"/>
    <n v="6178"/>
  </r>
  <r>
    <s v="ND"/>
    <s v="North Dakota"/>
    <s v="McHenry"/>
    <x v="6"/>
    <x v="7"/>
    <n v="6178"/>
  </r>
  <r>
    <s v="OH"/>
    <s v="Ohio"/>
    <s v="Holmes"/>
    <x v="3"/>
    <x v="6"/>
    <n v="12742"/>
  </r>
  <r>
    <s v="OH"/>
    <s v="Ohio"/>
    <s v="Huron"/>
    <x v="3"/>
    <x v="6"/>
    <n v="12742"/>
  </r>
  <r>
    <s v="OH"/>
    <s v="Ohio"/>
    <s v="Jackson"/>
    <x v="3"/>
    <x v="6"/>
    <n v="12742"/>
  </r>
  <r>
    <s v="OH"/>
    <s v="Ohio"/>
    <s v="Jefferson"/>
    <x v="3"/>
    <x v="6"/>
    <n v="12742"/>
  </r>
  <r>
    <s v="OH"/>
    <s v="Ohio"/>
    <s v="Knox"/>
    <x v="3"/>
    <x v="6"/>
    <n v="12742"/>
  </r>
  <r>
    <s v="OH"/>
    <s v="Ohio"/>
    <s v="Lake"/>
    <x v="3"/>
    <x v="6"/>
    <n v="12742"/>
  </r>
  <r>
    <s v="OH"/>
    <s v="Ohio"/>
    <s v="Lawrence"/>
    <x v="1"/>
    <x v="6"/>
    <n v="12742"/>
  </r>
  <r>
    <s v="OH"/>
    <s v="Ohio"/>
    <s v="Licking"/>
    <x v="3"/>
    <x v="6"/>
    <n v="12742"/>
  </r>
  <r>
    <s v="OH"/>
    <s v="Ohio"/>
    <s v="Logan"/>
    <x v="3"/>
    <x v="6"/>
    <n v="12742"/>
  </r>
  <r>
    <s v="OH"/>
    <s v="Ohio"/>
    <s v="Lorain"/>
    <x v="3"/>
    <x v="6"/>
    <n v="12742"/>
  </r>
  <r>
    <s v="OH"/>
    <s v="Ohio"/>
    <s v="Lucas"/>
    <x v="3"/>
    <x v="6"/>
    <n v="12742"/>
  </r>
  <r>
    <s v="OH"/>
    <s v="Ohio"/>
    <s v="Madison"/>
    <x v="3"/>
    <x v="6"/>
    <n v="12742"/>
  </r>
  <r>
    <s v="OH"/>
    <s v="Ohio"/>
    <s v="Mahoning"/>
    <x v="3"/>
    <x v="6"/>
    <n v="12742"/>
  </r>
  <r>
    <s v="OH"/>
    <s v="Ohio"/>
    <s v="Marion"/>
    <x v="3"/>
    <x v="6"/>
    <n v="12742"/>
  </r>
  <r>
    <s v="OH"/>
    <s v="Ohio"/>
    <s v="Medina"/>
    <x v="3"/>
    <x v="6"/>
    <n v="12742"/>
  </r>
  <r>
    <s v="OH"/>
    <s v="Ohio"/>
    <s v="Meigs"/>
    <x v="3"/>
    <x v="6"/>
    <n v="12742"/>
  </r>
  <r>
    <s v="OH"/>
    <s v="Ohio"/>
    <s v="Mercer"/>
    <x v="3"/>
    <x v="6"/>
    <n v="12742"/>
  </r>
  <r>
    <s v="OH"/>
    <s v="Ohio"/>
    <s v="Miami"/>
    <x v="3"/>
    <x v="6"/>
    <n v="12742"/>
  </r>
  <r>
    <s v="OH"/>
    <s v="Ohio"/>
    <s v="Monroe"/>
    <x v="3"/>
    <x v="6"/>
    <n v="12742"/>
  </r>
  <r>
    <s v="OH"/>
    <s v="Ohio"/>
    <s v="Montgomery"/>
    <x v="3"/>
    <x v="6"/>
    <n v="12742"/>
  </r>
  <r>
    <s v="OH"/>
    <s v="Ohio"/>
    <s v="Morgan"/>
    <x v="3"/>
    <x v="6"/>
    <n v="12742"/>
  </r>
  <r>
    <s v="OH"/>
    <s v="Ohio"/>
    <s v="Morrow"/>
    <x v="3"/>
    <x v="6"/>
    <n v="12742"/>
  </r>
  <r>
    <s v="OH"/>
    <s v="Ohio"/>
    <s v="Muskingum"/>
    <x v="3"/>
    <x v="6"/>
    <n v="12742"/>
  </r>
  <r>
    <s v="OH"/>
    <s v="Ohio"/>
    <s v="Noble"/>
    <x v="3"/>
    <x v="6"/>
    <n v="12742"/>
  </r>
  <r>
    <s v="OH"/>
    <s v="Ohio"/>
    <s v="Ottawa"/>
    <x v="3"/>
    <x v="6"/>
    <n v="12742"/>
  </r>
  <r>
    <s v="OH"/>
    <s v="Ohio"/>
    <s v="Paulding"/>
    <x v="3"/>
    <x v="6"/>
    <n v="12742"/>
  </r>
  <r>
    <s v="OH"/>
    <s v="Ohio"/>
    <s v="Perry"/>
    <x v="3"/>
    <x v="6"/>
    <n v="12742"/>
  </r>
  <r>
    <s v="OH"/>
    <s v="Ohio"/>
    <s v="Pickaway"/>
    <x v="3"/>
    <x v="6"/>
    <n v="12742"/>
  </r>
  <r>
    <s v="OH"/>
    <s v="Ohio"/>
    <s v="Pike"/>
    <x v="1"/>
    <x v="6"/>
    <n v="12742"/>
  </r>
  <r>
    <s v="OH"/>
    <s v="Ohio"/>
    <s v="Portage"/>
    <x v="3"/>
    <x v="6"/>
    <n v="12742"/>
  </r>
  <r>
    <s v="OH"/>
    <s v="Ohio"/>
    <s v="Preble"/>
    <x v="3"/>
    <x v="6"/>
    <n v="12742"/>
  </r>
  <r>
    <s v="OH"/>
    <s v="Ohio"/>
    <s v="Putnam"/>
    <x v="3"/>
    <x v="6"/>
    <n v="12742"/>
  </r>
  <r>
    <s v="OH"/>
    <s v="Ohio"/>
    <s v="Richland"/>
    <x v="3"/>
    <x v="6"/>
    <n v="12742"/>
  </r>
  <r>
    <s v="OH"/>
    <s v="Ohio"/>
    <s v="Ross"/>
    <x v="3"/>
    <x v="6"/>
    <n v="12742"/>
  </r>
  <r>
    <s v="OH"/>
    <s v="Ohio"/>
    <s v="Sandusky"/>
    <x v="3"/>
    <x v="6"/>
    <n v="12742"/>
  </r>
  <r>
    <s v="OH"/>
    <s v="Ohio"/>
    <s v="Scioto"/>
    <x v="1"/>
    <x v="6"/>
    <n v="12742"/>
  </r>
  <r>
    <s v="OH"/>
    <s v="Ohio"/>
    <s v="Seneca"/>
    <x v="3"/>
    <x v="6"/>
    <n v="12742"/>
  </r>
  <r>
    <s v="OH"/>
    <s v="Ohio"/>
    <s v="Shelby"/>
    <x v="3"/>
    <x v="6"/>
    <n v="12742"/>
  </r>
  <r>
    <s v="OH"/>
    <s v="Ohio"/>
    <s v="Stark"/>
    <x v="3"/>
    <x v="6"/>
    <n v="12742"/>
  </r>
  <r>
    <s v="OH"/>
    <s v="Ohio"/>
    <s v="Summit"/>
    <x v="3"/>
    <x v="6"/>
    <n v="12742"/>
  </r>
  <r>
    <s v="OH"/>
    <s v="Ohio"/>
    <s v="Trumbull"/>
    <x v="3"/>
    <x v="6"/>
    <n v="12742"/>
  </r>
  <r>
    <s v="OH"/>
    <s v="Ohio"/>
    <s v="Tuscarawas"/>
    <x v="3"/>
    <x v="6"/>
    <n v="12742"/>
  </r>
  <r>
    <s v="OH"/>
    <s v="Ohio"/>
    <s v="Union"/>
    <x v="3"/>
    <x v="6"/>
    <n v="12742"/>
  </r>
  <r>
    <s v="OH"/>
    <s v="Ohio"/>
    <s v="Van Wert"/>
    <x v="3"/>
    <x v="6"/>
    <n v="12742"/>
  </r>
  <r>
    <s v="OH"/>
    <s v="Ohio"/>
    <s v="Vinton"/>
    <x v="3"/>
    <x v="6"/>
    <n v="12742"/>
  </r>
  <r>
    <s v="OH"/>
    <s v="Ohio"/>
    <s v="Warren"/>
    <x v="3"/>
    <x v="6"/>
    <n v="12742"/>
  </r>
  <r>
    <s v="OH"/>
    <s v="Ohio"/>
    <s v="Washington"/>
    <x v="1"/>
    <x v="6"/>
    <n v="12742"/>
  </r>
  <r>
    <s v="OH"/>
    <s v="Ohio"/>
    <s v="Wayne"/>
    <x v="3"/>
    <x v="6"/>
    <n v="12742"/>
  </r>
  <r>
    <s v="OH"/>
    <s v="Ohio"/>
    <s v="Williams"/>
    <x v="3"/>
    <x v="6"/>
    <n v="12742"/>
  </r>
  <r>
    <s v="OH"/>
    <s v="Ohio"/>
    <s v="Wood"/>
    <x v="3"/>
    <x v="6"/>
    <n v="12742"/>
  </r>
  <r>
    <s v="OH"/>
    <s v="Ohio"/>
    <s v="Wyandot"/>
    <x v="3"/>
    <x v="6"/>
    <n v="12742"/>
  </r>
  <r>
    <s v="OK"/>
    <s v="Oklahoma"/>
    <s v="Adair"/>
    <x v="1"/>
    <x v="1"/>
    <n v="11394"/>
  </r>
  <r>
    <s v="OK"/>
    <s v="Oklahoma"/>
    <s v="Alfalfa"/>
    <x v="1"/>
    <x v="1"/>
    <n v="11394"/>
  </r>
  <r>
    <s v="OK"/>
    <s v="Oklahoma"/>
    <s v="Atoka"/>
    <x v="1"/>
    <x v="1"/>
    <n v="11394"/>
  </r>
  <r>
    <s v="OK"/>
    <s v="Oklahoma"/>
    <s v="Beaver"/>
    <x v="4"/>
    <x v="1"/>
    <n v="11394"/>
  </r>
  <r>
    <s v="OK"/>
    <s v="Oklahoma"/>
    <s v="Beckham"/>
    <x v="1"/>
    <x v="1"/>
    <n v="11394"/>
  </r>
  <r>
    <s v="OK"/>
    <s v="Oklahoma"/>
    <s v="Blaine"/>
    <x v="1"/>
    <x v="1"/>
    <n v="11394"/>
  </r>
  <r>
    <s v="OK"/>
    <s v="Oklahoma"/>
    <s v="Bryan"/>
    <x v="1"/>
    <x v="1"/>
    <n v="11394"/>
  </r>
  <r>
    <s v="OK"/>
    <s v="Oklahoma"/>
    <s v="Caddo"/>
    <x v="1"/>
    <x v="1"/>
    <n v="11394"/>
  </r>
  <r>
    <s v="OK"/>
    <s v="Oklahoma"/>
    <s v="Canadian"/>
    <x v="1"/>
    <x v="1"/>
    <n v="11394"/>
  </r>
  <r>
    <s v="OK"/>
    <s v="Oklahoma"/>
    <s v="Carter"/>
    <x v="1"/>
    <x v="1"/>
    <n v="11394"/>
  </r>
  <r>
    <s v="OK"/>
    <s v="Oklahoma"/>
    <s v="Cherokee"/>
    <x v="1"/>
    <x v="1"/>
    <n v="11394"/>
  </r>
  <r>
    <s v="OK"/>
    <s v="Oklahoma"/>
    <s v="Choctaw"/>
    <x v="1"/>
    <x v="1"/>
    <n v="11394"/>
  </r>
  <r>
    <s v="OK"/>
    <s v="Oklahoma"/>
    <s v="Cimarron"/>
    <x v="4"/>
    <x v="1"/>
    <n v="11394"/>
  </r>
  <r>
    <s v="OK"/>
    <s v="Oklahoma"/>
    <s v="Cleveland"/>
    <x v="1"/>
    <x v="1"/>
    <n v="11394"/>
  </r>
  <r>
    <s v="OR"/>
    <s v="Oregon"/>
    <s v="Clackamas"/>
    <x v="2"/>
    <x v="2"/>
    <n v="13379"/>
  </r>
  <r>
    <s v="OR"/>
    <s v="Oregon"/>
    <s v="Clatsop"/>
    <x v="2"/>
    <x v="2"/>
    <n v="13379"/>
  </r>
  <r>
    <s v="OR"/>
    <s v="Oregon"/>
    <s v="Columbia"/>
    <x v="2"/>
    <x v="2"/>
    <n v="13379"/>
  </r>
  <r>
    <s v="OR"/>
    <s v="Oregon"/>
    <s v="Coos"/>
    <x v="2"/>
    <x v="2"/>
    <n v="13379"/>
  </r>
  <r>
    <s v="OR"/>
    <s v="Oregon"/>
    <s v="Crook"/>
    <x v="3"/>
    <x v="2"/>
    <n v="13379"/>
  </r>
  <r>
    <s v="OR"/>
    <s v="Oregon"/>
    <s v="Curry"/>
    <x v="2"/>
    <x v="2"/>
    <n v="13379"/>
  </r>
  <r>
    <s v="OR"/>
    <s v="Oregon"/>
    <s v="Deschutes"/>
    <x v="3"/>
    <x v="2"/>
    <n v="13379"/>
  </r>
  <r>
    <s v="OR"/>
    <s v="Oregon"/>
    <s v="Douglas"/>
    <x v="2"/>
    <x v="2"/>
    <n v="13379"/>
  </r>
  <r>
    <s v="OR"/>
    <s v="Oregon"/>
    <s v="Gilliam"/>
    <x v="3"/>
    <x v="2"/>
    <n v="13379"/>
  </r>
  <r>
    <s v="OR"/>
    <s v="Oregon"/>
    <s v="Grant"/>
    <x v="3"/>
    <x v="2"/>
    <n v="13379"/>
  </r>
  <r>
    <s v="OR"/>
    <s v="Oregon"/>
    <s v="Harney"/>
    <x v="3"/>
    <x v="2"/>
    <n v="13379"/>
  </r>
  <r>
    <s v="OR"/>
    <s v="Oregon"/>
    <s v="Hood River"/>
    <x v="3"/>
    <x v="2"/>
    <n v="13379"/>
  </r>
  <r>
    <s v="OR"/>
    <s v="Oregon"/>
    <s v="Jackson"/>
    <x v="2"/>
    <x v="2"/>
    <n v="13379"/>
  </r>
  <r>
    <s v="OR"/>
    <s v="Oregon"/>
    <s v="Jefferson"/>
    <x v="3"/>
    <x v="2"/>
    <n v="13379"/>
  </r>
  <r>
    <s v="OR"/>
    <s v="Oregon"/>
    <s v="Josephine"/>
    <x v="2"/>
    <x v="2"/>
    <n v="13379"/>
  </r>
  <r>
    <s v="OR"/>
    <s v="Oregon"/>
    <s v="Klamath"/>
    <x v="3"/>
    <x v="2"/>
    <n v="13379"/>
  </r>
  <r>
    <s v="OR"/>
    <s v="Oregon"/>
    <s v="Lake"/>
    <x v="3"/>
    <x v="2"/>
    <n v="13379"/>
  </r>
  <r>
    <s v="OR"/>
    <s v="Oregon"/>
    <s v="Lane"/>
    <x v="2"/>
    <x v="2"/>
    <n v="13379"/>
  </r>
  <r>
    <s v="OR"/>
    <s v="Oregon"/>
    <s v="Lincoln"/>
    <x v="2"/>
    <x v="2"/>
    <n v="13379"/>
  </r>
  <r>
    <s v="OR"/>
    <s v="Oregon"/>
    <s v="Linn"/>
    <x v="2"/>
    <x v="2"/>
    <n v="13379"/>
  </r>
  <r>
    <s v="OR"/>
    <s v="Oregon"/>
    <s v="Malheur"/>
    <x v="3"/>
    <x v="2"/>
    <n v="13379"/>
  </r>
  <r>
    <s v="OR"/>
    <s v="Oregon"/>
    <s v="Marion"/>
    <x v="2"/>
    <x v="2"/>
    <n v="13379"/>
  </r>
  <r>
    <s v="OR"/>
    <s v="Oregon"/>
    <s v="Morrow"/>
    <x v="3"/>
    <x v="2"/>
    <n v="13379"/>
  </r>
  <r>
    <s v="OR"/>
    <s v="Oregon"/>
    <s v="Multnomah"/>
    <x v="2"/>
    <x v="2"/>
    <n v="13379"/>
  </r>
  <r>
    <s v="OR"/>
    <s v="Oregon"/>
    <s v="Polk"/>
    <x v="2"/>
    <x v="2"/>
    <n v="13379"/>
  </r>
  <r>
    <s v="OR"/>
    <s v="Oregon"/>
    <s v="Sherman"/>
    <x v="3"/>
    <x v="2"/>
    <n v="13379"/>
  </r>
  <r>
    <s v="OR"/>
    <s v="Oregon"/>
    <s v="Tillamook"/>
    <x v="2"/>
    <x v="2"/>
    <n v="13379"/>
  </r>
  <r>
    <s v="OR"/>
    <s v="Oregon"/>
    <s v="Umatilla"/>
    <x v="3"/>
    <x v="2"/>
    <n v="13379"/>
  </r>
  <r>
    <s v="OR"/>
    <s v="Oregon"/>
    <s v="Union"/>
    <x v="3"/>
    <x v="2"/>
    <n v="13379"/>
  </r>
  <r>
    <s v="OR"/>
    <s v="Oregon"/>
    <s v="Wallowa"/>
    <x v="3"/>
    <x v="2"/>
    <n v="13379"/>
  </r>
  <r>
    <s v="OR"/>
    <s v="Oregon"/>
    <s v="Wasco"/>
    <x v="3"/>
    <x v="2"/>
    <n v="13379"/>
  </r>
  <r>
    <s v="OR"/>
    <s v="Oregon"/>
    <s v="Washington"/>
    <x v="2"/>
    <x v="2"/>
    <n v="13379"/>
  </r>
  <r>
    <s v="OR"/>
    <s v="Oregon"/>
    <s v="Wheeler"/>
    <x v="3"/>
    <x v="2"/>
    <n v="13379"/>
  </r>
  <r>
    <s v="OR"/>
    <s v="Oregon"/>
    <s v="Yamhill"/>
    <x v="2"/>
    <x v="2"/>
    <n v="13379"/>
  </r>
  <r>
    <s v="PA"/>
    <s v="Pennsylvania"/>
    <s v="Adams"/>
    <x v="3"/>
    <x v="8"/>
    <n v="11232"/>
  </r>
  <r>
    <s v="PA"/>
    <s v="Pennsylvania"/>
    <s v="Allegheny"/>
    <x v="3"/>
    <x v="8"/>
    <n v="11232"/>
  </r>
  <r>
    <s v="PA"/>
    <s v="Pennsylvania"/>
    <s v="Armstrong"/>
    <x v="3"/>
    <x v="8"/>
    <n v="11232"/>
  </r>
  <r>
    <s v="PA"/>
    <s v="Pennsylvania"/>
    <s v="Beaver"/>
    <x v="3"/>
    <x v="8"/>
    <n v="11232"/>
  </r>
  <r>
    <s v="PA"/>
    <s v="Pennsylvania"/>
    <s v="Bedford"/>
    <x v="3"/>
    <x v="8"/>
    <n v="11232"/>
  </r>
  <r>
    <s v="PA"/>
    <s v="Pennsylvania"/>
    <s v="Berks"/>
    <x v="3"/>
    <x v="8"/>
    <n v="11232"/>
  </r>
  <r>
    <s v="PA"/>
    <s v="Pennsylvania"/>
    <s v="Blair"/>
    <x v="3"/>
    <x v="8"/>
    <n v="11232"/>
  </r>
  <r>
    <s v="PA"/>
    <s v="Pennsylvania"/>
    <s v="Bradford"/>
    <x v="3"/>
    <x v="8"/>
    <n v="11232"/>
  </r>
  <r>
    <s v="PA"/>
    <s v="Pennsylvania"/>
    <s v="Bucks"/>
    <x v="1"/>
    <x v="8"/>
    <n v="11232"/>
  </r>
  <r>
    <s v="PA"/>
    <s v="Pennsylvania"/>
    <s v="Butler"/>
    <x v="3"/>
    <x v="8"/>
    <n v="11232"/>
  </r>
  <r>
    <s v="PA"/>
    <s v="Pennsylvania"/>
    <s v="Cambria"/>
    <x v="3"/>
    <x v="8"/>
    <n v="11232"/>
  </r>
  <r>
    <s v="PA"/>
    <s v="Pennsylvania"/>
    <s v="Cameron"/>
    <x v="3"/>
    <x v="8"/>
    <n v="11232"/>
  </r>
  <r>
    <s v="PA"/>
    <s v="Pennsylvania"/>
    <s v="Carbon"/>
    <x v="3"/>
    <x v="8"/>
    <n v="11232"/>
  </r>
  <r>
    <s v="PA"/>
    <s v="Pennsylvania"/>
    <s v="Centre"/>
    <x v="3"/>
    <x v="8"/>
    <n v="11232"/>
  </r>
  <r>
    <s v="PA"/>
    <s v="Pennsylvania"/>
    <s v="Chester"/>
    <x v="1"/>
    <x v="8"/>
    <n v="11232"/>
  </r>
  <r>
    <s v="PA"/>
    <s v="Pennsylvania"/>
    <s v="Clarion"/>
    <x v="3"/>
    <x v="8"/>
    <n v="11232"/>
  </r>
  <r>
    <s v="PA"/>
    <s v="Pennsylvania"/>
    <s v="Clearfield"/>
    <x v="3"/>
    <x v="8"/>
    <n v="11232"/>
  </r>
  <r>
    <s v="PA"/>
    <s v="Pennsylvania"/>
    <s v="Clinton"/>
    <x v="3"/>
    <x v="8"/>
    <n v="11232"/>
  </r>
  <r>
    <s v="PA"/>
    <s v="Pennsylvania"/>
    <s v="Columbia"/>
    <x v="3"/>
    <x v="8"/>
    <n v="11232"/>
  </r>
  <r>
    <s v="PA"/>
    <s v="Pennsylvania"/>
    <s v="Crawford"/>
    <x v="3"/>
    <x v="8"/>
    <n v="11232"/>
  </r>
  <r>
    <s v="PA"/>
    <s v="Pennsylvania"/>
    <s v="Cumberland"/>
    <x v="3"/>
    <x v="8"/>
    <n v="11232"/>
  </r>
  <r>
    <s v="PA"/>
    <s v="Pennsylvania"/>
    <s v="Dauphin"/>
    <x v="3"/>
    <x v="8"/>
    <n v="11232"/>
  </r>
  <r>
    <s v="PA"/>
    <s v="Pennsylvania"/>
    <s v="Delaware"/>
    <x v="1"/>
    <x v="8"/>
    <n v="11232"/>
  </r>
  <r>
    <s v="PA"/>
    <s v="Pennsylvania"/>
    <s v="Elk"/>
    <x v="3"/>
    <x v="8"/>
    <n v="11232"/>
  </r>
  <r>
    <s v="PA"/>
    <s v="Pennsylvania"/>
    <s v="Erie"/>
    <x v="3"/>
    <x v="8"/>
    <n v="11232"/>
  </r>
  <r>
    <s v="PA"/>
    <s v="Pennsylvania"/>
    <s v="Fayette"/>
    <x v="3"/>
    <x v="8"/>
    <n v="11232"/>
  </r>
  <r>
    <s v="PA"/>
    <s v="Pennsylvania"/>
    <s v="Forest"/>
    <x v="3"/>
    <x v="8"/>
    <n v="11232"/>
  </r>
  <r>
    <s v="PA"/>
    <s v="Pennsylvania"/>
    <s v="Franklin"/>
    <x v="3"/>
    <x v="8"/>
    <n v="11232"/>
  </r>
  <r>
    <s v="PA"/>
    <s v="Pennsylvania"/>
    <s v="Fulton"/>
    <x v="3"/>
    <x v="8"/>
    <n v="11232"/>
  </r>
  <r>
    <s v="PA"/>
    <s v="Pennsylvania"/>
    <s v="Greene"/>
    <x v="3"/>
    <x v="8"/>
    <n v="11232"/>
  </r>
  <r>
    <s v="PA"/>
    <s v="Pennsylvania"/>
    <s v="Huntingdon"/>
    <x v="3"/>
    <x v="8"/>
    <n v="11232"/>
  </r>
  <r>
    <s v="SC"/>
    <s v="South Carolina"/>
    <s v="Hampton"/>
    <x v="0"/>
    <x v="5"/>
    <n v="17981"/>
  </r>
  <r>
    <s v="SC"/>
    <s v="South Carolina"/>
    <s v="Horry"/>
    <x v="0"/>
    <x v="5"/>
    <n v="17981"/>
  </r>
  <r>
    <s v="SC"/>
    <s v="South Carolina"/>
    <s v="Jasper"/>
    <x v="0"/>
    <x v="5"/>
    <n v="17981"/>
  </r>
  <r>
    <s v="SC"/>
    <s v="South Carolina"/>
    <s v="Kershaw"/>
    <x v="1"/>
    <x v="5"/>
    <n v="17981"/>
  </r>
  <r>
    <s v="SC"/>
    <s v="South Carolina"/>
    <s v="Lancaster"/>
    <x v="1"/>
    <x v="5"/>
    <n v="17981"/>
  </r>
  <r>
    <s v="SC"/>
    <s v="South Carolina"/>
    <s v="Laurens"/>
    <x v="1"/>
    <x v="5"/>
    <n v="17981"/>
  </r>
  <r>
    <s v="SC"/>
    <s v="South Carolina"/>
    <s v="Lee"/>
    <x v="1"/>
    <x v="5"/>
    <n v="17981"/>
  </r>
  <r>
    <s v="SC"/>
    <s v="South Carolina"/>
    <s v="Lexington"/>
    <x v="1"/>
    <x v="5"/>
    <n v="17981"/>
  </r>
  <r>
    <s v="SC"/>
    <s v="South Carolina"/>
    <s v="Marion"/>
    <x v="1"/>
    <x v="5"/>
    <n v="17981"/>
  </r>
  <r>
    <s v="SC"/>
    <s v="South Carolina"/>
    <s v="Marlboro"/>
    <x v="1"/>
    <x v="5"/>
    <n v="17981"/>
  </r>
  <r>
    <s v="SC"/>
    <s v="South Carolina"/>
    <s v="McCormick"/>
    <x v="1"/>
    <x v="5"/>
    <n v="17981"/>
  </r>
  <r>
    <s v="SC"/>
    <s v="South Carolina"/>
    <s v="Newberry"/>
    <x v="1"/>
    <x v="5"/>
    <n v="17981"/>
  </r>
  <r>
    <s v="SC"/>
    <s v="South Carolina"/>
    <s v="Oconee"/>
    <x v="1"/>
    <x v="5"/>
    <n v="17981"/>
  </r>
  <r>
    <s v="SC"/>
    <s v="South Carolina"/>
    <s v="Orangeburg"/>
    <x v="1"/>
    <x v="5"/>
    <n v="17981"/>
  </r>
  <r>
    <s v="SC"/>
    <s v="South Carolina"/>
    <s v="Pickens"/>
    <x v="1"/>
    <x v="5"/>
    <n v="17981"/>
  </r>
  <r>
    <s v="SC"/>
    <s v="South Carolina"/>
    <s v="Richland"/>
    <x v="1"/>
    <x v="5"/>
    <n v="17981"/>
  </r>
  <r>
    <s v="SC"/>
    <s v="South Carolina"/>
    <s v="Saluda"/>
    <x v="1"/>
    <x v="5"/>
    <n v="17981"/>
  </r>
  <r>
    <s v="SC"/>
    <s v="South Carolina"/>
    <s v="Spartanburg"/>
    <x v="1"/>
    <x v="5"/>
    <n v="17981"/>
  </r>
  <r>
    <s v="SC"/>
    <s v="South Carolina"/>
    <s v="Sumter"/>
    <x v="1"/>
    <x v="5"/>
    <n v="17981"/>
  </r>
  <r>
    <s v="SC"/>
    <s v="South Carolina"/>
    <s v="Union"/>
    <x v="1"/>
    <x v="5"/>
    <n v="17981"/>
  </r>
  <r>
    <s v="SC"/>
    <s v="South Carolina"/>
    <s v="Williamsburg"/>
    <x v="1"/>
    <x v="5"/>
    <n v="17981"/>
  </r>
  <r>
    <s v="SC"/>
    <s v="South Carolina"/>
    <s v="York"/>
    <x v="1"/>
    <x v="5"/>
    <n v="17981"/>
  </r>
  <r>
    <s v="SD"/>
    <s v="South Dakota"/>
    <s v="Aurora"/>
    <x v="3"/>
    <x v="7"/>
    <n v="6178"/>
  </r>
  <r>
    <s v="SD"/>
    <s v="South Dakota"/>
    <s v="Beadle"/>
    <x v="3"/>
    <x v="7"/>
    <n v="6178"/>
  </r>
  <r>
    <s v="SD"/>
    <s v="South Dakota"/>
    <s v="Bennett"/>
    <x v="3"/>
    <x v="7"/>
    <n v="6178"/>
  </r>
  <r>
    <s v="SD"/>
    <s v="South Dakota"/>
    <s v="Bon Homme"/>
    <x v="3"/>
    <x v="7"/>
    <n v="6178"/>
  </r>
  <r>
    <s v="SD"/>
    <s v="South Dakota"/>
    <s v="Brookings"/>
    <x v="3"/>
    <x v="7"/>
    <n v="6178"/>
  </r>
  <r>
    <s v="SD"/>
    <s v="South Dakota"/>
    <s v="Brown"/>
    <x v="3"/>
    <x v="7"/>
    <n v="6178"/>
  </r>
  <r>
    <s v="SD"/>
    <s v="South Dakota"/>
    <s v="Brule"/>
    <x v="3"/>
    <x v="7"/>
    <n v="6178"/>
  </r>
  <r>
    <s v="SD"/>
    <s v="South Dakota"/>
    <s v="Buffalo"/>
    <x v="3"/>
    <x v="7"/>
    <n v="6178"/>
  </r>
  <r>
    <s v="SD"/>
    <s v="South Dakota"/>
    <s v="Butte"/>
    <x v="3"/>
    <x v="7"/>
    <n v="6178"/>
  </r>
  <r>
    <s v="SD"/>
    <s v="South Dakota"/>
    <s v="Campbell"/>
    <x v="3"/>
    <x v="7"/>
    <n v="6178"/>
  </r>
  <r>
    <s v="SD"/>
    <s v="South Dakota"/>
    <s v="Charles Mix"/>
    <x v="3"/>
    <x v="7"/>
    <n v="6178"/>
  </r>
  <r>
    <s v="SD"/>
    <s v="South Dakota"/>
    <s v="Clark"/>
    <x v="3"/>
    <x v="7"/>
    <n v="6178"/>
  </r>
  <r>
    <s v="SD"/>
    <s v="South Dakota"/>
    <s v="Clay"/>
    <x v="3"/>
    <x v="7"/>
    <n v="6178"/>
  </r>
  <r>
    <s v="SD"/>
    <s v="South Dakota"/>
    <s v="Codington"/>
    <x v="3"/>
    <x v="7"/>
    <n v="6178"/>
  </r>
  <r>
    <s v="SD"/>
    <s v="South Dakota"/>
    <s v="Corson"/>
    <x v="3"/>
    <x v="7"/>
    <n v="6178"/>
  </r>
  <r>
    <s v="SD"/>
    <s v="South Dakota"/>
    <s v="Custer"/>
    <x v="3"/>
    <x v="7"/>
    <n v="6178"/>
  </r>
  <r>
    <s v="SD"/>
    <s v="South Dakota"/>
    <s v="Davison"/>
    <x v="3"/>
    <x v="7"/>
    <n v="6178"/>
  </r>
  <r>
    <s v="SD"/>
    <s v="South Dakota"/>
    <s v="Day"/>
    <x v="3"/>
    <x v="7"/>
    <n v="6178"/>
  </r>
  <r>
    <s v="SD"/>
    <s v="South Dakota"/>
    <s v="Deuel"/>
    <x v="3"/>
    <x v="7"/>
    <n v="6178"/>
  </r>
  <r>
    <s v="SD"/>
    <s v="South Dakota"/>
    <s v="Dewey"/>
    <x v="3"/>
    <x v="7"/>
    <n v="6178"/>
  </r>
  <r>
    <s v="SD"/>
    <s v="South Dakota"/>
    <s v="Douglas"/>
    <x v="3"/>
    <x v="7"/>
    <n v="6178"/>
  </r>
  <r>
    <s v="SD"/>
    <s v="South Dakota"/>
    <s v="Edmunds"/>
    <x v="3"/>
    <x v="7"/>
    <n v="6178"/>
  </r>
  <r>
    <s v="SD"/>
    <s v="South Dakota"/>
    <s v="Fall River"/>
    <x v="3"/>
    <x v="7"/>
    <n v="6178"/>
  </r>
  <r>
    <s v="SD"/>
    <s v="South Dakota"/>
    <s v="Faulk"/>
    <x v="3"/>
    <x v="7"/>
    <n v="6178"/>
  </r>
  <r>
    <s v="SD"/>
    <s v="South Dakota"/>
    <s v="Grant"/>
    <x v="3"/>
    <x v="7"/>
    <n v="6178"/>
  </r>
  <r>
    <s v="SD"/>
    <s v="South Dakota"/>
    <s v="Gregory"/>
    <x v="3"/>
    <x v="7"/>
    <n v="6178"/>
  </r>
  <r>
    <s v="SD"/>
    <s v="South Dakota"/>
    <s v="Haakon"/>
    <x v="3"/>
    <x v="7"/>
    <n v="6178"/>
  </r>
  <r>
    <s v="SD"/>
    <s v="South Dakota"/>
    <s v="Hamlin"/>
    <x v="3"/>
    <x v="7"/>
    <n v="6178"/>
  </r>
  <r>
    <s v="SD"/>
    <s v="South Dakota"/>
    <s v="Hand"/>
    <x v="3"/>
    <x v="7"/>
    <n v="6178"/>
  </r>
  <r>
    <s v="SD"/>
    <s v="South Dakota"/>
    <s v="Hanson"/>
    <x v="3"/>
    <x v="7"/>
    <n v="6178"/>
  </r>
  <r>
    <s v="SD"/>
    <s v="South Dakota"/>
    <s v="Harding"/>
    <x v="3"/>
    <x v="7"/>
    <n v="6178"/>
  </r>
  <r>
    <s v="SD"/>
    <s v="South Dakota"/>
    <s v="Hughes"/>
    <x v="3"/>
    <x v="7"/>
    <n v="6178"/>
  </r>
  <r>
    <s v="SD"/>
    <s v="South Dakota"/>
    <s v="Hutchinson"/>
    <x v="3"/>
    <x v="7"/>
    <n v="6178"/>
  </r>
  <r>
    <s v="SD"/>
    <s v="South Dakota"/>
    <s v="Hyde"/>
    <x v="3"/>
    <x v="7"/>
    <n v="6178"/>
  </r>
  <r>
    <s v="SD"/>
    <s v="South Dakota"/>
    <s v="Jackson"/>
    <x v="3"/>
    <x v="7"/>
    <n v="6178"/>
  </r>
  <r>
    <s v="SD"/>
    <s v="South Dakota"/>
    <s v="Jerauld"/>
    <x v="3"/>
    <x v="7"/>
    <n v="6178"/>
  </r>
  <r>
    <s v="SD"/>
    <s v="South Dakota"/>
    <s v="Jones"/>
    <x v="3"/>
    <x v="7"/>
    <n v="6178"/>
  </r>
  <r>
    <s v="SD"/>
    <s v="South Dakota"/>
    <s v="Kingsbury"/>
    <x v="3"/>
    <x v="7"/>
    <n v="6178"/>
  </r>
  <r>
    <s v="SD"/>
    <s v="South Dakota"/>
    <s v="Lake"/>
    <x v="3"/>
    <x v="7"/>
    <n v="6178"/>
  </r>
  <r>
    <s v="SD"/>
    <s v="South Dakota"/>
    <s v="Lawrence"/>
    <x v="3"/>
    <x v="7"/>
    <n v="6178"/>
  </r>
  <r>
    <s v="SD"/>
    <s v="South Dakota"/>
    <s v="Lincoln"/>
    <x v="3"/>
    <x v="7"/>
    <n v="6178"/>
  </r>
  <r>
    <s v="SD"/>
    <s v="South Dakota"/>
    <s v="Lyman"/>
    <x v="3"/>
    <x v="7"/>
    <n v="6178"/>
  </r>
  <r>
    <s v="SD"/>
    <s v="South Dakota"/>
    <s v="Marshall"/>
    <x v="3"/>
    <x v="7"/>
    <n v="6178"/>
  </r>
  <r>
    <s v="TN"/>
    <s v="Tennessee"/>
    <s v="Humphreys"/>
    <x v="1"/>
    <x v="0"/>
    <n v="4904"/>
  </r>
  <r>
    <s v="TN"/>
    <s v="Tennessee"/>
    <s v="Jackson"/>
    <x v="1"/>
    <x v="0"/>
    <n v="4904"/>
  </r>
  <r>
    <s v="TN"/>
    <s v="Tennessee"/>
    <s v="Jefferson"/>
    <x v="1"/>
    <x v="0"/>
    <n v="4904"/>
  </r>
  <r>
    <s v="TN"/>
    <s v="Tennessee"/>
    <s v="Johnson"/>
    <x v="1"/>
    <x v="0"/>
    <n v="4904"/>
  </r>
  <r>
    <s v="TN"/>
    <s v="Tennessee"/>
    <s v="Knox"/>
    <x v="1"/>
    <x v="0"/>
    <n v="4904"/>
  </r>
  <r>
    <s v="TN"/>
    <s v="Tennessee"/>
    <s v="Lake"/>
    <x v="1"/>
    <x v="0"/>
    <n v="4904"/>
  </r>
  <r>
    <s v="TN"/>
    <s v="Tennessee"/>
    <s v="Lauderdale"/>
    <x v="1"/>
    <x v="0"/>
    <n v="4904"/>
  </r>
  <r>
    <s v="TN"/>
    <s v="Tennessee"/>
    <s v="Lawrence"/>
    <x v="1"/>
    <x v="0"/>
    <n v="4904"/>
  </r>
  <r>
    <s v="TN"/>
    <s v="Tennessee"/>
    <s v="Lewis"/>
    <x v="1"/>
    <x v="0"/>
    <n v="4904"/>
  </r>
  <r>
    <s v="TN"/>
    <s v="Tennessee"/>
    <s v="Lincoln"/>
    <x v="1"/>
    <x v="0"/>
    <n v="4904"/>
  </r>
  <r>
    <s v="TN"/>
    <s v="Tennessee"/>
    <s v="Loudon"/>
    <x v="1"/>
    <x v="0"/>
    <n v="4904"/>
  </r>
  <r>
    <s v="TN"/>
    <s v="Tennessee"/>
    <s v="Macon"/>
    <x v="1"/>
    <x v="0"/>
    <n v="4904"/>
  </r>
  <r>
    <s v="TN"/>
    <s v="Tennessee"/>
    <s v="Madison"/>
    <x v="1"/>
    <x v="0"/>
    <n v="4904"/>
  </r>
  <r>
    <s v="TN"/>
    <s v="Tennessee"/>
    <s v="Marion"/>
    <x v="1"/>
    <x v="0"/>
    <n v="4904"/>
  </r>
  <r>
    <s v="TN"/>
    <s v="Tennessee"/>
    <s v="Marshall"/>
    <x v="1"/>
    <x v="0"/>
    <n v="4904"/>
  </r>
  <r>
    <s v="TN"/>
    <s v="Tennessee"/>
    <s v="Maury"/>
    <x v="1"/>
    <x v="0"/>
    <n v="4904"/>
  </r>
  <r>
    <s v="TN"/>
    <s v="Tennessee"/>
    <s v="McMinn"/>
    <x v="1"/>
    <x v="0"/>
    <n v="4904"/>
  </r>
  <r>
    <s v="TN"/>
    <s v="Tennessee"/>
    <s v="McNairy"/>
    <x v="1"/>
    <x v="0"/>
    <n v="4904"/>
  </r>
  <r>
    <s v="TN"/>
    <s v="Tennessee"/>
    <s v="Meigs"/>
    <x v="1"/>
    <x v="0"/>
    <n v="4904"/>
  </r>
  <r>
    <s v="TN"/>
    <s v="Tennessee"/>
    <s v="Monroe"/>
    <x v="1"/>
    <x v="0"/>
    <n v="4904"/>
  </r>
  <r>
    <s v="TN"/>
    <s v="Tennessee"/>
    <s v="Montgomery"/>
    <x v="1"/>
    <x v="0"/>
    <n v="4904"/>
  </r>
  <r>
    <s v="TN"/>
    <s v="Tennessee"/>
    <s v="Moore"/>
    <x v="1"/>
    <x v="0"/>
    <n v="4904"/>
  </r>
  <r>
    <s v="TN"/>
    <s v="Tennessee"/>
    <s v="Morgan"/>
    <x v="1"/>
    <x v="0"/>
    <n v="4904"/>
  </r>
  <r>
    <s v="TN"/>
    <s v="Tennessee"/>
    <s v="Obion"/>
    <x v="1"/>
    <x v="0"/>
    <n v="4904"/>
  </r>
  <r>
    <s v="TN"/>
    <s v="Tennessee"/>
    <s v="Overton"/>
    <x v="1"/>
    <x v="0"/>
    <n v="4904"/>
  </r>
  <r>
    <s v="TN"/>
    <s v="Tennessee"/>
    <s v="Perry"/>
    <x v="1"/>
    <x v="0"/>
    <n v="4904"/>
  </r>
  <r>
    <s v="TN"/>
    <s v="Tennessee"/>
    <s v="Pickett"/>
    <x v="1"/>
    <x v="0"/>
    <n v="4904"/>
  </r>
  <r>
    <s v="TN"/>
    <s v="Tennessee"/>
    <s v="Polk"/>
    <x v="1"/>
    <x v="0"/>
    <n v="4904"/>
  </r>
  <r>
    <s v="TN"/>
    <s v="Tennessee"/>
    <s v="Putnam"/>
    <x v="1"/>
    <x v="0"/>
    <n v="4904"/>
  </r>
  <r>
    <s v="TN"/>
    <s v="Tennessee"/>
    <s v="Rhea"/>
    <x v="1"/>
    <x v="0"/>
    <n v="4904"/>
  </r>
  <r>
    <s v="TN"/>
    <s v="Tennessee"/>
    <s v="Roane"/>
    <x v="1"/>
    <x v="0"/>
    <n v="4904"/>
  </r>
  <r>
    <s v="TN"/>
    <s v="Tennessee"/>
    <s v="Robertson"/>
    <x v="1"/>
    <x v="0"/>
    <n v="4904"/>
  </r>
  <r>
    <s v="TN"/>
    <s v="Tennessee"/>
    <s v="Rutherford"/>
    <x v="1"/>
    <x v="0"/>
    <n v="4904"/>
  </r>
  <r>
    <s v="TN"/>
    <s v="Tennessee"/>
    <s v="Scott"/>
    <x v="1"/>
    <x v="0"/>
    <n v="4904"/>
  </r>
  <r>
    <s v="TN"/>
    <s v="Tennessee"/>
    <s v="Sequatchie"/>
    <x v="1"/>
    <x v="0"/>
    <n v="4904"/>
  </r>
  <r>
    <s v="TN"/>
    <s v="Tennessee"/>
    <s v="Sevier"/>
    <x v="1"/>
    <x v="0"/>
    <n v="4904"/>
  </r>
  <r>
    <s v="TN"/>
    <s v="Tennessee"/>
    <s v="Shelby"/>
    <x v="1"/>
    <x v="0"/>
    <n v="4904"/>
  </r>
  <r>
    <s v="TN"/>
    <s v="Tennessee"/>
    <s v="Smith"/>
    <x v="1"/>
    <x v="0"/>
    <n v="4904"/>
  </r>
  <r>
    <s v="TN"/>
    <s v="Tennessee"/>
    <s v="Stewart"/>
    <x v="1"/>
    <x v="0"/>
    <n v="4904"/>
  </r>
  <r>
    <s v="TN"/>
    <s v="Tennessee"/>
    <s v="Sullivan"/>
    <x v="1"/>
    <x v="0"/>
    <n v="4904"/>
  </r>
  <r>
    <s v="TN"/>
    <s v="Tennessee"/>
    <s v="Sumner"/>
    <x v="1"/>
    <x v="0"/>
    <n v="4904"/>
  </r>
  <r>
    <s v="TN"/>
    <s v="Tennessee"/>
    <s v="Tipton"/>
    <x v="1"/>
    <x v="0"/>
    <n v="4904"/>
  </r>
  <r>
    <s v="TN"/>
    <s v="Tennessee"/>
    <s v="Trousdale"/>
    <x v="1"/>
    <x v="0"/>
    <n v="4904"/>
  </r>
  <r>
    <s v="TN"/>
    <s v="Tennessee"/>
    <s v="Unicoi"/>
    <x v="1"/>
    <x v="0"/>
    <n v="4904"/>
  </r>
  <r>
    <s v="TN"/>
    <s v="Tennessee"/>
    <s v="Union"/>
    <x v="1"/>
    <x v="0"/>
    <n v="4904"/>
  </r>
  <r>
    <s v="TN"/>
    <s v="Tennessee"/>
    <s v="Van Buren"/>
    <x v="1"/>
    <x v="0"/>
    <n v="4904"/>
  </r>
  <r>
    <s v="TN"/>
    <s v="Tennessee"/>
    <s v="Warren"/>
    <x v="1"/>
    <x v="0"/>
    <n v="4904"/>
  </r>
  <r>
    <s v="TN"/>
    <s v="Tennessee"/>
    <s v="Washington"/>
    <x v="1"/>
    <x v="0"/>
    <n v="4904"/>
  </r>
  <r>
    <s v="TN"/>
    <s v="Tennessee"/>
    <s v="Wayne"/>
    <x v="1"/>
    <x v="0"/>
    <n v="4904"/>
  </r>
  <r>
    <s v="TN"/>
    <s v="Tennessee"/>
    <s v="Weakley"/>
    <x v="1"/>
    <x v="0"/>
    <n v="4904"/>
  </r>
  <r>
    <s v="TN"/>
    <s v="Tennessee"/>
    <s v="White"/>
    <x v="1"/>
    <x v="0"/>
    <n v="4904"/>
  </r>
  <r>
    <s v="TN"/>
    <s v="Tennessee"/>
    <s v="Williamson"/>
    <x v="1"/>
    <x v="0"/>
    <n v="4904"/>
  </r>
  <r>
    <s v="TN"/>
    <s v="Tennessee"/>
    <s v="Wilson"/>
    <x v="1"/>
    <x v="0"/>
    <n v="4904"/>
  </r>
  <r>
    <s v="TX"/>
    <s v="Texas"/>
    <s v="Anderson"/>
    <x v="0"/>
    <x v="1"/>
    <n v="11394"/>
  </r>
  <r>
    <s v="TX"/>
    <s v="Texas"/>
    <s v="Andrews"/>
    <x v="5"/>
    <x v="1"/>
    <n v="11394"/>
  </r>
  <r>
    <s v="TX"/>
    <s v="Texas"/>
    <s v="Angelina"/>
    <x v="0"/>
    <x v="1"/>
    <n v="11394"/>
  </r>
  <r>
    <s v="TX"/>
    <s v="Texas"/>
    <s v="Aransas"/>
    <x v="0"/>
    <x v="1"/>
    <n v="11394"/>
  </r>
  <r>
    <s v="TX"/>
    <s v="Texas"/>
    <s v="Archer"/>
    <x v="1"/>
    <x v="1"/>
    <n v="11394"/>
  </r>
  <r>
    <s v="TX"/>
    <s v="Texas"/>
    <s v="Armstrong"/>
    <x v="4"/>
    <x v="1"/>
    <n v="11394"/>
  </r>
  <r>
    <s v="TX"/>
    <s v="Texas"/>
    <s v="Atascosa"/>
    <x v="0"/>
    <x v="1"/>
    <n v="11394"/>
  </r>
  <r>
    <s v="TX"/>
    <s v="Texas"/>
    <s v="Austin"/>
    <x v="0"/>
    <x v="1"/>
    <n v="11394"/>
  </r>
  <r>
    <s v="TX"/>
    <s v="Texas"/>
    <s v="Bailey"/>
    <x v="4"/>
    <x v="1"/>
    <n v="11394"/>
  </r>
  <r>
    <s v="TX"/>
    <s v="Texas"/>
    <s v="Bandera"/>
    <x v="0"/>
    <x v="1"/>
    <n v="11394"/>
  </r>
  <r>
    <s v="TX"/>
    <s v="Texas"/>
    <s v="Bastrop"/>
    <x v="0"/>
    <x v="1"/>
    <n v="11394"/>
  </r>
  <r>
    <s v="TX"/>
    <s v="Texas"/>
    <s v="Baylor"/>
    <x v="5"/>
    <x v="1"/>
    <n v="11394"/>
  </r>
  <r>
    <s v="TX"/>
    <s v="Texas"/>
    <s v="Foard"/>
    <x v="5"/>
    <x v="1"/>
    <n v="11394"/>
  </r>
  <r>
    <s v="TX"/>
    <s v="Texas"/>
    <s v="Fort Bend"/>
    <x v="0"/>
    <x v="1"/>
    <n v="11394"/>
  </r>
  <r>
    <s v="TX"/>
    <s v="Texas"/>
    <s v="Franklin"/>
    <x v="0"/>
    <x v="1"/>
    <n v="11394"/>
  </r>
  <r>
    <s v="TX"/>
    <s v="Texas"/>
    <s v="Freestone"/>
    <x v="0"/>
    <x v="1"/>
    <n v="11394"/>
  </r>
  <r>
    <s v="TX"/>
    <s v="Texas"/>
    <s v="Frio"/>
    <x v="0"/>
    <x v="1"/>
    <n v="11394"/>
  </r>
  <r>
    <s v="TX"/>
    <s v="Texas"/>
    <s v="Gaines"/>
    <x v="5"/>
    <x v="1"/>
    <n v="11394"/>
  </r>
  <r>
    <s v="TX"/>
    <s v="Texas"/>
    <s v="Galveston"/>
    <x v="0"/>
    <x v="1"/>
    <n v="11394"/>
  </r>
  <r>
    <s v="TX"/>
    <s v="Texas"/>
    <s v="Garza"/>
    <x v="5"/>
    <x v="1"/>
    <n v="11394"/>
  </r>
  <r>
    <s v="TX"/>
    <s v="Texas"/>
    <s v="Gillespie"/>
    <x v="0"/>
    <x v="1"/>
    <n v="11394"/>
  </r>
  <r>
    <s v="TX"/>
    <s v="Texas"/>
    <s v="Glasscock"/>
    <x v="5"/>
    <x v="1"/>
    <n v="11394"/>
  </r>
  <r>
    <s v="TX"/>
    <s v="Texas"/>
    <s v="Goliad"/>
    <x v="0"/>
    <x v="1"/>
    <n v="11394"/>
  </r>
  <r>
    <s v="TX"/>
    <s v="Texas"/>
    <s v="Gonzales"/>
    <x v="0"/>
    <x v="1"/>
    <n v="11394"/>
  </r>
  <r>
    <s v="TX"/>
    <s v="Texas"/>
    <s v="Gray"/>
    <x v="4"/>
    <x v="1"/>
    <n v="11394"/>
  </r>
  <r>
    <s v="TX"/>
    <s v="Texas"/>
    <s v="Grayson"/>
    <x v="1"/>
    <x v="1"/>
    <n v="11394"/>
  </r>
  <r>
    <s v="TX"/>
    <s v="Texas"/>
    <s v="Gregg"/>
    <x v="0"/>
    <x v="1"/>
    <n v="11394"/>
  </r>
  <r>
    <s v="TX"/>
    <s v="Texas"/>
    <s v="Grimes"/>
    <x v="0"/>
    <x v="1"/>
    <n v="11394"/>
  </r>
  <r>
    <s v="TX"/>
    <s v="Texas"/>
    <s v="Guadalupe"/>
    <x v="0"/>
    <x v="1"/>
    <n v="11394"/>
  </r>
  <r>
    <s v="TX"/>
    <s v="Texas"/>
    <s v="Hale"/>
    <x v="4"/>
    <x v="1"/>
    <n v="11394"/>
  </r>
  <r>
    <s v="TX"/>
    <s v="Texas"/>
    <s v="Hall"/>
    <x v="5"/>
    <x v="1"/>
    <n v="11394"/>
  </r>
  <r>
    <s v="TX"/>
    <s v="Texas"/>
    <s v="Hamilton"/>
    <x v="0"/>
    <x v="1"/>
    <n v="11394"/>
  </r>
  <r>
    <s v="TX"/>
    <s v="Texas"/>
    <s v="Hansford"/>
    <x v="4"/>
    <x v="1"/>
    <n v="11394"/>
  </r>
  <r>
    <s v="TX"/>
    <s v="Texas"/>
    <s v="Hardeman"/>
    <x v="5"/>
    <x v="1"/>
    <n v="11394"/>
  </r>
  <r>
    <s v="TX"/>
    <s v="Texas"/>
    <s v="Hardin"/>
    <x v="0"/>
    <x v="1"/>
    <n v="11394"/>
  </r>
  <r>
    <s v="TX"/>
    <s v="Texas"/>
    <s v="Harris"/>
    <x v="0"/>
    <x v="1"/>
    <n v="11394"/>
  </r>
  <r>
    <s v="TX"/>
    <s v="Texas"/>
    <s v="Harrison"/>
    <x v="0"/>
    <x v="1"/>
    <n v="11394"/>
  </r>
  <r>
    <s v="TX"/>
    <s v="Texas"/>
    <s v="Hartley"/>
    <x v="4"/>
    <x v="1"/>
    <n v="11394"/>
  </r>
  <r>
    <s v="TX"/>
    <s v="Texas"/>
    <s v="Haskell"/>
    <x v="5"/>
    <x v="1"/>
    <n v="11394"/>
  </r>
  <r>
    <s v="TX"/>
    <s v="Texas"/>
    <s v="Hays"/>
    <x v="0"/>
    <x v="1"/>
    <n v="11394"/>
  </r>
  <r>
    <s v="TX"/>
    <s v="Texas"/>
    <s v="Hemphill"/>
    <x v="5"/>
    <x v="1"/>
    <n v="11394"/>
  </r>
  <r>
    <s v="TX"/>
    <s v="Texas"/>
    <s v="Henderson"/>
    <x v="0"/>
    <x v="1"/>
    <n v="11394"/>
  </r>
  <r>
    <s v="TX"/>
    <s v="Texas"/>
    <s v="Hidalgo"/>
    <x v="0"/>
    <x v="1"/>
    <n v="11394"/>
  </r>
  <r>
    <s v="TX"/>
    <s v="Texas"/>
    <s v="Hill"/>
    <x v="0"/>
    <x v="1"/>
    <n v="11394"/>
  </r>
  <r>
    <s v="TX"/>
    <s v="Texas"/>
    <s v="Hockley"/>
    <x v="4"/>
    <x v="1"/>
    <n v="11394"/>
  </r>
  <r>
    <s v="TX"/>
    <s v="Texas"/>
    <s v="Hood"/>
    <x v="0"/>
    <x v="1"/>
    <n v="11394"/>
  </r>
  <r>
    <s v="TX"/>
    <s v="Texas"/>
    <s v="Hopkins"/>
    <x v="0"/>
    <x v="1"/>
    <n v="11394"/>
  </r>
  <r>
    <s v="TX"/>
    <s v="Texas"/>
    <s v="Houston"/>
    <x v="0"/>
    <x v="1"/>
    <n v="11394"/>
  </r>
  <r>
    <s v="TX"/>
    <s v="Texas"/>
    <s v="Howard"/>
    <x v="5"/>
    <x v="1"/>
    <n v="11394"/>
  </r>
  <r>
    <s v="TX"/>
    <s v="Texas"/>
    <s v="Hudspeth"/>
    <x v="5"/>
    <x v="1"/>
    <n v="11394"/>
  </r>
  <r>
    <s v="TX"/>
    <s v="Texas"/>
    <s v="Hunt"/>
    <x v="0"/>
    <x v="1"/>
    <n v="11394"/>
  </r>
  <r>
    <s v="TX"/>
    <s v="Texas"/>
    <s v="Hutchinson"/>
    <x v="4"/>
    <x v="1"/>
    <n v="11394"/>
  </r>
  <r>
    <s v="TX"/>
    <s v="Texas"/>
    <s v="Irion"/>
    <x v="5"/>
    <x v="1"/>
    <n v="11394"/>
  </r>
  <r>
    <s v="TX"/>
    <s v="Texas"/>
    <s v="Jack"/>
    <x v="1"/>
    <x v="1"/>
    <n v="11394"/>
  </r>
  <r>
    <s v="TX"/>
    <s v="Texas"/>
    <s v="Jackson"/>
    <x v="0"/>
    <x v="1"/>
    <n v="11394"/>
  </r>
  <r>
    <s v="TX"/>
    <s v="Texas"/>
    <s v="Jasper"/>
    <x v="0"/>
    <x v="1"/>
    <n v="11394"/>
  </r>
  <r>
    <s v="TX"/>
    <s v="Texas"/>
    <s v="Jeff Davis"/>
    <x v="5"/>
    <x v="1"/>
    <n v="11394"/>
  </r>
  <r>
    <s v="TX"/>
    <s v="Texas"/>
    <s v="Jefferson"/>
    <x v="0"/>
    <x v="1"/>
    <n v="11394"/>
  </r>
  <r>
    <s v="TX"/>
    <s v="Texas"/>
    <s v="Jim Hogg"/>
    <x v="0"/>
    <x v="1"/>
    <n v="11394"/>
  </r>
  <r>
    <s v="TX"/>
    <s v="Texas"/>
    <s v="Jim Wells"/>
    <x v="0"/>
    <x v="1"/>
    <n v="11394"/>
  </r>
  <r>
    <s v="TX"/>
    <s v="Texas"/>
    <s v="Johnson"/>
    <x v="0"/>
    <x v="1"/>
    <n v="11394"/>
  </r>
  <r>
    <s v="TX"/>
    <s v="Texas"/>
    <s v="Jones"/>
    <x v="5"/>
    <x v="1"/>
    <n v="11394"/>
  </r>
  <r>
    <s v="TX"/>
    <s v="Texas"/>
    <s v="Karnes"/>
    <x v="0"/>
    <x v="1"/>
    <n v="11394"/>
  </r>
  <r>
    <s v="TX"/>
    <s v="Texas"/>
    <s v="Kaufman"/>
    <x v="0"/>
    <x v="1"/>
    <n v="11394"/>
  </r>
  <r>
    <s v="TX"/>
    <s v="Texas"/>
    <s v="Kendall"/>
    <x v="0"/>
    <x v="1"/>
    <n v="11394"/>
  </r>
  <r>
    <s v="TX"/>
    <s v="Texas"/>
    <s v="Kenedy"/>
    <x v="0"/>
    <x v="1"/>
    <n v="11394"/>
  </r>
  <r>
    <s v="TX"/>
    <s v="Texas"/>
    <s v="Kent"/>
    <x v="5"/>
    <x v="1"/>
    <n v="11394"/>
  </r>
  <r>
    <s v="TX"/>
    <s v="Texas"/>
    <s v="Kerr"/>
    <x v="5"/>
    <x v="1"/>
    <n v="11394"/>
  </r>
  <r>
    <s v="TX"/>
    <s v="Texas"/>
    <s v="Kimble"/>
    <x v="5"/>
    <x v="1"/>
    <n v="11394"/>
  </r>
  <r>
    <s v="TX"/>
    <s v="Texas"/>
    <s v="King"/>
    <x v="5"/>
    <x v="1"/>
    <n v="11394"/>
  </r>
  <r>
    <s v="TX"/>
    <s v="Texas"/>
    <s v="Kinney"/>
    <x v="0"/>
    <x v="1"/>
    <n v="11394"/>
  </r>
  <r>
    <s v="TX"/>
    <s v="Texas"/>
    <s v="Kleberg"/>
    <x v="0"/>
    <x v="1"/>
    <n v="11394"/>
  </r>
  <r>
    <s v="TX"/>
    <s v="Texas"/>
    <s v="Knox"/>
    <x v="5"/>
    <x v="1"/>
    <n v="11394"/>
  </r>
  <r>
    <s v="TX"/>
    <s v="Texas"/>
    <s v="La Salle"/>
    <x v="0"/>
    <x v="1"/>
    <n v="11394"/>
  </r>
  <r>
    <s v="TX"/>
    <s v="Texas"/>
    <s v="Lamar"/>
    <x v="0"/>
    <x v="1"/>
    <n v="11394"/>
  </r>
  <r>
    <s v="TX"/>
    <s v="Texas"/>
    <s v="Lamb"/>
    <x v="4"/>
    <x v="1"/>
    <n v="11394"/>
  </r>
  <r>
    <s v="TX"/>
    <s v="Texas"/>
    <s v="Lampasas"/>
    <x v="0"/>
    <x v="1"/>
    <n v="11394"/>
  </r>
  <r>
    <s v="TX"/>
    <s v="Texas"/>
    <s v="Scurry"/>
    <x v="5"/>
    <x v="1"/>
    <n v="11394"/>
  </r>
  <r>
    <s v="TX"/>
    <s v="Texas"/>
    <s v="Shackelford"/>
    <x v="5"/>
    <x v="1"/>
    <n v="11394"/>
  </r>
  <r>
    <s v="TX"/>
    <s v="Texas"/>
    <s v="Shelby"/>
    <x v="0"/>
    <x v="1"/>
    <n v="11394"/>
  </r>
  <r>
    <s v="TX"/>
    <s v="Texas"/>
    <s v="Sherman"/>
    <x v="4"/>
    <x v="1"/>
    <n v="11394"/>
  </r>
  <r>
    <s v="TX"/>
    <s v="Texas"/>
    <s v="Smith"/>
    <x v="0"/>
    <x v="1"/>
    <n v="11394"/>
  </r>
  <r>
    <s v="TX"/>
    <s v="Texas"/>
    <s v="Somervell"/>
    <x v="0"/>
    <x v="1"/>
    <n v="11394"/>
  </r>
  <r>
    <s v="TX"/>
    <s v="Texas"/>
    <s v="Starr"/>
    <x v="0"/>
    <x v="1"/>
    <n v="11394"/>
  </r>
  <r>
    <s v="TX"/>
    <s v="Texas"/>
    <s v="Stephens"/>
    <x v="1"/>
    <x v="1"/>
    <n v="11394"/>
  </r>
  <r>
    <s v="TX"/>
    <s v="Texas"/>
    <s v="Sterling"/>
    <x v="5"/>
    <x v="1"/>
    <n v="11394"/>
  </r>
  <r>
    <s v="TX"/>
    <s v="Texas"/>
    <s v="Stonewall"/>
    <x v="5"/>
    <x v="1"/>
    <n v="11394"/>
  </r>
  <r>
    <s v="TX"/>
    <s v="Texas"/>
    <s v="Sutton"/>
    <x v="5"/>
    <x v="1"/>
    <n v="11394"/>
  </r>
  <r>
    <s v="TX"/>
    <s v="Texas"/>
    <s v="Swisher"/>
    <x v="4"/>
    <x v="1"/>
    <n v="11394"/>
  </r>
  <r>
    <s v="TX"/>
    <s v="Texas"/>
    <s v="Tarrant"/>
    <x v="0"/>
    <x v="1"/>
    <n v="11394"/>
  </r>
  <r>
    <s v="TX"/>
    <s v="Texas"/>
    <s v="Taylor"/>
    <x v="5"/>
    <x v="1"/>
    <n v="11394"/>
  </r>
  <r>
    <s v="TX"/>
    <s v="Texas"/>
    <s v="Terrell"/>
    <x v="5"/>
    <x v="1"/>
    <n v="11394"/>
  </r>
  <r>
    <s v="TX"/>
    <s v="Texas"/>
    <s v="Terry"/>
    <x v="5"/>
    <x v="1"/>
    <n v="11394"/>
  </r>
  <r>
    <s v="TX"/>
    <s v="Texas"/>
    <s v="Throckmorton"/>
    <x v="5"/>
    <x v="1"/>
    <n v="11394"/>
  </r>
  <r>
    <s v="TX"/>
    <s v="Texas"/>
    <s v="Titus"/>
    <x v="0"/>
    <x v="1"/>
    <n v="11394"/>
  </r>
  <r>
    <s v="TX"/>
    <s v="Texas"/>
    <s v="Tom Green"/>
    <x v="5"/>
    <x v="1"/>
    <n v="11394"/>
  </r>
  <r>
    <s v="TX"/>
    <s v="Texas"/>
    <s v="Travis"/>
    <x v="0"/>
    <x v="1"/>
    <n v="11394"/>
  </r>
  <r>
    <s v="TX"/>
    <s v="Texas"/>
    <s v="Trinity"/>
    <x v="0"/>
    <x v="1"/>
    <n v="11394"/>
  </r>
  <r>
    <s v="TX"/>
    <s v="Texas"/>
    <s v="Tyler"/>
    <x v="0"/>
    <x v="1"/>
    <n v="11394"/>
  </r>
  <r>
    <s v="TX"/>
    <s v="Texas"/>
    <s v="Upshur"/>
    <x v="0"/>
    <x v="1"/>
    <n v="11394"/>
  </r>
  <r>
    <s v="TX"/>
    <s v="Texas"/>
    <s v="Upton"/>
    <x v="5"/>
    <x v="1"/>
    <n v="11394"/>
  </r>
  <r>
    <s v="TX"/>
    <s v="Texas"/>
    <s v="Uvalde"/>
    <x v="0"/>
    <x v="1"/>
    <n v="11394"/>
  </r>
  <r>
    <s v="TX"/>
    <s v="Texas"/>
    <s v="Val Verde"/>
    <x v="0"/>
    <x v="1"/>
    <n v="11394"/>
  </r>
  <r>
    <s v="TX"/>
    <s v="Texas"/>
    <s v="Van Zandt"/>
    <x v="0"/>
    <x v="1"/>
    <n v="11394"/>
  </r>
  <r>
    <s v="TX"/>
    <s v="Texas"/>
    <s v="Victoria"/>
    <x v="0"/>
    <x v="1"/>
    <n v="11394"/>
  </r>
  <r>
    <s v="TX"/>
    <s v="Texas"/>
    <s v="Walker"/>
    <x v="0"/>
    <x v="1"/>
    <n v="11394"/>
  </r>
  <r>
    <s v="TX"/>
    <s v="Texas"/>
    <s v="Waller"/>
    <x v="0"/>
    <x v="1"/>
    <n v="11394"/>
  </r>
  <r>
    <s v="TX"/>
    <s v="Texas"/>
    <s v="Ward"/>
    <x v="5"/>
    <x v="1"/>
    <n v="11394"/>
  </r>
  <r>
    <s v="TX"/>
    <s v="Texas"/>
    <s v="Washington"/>
    <x v="0"/>
    <x v="1"/>
    <n v="11394"/>
  </r>
  <r>
    <s v="TX"/>
    <s v="Texas"/>
    <s v="Webb"/>
    <x v="0"/>
    <x v="1"/>
    <n v="11394"/>
  </r>
  <r>
    <s v="TX"/>
    <s v="Texas"/>
    <s v="Wharton"/>
    <x v="0"/>
    <x v="1"/>
    <n v="11394"/>
  </r>
  <r>
    <s v="TX"/>
    <s v="Texas"/>
    <s v="Wheeler"/>
    <x v="5"/>
    <x v="1"/>
    <n v="11394"/>
  </r>
  <r>
    <s v="TX"/>
    <s v="Texas"/>
    <s v="Wichita"/>
    <x v="1"/>
    <x v="1"/>
    <n v="11394"/>
  </r>
  <r>
    <s v="TX"/>
    <s v="Texas"/>
    <s v="Wilbarger"/>
    <x v="5"/>
    <x v="1"/>
    <n v="11394"/>
  </r>
  <r>
    <s v="TX"/>
    <s v="Texas"/>
    <s v="Willacy"/>
    <x v="0"/>
    <x v="1"/>
    <n v="11394"/>
  </r>
  <r>
    <s v="TX"/>
    <s v="Texas"/>
    <s v="Williamson"/>
    <x v="0"/>
    <x v="1"/>
    <n v="11394"/>
  </r>
  <r>
    <s v="TX"/>
    <s v="Texas"/>
    <s v="Wilson"/>
    <x v="0"/>
    <x v="1"/>
    <n v="11394"/>
  </r>
  <r>
    <s v="TX"/>
    <s v="Texas"/>
    <s v="Winkler"/>
    <x v="5"/>
    <x v="1"/>
    <n v="11394"/>
  </r>
  <r>
    <s v="TX"/>
    <s v="Texas"/>
    <s v="Wise"/>
    <x v="1"/>
    <x v="1"/>
    <n v="11394"/>
  </r>
  <r>
    <s v="TX"/>
    <s v="Texas"/>
    <s v="Wood"/>
    <x v="0"/>
    <x v="1"/>
    <n v="11394"/>
  </r>
  <r>
    <s v="TX"/>
    <s v="Texas"/>
    <s v="Yoakum"/>
    <x v="4"/>
    <x v="1"/>
    <n v="11394"/>
  </r>
  <r>
    <s v="TX"/>
    <s v="Texas"/>
    <s v="Young"/>
    <x v="1"/>
    <x v="1"/>
    <n v="11394"/>
  </r>
  <r>
    <s v="TX"/>
    <s v="Texas"/>
    <s v="Zapata"/>
    <x v="0"/>
    <x v="1"/>
    <n v="11394"/>
  </r>
  <r>
    <s v="TX"/>
    <s v="Texas"/>
    <s v="Zavala"/>
    <x v="0"/>
    <x v="1"/>
    <n v="11394"/>
  </r>
  <r>
    <s v="UT"/>
    <s v="Utah"/>
    <s v="Beaver"/>
    <x v="3"/>
    <x v="3"/>
    <n v="4981"/>
  </r>
  <r>
    <s v="UT"/>
    <s v="Utah"/>
    <s v="Box Elder"/>
    <x v="3"/>
    <x v="3"/>
    <n v="4981"/>
  </r>
  <r>
    <s v="UT"/>
    <s v="Utah"/>
    <s v="Cache"/>
    <x v="3"/>
    <x v="3"/>
    <n v="4981"/>
  </r>
  <r>
    <s v="UT"/>
    <s v="Utah"/>
    <s v="Carbon"/>
    <x v="3"/>
    <x v="3"/>
    <n v="4981"/>
  </r>
  <r>
    <s v="UT"/>
    <s v="Utah"/>
    <s v="Daggett"/>
    <x v="3"/>
    <x v="3"/>
    <n v="4981"/>
  </r>
  <r>
    <s v="UT"/>
    <s v="Utah"/>
    <s v="Davis"/>
    <x v="3"/>
    <x v="3"/>
    <n v="4981"/>
  </r>
  <r>
    <s v="UT"/>
    <s v="Utah"/>
    <s v="Duchesne"/>
    <x v="3"/>
    <x v="3"/>
    <n v="4981"/>
  </r>
  <r>
    <s v="UT"/>
    <s v="Utah"/>
    <s v="Emery"/>
    <x v="3"/>
    <x v="3"/>
    <n v="4981"/>
  </r>
  <r>
    <s v="UT"/>
    <s v="Utah"/>
    <s v="Garfield"/>
    <x v="3"/>
    <x v="3"/>
    <n v="4981"/>
  </r>
  <r>
    <s v="UT"/>
    <s v="Utah"/>
    <s v="Grand"/>
    <x v="3"/>
    <x v="3"/>
    <n v="4981"/>
  </r>
  <r>
    <s v="UT"/>
    <s v="Utah"/>
    <s v="Iron"/>
    <x v="3"/>
    <x v="3"/>
    <n v="4981"/>
  </r>
  <r>
    <s v="UT"/>
    <s v="Utah"/>
    <s v="Juab"/>
    <x v="3"/>
    <x v="3"/>
    <n v="4981"/>
  </r>
  <r>
    <s v="UT"/>
    <s v="Utah"/>
    <s v="Kane"/>
    <x v="3"/>
    <x v="3"/>
    <n v="4981"/>
  </r>
  <r>
    <s v="UT"/>
    <s v="Utah"/>
    <s v="Millard"/>
    <x v="3"/>
    <x v="3"/>
    <n v="4981"/>
  </r>
  <r>
    <s v="UT"/>
    <s v="Utah"/>
    <s v="Morgan"/>
    <x v="3"/>
    <x v="3"/>
    <n v="4981"/>
  </r>
  <r>
    <s v="UT"/>
    <s v="Utah"/>
    <s v="Piute"/>
    <x v="3"/>
    <x v="3"/>
    <n v="4981"/>
  </r>
  <r>
    <s v="UT"/>
    <s v="Utah"/>
    <s v="Rich"/>
    <x v="3"/>
    <x v="3"/>
    <n v="4981"/>
  </r>
  <r>
    <s v="UT"/>
    <s v="Utah"/>
    <s v="Salt Lake"/>
    <x v="3"/>
    <x v="3"/>
    <n v="4981"/>
  </r>
  <r>
    <s v="VA"/>
    <s v="Virginia"/>
    <s v="Fairfax (city)"/>
    <x v="1"/>
    <x v="5"/>
    <n v="17981"/>
  </r>
  <r>
    <s v="VA"/>
    <s v="Virginia"/>
    <s v="Falls Church (city)"/>
    <x v="1"/>
    <x v="5"/>
    <n v="17981"/>
  </r>
  <r>
    <s v="VA"/>
    <s v="Virginia"/>
    <s v="Fauquier"/>
    <x v="1"/>
    <x v="5"/>
    <n v="17981"/>
  </r>
  <r>
    <s v="VA"/>
    <s v="Virginia"/>
    <s v="Floyd"/>
    <x v="1"/>
    <x v="5"/>
    <n v="17981"/>
  </r>
  <r>
    <s v="VA"/>
    <s v="Virginia"/>
    <s v="Fluvanna"/>
    <x v="1"/>
    <x v="5"/>
    <n v="17981"/>
  </r>
  <r>
    <s v="VA"/>
    <s v="Virginia"/>
    <s v="Franklin"/>
    <x v="1"/>
    <x v="5"/>
    <n v="17981"/>
  </r>
  <r>
    <s v="VA"/>
    <s v="Virginia"/>
    <s v="Franklin (city)"/>
    <x v="1"/>
    <x v="5"/>
    <n v="17981"/>
  </r>
  <r>
    <s v="VA"/>
    <s v="Virginia"/>
    <s v="Frederick"/>
    <x v="1"/>
    <x v="5"/>
    <n v="17981"/>
  </r>
  <r>
    <s v="VA"/>
    <s v="Virginia"/>
    <s v="Fredericksburg (city)"/>
    <x v="1"/>
    <x v="5"/>
    <n v="17981"/>
  </r>
  <r>
    <s v="VA"/>
    <s v="Virginia"/>
    <s v="Galax (city)"/>
    <x v="1"/>
    <x v="5"/>
    <n v="17981"/>
  </r>
  <r>
    <s v="VA"/>
    <s v="Virginia"/>
    <s v="Giles"/>
    <x v="1"/>
    <x v="5"/>
    <n v="17981"/>
  </r>
  <r>
    <s v="VA"/>
    <s v="Virginia"/>
    <s v="Gloucester"/>
    <x v="1"/>
    <x v="5"/>
    <n v="17981"/>
  </r>
  <r>
    <s v="VA"/>
    <s v="Virginia"/>
    <s v="Goochland"/>
    <x v="1"/>
    <x v="5"/>
    <n v="17981"/>
  </r>
  <r>
    <s v="VA"/>
    <s v="Virginia"/>
    <s v="Grayson"/>
    <x v="1"/>
    <x v="5"/>
    <n v="17981"/>
  </r>
  <r>
    <s v="VA"/>
    <s v="Virginia"/>
    <s v="Greene"/>
    <x v="1"/>
    <x v="5"/>
    <n v="17981"/>
  </r>
  <r>
    <s v="VA"/>
    <s v="Virginia"/>
    <s v="Greensville"/>
    <x v="1"/>
    <x v="5"/>
    <n v="17981"/>
  </r>
  <r>
    <s v="VA"/>
    <s v="Virginia"/>
    <s v="Halifax"/>
    <x v="1"/>
    <x v="5"/>
    <n v="17981"/>
  </r>
  <r>
    <s v="VA"/>
    <s v="Virginia"/>
    <s v="Hampton (city)"/>
    <x v="1"/>
    <x v="5"/>
    <n v="17981"/>
  </r>
  <r>
    <s v="VA"/>
    <s v="Virginia"/>
    <s v="Hanover"/>
    <x v="1"/>
    <x v="5"/>
    <n v="17981"/>
  </r>
  <r>
    <s v="VA"/>
    <s v="Virginia"/>
    <s v="Harrisonburg (city)"/>
    <x v="1"/>
    <x v="5"/>
    <n v="17981"/>
  </r>
  <r>
    <s v="VA"/>
    <s v="Virginia"/>
    <s v="Henrico"/>
    <x v="1"/>
    <x v="5"/>
    <n v="17981"/>
  </r>
  <r>
    <s v="VA"/>
    <s v="Virginia"/>
    <s v="Henry"/>
    <x v="1"/>
    <x v="5"/>
    <n v="17981"/>
  </r>
  <r>
    <s v="VA"/>
    <s v="Virginia"/>
    <s v="Highland"/>
    <x v="1"/>
    <x v="5"/>
    <n v="17981"/>
  </r>
  <r>
    <s v="VA"/>
    <s v="Virginia"/>
    <s v="Hopewell (city)"/>
    <x v="1"/>
    <x v="5"/>
    <n v="17981"/>
  </r>
  <r>
    <s v="VA"/>
    <s v="Virginia"/>
    <s v="Isle of Wight"/>
    <x v="1"/>
    <x v="5"/>
    <n v="17981"/>
  </r>
  <r>
    <s v="VA"/>
    <s v="Virginia"/>
    <s v="James City"/>
    <x v="1"/>
    <x v="5"/>
    <n v="17981"/>
  </r>
  <r>
    <s v="VA"/>
    <s v="Virginia"/>
    <s v="King and Queen"/>
    <x v="1"/>
    <x v="5"/>
    <n v="17981"/>
  </r>
  <r>
    <s v="VA"/>
    <s v="Virginia"/>
    <s v="King George"/>
    <x v="1"/>
    <x v="5"/>
    <n v="17981"/>
  </r>
  <r>
    <s v="VA"/>
    <s v="Virginia"/>
    <s v="King William"/>
    <x v="1"/>
    <x v="5"/>
    <n v="17981"/>
  </r>
  <r>
    <s v="VA"/>
    <s v="Virginia"/>
    <s v="Lancaster"/>
    <x v="1"/>
    <x v="5"/>
    <n v="17981"/>
  </r>
  <r>
    <s v="VA"/>
    <s v="Virginia"/>
    <s v="Lee"/>
    <x v="1"/>
    <x v="5"/>
    <n v="17981"/>
  </r>
  <r>
    <s v="VA"/>
    <s v="Virginia"/>
    <s v="Lexington (city)"/>
    <x v="1"/>
    <x v="5"/>
    <n v="17981"/>
  </r>
  <r>
    <s v="VA"/>
    <s v="Virginia"/>
    <s v="Loudoun"/>
    <x v="1"/>
    <x v="5"/>
    <n v="17981"/>
  </r>
  <r>
    <s v="VA"/>
    <s v="Virginia"/>
    <s v="Louisa"/>
    <x v="1"/>
    <x v="5"/>
    <n v="17981"/>
  </r>
  <r>
    <s v="VA"/>
    <s v="Virginia"/>
    <s v="Lunenburg"/>
    <x v="1"/>
    <x v="5"/>
    <n v="17981"/>
  </r>
  <r>
    <s v="VA"/>
    <s v="Virginia"/>
    <s v="Lynchburg (city)"/>
    <x v="1"/>
    <x v="5"/>
    <n v="17981"/>
  </r>
  <r>
    <s v="VA"/>
    <s v="Virginia"/>
    <s v="Madison"/>
    <x v="1"/>
    <x v="5"/>
    <n v="17981"/>
  </r>
  <r>
    <s v="VA"/>
    <s v="Virginia"/>
    <s v="Manassas (city)"/>
    <x v="1"/>
    <x v="5"/>
    <n v="17981"/>
  </r>
  <r>
    <s v="VA"/>
    <s v="Virginia"/>
    <s v="Manassas Park (city)"/>
    <x v="1"/>
    <x v="5"/>
    <n v="17981"/>
  </r>
  <r>
    <s v="VA"/>
    <s v="Virginia"/>
    <s v="Martinsville (city)"/>
    <x v="1"/>
    <x v="5"/>
    <n v="17981"/>
  </r>
  <r>
    <s v="VA"/>
    <s v="Virginia"/>
    <s v="Mathews"/>
    <x v="1"/>
    <x v="5"/>
    <n v="17981"/>
  </r>
  <r>
    <s v="VA"/>
    <s v="Virginia"/>
    <s v="Mecklenburg"/>
    <x v="1"/>
    <x v="5"/>
    <n v="17981"/>
  </r>
  <r>
    <s v="VA"/>
    <s v="Virginia"/>
    <s v="Middlesex"/>
    <x v="1"/>
    <x v="5"/>
    <n v="17981"/>
  </r>
  <r>
    <s v="VA"/>
    <s v="Virginia"/>
    <s v="Montgomery"/>
    <x v="1"/>
    <x v="5"/>
    <n v="17981"/>
  </r>
  <r>
    <s v="VA"/>
    <s v="Virginia"/>
    <s v="Nelson"/>
    <x v="1"/>
    <x v="5"/>
    <n v="17981"/>
  </r>
  <r>
    <s v="VA"/>
    <s v="Virginia"/>
    <s v="New Kent"/>
    <x v="1"/>
    <x v="5"/>
    <n v="17981"/>
  </r>
  <r>
    <s v="VA"/>
    <s v="Virginia"/>
    <s v="Newport News (city)"/>
    <x v="1"/>
    <x v="5"/>
    <n v="17981"/>
  </r>
  <r>
    <s v="VA"/>
    <s v="Virginia"/>
    <s v="Norfolk (city)"/>
    <x v="1"/>
    <x v="5"/>
    <n v="17981"/>
  </r>
  <r>
    <s v="VA"/>
    <s v="Virginia"/>
    <s v="Northampton"/>
    <x v="1"/>
    <x v="5"/>
    <n v="17981"/>
  </r>
  <r>
    <s v="VA"/>
    <s v="Virginia"/>
    <s v="Northumberland"/>
    <x v="1"/>
    <x v="5"/>
    <n v="17981"/>
  </r>
  <r>
    <s v="VA"/>
    <s v="Virginia"/>
    <s v="Norton (city)"/>
    <x v="1"/>
    <x v="5"/>
    <n v="17981"/>
  </r>
  <r>
    <s v="VA"/>
    <s v="Virginia"/>
    <s v="Nottoway"/>
    <x v="1"/>
    <x v="5"/>
    <n v="17981"/>
  </r>
  <r>
    <s v="VA"/>
    <s v="Virginia"/>
    <s v="Orange"/>
    <x v="1"/>
    <x v="5"/>
    <n v="17981"/>
  </r>
  <r>
    <s v="VA"/>
    <s v="Virginia"/>
    <s v="Page"/>
    <x v="1"/>
    <x v="5"/>
    <n v="17981"/>
  </r>
  <r>
    <s v="VA"/>
    <s v="Virginia"/>
    <s v="Patrick"/>
    <x v="1"/>
    <x v="5"/>
    <n v="17981"/>
  </r>
  <r>
    <s v="VA"/>
    <s v="Virginia"/>
    <s v="Petersburg (city)"/>
    <x v="1"/>
    <x v="5"/>
    <n v="17981"/>
  </r>
  <r>
    <s v="VA"/>
    <s v="Virginia"/>
    <s v="Pittsylvania"/>
    <x v="1"/>
    <x v="5"/>
    <n v="17981"/>
  </r>
  <r>
    <s v="VA"/>
    <s v="Virginia"/>
    <s v="Poquoson (city)"/>
    <x v="1"/>
    <x v="5"/>
    <n v="17981"/>
  </r>
  <r>
    <s v="VA"/>
    <s v="Virginia"/>
    <s v="Portsmouth (city)"/>
    <x v="1"/>
    <x v="5"/>
    <n v="17981"/>
  </r>
  <r>
    <s v="VA"/>
    <s v="Virginia"/>
    <s v="Powhatan"/>
    <x v="1"/>
    <x v="5"/>
    <n v="17981"/>
  </r>
  <r>
    <s v="VA"/>
    <s v="Virginia"/>
    <s v="Prince Edward"/>
    <x v="1"/>
    <x v="5"/>
    <n v="17981"/>
  </r>
  <r>
    <s v="VA"/>
    <s v="Virginia"/>
    <s v="Prince George"/>
    <x v="1"/>
    <x v="5"/>
    <n v="17981"/>
  </r>
  <r>
    <s v="VA"/>
    <s v="Virginia"/>
    <s v="Prince William"/>
    <x v="1"/>
    <x v="5"/>
    <n v="17981"/>
  </r>
  <r>
    <s v="VA"/>
    <s v="Virginia"/>
    <s v="Pulaski"/>
    <x v="1"/>
    <x v="5"/>
    <n v="17981"/>
  </r>
  <r>
    <s v="VA"/>
    <s v="Virginia"/>
    <s v="Radford (city)"/>
    <x v="1"/>
    <x v="5"/>
    <n v="17981"/>
  </r>
  <r>
    <s v="WA"/>
    <s v="Washington"/>
    <s v="Walla Walla"/>
    <x v="3"/>
    <x v="2"/>
    <n v="13379"/>
  </r>
  <r>
    <s v="WA"/>
    <s v="Washington"/>
    <s v="Whatcom"/>
    <x v="2"/>
    <x v="2"/>
    <n v="13379"/>
  </r>
  <r>
    <s v="WA"/>
    <s v="Washington"/>
    <s v="Whitman"/>
    <x v="3"/>
    <x v="2"/>
    <n v="13379"/>
  </r>
  <r>
    <s v="WA"/>
    <s v="Washington"/>
    <s v="Yakima"/>
    <x v="3"/>
    <x v="2"/>
    <n v="13379"/>
  </r>
  <r>
    <s v="WV"/>
    <s v="West Virginia"/>
    <s v="Barbour"/>
    <x v="3"/>
    <x v="5"/>
    <n v="17981"/>
  </r>
  <r>
    <s v="WV"/>
    <s v="West Virginia"/>
    <s v="Berkeley"/>
    <x v="1"/>
    <x v="5"/>
    <n v="17981"/>
  </r>
  <r>
    <s v="WV"/>
    <s v="West Virginia"/>
    <s v="Boone"/>
    <x v="1"/>
    <x v="5"/>
    <n v="17981"/>
  </r>
  <r>
    <s v="WV"/>
    <s v="West Virginia"/>
    <s v="Braxton"/>
    <x v="1"/>
    <x v="5"/>
    <n v="17981"/>
  </r>
  <r>
    <s v="WV"/>
    <s v="West Virginia"/>
    <s v="Brooke"/>
    <x v="3"/>
    <x v="5"/>
    <n v="17981"/>
  </r>
  <r>
    <s v="WV"/>
    <s v="West Virginia"/>
    <s v="Cabell"/>
    <x v="1"/>
    <x v="5"/>
    <n v="17981"/>
  </r>
  <r>
    <s v="WV"/>
    <s v="West Virginia"/>
    <s v="Calhoun"/>
    <x v="1"/>
    <x v="5"/>
    <n v="17981"/>
  </r>
  <r>
    <s v="WV"/>
    <s v="West Virginia"/>
    <s v="Clay"/>
    <x v="1"/>
    <x v="5"/>
    <n v="17981"/>
  </r>
  <r>
    <s v="WV"/>
    <s v="West Virginia"/>
    <s v="Doddridge"/>
    <x v="3"/>
    <x v="5"/>
    <n v="17981"/>
  </r>
  <r>
    <s v="WV"/>
    <s v="West Virginia"/>
    <s v="Fayette"/>
    <x v="3"/>
    <x v="5"/>
    <n v="17981"/>
  </r>
  <r>
    <s v="WV"/>
    <s v="West Virginia"/>
    <s v="Gilmer"/>
    <x v="1"/>
    <x v="5"/>
    <n v="17981"/>
  </r>
  <r>
    <s v="WV"/>
    <s v="West Virginia"/>
    <s v="Grant"/>
    <x v="3"/>
    <x v="5"/>
    <n v="17981"/>
  </r>
  <r>
    <s v="WV"/>
    <s v="West Virginia"/>
    <s v="Greenbrier"/>
    <x v="3"/>
    <x v="5"/>
    <n v="17981"/>
  </r>
  <r>
    <s v="WV"/>
    <s v="West Virginia"/>
    <s v="Hampshire"/>
    <x v="3"/>
    <x v="5"/>
    <n v="17981"/>
  </r>
  <r>
    <s v="WV"/>
    <s v="West Virginia"/>
    <s v="Hancock"/>
    <x v="3"/>
    <x v="5"/>
    <n v="17981"/>
  </r>
  <r>
    <s v="WV"/>
    <s v="West Virginia"/>
    <s v="Hardy"/>
    <x v="3"/>
    <x v="5"/>
    <n v="17981"/>
  </r>
  <r>
    <s v="WV"/>
    <s v="West Virginia"/>
    <s v="Harrison"/>
    <x v="3"/>
    <x v="5"/>
    <n v="17981"/>
  </r>
  <r>
    <s v="WV"/>
    <s v="West Virginia"/>
    <s v="Jackson"/>
    <x v="1"/>
    <x v="5"/>
    <n v="17981"/>
  </r>
  <r>
    <s v="WV"/>
    <s v="West Virginia"/>
    <s v="Jefferson"/>
    <x v="1"/>
    <x v="5"/>
    <n v="17981"/>
  </r>
  <r>
    <s v="WV"/>
    <s v="West Virginia"/>
    <s v="Kanawha"/>
    <x v="1"/>
    <x v="5"/>
    <n v="17981"/>
  </r>
  <r>
    <s v="WV"/>
    <s v="West Virginia"/>
    <s v="Lewis"/>
    <x v="3"/>
    <x v="5"/>
    <n v="17981"/>
  </r>
  <r>
    <s v="WV"/>
    <s v="West Virginia"/>
    <s v="Lincoln"/>
    <x v="1"/>
    <x v="5"/>
    <n v="17981"/>
  </r>
  <r>
    <s v="WV"/>
    <s v="West Virginia"/>
    <s v="Logan"/>
    <x v="1"/>
    <x v="5"/>
    <n v="17981"/>
  </r>
  <r>
    <s v="WV"/>
    <s v="West Virginia"/>
    <s v="Marion"/>
    <x v="3"/>
    <x v="5"/>
    <n v="17981"/>
  </r>
  <r>
    <s v="WV"/>
    <s v="West Virginia"/>
    <s v="Marshall"/>
    <x v="3"/>
    <x v="5"/>
    <n v="17981"/>
  </r>
  <r>
    <s v="WV"/>
    <s v="West Virginia"/>
    <s v="Mason"/>
    <x v="1"/>
    <x v="5"/>
    <n v="17981"/>
  </r>
  <r>
    <s v="WV"/>
    <s v="West Virginia"/>
    <s v="McDowell"/>
    <x v="1"/>
    <x v="5"/>
    <n v="17981"/>
  </r>
  <r>
    <s v="WV"/>
    <s v="West Virginia"/>
    <s v="Mercer"/>
    <x v="1"/>
    <x v="5"/>
    <n v="17981"/>
  </r>
  <r>
    <s v="WV"/>
    <s v="West Virginia"/>
    <s v="Mineral"/>
    <x v="3"/>
    <x v="5"/>
    <n v="17981"/>
  </r>
  <r>
    <s v="WV"/>
    <s v="West Virginia"/>
    <s v="Mingo"/>
    <x v="1"/>
    <x v="5"/>
    <n v="17981"/>
  </r>
  <r>
    <s v="WV"/>
    <s v="West Virginia"/>
    <s v="Monongalia"/>
    <x v="3"/>
    <x v="5"/>
    <n v="17981"/>
  </r>
  <r>
    <s v="WV"/>
    <s v="West Virginia"/>
    <s v="Monroe"/>
    <x v="1"/>
    <x v="5"/>
    <n v="17981"/>
  </r>
  <r>
    <s v="WV"/>
    <s v="West Virginia"/>
    <s v="Morgan"/>
    <x v="1"/>
    <x v="5"/>
    <n v="17981"/>
  </r>
  <r>
    <s v="WV"/>
    <s v="West Virginia"/>
    <s v="Nicholas"/>
    <x v="3"/>
    <x v="5"/>
    <n v="17981"/>
  </r>
  <r>
    <s v="WV"/>
    <s v="West Virginia"/>
    <s v="Ohio"/>
    <x v="3"/>
    <x v="5"/>
    <n v="17981"/>
  </r>
  <r>
    <s v="WV"/>
    <s v="West Virginia"/>
    <s v="Pendleton"/>
    <x v="3"/>
    <x v="5"/>
    <n v="17981"/>
  </r>
  <r>
    <s v="WV"/>
    <s v="West Virginia"/>
    <s v="Pleasants"/>
    <x v="1"/>
    <x v="5"/>
    <n v="17981"/>
  </r>
  <r>
    <s v="WV"/>
    <s v="West Virginia"/>
    <s v="Pocahontas"/>
    <x v="3"/>
    <x v="5"/>
    <n v="17981"/>
  </r>
  <r>
    <s v="WV"/>
    <s v="West Virginia"/>
    <s v="Preston"/>
    <x v="3"/>
    <x v="5"/>
    <n v="17981"/>
  </r>
  <r>
    <s v="WV"/>
    <s v="West Virginia"/>
    <s v="Putnam"/>
    <x v="1"/>
    <x v="5"/>
    <n v="17981"/>
  </r>
  <r>
    <s v="WV"/>
    <s v="West Virginia"/>
    <s v="Raleigh"/>
    <x v="3"/>
    <x v="5"/>
    <n v="17981"/>
  </r>
  <r>
    <s v="WV"/>
    <s v="West Virginia"/>
    <s v="Randolph"/>
    <x v="3"/>
    <x v="5"/>
    <n v="17981"/>
  </r>
  <r>
    <s v="WV"/>
    <s v="West Virginia"/>
    <s v="Ritchie"/>
    <x v="1"/>
    <x v="5"/>
    <n v="17981"/>
  </r>
  <r>
    <s v="WV"/>
    <s v="West Virginia"/>
    <s v="Roane"/>
    <x v="1"/>
    <x v="5"/>
    <n v="17981"/>
  </r>
  <r>
    <s v="WV"/>
    <s v="West Virginia"/>
    <s v="Summers"/>
    <x v="3"/>
    <x v="5"/>
    <n v="17981"/>
  </r>
  <r>
    <s v="WV"/>
    <s v="West Virginia"/>
    <s v="Taylor"/>
    <x v="3"/>
    <x v="5"/>
    <n v="17981"/>
  </r>
  <r>
    <s v="WV"/>
    <s v="West Virginia"/>
    <s v="Tucker"/>
    <x v="3"/>
    <x v="5"/>
    <n v="17981"/>
  </r>
  <r>
    <s v="WV"/>
    <s v="West Virginia"/>
    <s v="Tyler"/>
    <x v="1"/>
    <x v="5"/>
    <n v="17981"/>
  </r>
  <r>
    <s v="WV"/>
    <s v="West Virginia"/>
    <s v="Upshur"/>
    <x v="3"/>
    <x v="5"/>
    <n v="17981"/>
  </r>
  <r>
    <s v="WV"/>
    <s v="West Virginia"/>
    <s v="Wayne"/>
    <x v="1"/>
    <x v="5"/>
    <n v="17981"/>
  </r>
  <r>
    <s v="WV"/>
    <s v="West Virginia"/>
    <s v="Webster"/>
    <x v="3"/>
    <x v="5"/>
    <n v="17981"/>
  </r>
  <r>
    <s v="WV"/>
    <s v="West Virginia"/>
    <s v="Wetzel"/>
    <x v="3"/>
    <x v="5"/>
    <n v="17981"/>
  </r>
  <r>
    <s v="WV"/>
    <s v="West Virginia"/>
    <s v="Wirt"/>
    <x v="1"/>
    <x v="5"/>
    <n v="17981"/>
  </r>
  <r>
    <s v="WV"/>
    <s v="West Virginia"/>
    <s v="Wood"/>
    <x v="1"/>
    <x v="5"/>
    <n v="17981"/>
  </r>
  <r>
    <s v="WV"/>
    <s v="West Virginia"/>
    <s v="Wyoming"/>
    <x v="1"/>
    <x v="5"/>
    <n v="17981"/>
  </r>
  <r>
    <s v="WI"/>
    <s v="Wisconsin"/>
    <s v="Adams"/>
    <x v="3"/>
    <x v="6"/>
    <n v="12742"/>
  </r>
  <r>
    <s v="WI"/>
    <s v="Wisconsin"/>
    <s v="Ashland"/>
    <x v="6"/>
    <x v="6"/>
    <n v="12742"/>
  </r>
  <r>
    <s v="WI"/>
    <s v="Wisconsin"/>
    <s v="Barron"/>
    <x v="3"/>
    <x v="6"/>
    <n v="12742"/>
  </r>
  <r>
    <s v="WI"/>
    <s v="Wisconsin"/>
    <s v="Bayfield"/>
    <x v="6"/>
    <x v="6"/>
    <n v="12742"/>
  </r>
  <r>
    <s v="WI"/>
    <s v="Wisconsin"/>
    <s v="Brown"/>
    <x v="3"/>
    <x v="6"/>
    <n v="12742"/>
  </r>
  <r>
    <s v="WI"/>
    <s v="Wisconsin"/>
    <s v="Buffalo"/>
    <x v="3"/>
    <x v="6"/>
    <n v="12742"/>
  </r>
  <r>
    <s v="WI"/>
    <s v="Wisconsin"/>
    <s v="Wood"/>
    <x v="3"/>
    <x v="6"/>
    <n v="12742"/>
  </r>
  <r>
    <s v="WY"/>
    <s v="Wyoming"/>
    <s v="Albany"/>
    <x v="3"/>
    <x v="3"/>
    <n v="4981"/>
  </r>
  <r>
    <s v="WY"/>
    <s v="Wyoming"/>
    <s v="Big Horn"/>
    <x v="3"/>
    <x v="3"/>
    <n v="4981"/>
  </r>
  <r>
    <s v="WY"/>
    <s v="Wyoming"/>
    <s v="Campbell"/>
    <x v="3"/>
    <x v="3"/>
    <n v="4981"/>
  </r>
  <r>
    <s v="WY"/>
    <s v="Wyoming"/>
    <s v="Carbon"/>
    <x v="3"/>
    <x v="3"/>
    <n v="4981"/>
  </r>
  <r>
    <s v="WY"/>
    <s v="Wyoming"/>
    <s v="Converse"/>
    <x v="3"/>
    <x v="3"/>
    <n v="4981"/>
  </r>
  <r>
    <s v="WY"/>
    <s v="Wyoming"/>
    <s v="Crook"/>
    <x v="3"/>
    <x v="3"/>
    <n v="4981"/>
  </r>
  <r>
    <s v="WY"/>
    <s v="Wyoming"/>
    <s v="Fremont"/>
    <x v="3"/>
    <x v="3"/>
    <n v="4981"/>
  </r>
  <r>
    <s v="WY"/>
    <s v="Wyoming"/>
    <s v="Goshen"/>
    <x v="3"/>
    <x v="3"/>
    <n v="4981"/>
  </r>
  <r>
    <s v="WY"/>
    <s v="Wyoming"/>
    <s v="Hot Springs"/>
    <x v="3"/>
    <x v="3"/>
    <n v="4981"/>
  </r>
  <r>
    <s v="WY"/>
    <s v="Wyoming"/>
    <s v="Johnson"/>
    <x v="3"/>
    <x v="3"/>
    <n v="4981"/>
  </r>
  <r>
    <s v="WY"/>
    <s v="Wyoming"/>
    <s v="Laramie"/>
    <x v="3"/>
    <x v="3"/>
    <n v="4981"/>
  </r>
  <r>
    <s v="WY"/>
    <s v="Wyoming"/>
    <s v="Lincoln"/>
    <x v="6"/>
    <x v="3"/>
    <n v="4981"/>
  </r>
  <r>
    <s v="WY"/>
    <s v="Wyoming"/>
    <s v="Natrona"/>
    <x v="3"/>
    <x v="3"/>
    <n v="4981"/>
  </r>
  <r>
    <s v="WY"/>
    <s v="Wyoming"/>
    <s v="Niobrara"/>
    <x v="3"/>
    <x v="3"/>
    <n v="4981"/>
  </r>
  <r>
    <s v="WY"/>
    <s v="Wyoming"/>
    <s v="Park"/>
    <x v="3"/>
    <x v="3"/>
    <n v="4981"/>
  </r>
  <r>
    <s v="WY"/>
    <s v="Wyoming"/>
    <s v="Platte"/>
    <x v="3"/>
    <x v="3"/>
    <n v="4981"/>
  </r>
  <r>
    <s v="WY"/>
    <s v="Wyoming"/>
    <s v="Sheridan"/>
    <x v="3"/>
    <x v="3"/>
    <n v="4981"/>
  </r>
  <r>
    <s v="WY"/>
    <s v="Wyoming"/>
    <s v="Sublette"/>
    <x v="6"/>
    <x v="3"/>
    <n v="4981"/>
  </r>
  <r>
    <s v="WY"/>
    <s v="Wyoming"/>
    <s v="Sweetwater"/>
    <x v="3"/>
    <x v="3"/>
    <n v="4981"/>
  </r>
  <r>
    <s v="WY"/>
    <s v="Wyoming"/>
    <s v="Teton"/>
    <x v="6"/>
    <x v="3"/>
    <n v="4981"/>
  </r>
  <r>
    <s v="WY"/>
    <s v="Wyoming"/>
    <s v="Uinta"/>
    <x v="3"/>
    <x v="3"/>
    <n v="4981"/>
  </r>
  <r>
    <s v="WY"/>
    <s v="Wyoming"/>
    <s v="Washakie"/>
    <x v="3"/>
    <x v="3"/>
    <n v="4981"/>
  </r>
  <r>
    <s v="WY"/>
    <s v="Wyoming"/>
    <s v="Weston"/>
    <x v="3"/>
    <x v="3"/>
    <n v="4981"/>
  </r>
  <r>
    <s v="AL"/>
    <s v="Alabama"/>
    <s v="Wilcox"/>
    <x v="0"/>
    <x v="0"/>
    <n v="4904"/>
  </r>
  <r>
    <s v="AL"/>
    <s v="Alabama"/>
    <s v="Winston"/>
    <x v="1"/>
    <x v="0"/>
    <n v="4904"/>
  </r>
  <r>
    <s v="AK"/>
    <s v="Alaska"/>
    <s v="Aleutians East"/>
    <x v="6"/>
    <x v="2"/>
    <n v="13379"/>
  </r>
  <r>
    <s v="AK"/>
    <s v="Alaska"/>
    <s v="Aleutians West (CA)"/>
    <x v="6"/>
    <x v="2"/>
    <n v="13379"/>
  </r>
  <r>
    <s v="AK"/>
    <s v="Alaska"/>
    <s v="Anchorage"/>
    <x v="6"/>
    <x v="2"/>
    <n v="13379"/>
  </r>
  <r>
    <s v="AK"/>
    <s v="Alaska"/>
    <s v="Bethel (CA)"/>
    <x v="7"/>
    <x v="2"/>
    <n v="13379"/>
  </r>
  <r>
    <s v="AK"/>
    <s v="Alaska"/>
    <s v="Bristol Bay"/>
    <x v="6"/>
    <x v="2"/>
    <n v="13379"/>
  </r>
  <r>
    <s v="AK"/>
    <s v="Alaska"/>
    <s v="Denali"/>
    <x v="6"/>
    <x v="2"/>
    <n v="13379"/>
  </r>
  <r>
    <s v="AK"/>
    <s v="Alaska"/>
    <s v="Dillingham (CA)"/>
    <x v="7"/>
    <x v="2"/>
    <n v="13379"/>
  </r>
  <r>
    <s v="AK"/>
    <s v="Alaska"/>
    <s v="Fairbanks North Star"/>
    <x v="7"/>
    <x v="2"/>
    <n v="13379"/>
  </r>
  <r>
    <s v="AK"/>
    <s v="Alaska"/>
    <s v="Haines"/>
    <x v="6"/>
    <x v="2"/>
    <n v="13379"/>
  </r>
  <r>
    <s v="AK"/>
    <s v="Alaska"/>
    <s v="Juneau"/>
    <x v="6"/>
    <x v="2"/>
    <n v="13379"/>
  </r>
  <r>
    <s v="AK"/>
    <s v="Alaska"/>
    <s v="Kenai Peninsula"/>
    <x v="6"/>
    <x v="2"/>
    <n v="13379"/>
  </r>
  <r>
    <s v="AK"/>
    <s v="Alaska"/>
    <s v="Ketchikan Gateway"/>
    <x v="6"/>
    <x v="2"/>
    <n v="13379"/>
  </r>
  <r>
    <s v="AK"/>
    <s v="Alaska"/>
    <s v="Kodiak Island"/>
    <x v="6"/>
    <x v="2"/>
    <n v="13379"/>
  </r>
  <r>
    <s v="AK"/>
    <s v="Alaska"/>
    <s v="Lake and Peninsula"/>
    <x v="6"/>
    <x v="2"/>
    <n v="13379"/>
  </r>
  <r>
    <s v="AK"/>
    <s v="Alaska"/>
    <s v="Matanuska-Susitna"/>
    <x v="6"/>
    <x v="2"/>
    <n v="13379"/>
  </r>
  <r>
    <s v="AK"/>
    <s v="Alaska"/>
    <s v="Nome (CA)"/>
    <x v="7"/>
    <x v="2"/>
    <n v="13379"/>
  </r>
  <r>
    <s v="AK"/>
    <s v="Alaska"/>
    <s v="North Slope"/>
    <x v="7"/>
    <x v="2"/>
    <n v="13379"/>
  </r>
  <r>
    <s v="AK"/>
    <s v="Alaska"/>
    <s v="Northwest Arctic"/>
    <x v="7"/>
    <x v="2"/>
    <n v="13379"/>
  </r>
  <r>
    <s v="AK"/>
    <s v="Alaska"/>
    <s v="Sitka"/>
    <x v="6"/>
    <x v="2"/>
    <n v="13379"/>
  </r>
  <r>
    <s v="AK"/>
    <s v="Alaska"/>
    <s v="Skagway-Hoonah-Angoon (CA)"/>
    <x v="6"/>
    <x v="2"/>
    <n v="13379"/>
  </r>
  <r>
    <s v="AK"/>
    <s v="Alaska"/>
    <s v="Southeast Fairbanks (CA)"/>
    <x v="7"/>
    <x v="2"/>
    <n v="13379"/>
  </r>
  <r>
    <s v="AK"/>
    <s v="Alaska"/>
    <s v="Valdez-Cordova (CA)"/>
    <x v="6"/>
    <x v="2"/>
    <n v="13379"/>
  </r>
  <r>
    <s v="AK"/>
    <s v="Alaska"/>
    <s v="Wade Hampton (CA)"/>
    <x v="7"/>
    <x v="2"/>
    <n v="13379"/>
  </r>
  <r>
    <s v="AK"/>
    <s v="Alaska"/>
    <s v="Wrangell-Petersburg (CA)"/>
    <x v="6"/>
    <x v="2"/>
    <n v="13379"/>
  </r>
  <r>
    <s v="AK"/>
    <s v="Alaska"/>
    <s v="Yakutat"/>
    <x v="6"/>
    <x v="2"/>
    <n v="13379"/>
  </r>
  <r>
    <s v="AK"/>
    <s v="Alaska"/>
    <s v="Yukon-Koyukuk (CA)"/>
    <x v="7"/>
    <x v="2"/>
    <n v="13379"/>
  </r>
  <r>
    <s v="AZ"/>
    <s v="Arizona"/>
    <s v="Apache"/>
    <x v="3"/>
    <x v="3"/>
    <n v="4981"/>
  </r>
  <r>
    <s v="AZ"/>
    <s v="Arizona"/>
    <s v="Cochise"/>
    <x v="5"/>
    <x v="3"/>
    <n v="4981"/>
  </r>
  <r>
    <s v="AZ"/>
    <s v="Arizona"/>
    <s v="Coconino"/>
    <x v="3"/>
    <x v="3"/>
    <n v="4981"/>
  </r>
  <r>
    <s v="AZ"/>
    <s v="Arizona"/>
    <s v="Gila"/>
    <x v="4"/>
    <x v="3"/>
    <n v="4981"/>
  </r>
  <r>
    <s v="AZ"/>
    <s v="Arizona"/>
    <s v="Graham"/>
    <x v="5"/>
    <x v="3"/>
    <n v="4981"/>
  </r>
  <r>
    <s v="AZ"/>
    <s v="Arizona"/>
    <s v="Greenlee"/>
    <x v="5"/>
    <x v="3"/>
    <n v="4981"/>
  </r>
  <r>
    <s v="AZ"/>
    <s v="Arizona"/>
    <s v="La Paz"/>
    <x v="5"/>
    <x v="3"/>
    <n v="4981"/>
  </r>
  <r>
    <s v="AZ"/>
    <s v="Arizona"/>
    <s v="Maricopa"/>
    <x v="5"/>
    <x v="3"/>
    <n v="4981"/>
  </r>
  <r>
    <s v="AZ"/>
    <s v="Arizona"/>
    <s v="Mohave"/>
    <x v="5"/>
    <x v="3"/>
    <n v="4981"/>
  </r>
  <r>
    <s v="AZ"/>
    <s v="Arizona"/>
    <s v="Navajo"/>
    <x v="3"/>
    <x v="3"/>
    <n v="4981"/>
  </r>
  <r>
    <s v="AZ"/>
    <s v="Arizona"/>
    <s v="Pima"/>
    <x v="5"/>
    <x v="3"/>
    <n v="4981"/>
  </r>
  <r>
    <s v="AZ"/>
    <s v="Arizona"/>
    <s v="Pinal"/>
    <x v="5"/>
    <x v="3"/>
    <n v="4981"/>
  </r>
  <r>
    <s v="AZ"/>
    <s v="Arizona"/>
    <s v="Santa Cruz"/>
    <x v="5"/>
    <x v="3"/>
    <n v="4981"/>
  </r>
  <r>
    <s v="AZ"/>
    <s v="Arizona"/>
    <s v="Yavapai"/>
    <x v="4"/>
    <x v="3"/>
    <n v="4981"/>
  </r>
  <r>
    <s v="AZ"/>
    <s v="Arizona"/>
    <s v="Yuma"/>
    <x v="5"/>
    <x v="3"/>
    <n v="4981"/>
  </r>
  <r>
    <s v="AR"/>
    <s v="Arkansas"/>
    <s v="Arkansas"/>
    <x v="1"/>
    <x v="1"/>
    <n v="11394"/>
  </r>
  <r>
    <s v="AR"/>
    <s v="Arkansas"/>
    <s v="Ashley"/>
    <x v="1"/>
    <x v="1"/>
    <n v="11394"/>
  </r>
  <r>
    <s v="AR"/>
    <s v="Arkansas"/>
    <s v="Baxter"/>
    <x v="1"/>
    <x v="1"/>
    <n v="11394"/>
  </r>
  <r>
    <s v="AR"/>
    <s v="Arkansas"/>
    <s v="Benton"/>
    <x v="1"/>
    <x v="1"/>
    <n v="11394"/>
  </r>
  <r>
    <s v="AR"/>
    <s v="Arkansas"/>
    <s v="Boone"/>
    <x v="1"/>
    <x v="1"/>
    <n v="11394"/>
  </r>
  <r>
    <s v="AR"/>
    <s v="Arkansas"/>
    <s v="Bradley"/>
    <x v="1"/>
    <x v="1"/>
    <n v="11394"/>
  </r>
  <r>
    <s v="AR"/>
    <s v="Arkansas"/>
    <s v="Calhoun"/>
    <x v="1"/>
    <x v="1"/>
    <n v="11394"/>
  </r>
  <r>
    <s v="AR"/>
    <s v="Arkansas"/>
    <s v="Carroll"/>
    <x v="1"/>
    <x v="1"/>
    <n v="11394"/>
  </r>
  <r>
    <s v="AR"/>
    <s v="Arkansas"/>
    <s v="Chicot"/>
    <x v="1"/>
    <x v="1"/>
    <n v="11394"/>
  </r>
  <r>
    <s v="AR"/>
    <s v="Arkansas"/>
    <s v="Clark"/>
    <x v="1"/>
    <x v="1"/>
    <n v="11394"/>
  </r>
  <r>
    <s v="AR"/>
    <s v="Arkansas"/>
    <s v="Clay"/>
    <x v="1"/>
    <x v="1"/>
    <n v="11394"/>
  </r>
  <r>
    <s v="AR"/>
    <s v="Arkansas"/>
    <s v="Cleburne"/>
    <x v="1"/>
    <x v="1"/>
    <n v="11394"/>
  </r>
  <r>
    <s v="AR"/>
    <s v="Arkansas"/>
    <s v="Cleveland"/>
    <x v="1"/>
    <x v="1"/>
    <n v="11394"/>
  </r>
  <r>
    <s v="AR"/>
    <s v="Arkansas"/>
    <s v="Columbia"/>
    <x v="0"/>
    <x v="1"/>
    <n v="11394"/>
  </r>
  <r>
    <s v="AR"/>
    <s v="Arkansas"/>
    <s v="Conway"/>
    <x v="1"/>
    <x v="1"/>
    <n v="11394"/>
  </r>
  <r>
    <s v="AR"/>
    <s v="Arkansas"/>
    <s v="Craighead"/>
    <x v="1"/>
    <x v="1"/>
    <n v="11394"/>
  </r>
  <r>
    <s v="AR"/>
    <s v="Arkansas"/>
    <s v="Crawford"/>
    <x v="1"/>
    <x v="1"/>
    <n v="11394"/>
  </r>
  <r>
    <s v="AR"/>
    <s v="Arkansas"/>
    <s v="Crittenden"/>
    <x v="1"/>
    <x v="1"/>
    <n v="11394"/>
  </r>
  <r>
    <s v="AR"/>
    <s v="Arkansas"/>
    <s v="Cross"/>
    <x v="1"/>
    <x v="1"/>
    <n v="11394"/>
  </r>
  <r>
    <s v="AR"/>
    <s v="Arkansas"/>
    <s v="Dallas"/>
    <x v="1"/>
    <x v="1"/>
    <n v="11394"/>
  </r>
  <r>
    <s v="CA"/>
    <s v="California"/>
    <s v="Glenn"/>
    <x v="5"/>
    <x v="2"/>
    <n v="13379"/>
  </r>
  <r>
    <s v="CA"/>
    <s v="California"/>
    <s v="Humboldt"/>
    <x v="2"/>
    <x v="2"/>
    <n v="13379"/>
  </r>
  <r>
    <s v="CA"/>
    <s v="California"/>
    <s v="Imperial"/>
    <x v="5"/>
    <x v="2"/>
    <n v="13379"/>
  </r>
  <r>
    <s v="CA"/>
    <s v="California"/>
    <s v="Inyo"/>
    <x v="4"/>
    <x v="2"/>
    <n v="13379"/>
  </r>
  <r>
    <s v="CA"/>
    <s v="California"/>
    <s v="Kern"/>
    <x v="5"/>
    <x v="2"/>
    <n v="13379"/>
  </r>
  <r>
    <s v="CA"/>
    <s v="California"/>
    <s v="Kings"/>
    <x v="5"/>
    <x v="2"/>
    <n v="13379"/>
  </r>
  <r>
    <s v="CA"/>
    <s v="California"/>
    <s v="Lake"/>
    <x v="4"/>
    <x v="2"/>
    <n v="13379"/>
  </r>
  <r>
    <s v="CA"/>
    <s v="California"/>
    <s v="Lassen"/>
    <x v="3"/>
    <x v="2"/>
    <n v="13379"/>
  </r>
  <r>
    <s v="CA"/>
    <s v="California"/>
    <s v="Los Angeles"/>
    <x v="5"/>
    <x v="2"/>
    <n v="13379"/>
  </r>
  <r>
    <s v="CA"/>
    <s v="California"/>
    <s v="Madera"/>
    <x v="5"/>
    <x v="2"/>
    <n v="13379"/>
  </r>
  <r>
    <s v="CA"/>
    <s v="California"/>
    <s v="Marin"/>
    <x v="2"/>
    <x v="2"/>
    <n v="13379"/>
  </r>
  <r>
    <s v="CA"/>
    <s v="California"/>
    <s v="Mariposa"/>
    <x v="4"/>
    <x v="2"/>
    <n v="13379"/>
  </r>
  <r>
    <s v="CA"/>
    <s v="California"/>
    <s v="Mendocino"/>
    <x v="2"/>
    <x v="2"/>
    <n v="13379"/>
  </r>
  <r>
    <s v="CA"/>
    <s v="California"/>
    <s v="Merced"/>
    <x v="5"/>
    <x v="2"/>
    <n v="13379"/>
  </r>
  <r>
    <s v="CA"/>
    <s v="California"/>
    <s v="Modoc"/>
    <x v="3"/>
    <x v="2"/>
    <n v="13379"/>
  </r>
  <r>
    <s v="CA"/>
    <s v="California"/>
    <s v="Mono"/>
    <x v="3"/>
    <x v="2"/>
    <n v="13379"/>
  </r>
  <r>
    <s v="CA"/>
    <s v="California"/>
    <s v="Monterey"/>
    <x v="2"/>
    <x v="2"/>
    <n v="13379"/>
  </r>
  <r>
    <s v="CA"/>
    <s v="California"/>
    <s v="Napa"/>
    <x v="2"/>
    <x v="2"/>
    <n v="13379"/>
  </r>
  <r>
    <s v="CA"/>
    <s v="California"/>
    <s v="Nevada"/>
    <x v="3"/>
    <x v="2"/>
    <n v="13379"/>
  </r>
  <r>
    <s v="CA"/>
    <s v="California"/>
    <s v="Orange"/>
    <x v="5"/>
    <x v="2"/>
    <n v="13379"/>
  </r>
  <r>
    <s v="CA"/>
    <s v="California"/>
    <s v="Placer"/>
    <x v="5"/>
    <x v="2"/>
    <n v="13379"/>
  </r>
  <r>
    <s v="CA"/>
    <s v="California"/>
    <s v="Plumas"/>
    <x v="3"/>
    <x v="2"/>
    <n v="13379"/>
  </r>
  <r>
    <s v="CA"/>
    <s v="California"/>
    <s v="Riverside"/>
    <x v="5"/>
    <x v="2"/>
    <n v="13379"/>
  </r>
  <r>
    <s v="CA"/>
    <s v="California"/>
    <s v="Sacramento"/>
    <x v="5"/>
    <x v="2"/>
    <n v="13379"/>
  </r>
  <r>
    <s v="CA"/>
    <s v="California"/>
    <s v="San Benito"/>
    <x v="2"/>
    <x v="2"/>
    <n v="13379"/>
  </r>
  <r>
    <s v="CA"/>
    <s v="California"/>
    <s v="San Bernardino"/>
    <x v="5"/>
    <x v="2"/>
    <n v="13379"/>
  </r>
  <r>
    <s v="CA"/>
    <s v="California"/>
    <s v="San Diego"/>
    <x v="5"/>
    <x v="2"/>
    <n v="13379"/>
  </r>
  <r>
    <s v="CA"/>
    <s v="California"/>
    <s v="San Francisco"/>
    <x v="2"/>
    <x v="2"/>
    <n v="13379"/>
  </r>
  <r>
    <s v="CA"/>
    <s v="California"/>
    <s v="San Joaquin"/>
    <x v="5"/>
    <x v="2"/>
    <n v="13379"/>
  </r>
  <r>
    <s v="CA"/>
    <s v="California"/>
    <s v="San Luis Obispo"/>
    <x v="2"/>
    <x v="2"/>
    <n v="13379"/>
  </r>
  <r>
    <s v="CA"/>
    <s v="California"/>
    <s v="San Mateo"/>
    <x v="2"/>
    <x v="2"/>
    <n v="13379"/>
  </r>
  <r>
    <s v="CA"/>
    <s v="California"/>
    <s v="Santa Barbara"/>
    <x v="2"/>
    <x v="2"/>
    <n v="13379"/>
  </r>
  <r>
    <s v="CA"/>
    <s v="California"/>
    <s v="Santa Clara"/>
    <x v="2"/>
    <x v="2"/>
    <n v="13379"/>
  </r>
  <r>
    <s v="CA"/>
    <s v="California"/>
    <s v="Santa Cruz"/>
    <x v="2"/>
    <x v="2"/>
    <n v="13379"/>
  </r>
  <r>
    <s v="CA"/>
    <s v="California"/>
    <s v="Shasta"/>
    <x v="5"/>
    <x v="2"/>
    <n v="13379"/>
  </r>
  <r>
    <s v="CA"/>
    <s v="California"/>
    <s v="Sierra"/>
    <x v="3"/>
    <x v="2"/>
    <n v="13379"/>
  </r>
  <r>
    <s v="CA"/>
    <s v="California"/>
    <s v="Siskiyou"/>
    <x v="3"/>
    <x v="2"/>
    <n v="13379"/>
  </r>
  <r>
    <s v="CA"/>
    <s v="California"/>
    <s v="Solano"/>
    <x v="5"/>
    <x v="2"/>
    <n v="13379"/>
  </r>
  <r>
    <s v="CA"/>
    <s v="California"/>
    <s v="Sonoma"/>
    <x v="2"/>
    <x v="2"/>
    <n v="13379"/>
  </r>
  <r>
    <s v="CA"/>
    <s v="California"/>
    <s v="Stanislaus"/>
    <x v="5"/>
    <x v="2"/>
    <n v="13379"/>
  </r>
  <r>
    <s v="CA"/>
    <s v="California"/>
    <s v="Sutter"/>
    <x v="5"/>
    <x v="2"/>
    <n v="13379"/>
  </r>
  <r>
    <s v="CA"/>
    <s v="California"/>
    <s v="Tehama"/>
    <x v="5"/>
    <x v="2"/>
    <n v="13379"/>
  </r>
  <r>
    <s v="CA"/>
    <s v="California"/>
    <s v="Trinity"/>
    <x v="4"/>
    <x v="2"/>
    <n v="13379"/>
  </r>
  <r>
    <s v="CA"/>
    <s v="California"/>
    <s v="Tulare"/>
    <x v="5"/>
    <x v="2"/>
    <n v="13379"/>
  </r>
  <r>
    <s v="CA"/>
    <s v="California"/>
    <s v="Tuolumne"/>
    <x v="4"/>
    <x v="2"/>
    <n v="13379"/>
  </r>
  <r>
    <s v="CA"/>
    <s v="California"/>
    <s v="Ventura"/>
    <x v="2"/>
    <x v="2"/>
    <n v="13379"/>
  </r>
  <r>
    <s v="CA"/>
    <s v="California"/>
    <s v="Yolo"/>
    <x v="5"/>
    <x v="2"/>
    <n v="13379"/>
  </r>
  <r>
    <s v="CA"/>
    <s v="California"/>
    <s v="Yuba"/>
    <x v="5"/>
    <x v="2"/>
    <n v="13379"/>
  </r>
  <r>
    <s v="CO"/>
    <s v="Colorado"/>
    <s v="Adams"/>
    <x v="3"/>
    <x v="3"/>
    <n v="4981"/>
  </r>
  <r>
    <s v="CO"/>
    <s v="Colorado"/>
    <s v="Alamosa"/>
    <x v="3"/>
    <x v="3"/>
    <n v="4981"/>
  </r>
  <r>
    <s v="CO"/>
    <s v="Colorado"/>
    <s v="Arapahoe"/>
    <x v="3"/>
    <x v="3"/>
    <n v="4981"/>
  </r>
  <r>
    <s v="CO"/>
    <s v="Colorado"/>
    <s v="Archuleta"/>
    <x v="3"/>
    <x v="3"/>
    <n v="4981"/>
  </r>
  <r>
    <s v="CO"/>
    <s v="Colorado"/>
    <s v="Baca"/>
    <x v="4"/>
    <x v="3"/>
    <n v="4981"/>
  </r>
  <r>
    <s v="CO"/>
    <s v="Colorado"/>
    <s v="Bent"/>
    <x v="3"/>
    <x v="3"/>
    <n v="4981"/>
  </r>
  <r>
    <s v="CO"/>
    <s v="Colorado"/>
    <s v="Boulder"/>
    <x v="3"/>
    <x v="3"/>
    <n v="4981"/>
  </r>
  <r>
    <s v="CO"/>
    <s v="Colorado"/>
    <s v="Broomfield"/>
    <x v="3"/>
    <x v="3"/>
    <n v="4981"/>
  </r>
  <r>
    <s v="CO"/>
    <s v="Colorado"/>
    <s v="Chaffee"/>
    <x v="3"/>
    <x v="3"/>
    <n v="4981"/>
  </r>
  <r>
    <s v="CO"/>
    <s v="Colorado"/>
    <s v="Cheyenne"/>
    <x v="3"/>
    <x v="3"/>
    <n v="4981"/>
  </r>
  <r>
    <s v="CO"/>
    <s v="Colorado"/>
    <s v="Clear Creek"/>
    <x v="6"/>
    <x v="3"/>
    <n v="4981"/>
  </r>
  <r>
    <s v="CO"/>
    <s v="Colorado"/>
    <s v="Conejos"/>
    <x v="3"/>
    <x v="3"/>
    <n v="4981"/>
  </r>
  <r>
    <s v="CO"/>
    <s v="Colorado"/>
    <s v="Costilla"/>
    <x v="3"/>
    <x v="3"/>
    <n v="4981"/>
  </r>
  <r>
    <s v="CO"/>
    <s v="Colorado"/>
    <s v="Crowley"/>
    <x v="3"/>
    <x v="3"/>
    <n v="4981"/>
  </r>
  <r>
    <s v="CO"/>
    <s v="Colorado"/>
    <s v="Custer"/>
    <x v="3"/>
    <x v="3"/>
    <n v="4981"/>
  </r>
  <r>
    <s v="CO"/>
    <s v="Colorado"/>
    <s v="Delta"/>
    <x v="3"/>
    <x v="3"/>
    <n v="4981"/>
  </r>
  <r>
    <s v="CO"/>
    <s v="Colorado"/>
    <s v="Denver"/>
    <x v="3"/>
    <x v="3"/>
    <n v="4981"/>
  </r>
  <r>
    <s v="FL"/>
    <s v="Florida"/>
    <s v="Broward"/>
    <x v="0"/>
    <x v="5"/>
    <n v="17981"/>
  </r>
  <r>
    <s v="FL"/>
    <s v="Florida"/>
    <s v="Calhoun"/>
    <x v="0"/>
    <x v="5"/>
    <n v="17981"/>
  </r>
  <r>
    <s v="FL"/>
    <s v="Florida"/>
    <s v="Charlotte"/>
    <x v="0"/>
    <x v="5"/>
    <n v="17981"/>
  </r>
  <r>
    <s v="FL"/>
    <s v="Florida"/>
    <s v="Citrus"/>
    <x v="0"/>
    <x v="5"/>
    <n v="17981"/>
  </r>
  <r>
    <s v="FL"/>
    <s v="Florida"/>
    <s v="Clay"/>
    <x v="0"/>
    <x v="5"/>
    <n v="17981"/>
  </r>
  <r>
    <s v="FL"/>
    <s v="Florida"/>
    <s v="Collier"/>
    <x v="0"/>
    <x v="5"/>
    <n v="17981"/>
  </r>
  <r>
    <s v="FL"/>
    <s v="Florida"/>
    <s v="Columbia"/>
    <x v="0"/>
    <x v="5"/>
    <n v="17981"/>
  </r>
  <r>
    <s v="FL"/>
    <s v="Florida"/>
    <s v="DeSoto"/>
    <x v="0"/>
    <x v="5"/>
    <n v="17981"/>
  </r>
  <r>
    <s v="FL"/>
    <s v="Florida"/>
    <s v="Dixie"/>
    <x v="0"/>
    <x v="5"/>
    <n v="17981"/>
  </r>
  <r>
    <s v="FL"/>
    <s v="Florida"/>
    <s v="Duval"/>
    <x v="0"/>
    <x v="5"/>
    <n v="17981"/>
  </r>
  <r>
    <s v="FL"/>
    <s v="Florida"/>
    <s v="Escambia"/>
    <x v="0"/>
    <x v="5"/>
    <n v="17981"/>
  </r>
  <r>
    <s v="FL"/>
    <s v="Florida"/>
    <s v="Flagler"/>
    <x v="0"/>
    <x v="5"/>
    <n v="17981"/>
  </r>
  <r>
    <s v="FL"/>
    <s v="Florida"/>
    <s v="Franklin"/>
    <x v="0"/>
    <x v="5"/>
    <n v="17981"/>
  </r>
  <r>
    <s v="FL"/>
    <s v="Florida"/>
    <s v="Gadsden"/>
    <x v="0"/>
    <x v="5"/>
    <n v="17981"/>
  </r>
  <r>
    <s v="FL"/>
    <s v="Florida"/>
    <s v="Gilchrist"/>
    <x v="0"/>
    <x v="5"/>
    <n v="17981"/>
  </r>
  <r>
    <s v="FL"/>
    <s v="Florida"/>
    <s v="Glades"/>
    <x v="0"/>
    <x v="5"/>
    <n v="17981"/>
  </r>
  <r>
    <s v="FL"/>
    <s v="Florida"/>
    <s v="Gulf"/>
    <x v="0"/>
    <x v="5"/>
    <n v="17981"/>
  </r>
  <r>
    <s v="FL"/>
    <s v="Florida"/>
    <s v="Hamilton"/>
    <x v="0"/>
    <x v="5"/>
    <n v="17981"/>
  </r>
  <r>
    <s v="FL"/>
    <s v="Florida"/>
    <s v="Hardee"/>
    <x v="0"/>
    <x v="5"/>
    <n v="17981"/>
  </r>
  <r>
    <s v="FL"/>
    <s v="Florida"/>
    <s v="Hendry"/>
    <x v="0"/>
    <x v="5"/>
    <n v="17981"/>
  </r>
  <r>
    <s v="FL"/>
    <s v="Florida"/>
    <s v="Hernando"/>
    <x v="0"/>
    <x v="5"/>
    <n v="17981"/>
  </r>
  <r>
    <s v="FL"/>
    <s v="Florida"/>
    <s v="Highlands"/>
    <x v="0"/>
    <x v="5"/>
    <n v="17981"/>
  </r>
  <r>
    <s v="FL"/>
    <s v="Florida"/>
    <s v="Hillsborough"/>
    <x v="0"/>
    <x v="5"/>
    <n v="17981"/>
  </r>
  <r>
    <s v="FL"/>
    <s v="Florida"/>
    <s v="Holmes"/>
    <x v="0"/>
    <x v="5"/>
    <n v="17981"/>
  </r>
  <r>
    <s v="FL"/>
    <s v="Florida"/>
    <s v="Indian River"/>
    <x v="0"/>
    <x v="5"/>
    <n v="17981"/>
  </r>
  <r>
    <s v="FL"/>
    <s v="Florida"/>
    <s v="Jackson"/>
    <x v="0"/>
    <x v="5"/>
    <n v="17981"/>
  </r>
  <r>
    <s v="FL"/>
    <s v="Florida"/>
    <s v="Jefferson"/>
    <x v="0"/>
    <x v="5"/>
    <n v="17981"/>
  </r>
  <r>
    <s v="FL"/>
    <s v="Florida"/>
    <s v="Lafayette"/>
    <x v="0"/>
    <x v="5"/>
    <n v="17981"/>
  </r>
  <r>
    <s v="FL"/>
    <s v="Florida"/>
    <s v="Lake"/>
    <x v="0"/>
    <x v="5"/>
    <n v="17981"/>
  </r>
  <r>
    <s v="FL"/>
    <s v="Florida"/>
    <s v="Lee"/>
    <x v="0"/>
    <x v="5"/>
    <n v="17981"/>
  </r>
  <r>
    <s v="FL"/>
    <s v="Florida"/>
    <s v="Leon"/>
    <x v="0"/>
    <x v="5"/>
    <n v="17981"/>
  </r>
  <r>
    <s v="FL"/>
    <s v="Florida"/>
    <s v="Levy"/>
    <x v="0"/>
    <x v="5"/>
    <n v="17981"/>
  </r>
  <r>
    <s v="FL"/>
    <s v="Florida"/>
    <s v="Liberty"/>
    <x v="0"/>
    <x v="5"/>
    <n v="17981"/>
  </r>
  <r>
    <s v="FL"/>
    <s v="Florida"/>
    <s v="Madison"/>
    <x v="0"/>
    <x v="5"/>
    <n v="17981"/>
  </r>
  <r>
    <s v="FL"/>
    <s v="Florida"/>
    <s v="Manatee"/>
    <x v="0"/>
    <x v="5"/>
    <n v="17981"/>
  </r>
  <r>
    <s v="FL"/>
    <s v="Florida"/>
    <s v="Marion"/>
    <x v="0"/>
    <x v="5"/>
    <n v="17981"/>
  </r>
  <r>
    <s v="FL"/>
    <s v="Florida"/>
    <s v="Martin"/>
    <x v="0"/>
    <x v="5"/>
    <n v="17981"/>
  </r>
  <r>
    <s v="FL"/>
    <s v="Florida"/>
    <s v="Miami-Dade"/>
    <x v="0"/>
    <x v="5"/>
    <n v="17981"/>
  </r>
  <r>
    <s v="FL"/>
    <s v="Florida"/>
    <s v="Monroe"/>
    <x v="0"/>
    <x v="5"/>
    <n v="17981"/>
  </r>
  <r>
    <s v="FL"/>
    <s v="Florida"/>
    <s v="Nassau"/>
    <x v="0"/>
    <x v="5"/>
    <n v="17981"/>
  </r>
  <r>
    <s v="FL"/>
    <s v="Florida"/>
    <s v="Okaloosa"/>
    <x v="0"/>
    <x v="5"/>
    <n v="17981"/>
  </r>
  <r>
    <s v="FL"/>
    <s v="Florida"/>
    <s v="Okeechobee"/>
    <x v="0"/>
    <x v="5"/>
    <n v="17981"/>
  </r>
  <r>
    <s v="FL"/>
    <s v="Florida"/>
    <s v="Orange"/>
    <x v="0"/>
    <x v="5"/>
    <n v="17981"/>
  </r>
  <r>
    <s v="FL"/>
    <s v="Florida"/>
    <s v="Osceola"/>
    <x v="0"/>
    <x v="5"/>
    <n v="17981"/>
  </r>
  <r>
    <s v="FL"/>
    <s v="Florida"/>
    <s v="Palm Beach"/>
    <x v="0"/>
    <x v="5"/>
    <n v="17981"/>
  </r>
  <r>
    <s v="FL"/>
    <s v="Florida"/>
    <s v="Pasco"/>
    <x v="0"/>
    <x v="5"/>
    <n v="17981"/>
  </r>
  <r>
    <s v="FL"/>
    <s v="Florida"/>
    <s v="Pinellas"/>
    <x v="0"/>
    <x v="5"/>
    <n v="17981"/>
  </r>
  <r>
    <s v="FL"/>
    <s v="Florida"/>
    <s v="Polk"/>
    <x v="0"/>
    <x v="5"/>
    <n v="17981"/>
  </r>
  <r>
    <s v="FL"/>
    <s v="Florida"/>
    <s v="Putnam"/>
    <x v="0"/>
    <x v="5"/>
    <n v="17981"/>
  </r>
  <r>
    <s v="FL"/>
    <s v="Florida"/>
    <s v="Santa Rosa"/>
    <x v="0"/>
    <x v="5"/>
    <n v="17981"/>
  </r>
  <r>
    <s v="FL"/>
    <s v="Florida"/>
    <s v="Sarasota"/>
    <x v="0"/>
    <x v="5"/>
    <n v="17981"/>
  </r>
  <r>
    <s v="FL"/>
    <s v="Florida"/>
    <s v="Seminole"/>
    <x v="0"/>
    <x v="5"/>
    <n v="17981"/>
  </r>
  <r>
    <s v="FL"/>
    <s v="Florida"/>
    <s v="St. Johns"/>
    <x v="0"/>
    <x v="5"/>
    <n v="17981"/>
  </r>
  <r>
    <s v="FL"/>
    <s v="Florida"/>
    <s v="St. Lucie"/>
    <x v="0"/>
    <x v="5"/>
    <n v="17981"/>
  </r>
  <r>
    <s v="FL"/>
    <s v="Florida"/>
    <s v="Sumter"/>
    <x v="0"/>
    <x v="5"/>
    <n v="17981"/>
  </r>
  <r>
    <s v="FL"/>
    <s v="Florida"/>
    <s v="Suwannee"/>
    <x v="0"/>
    <x v="5"/>
    <n v="17981"/>
  </r>
  <r>
    <s v="FL"/>
    <s v="Florida"/>
    <s v="Taylor"/>
    <x v="0"/>
    <x v="5"/>
    <n v="17981"/>
  </r>
  <r>
    <s v="FL"/>
    <s v="Florida"/>
    <s v="Union"/>
    <x v="0"/>
    <x v="5"/>
    <n v="17981"/>
  </r>
  <r>
    <s v="FL"/>
    <s v="Florida"/>
    <s v="Volusia"/>
    <x v="0"/>
    <x v="5"/>
    <n v="17981"/>
  </r>
  <r>
    <s v="FL"/>
    <s v="Florida"/>
    <s v="Wakulla"/>
    <x v="0"/>
    <x v="5"/>
    <n v="17981"/>
  </r>
  <r>
    <s v="FL"/>
    <s v="Florida"/>
    <s v="Walton"/>
    <x v="0"/>
    <x v="5"/>
    <n v="17981"/>
  </r>
  <r>
    <s v="FL"/>
    <s v="Florida"/>
    <s v="Washington"/>
    <x v="0"/>
    <x v="5"/>
    <n v="17981"/>
  </r>
  <r>
    <s v="GA"/>
    <s v="Georgia"/>
    <s v="Appling"/>
    <x v="0"/>
    <x v="5"/>
    <n v="17981"/>
  </r>
  <r>
    <s v="GA"/>
    <s v="Georgia"/>
    <s v="Atkinson"/>
    <x v="0"/>
    <x v="5"/>
    <n v="17981"/>
  </r>
  <r>
    <s v="GA"/>
    <s v="Georgia"/>
    <s v="Bacon"/>
    <x v="0"/>
    <x v="5"/>
    <n v="17981"/>
  </r>
  <r>
    <s v="GA"/>
    <s v="Georgia"/>
    <s v="Hall"/>
    <x v="1"/>
    <x v="5"/>
    <n v="17981"/>
  </r>
  <r>
    <s v="GA"/>
    <s v="Georgia"/>
    <s v="Hancock"/>
    <x v="1"/>
    <x v="5"/>
    <n v="17981"/>
  </r>
  <r>
    <s v="GA"/>
    <s v="Georgia"/>
    <s v="Haralson"/>
    <x v="1"/>
    <x v="5"/>
    <n v="17981"/>
  </r>
  <r>
    <s v="GA"/>
    <s v="Georgia"/>
    <s v="Harris"/>
    <x v="1"/>
    <x v="5"/>
    <n v="17981"/>
  </r>
  <r>
    <s v="GA"/>
    <s v="Georgia"/>
    <s v="Hart"/>
    <x v="1"/>
    <x v="5"/>
    <n v="17981"/>
  </r>
  <r>
    <s v="GA"/>
    <s v="Georgia"/>
    <s v="Heard"/>
    <x v="1"/>
    <x v="5"/>
    <n v="17981"/>
  </r>
  <r>
    <s v="GA"/>
    <s v="Georgia"/>
    <s v="Henry"/>
    <x v="1"/>
    <x v="5"/>
    <n v="17981"/>
  </r>
  <r>
    <s v="GA"/>
    <s v="Georgia"/>
    <s v="Houston"/>
    <x v="0"/>
    <x v="5"/>
    <n v="17981"/>
  </r>
  <r>
    <s v="GA"/>
    <s v="Georgia"/>
    <s v="Irwin"/>
    <x v="0"/>
    <x v="5"/>
    <n v="17981"/>
  </r>
  <r>
    <s v="GA"/>
    <s v="Georgia"/>
    <s v="Jackson"/>
    <x v="1"/>
    <x v="5"/>
    <n v="17981"/>
  </r>
  <r>
    <s v="GA"/>
    <s v="Georgia"/>
    <s v="Jasper"/>
    <x v="1"/>
    <x v="5"/>
    <n v="17981"/>
  </r>
  <r>
    <s v="GA"/>
    <s v="Georgia"/>
    <s v="Jeff Davis"/>
    <x v="0"/>
    <x v="5"/>
    <n v="17981"/>
  </r>
  <r>
    <s v="GA"/>
    <s v="Georgia"/>
    <s v="Jefferson"/>
    <x v="1"/>
    <x v="5"/>
    <n v="17981"/>
  </r>
  <r>
    <s v="GA"/>
    <s v="Georgia"/>
    <s v="Jenkins"/>
    <x v="0"/>
    <x v="5"/>
    <n v="17981"/>
  </r>
  <r>
    <s v="GA"/>
    <s v="Georgia"/>
    <s v="Johnson"/>
    <x v="0"/>
    <x v="5"/>
    <n v="17981"/>
  </r>
  <r>
    <s v="GA"/>
    <s v="Georgia"/>
    <s v="Jones"/>
    <x v="1"/>
    <x v="5"/>
    <n v="17981"/>
  </r>
  <r>
    <s v="GA"/>
    <s v="Georgia"/>
    <s v="Lamar"/>
    <x v="1"/>
    <x v="5"/>
    <n v="17981"/>
  </r>
  <r>
    <s v="GA"/>
    <s v="Georgia"/>
    <s v="Lanier"/>
    <x v="0"/>
    <x v="5"/>
    <n v="17981"/>
  </r>
  <r>
    <s v="GA"/>
    <s v="Georgia"/>
    <s v="Laurens"/>
    <x v="0"/>
    <x v="5"/>
    <n v="17981"/>
  </r>
  <r>
    <s v="GA"/>
    <s v="Georgia"/>
    <s v="Lee"/>
    <x v="0"/>
    <x v="5"/>
    <n v="17981"/>
  </r>
  <r>
    <s v="GA"/>
    <s v="Georgia"/>
    <s v="Liberty"/>
    <x v="0"/>
    <x v="5"/>
    <n v="17981"/>
  </r>
  <r>
    <s v="GA"/>
    <s v="Georgia"/>
    <s v="Lincoln"/>
    <x v="1"/>
    <x v="5"/>
    <n v="17981"/>
  </r>
  <r>
    <s v="GA"/>
    <s v="Georgia"/>
    <s v="Long"/>
    <x v="0"/>
    <x v="5"/>
    <n v="17981"/>
  </r>
  <r>
    <s v="GA"/>
    <s v="Georgia"/>
    <s v="Lowndes"/>
    <x v="0"/>
    <x v="5"/>
    <n v="17981"/>
  </r>
  <r>
    <s v="GA"/>
    <s v="Georgia"/>
    <s v="Lumpkin"/>
    <x v="1"/>
    <x v="5"/>
    <n v="17981"/>
  </r>
  <r>
    <s v="GA"/>
    <s v="Georgia"/>
    <s v="Macon"/>
    <x v="0"/>
    <x v="5"/>
    <n v="17981"/>
  </r>
  <r>
    <s v="GA"/>
    <s v="Georgia"/>
    <s v="Madison"/>
    <x v="1"/>
    <x v="5"/>
    <n v="17981"/>
  </r>
  <r>
    <s v="GA"/>
    <s v="Georgia"/>
    <s v="Marion"/>
    <x v="0"/>
    <x v="5"/>
    <n v="17981"/>
  </r>
  <r>
    <s v="GA"/>
    <s v="Georgia"/>
    <s v="McDuffie"/>
    <x v="1"/>
    <x v="5"/>
    <n v="17981"/>
  </r>
  <r>
    <s v="GA"/>
    <s v="Georgia"/>
    <s v="McIntosh"/>
    <x v="0"/>
    <x v="5"/>
    <n v="17981"/>
  </r>
  <r>
    <s v="GA"/>
    <s v="Georgia"/>
    <s v="Meriwether"/>
    <x v="1"/>
    <x v="5"/>
    <n v="17981"/>
  </r>
  <r>
    <s v="GA"/>
    <s v="Georgia"/>
    <s v="Miller"/>
    <x v="0"/>
    <x v="5"/>
    <n v="17981"/>
  </r>
  <r>
    <s v="GA"/>
    <s v="Georgia"/>
    <s v="Mitchell"/>
    <x v="0"/>
    <x v="5"/>
    <n v="17981"/>
  </r>
  <r>
    <s v="GA"/>
    <s v="Georgia"/>
    <s v="Monroe"/>
    <x v="1"/>
    <x v="5"/>
    <n v="17981"/>
  </r>
  <r>
    <s v="GA"/>
    <s v="Georgia"/>
    <s v="Montgomery"/>
    <x v="0"/>
    <x v="5"/>
    <n v="17981"/>
  </r>
  <r>
    <s v="GA"/>
    <s v="Georgia"/>
    <s v="Morgan"/>
    <x v="1"/>
    <x v="5"/>
    <n v="17981"/>
  </r>
  <r>
    <s v="GA"/>
    <s v="Georgia"/>
    <s v="Murray"/>
    <x v="1"/>
    <x v="5"/>
    <n v="17981"/>
  </r>
  <r>
    <s v="GA"/>
    <s v="Georgia"/>
    <s v="Muscogee"/>
    <x v="1"/>
    <x v="5"/>
    <n v="17981"/>
  </r>
  <r>
    <s v="GA"/>
    <s v="Georgia"/>
    <s v="Newton"/>
    <x v="1"/>
    <x v="5"/>
    <n v="17981"/>
  </r>
  <r>
    <s v="GA"/>
    <s v="Georgia"/>
    <s v="Oconee"/>
    <x v="1"/>
    <x v="5"/>
    <n v="17981"/>
  </r>
  <r>
    <s v="GA"/>
    <s v="Georgia"/>
    <s v="Oglethorpe"/>
    <x v="1"/>
    <x v="5"/>
    <n v="17981"/>
  </r>
  <r>
    <s v="GA"/>
    <s v="Georgia"/>
    <s v="Paulding"/>
    <x v="1"/>
    <x v="5"/>
    <n v="17981"/>
  </r>
  <r>
    <s v="GA"/>
    <s v="Georgia"/>
    <s v="Peach"/>
    <x v="0"/>
    <x v="5"/>
    <n v="17981"/>
  </r>
  <r>
    <s v="GA"/>
    <s v="Georgia"/>
    <s v="Pickens"/>
    <x v="1"/>
    <x v="5"/>
    <n v="17981"/>
  </r>
  <r>
    <s v="GA"/>
    <s v="Georgia"/>
    <s v="Pierce"/>
    <x v="0"/>
    <x v="5"/>
    <n v="17981"/>
  </r>
  <r>
    <s v="GA"/>
    <s v="Georgia"/>
    <s v="Pike"/>
    <x v="1"/>
    <x v="5"/>
    <n v="17981"/>
  </r>
  <r>
    <s v="GA"/>
    <s v="Georgia"/>
    <s v="Polk"/>
    <x v="1"/>
    <x v="5"/>
    <n v="17981"/>
  </r>
  <r>
    <s v="GA"/>
    <s v="Georgia"/>
    <s v="Pulaski"/>
    <x v="0"/>
    <x v="5"/>
    <n v="17981"/>
  </r>
  <r>
    <s v="GA"/>
    <s v="Georgia"/>
    <s v="Putnam"/>
    <x v="1"/>
    <x v="5"/>
    <n v="17981"/>
  </r>
  <r>
    <s v="GA"/>
    <s v="Georgia"/>
    <s v="Quitman"/>
    <x v="0"/>
    <x v="5"/>
    <n v="17981"/>
  </r>
  <r>
    <s v="GA"/>
    <s v="Georgia"/>
    <s v="Rabun"/>
    <x v="1"/>
    <x v="5"/>
    <n v="17981"/>
  </r>
  <r>
    <s v="GA"/>
    <s v="Georgia"/>
    <s v="Randolph"/>
    <x v="0"/>
    <x v="5"/>
    <n v="17981"/>
  </r>
  <r>
    <s v="GA"/>
    <s v="Georgia"/>
    <s v="Richmond"/>
    <x v="1"/>
    <x v="5"/>
    <n v="17981"/>
  </r>
  <r>
    <s v="GA"/>
    <s v="Georgia"/>
    <s v="Rockdale"/>
    <x v="1"/>
    <x v="5"/>
    <n v="17981"/>
  </r>
  <r>
    <s v="GA"/>
    <s v="Georgia"/>
    <s v="Schley"/>
    <x v="0"/>
    <x v="5"/>
    <n v="17981"/>
  </r>
  <r>
    <s v="GA"/>
    <s v="Georgia"/>
    <s v="Screven"/>
    <x v="0"/>
    <x v="5"/>
    <n v="17981"/>
  </r>
  <r>
    <s v="GA"/>
    <s v="Georgia"/>
    <s v="Seminole"/>
    <x v="0"/>
    <x v="5"/>
    <n v="17981"/>
  </r>
  <r>
    <s v="GA"/>
    <s v="Georgia"/>
    <s v="Spalding"/>
    <x v="1"/>
    <x v="5"/>
    <n v="17981"/>
  </r>
  <r>
    <s v="GA"/>
    <s v="Georgia"/>
    <s v="Stephens"/>
    <x v="1"/>
    <x v="5"/>
    <n v="17981"/>
  </r>
  <r>
    <s v="GA"/>
    <s v="Georgia"/>
    <s v="Stewart"/>
    <x v="0"/>
    <x v="5"/>
    <n v="17981"/>
  </r>
  <r>
    <s v="GA"/>
    <s v="Georgia"/>
    <s v="Sumter"/>
    <x v="0"/>
    <x v="5"/>
    <n v="17981"/>
  </r>
  <r>
    <s v="GA"/>
    <s v="Georgia"/>
    <s v="Talbot"/>
    <x v="1"/>
    <x v="5"/>
    <n v="17981"/>
  </r>
  <r>
    <s v="GA"/>
    <s v="Georgia"/>
    <s v="Taliaferro"/>
    <x v="1"/>
    <x v="5"/>
    <n v="17981"/>
  </r>
  <r>
    <s v="GA"/>
    <s v="Georgia"/>
    <s v="Tattnall"/>
    <x v="0"/>
    <x v="5"/>
    <n v="17981"/>
  </r>
  <r>
    <s v="GA"/>
    <s v="Georgia"/>
    <s v="Taylor"/>
    <x v="0"/>
    <x v="5"/>
    <n v="17981"/>
  </r>
  <r>
    <s v="ID"/>
    <s v="Idaho"/>
    <s v="Nez Perce"/>
    <x v="3"/>
    <x v="3"/>
    <n v="4981"/>
  </r>
  <r>
    <s v="ID"/>
    <s v="Idaho"/>
    <s v="Oneida"/>
    <x v="3"/>
    <x v="3"/>
    <n v="4981"/>
  </r>
  <r>
    <s v="ID"/>
    <s v="Idaho"/>
    <s v="Owyhee"/>
    <x v="3"/>
    <x v="3"/>
    <n v="4981"/>
  </r>
  <r>
    <s v="ID"/>
    <s v="Idaho"/>
    <s v="Payette"/>
    <x v="3"/>
    <x v="3"/>
    <n v="4981"/>
  </r>
  <r>
    <s v="ID"/>
    <s v="Idaho"/>
    <s v="Power"/>
    <x v="3"/>
    <x v="3"/>
    <n v="4981"/>
  </r>
  <r>
    <s v="ID"/>
    <s v="Idaho"/>
    <s v="Shoshone"/>
    <x v="3"/>
    <x v="3"/>
    <n v="4981"/>
  </r>
  <r>
    <s v="ID"/>
    <s v="Idaho"/>
    <s v="Teton"/>
    <x v="3"/>
    <x v="3"/>
    <n v="4981"/>
  </r>
  <r>
    <s v="ID"/>
    <s v="Idaho"/>
    <s v="Twin Falls"/>
    <x v="3"/>
    <x v="3"/>
    <n v="4981"/>
  </r>
  <r>
    <s v="ID"/>
    <s v="Idaho"/>
    <s v="Valley"/>
    <x v="3"/>
    <x v="3"/>
    <n v="4981"/>
  </r>
  <r>
    <s v="ID"/>
    <s v="Idaho"/>
    <s v="Washington"/>
    <x v="3"/>
    <x v="3"/>
    <n v="4981"/>
  </r>
  <r>
    <s v="IL"/>
    <s v="Illinois"/>
    <s v="Adams"/>
    <x v="3"/>
    <x v="6"/>
    <n v="12742"/>
  </r>
  <r>
    <s v="IL"/>
    <s v="Illinois"/>
    <s v="Alexander"/>
    <x v="1"/>
    <x v="6"/>
    <n v="12742"/>
  </r>
  <r>
    <s v="IL"/>
    <s v="Illinois"/>
    <s v="Bond"/>
    <x v="1"/>
    <x v="6"/>
    <n v="12742"/>
  </r>
  <r>
    <s v="IL"/>
    <s v="Illinois"/>
    <s v="Boone"/>
    <x v="3"/>
    <x v="6"/>
    <n v="12742"/>
  </r>
  <r>
    <s v="IL"/>
    <s v="Illinois"/>
    <s v="Brown"/>
    <x v="3"/>
    <x v="6"/>
    <n v="12742"/>
  </r>
  <r>
    <s v="IL"/>
    <s v="Illinois"/>
    <s v="Bureau"/>
    <x v="3"/>
    <x v="6"/>
    <n v="12742"/>
  </r>
  <r>
    <s v="IL"/>
    <s v="Illinois"/>
    <s v="Calhoun"/>
    <x v="3"/>
    <x v="6"/>
    <n v="12742"/>
  </r>
  <r>
    <s v="IL"/>
    <s v="Illinois"/>
    <s v="Carroll"/>
    <x v="3"/>
    <x v="6"/>
    <n v="12742"/>
  </r>
  <r>
    <s v="IL"/>
    <s v="Illinois"/>
    <s v="Cass"/>
    <x v="3"/>
    <x v="6"/>
    <n v="12742"/>
  </r>
  <r>
    <s v="IL"/>
    <s v="Illinois"/>
    <s v="Champaign"/>
    <x v="3"/>
    <x v="6"/>
    <n v="12742"/>
  </r>
  <r>
    <s v="IL"/>
    <s v="Illinois"/>
    <s v="Christian"/>
    <x v="1"/>
    <x v="6"/>
    <n v="12742"/>
  </r>
  <r>
    <s v="IL"/>
    <s v="Illinois"/>
    <s v="Clark"/>
    <x v="3"/>
    <x v="6"/>
    <n v="12742"/>
  </r>
  <r>
    <s v="IL"/>
    <s v="Illinois"/>
    <s v="Clay"/>
    <x v="1"/>
    <x v="6"/>
    <n v="12742"/>
  </r>
  <r>
    <s v="IL"/>
    <s v="Illinois"/>
    <s v="Clinton"/>
    <x v="1"/>
    <x v="6"/>
    <n v="12742"/>
  </r>
  <r>
    <s v="IL"/>
    <s v="Illinois"/>
    <s v="Coles"/>
    <x v="3"/>
    <x v="6"/>
    <n v="12742"/>
  </r>
  <r>
    <s v="IL"/>
    <s v="Illinois"/>
    <s v="Cook"/>
    <x v="3"/>
    <x v="6"/>
    <n v="12742"/>
  </r>
  <r>
    <s v="IL"/>
    <s v="Illinois"/>
    <s v="Crawford"/>
    <x v="1"/>
    <x v="6"/>
    <n v="12742"/>
  </r>
  <r>
    <s v="IL"/>
    <s v="Illinois"/>
    <s v="Cumberland"/>
    <x v="3"/>
    <x v="6"/>
    <n v="12742"/>
  </r>
  <r>
    <s v="IL"/>
    <s v="Illinois"/>
    <s v="De Witt"/>
    <x v="3"/>
    <x v="6"/>
    <n v="12742"/>
  </r>
  <r>
    <s v="IL"/>
    <s v="Illinois"/>
    <s v="DeKalb"/>
    <x v="3"/>
    <x v="6"/>
    <n v="12742"/>
  </r>
  <r>
    <s v="IL"/>
    <s v="Illinois"/>
    <s v="Douglas"/>
    <x v="3"/>
    <x v="6"/>
    <n v="12742"/>
  </r>
  <r>
    <s v="IL"/>
    <s v="Illinois"/>
    <s v="DuPage"/>
    <x v="3"/>
    <x v="6"/>
    <n v="12742"/>
  </r>
  <r>
    <s v="IL"/>
    <s v="Illinois"/>
    <s v="Edgar"/>
    <x v="3"/>
    <x v="6"/>
    <n v="12742"/>
  </r>
  <r>
    <s v="IL"/>
    <s v="Illinois"/>
    <s v="Edwards"/>
    <x v="1"/>
    <x v="6"/>
    <n v="12742"/>
  </r>
  <r>
    <s v="IL"/>
    <s v="Illinois"/>
    <s v="Effingham"/>
    <x v="1"/>
    <x v="6"/>
    <n v="12742"/>
  </r>
  <r>
    <s v="IL"/>
    <s v="Illinois"/>
    <s v="Fayette"/>
    <x v="1"/>
    <x v="6"/>
    <n v="12742"/>
  </r>
  <r>
    <s v="IL"/>
    <s v="Illinois"/>
    <s v="Ford"/>
    <x v="3"/>
    <x v="6"/>
    <n v="12742"/>
  </r>
  <r>
    <s v="IL"/>
    <s v="Illinois"/>
    <s v="Franklin"/>
    <x v="1"/>
    <x v="6"/>
    <n v="12742"/>
  </r>
  <r>
    <s v="IL"/>
    <s v="Illinois"/>
    <s v="Fulton"/>
    <x v="3"/>
    <x v="6"/>
    <n v="12742"/>
  </r>
  <r>
    <s v="IL"/>
    <s v="Illinois"/>
    <s v="Gallatin"/>
    <x v="1"/>
    <x v="6"/>
    <n v="12742"/>
  </r>
  <r>
    <s v="IL"/>
    <s v="Illinois"/>
    <s v="Greene"/>
    <x v="3"/>
    <x v="6"/>
    <n v="12742"/>
  </r>
  <r>
    <s v="IL"/>
    <s v="Illinois"/>
    <s v="Grundy"/>
    <x v="3"/>
    <x v="6"/>
    <n v="12742"/>
  </r>
  <r>
    <s v="IL"/>
    <s v="Illinois"/>
    <s v="Hamilton"/>
    <x v="1"/>
    <x v="6"/>
    <n v="12742"/>
  </r>
  <r>
    <s v="IL"/>
    <s v="Illinois"/>
    <s v="Hancock"/>
    <x v="3"/>
    <x v="6"/>
    <n v="12742"/>
  </r>
  <r>
    <s v="IL"/>
    <s v="Illinois"/>
    <s v="Hardin"/>
    <x v="1"/>
    <x v="6"/>
    <n v="12742"/>
  </r>
  <r>
    <s v="IL"/>
    <s v="Illinois"/>
    <s v="Henderson"/>
    <x v="3"/>
    <x v="6"/>
    <n v="12742"/>
  </r>
  <r>
    <s v="IL"/>
    <s v="Illinois"/>
    <s v="Henry"/>
    <x v="3"/>
    <x v="6"/>
    <n v="12742"/>
  </r>
  <r>
    <s v="IL"/>
    <s v="Illinois"/>
    <s v="Iroquois"/>
    <x v="3"/>
    <x v="6"/>
    <n v="12742"/>
  </r>
  <r>
    <s v="IL"/>
    <s v="Illinois"/>
    <s v="Jackson"/>
    <x v="1"/>
    <x v="6"/>
    <n v="12742"/>
  </r>
  <r>
    <s v="IL"/>
    <s v="Illinois"/>
    <s v="Jasper"/>
    <x v="1"/>
    <x v="6"/>
    <n v="12742"/>
  </r>
  <r>
    <s v="IL"/>
    <s v="Illinois"/>
    <s v="Jefferson"/>
    <x v="1"/>
    <x v="6"/>
    <n v="12742"/>
  </r>
  <r>
    <s v="IL"/>
    <s v="Illinois"/>
    <s v="Jersey"/>
    <x v="3"/>
    <x v="6"/>
    <n v="12742"/>
  </r>
  <r>
    <s v="IL"/>
    <s v="Illinois"/>
    <s v="Jo Daviess"/>
    <x v="3"/>
    <x v="6"/>
    <n v="12742"/>
  </r>
  <r>
    <s v="IL"/>
    <s v="Illinois"/>
    <s v="Johnson"/>
    <x v="1"/>
    <x v="6"/>
    <n v="12742"/>
  </r>
  <r>
    <s v="IL"/>
    <s v="Illinois"/>
    <s v="Kane"/>
    <x v="3"/>
    <x v="6"/>
    <n v="12742"/>
  </r>
  <r>
    <s v="IL"/>
    <s v="Illinois"/>
    <s v="Kankakee"/>
    <x v="3"/>
    <x v="6"/>
    <n v="12742"/>
  </r>
  <r>
    <s v="IL"/>
    <s v="Illinois"/>
    <s v="Kendall"/>
    <x v="3"/>
    <x v="6"/>
    <n v="12742"/>
  </r>
  <r>
    <s v="IL"/>
    <s v="Illinois"/>
    <s v="Knox"/>
    <x v="3"/>
    <x v="6"/>
    <n v="12742"/>
  </r>
  <r>
    <s v="IL"/>
    <s v="Illinois"/>
    <s v="La Salle"/>
    <x v="3"/>
    <x v="6"/>
    <n v="12742"/>
  </r>
  <r>
    <s v="IL"/>
    <s v="Illinois"/>
    <s v="Lake"/>
    <x v="3"/>
    <x v="6"/>
    <n v="12742"/>
  </r>
  <r>
    <s v="IL"/>
    <s v="Illinois"/>
    <s v="Lawrence"/>
    <x v="1"/>
    <x v="6"/>
    <n v="12742"/>
  </r>
  <r>
    <s v="IL"/>
    <s v="Illinois"/>
    <s v="Lee"/>
    <x v="3"/>
    <x v="6"/>
    <n v="12742"/>
  </r>
  <r>
    <s v="IL"/>
    <s v="Illinois"/>
    <s v="Livingston"/>
    <x v="3"/>
    <x v="6"/>
    <n v="12742"/>
  </r>
  <r>
    <s v="IL"/>
    <s v="Illinois"/>
    <s v="Logan"/>
    <x v="3"/>
    <x v="6"/>
    <n v="12742"/>
  </r>
  <r>
    <s v="IL"/>
    <s v="Illinois"/>
    <s v="Macon"/>
    <x v="3"/>
    <x v="6"/>
    <n v="12742"/>
  </r>
  <r>
    <s v="IN"/>
    <s v="Indiana"/>
    <s v="Dubois"/>
    <x v="1"/>
    <x v="6"/>
    <n v="12742"/>
  </r>
  <r>
    <s v="IN"/>
    <s v="Indiana"/>
    <s v="Elkhart"/>
    <x v="3"/>
    <x v="6"/>
    <n v="12742"/>
  </r>
  <r>
    <s v="IN"/>
    <s v="Indiana"/>
    <s v="Fayette"/>
    <x v="3"/>
    <x v="6"/>
    <n v="12742"/>
  </r>
  <r>
    <s v="IN"/>
    <s v="Indiana"/>
    <s v="Floyd"/>
    <x v="1"/>
    <x v="6"/>
    <n v="12742"/>
  </r>
  <r>
    <s v="IN"/>
    <s v="Indiana"/>
    <s v="Fountain"/>
    <x v="3"/>
    <x v="6"/>
    <n v="12742"/>
  </r>
  <r>
    <s v="IN"/>
    <s v="Indiana"/>
    <s v="Franklin"/>
    <x v="3"/>
    <x v="6"/>
    <n v="12742"/>
  </r>
  <r>
    <s v="IN"/>
    <s v="Indiana"/>
    <s v="Fulton"/>
    <x v="3"/>
    <x v="6"/>
    <n v="12742"/>
  </r>
  <r>
    <s v="IN"/>
    <s v="Indiana"/>
    <s v="Gibson"/>
    <x v="1"/>
    <x v="6"/>
    <n v="12742"/>
  </r>
  <r>
    <s v="IN"/>
    <s v="Indiana"/>
    <s v="Grant"/>
    <x v="3"/>
    <x v="6"/>
    <n v="12742"/>
  </r>
  <r>
    <s v="IN"/>
    <s v="Indiana"/>
    <s v="Greene"/>
    <x v="1"/>
    <x v="6"/>
    <n v="12742"/>
  </r>
  <r>
    <s v="IN"/>
    <s v="Indiana"/>
    <s v="Hamilton"/>
    <x v="3"/>
    <x v="6"/>
    <n v="12742"/>
  </r>
  <r>
    <s v="IN"/>
    <s v="Indiana"/>
    <s v="Hancock"/>
    <x v="3"/>
    <x v="6"/>
    <n v="12742"/>
  </r>
  <r>
    <s v="IN"/>
    <s v="Indiana"/>
    <s v="Harrison"/>
    <x v="1"/>
    <x v="6"/>
    <n v="12742"/>
  </r>
  <r>
    <s v="IN"/>
    <s v="Indiana"/>
    <s v="Hendricks"/>
    <x v="3"/>
    <x v="6"/>
    <n v="12742"/>
  </r>
  <r>
    <s v="IN"/>
    <s v="Indiana"/>
    <s v="Henry"/>
    <x v="3"/>
    <x v="6"/>
    <n v="12742"/>
  </r>
  <r>
    <s v="IN"/>
    <s v="Indiana"/>
    <s v="Howard"/>
    <x v="3"/>
    <x v="6"/>
    <n v="12742"/>
  </r>
  <r>
    <s v="IN"/>
    <s v="Indiana"/>
    <s v="Huntington"/>
    <x v="3"/>
    <x v="6"/>
    <n v="12742"/>
  </r>
  <r>
    <s v="IN"/>
    <s v="Indiana"/>
    <s v="Jackson"/>
    <x v="1"/>
    <x v="6"/>
    <n v="12742"/>
  </r>
  <r>
    <s v="IN"/>
    <s v="Indiana"/>
    <s v="Jasper"/>
    <x v="3"/>
    <x v="6"/>
    <n v="12742"/>
  </r>
  <r>
    <s v="IN"/>
    <s v="Indiana"/>
    <s v="Jay"/>
    <x v="3"/>
    <x v="6"/>
    <n v="12742"/>
  </r>
  <r>
    <s v="IN"/>
    <s v="Indiana"/>
    <s v="Jefferson"/>
    <x v="1"/>
    <x v="6"/>
    <n v="12742"/>
  </r>
  <r>
    <s v="IN"/>
    <s v="Indiana"/>
    <s v="Jennings"/>
    <x v="1"/>
    <x v="6"/>
    <n v="12742"/>
  </r>
  <r>
    <s v="IN"/>
    <s v="Indiana"/>
    <s v="Johnson"/>
    <x v="3"/>
    <x v="6"/>
    <n v="12742"/>
  </r>
  <r>
    <s v="IN"/>
    <s v="Indiana"/>
    <s v="Knox"/>
    <x v="1"/>
    <x v="6"/>
    <n v="12742"/>
  </r>
  <r>
    <s v="IN"/>
    <s v="Indiana"/>
    <s v="Kosciusko"/>
    <x v="3"/>
    <x v="6"/>
    <n v="12742"/>
  </r>
  <r>
    <s v="IN"/>
    <s v="Indiana"/>
    <s v="La Porte"/>
    <x v="3"/>
    <x v="6"/>
    <n v="12742"/>
  </r>
  <r>
    <s v="IN"/>
    <s v="Indiana"/>
    <s v="Lagrange"/>
    <x v="3"/>
    <x v="6"/>
    <n v="12742"/>
  </r>
  <r>
    <s v="IN"/>
    <s v="Indiana"/>
    <s v="Lake"/>
    <x v="3"/>
    <x v="6"/>
    <n v="12742"/>
  </r>
  <r>
    <s v="IN"/>
    <s v="Indiana"/>
    <s v="Lawrence"/>
    <x v="1"/>
    <x v="6"/>
    <n v="12742"/>
  </r>
  <r>
    <s v="IN"/>
    <s v="Indiana"/>
    <s v="Madison"/>
    <x v="3"/>
    <x v="6"/>
    <n v="12742"/>
  </r>
  <r>
    <s v="IN"/>
    <s v="Indiana"/>
    <s v="Marion"/>
    <x v="3"/>
    <x v="6"/>
    <n v="12742"/>
  </r>
  <r>
    <s v="IN"/>
    <s v="Indiana"/>
    <s v="Marshall"/>
    <x v="3"/>
    <x v="6"/>
    <n v="12742"/>
  </r>
  <r>
    <s v="IN"/>
    <s v="Indiana"/>
    <s v="Martin"/>
    <x v="1"/>
    <x v="6"/>
    <n v="12742"/>
  </r>
  <r>
    <s v="IN"/>
    <s v="Indiana"/>
    <s v="Miami"/>
    <x v="3"/>
    <x v="6"/>
    <n v="12742"/>
  </r>
  <r>
    <s v="IN"/>
    <s v="Indiana"/>
    <s v="Monroe"/>
    <x v="1"/>
    <x v="6"/>
    <n v="12742"/>
  </r>
  <r>
    <s v="IN"/>
    <s v="Indiana"/>
    <s v="Montgomery"/>
    <x v="3"/>
    <x v="6"/>
    <n v="12742"/>
  </r>
  <r>
    <s v="IN"/>
    <s v="Indiana"/>
    <s v="Morgan"/>
    <x v="3"/>
    <x v="6"/>
    <n v="12742"/>
  </r>
  <r>
    <s v="IN"/>
    <s v="Indiana"/>
    <s v="Newton"/>
    <x v="3"/>
    <x v="6"/>
    <n v="12742"/>
  </r>
  <r>
    <s v="IN"/>
    <s v="Indiana"/>
    <s v="Noble"/>
    <x v="3"/>
    <x v="6"/>
    <n v="12742"/>
  </r>
  <r>
    <s v="IN"/>
    <s v="Indiana"/>
    <s v="Ohio"/>
    <x v="1"/>
    <x v="6"/>
    <n v="12742"/>
  </r>
  <r>
    <s v="IN"/>
    <s v="Indiana"/>
    <s v="Orange"/>
    <x v="1"/>
    <x v="6"/>
    <n v="12742"/>
  </r>
  <r>
    <s v="IN"/>
    <s v="Indiana"/>
    <s v="Owen"/>
    <x v="3"/>
    <x v="6"/>
    <n v="12742"/>
  </r>
  <r>
    <s v="IN"/>
    <s v="Indiana"/>
    <s v="Parke"/>
    <x v="3"/>
    <x v="6"/>
    <n v="12742"/>
  </r>
  <r>
    <s v="IN"/>
    <s v="Indiana"/>
    <s v="Perry"/>
    <x v="1"/>
    <x v="6"/>
    <n v="12742"/>
  </r>
  <r>
    <s v="IN"/>
    <s v="Indiana"/>
    <s v="Pike"/>
    <x v="1"/>
    <x v="6"/>
    <n v="12742"/>
  </r>
  <r>
    <s v="IN"/>
    <s v="Indiana"/>
    <s v="Porter"/>
    <x v="3"/>
    <x v="6"/>
    <n v="12742"/>
  </r>
  <r>
    <s v="IN"/>
    <s v="Indiana"/>
    <s v="Posey"/>
    <x v="1"/>
    <x v="6"/>
    <n v="12742"/>
  </r>
  <r>
    <s v="IN"/>
    <s v="Indiana"/>
    <s v="Pulaski"/>
    <x v="3"/>
    <x v="6"/>
    <n v="12742"/>
  </r>
  <r>
    <s v="IN"/>
    <s v="Indiana"/>
    <s v="Putnam"/>
    <x v="3"/>
    <x v="6"/>
    <n v="12742"/>
  </r>
  <r>
    <s v="IN"/>
    <s v="Indiana"/>
    <s v="Randolph"/>
    <x v="3"/>
    <x v="6"/>
    <n v="12742"/>
  </r>
  <r>
    <s v="IN"/>
    <s v="Indiana"/>
    <s v="Ripley"/>
    <x v="1"/>
    <x v="6"/>
    <n v="12742"/>
  </r>
  <r>
    <s v="IN"/>
    <s v="Indiana"/>
    <s v="Rush"/>
    <x v="3"/>
    <x v="6"/>
    <n v="12742"/>
  </r>
  <r>
    <s v="IN"/>
    <s v="Indiana"/>
    <s v="Scott"/>
    <x v="1"/>
    <x v="6"/>
    <n v="12742"/>
  </r>
  <r>
    <s v="IN"/>
    <s v="Indiana"/>
    <s v="Shelby"/>
    <x v="3"/>
    <x v="6"/>
    <n v="12742"/>
  </r>
  <r>
    <s v="IN"/>
    <s v="Indiana"/>
    <s v="Spencer"/>
    <x v="1"/>
    <x v="6"/>
    <n v="12742"/>
  </r>
  <r>
    <s v="IN"/>
    <s v="Indiana"/>
    <s v="St. Joseph"/>
    <x v="3"/>
    <x v="6"/>
    <n v="12742"/>
  </r>
  <r>
    <s v="IN"/>
    <s v="Indiana"/>
    <s v="Starke"/>
    <x v="3"/>
    <x v="6"/>
    <n v="12742"/>
  </r>
  <r>
    <s v="IN"/>
    <s v="Indiana"/>
    <s v="Steuben"/>
    <x v="3"/>
    <x v="6"/>
    <n v="12742"/>
  </r>
  <r>
    <s v="IN"/>
    <s v="Indiana"/>
    <s v="Sullivan"/>
    <x v="1"/>
    <x v="6"/>
    <n v="12742"/>
  </r>
  <r>
    <s v="IN"/>
    <s v="Indiana"/>
    <s v="Switzerland"/>
    <x v="1"/>
    <x v="6"/>
    <n v="12742"/>
  </r>
  <r>
    <s v="IN"/>
    <s v="Indiana"/>
    <s v="Tippecanoe"/>
    <x v="3"/>
    <x v="6"/>
    <n v="12742"/>
  </r>
  <r>
    <s v="IN"/>
    <s v="Indiana"/>
    <s v="Tipton"/>
    <x v="3"/>
    <x v="6"/>
    <n v="12742"/>
  </r>
  <r>
    <s v="IN"/>
    <s v="Indiana"/>
    <s v="Union"/>
    <x v="3"/>
    <x v="6"/>
    <n v="12742"/>
  </r>
  <r>
    <s v="IN"/>
    <s v="Indiana"/>
    <s v="Vanderburgh"/>
    <x v="1"/>
    <x v="6"/>
    <n v="12742"/>
  </r>
  <r>
    <s v="IN"/>
    <s v="Indiana"/>
    <s v="Vermillion"/>
    <x v="3"/>
    <x v="6"/>
    <n v="12742"/>
  </r>
  <r>
    <s v="IA"/>
    <s v="Iowa"/>
    <s v="Linn"/>
    <x v="3"/>
    <x v="7"/>
    <n v="6178"/>
  </r>
  <r>
    <s v="IA"/>
    <s v="Iowa"/>
    <s v="Louisa"/>
    <x v="3"/>
    <x v="7"/>
    <n v="6178"/>
  </r>
  <r>
    <s v="IA"/>
    <s v="Iowa"/>
    <s v="Lucas"/>
    <x v="3"/>
    <x v="7"/>
    <n v="6178"/>
  </r>
  <r>
    <s v="IA"/>
    <s v="Iowa"/>
    <s v="Lyon"/>
    <x v="3"/>
    <x v="7"/>
    <n v="6178"/>
  </r>
  <r>
    <s v="IA"/>
    <s v="Iowa"/>
    <s v="Madison"/>
    <x v="3"/>
    <x v="7"/>
    <n v="6178"/>
  </r>
  <r>
    <s v="IA"/>
    <s v="Iowa"/>
    <s v="Mahaska"/>
    <x v="3"/>
    <x v="7"/>
    <n v="6178"/>
  </r>
  <r>
    <s v="IA"/>
    <s v="Iowa"/>
    <s v="Marion"/>
    <x v="3"/>
    <x v="7"/>
    <n v="6178"/>
  </r>
  <r>
    <s v="IA"/>
    <s v="Iowa"/>
    <s v="Marshall"/>
    <x v="3"/>
    <x v="7"/>
    <n v="6178"/>
  </r>
  <r>
    <s v="IA"/>
    <s v="Iowa"/>
    <s v="Mills"/>
    <x v="3"/>
    <x v="7"/>
    <n v="6178"/>
  </r>
  <r>
    <s v="IA"/>
    <s v="Iowa"/>
    <s v="Mitchell"/>
    <x v="3"/>
    <x v="7"/>
    <n v="6178"/>
  </r>
  <r>
    <s v="IA"/>
    <s v="Iowa"/>
    <s v="Monona"/>
    <x v="3"/>
    <x v="7"/>
    <n v="6178"/>
  </r>
  <r>
    <s v="IA"/>
    <s v="Iowa"/>
    <s v="Monroe"/>
    <x v="3"/>
    <x v="7"/>
    <n v="6178"/>
  </r>
  <r>
    <s v="IA"/>
    <s v="Iowa"/>
    <s v="Montgomery"/>
    <x v="3"/>
    <x v="7"/>
    <n v="6178"/>
  </r>
  <r>
    <s v="IA"/>
    <s v="Iowa"/>
    <s v="Muscatine"/>
    <x v="3"/>
    <x v="7"/>
    <n v="6178"/>
  </r>
  <r>
    <s v="IA"/>
    <s v="Iowa"/>
    <s v="O'Brien"/>
    <x v="3"/>
    <x v="7"/>
    <n v="6178"/>
  </r>
  <r>
    <s v="IA"/>
    <s v="Iowa"/>
    <s v="Osceola"/>
    <x v="3"/>
    <x v="7"/>
    <n v="6178"/>
  </r>
  <r>
    <s v="IA"/>
    <s v="Iowa"/>
    <s v="Page"/>
    <x v="3"/>
    <x v="7"/>
    <n v="6178"/>
  </r>
  <r>
    <s v="IA"/>
    <s v="Iowa"/>
    <s v="Palo Alto"/>
    <x v="3"/>
    <x v="7"/>
    <n v="6178"/>
  </r>
  <r>
    <s v="IA"/>
    <s v="Iowa"/>
    <s v="Plymouth"/>
    <x v="3"/>
    <x v="7"/>
    <n v="6178"/>
  </r>
  <r>
    <s v="IA"/>
    <s v="Iowa"/>
    <s v="Pocahontas"/>
    <x v="3"/>
    <x v="7"/>
    <n v="6178"/>
  </r>
  <r>
    <s v="IA"/>
    <s v="Iowa"/>
    <s v="Polk"/>
    <x v="3"/>
    <x v="7"/>
    <n v="6178"/>
  </r>
  <r>
    <s v="IA"/>
    <s v="Iowa"/>
    <s v="Pottawattamie"/>
    <x v="3"/>
    <x v="7"/>
    <n v="6178"/>
  </r>
  <r>
    <s v="IA"/>
    <s v="Iowa"/>
    <s v="Poweshiek"/>
    <x v="3"/>
    <x v="7"/>
    <n v="6178"/>
  </r>
  <r>
    <s v="IA"/>
    <s v="Iowa"/>
    <s v="Ringgold"/>
    <x v="3"/>
    <x v="7"/>
    <n v="6178"/>
  </r>
  <r>
    <s v="IA"/>
    <s v="Iowa"/>
    <s v="Sac"/>
    <x v="3"/>
    <x v="7"/>
    <n v="6178"/>
  </r>
  <r>
    <s v="IA"/>
    <s v="Iowa"/>
    <s v="Scott"/>
    <x v="3"/>
    <x v="7"/>
    <n v="6178"/>
  </r>
  <r>
    <s v="IA"/>
    <s v="Iowa"/>
    <s v="Shelby"/>
    <x v="3"/>
    <x v="7"/>
    <n v="6178"/>
  </r>
  <r>
    <s v="IA"/>
    <s v="Iowa"/>
    <s v="Sioux"/>
    <x v="3"/>
    <x v="7"/>
    <n v="6178"/>
  </r>
  <r>
    <s v="IA"/>
    <s v="Iowa"/>
    <s v="Story"/>
    <x v="3"/>
    <x v="7"/>
    <n v="6178"/>
  </r>
  <r>
    <s v="IA"/>
    <s v="Iowa"/>
    <s v="Tama"/>
    <x v="3"/>
    <x v="7"/>
    <n v="6178"/>
  </r>
  <r>
    <s v="IA"/>
    <s v="Iowa"/>
    <s v="Taylor"/>
    <x v="3"/>
    <x v="7"/>
    <n v="6178"/>
  </r>
  <r>
    <s v="IA"/>
    <s v="Iowa"/>
    <s v="Union"/>
    <x v="3"/>
    <x v="7"/>
    <n v="6178"/>
  </r>
  <r>
    <s v="IA"/>
    <s v="Iowa"/>
    <s v="Van Buren"/>
    <x v="3"/>
    <x v="7"/>
    <n v="6178"/>
  </r>
  <r>
    <s v="IA"/>
    <s v="Iowa"/>
    <s v="Wapello"/>
    <x v="3"/>
    <x v="7"/>
    <n v="6178"/>
  </r>
  <r>
    <s v="IA"/>
    <s v="Iowa"/>
    <s v="Warren"/>
    <x v="3"/>
    <x v="7"/>
    <n v="6178"/>
  </r>
  <r>
    <s v="IA"/>
    <s v="Iowa"/>
    <s v="Washington"/>
    <x v="3"/>
    <x v="7"/>
    <n v="6178"/>
  </r>
  <r>
    <s v="IA"/>
    <s v="Iowa"/>
    <s v="Wayne"/>
    <x v="3"/>
    <x v="7"/>
    <n v="6178"/>
  </r>
  <r>
    <s v="IA"/>
    <s v="Iowa"/>
    <s v="Webster"/>
    <x v="3"/>
    <x v="7"/>
    <n v="6178"/>
  </r>
  <r>
    <s v="IA"/>
    <s v="Iowa"/>
    <s v="Winnebago"/>
    <x v="3"/>
    <x v="7"/>
    <n v="6178"/>
  </r>
  <r>
    <s v="IA"/>
    <s v="Iowa"/>
    <s v="Winneshiek"/>
    <x v="3"/>
    <x v="7"/>
    <n v="6178"/>
  </r>
  <r>
    <s v="IA"/>
    <s v="Iowa"/>
    <s v="Woodbury"/>
    <x v="3"/>
    <x v="7"/>
    <n v="6178"/>
  </r>
  <r>
    <s v="IA"/>
    <s v="Iowa"/>
    <s v="Worth"/>
    <x v="3"/>
    <x v="7"/>
    <n v="6178"/>
  </r>
  <r>
    <s v="IA"/>
    <s v="Iowa"/>
    <s v="Wright"/>
    <x v="3"/>
    <x v="7"/>
    <n v="6178"/>
  </r>
  <r>
    <s v="KS"/>
    <s v="Kansas"/>
    <s v="Allen"/>
    <x v="1"/>
    <x v="7"/>
    <n v="6178"/>
  </r>
  <r>
    <s v="KS"/>
    <s v="Kansas"/>
    <s v="Anderson"/>
    <x v="1"/>
    <x v="7"/>
    <n v="6178"/>
  </r>
  <r>
    <s v="KS"/>
    <s v="Kansas"/>
    <s v="Atchison"/>
    <x v="1"/>
    <x v="7"/>
    <n v="6178"/>
  </r>
  <r>
    <s v="KS"/>
    <s v="Kansas"/>
    <s v="Barber"/>
    <x v="1"/>
    <x v="7"/>
    <n v="6178"/>
  </r>
  <r>
    <s v="KS"/>
    <s v="Kansas"/>
    <s v="Barton"/>
    <x v="1"/>
    <x v="7"/>
    <n v="6178"/>
  </r>
  <r>
    <s v="KS"/>
    <s v="Kansas"/>
    <s v="Bourbon"/>
    <x v="1"/>
    <x v="7"/>
    <n v="6178"/>
  </r>
  <r>
    <s v="KS"/>
    <s v="Kansas"/>
    <s v="Brown"/>
    <x v="1"/>
    <x v="7"/>
    <n v="6178"/>
  </r>
  <r>
    <s v="KS"/>
    <s v="Kansas"/>
    <s v="Butler"/>
    <x v="1"/>
    <x v="7"/>
    <n v="6178"/>
  </r>
  <r>
    <s v="KS"/>
    <s v="Kansas"/>
    <s v="Chase"/>
    <x v="1"/>
    <x v="7"/>
    <n v="6178"/>
  </r>
  <r>
    <s v="KS"/>
    <s v="Kansas"/>
    <s v="Chautauqua"/>
    <x v="1"/>
    <x v="7"/>
    <n v="6178"/>
  </r>
  <r>
    <s v="KS"/>
    <s v="Kansas"/>
    <s v="Cherokee"/>
    <x v="1"/>
    <x v="7"/>
    <n v="6178"/>
  </r>
  <r>
    <s v="KS"/>
    <s v="Kansas"/>
    <s v="Cheyenne"/>
    <x v="3"/>
    <x v="7"/>
    <n v="6178"/>
  </r>
  <r>
    <s v="KS"/>
    <s v="Kansas"/>
    <s v="Clark"/>
    <x v="1"/>
    <x v="7"/>
    <n v="6178"/>
  </r>
  <r>
    <s v="KS"/>
    <s v="Kansas"/>
    <s v="Clay"/>
    <x v="1"/>
    <x v="7"/>
    <n v="6178"/>
  </r>
  <r>
    <s v="KS"/>
    <s v="Kansas"/>
    <s v="Cloud"/>
    <x v="3"/>
    <x v="7"/>
    <n v="6178"/>
  </r>
  <r>
    <s v="KS"/>
    <s v="Kansas"/>
    <s v="Coffey"/>
    <x v="1"/>
    <x v="7"/>
    <n v="6178"/>
  </r>
  <r>
    <s v="KS"/>
    <s v="Kansas"/>
    <s v="Comanche"/>
    <x v="1"/>
    <x v="7"/>
    <n v="6178"/>
  </r>
  <r>
    <s v="KS"/>
    <s v="Kansas"/>
    <s v="Cowley"/>
    <x v="1"/>
    <x v="7"/>
    <n v="6178"/>
  </r>
  <r>
    <s v="KS"/>
    <s v="Kansas"/>
    <s v="Crawford"/>
    <x v="1"/>
    <x v="7"/>
    <n v="6178"/>
  </r>
  <r>
    <s v="KS"/>
    <s v="Kansas"/>
    <s v="Decatur"/>
    <x v="3"/>
    <x v="7"/>
    <n v="6178"/>
  </r>
  <r>
    <s v="KS"/>
    <s v="Kansas"/>
    <s v="Dickinson"/>
    <x v="1"/>
    <x v="7"/>
    <n v="6178"/>
  </r>
  <r>
    <s v="KS"/>
    <s v="Kansas"/>
    <s v="Doniphan"/>
    <x v="1"/>
    <x v="7"/>
    <n v="6178"/>
  </r>
  <r>
    <s v="KS"/>
    <s v="Kansas"/>
    <s v="Seward"/>
    <x v="1"/>
    <x v="7"/>
    <n v="6178"/>
  </r>
  <r>
    <s v="KS"/>
    <s v="Kansas"/>
    <s v="Shawnee"/>
    <x v="1"/>
    <x v="7"/>
    <n v="6178"/>
  </r>
  <r>
    <s v="KS"/>
    <s v="Kansas"/>
    <s v="Sheridan"/>
    <x v="3"/>
    <x v="7"/>
    <n v="6178"/>
  </r>
  <r>
    <s v="KS"/>
    <s v="Kansas"/>
    <s v="Sherman"/>
    <x v="3"/>
    <x v="7"/>
    <n v="6178"/>
  </r>
  <r>
    <s v="KS"/>
    <s v="Kansas"/>
    <s v="Smith"/>
    <x v="3"/>
    <x v="7"/>
    <n v="6178"/>
  </r>
  <r>
    <s v="KS"/>
    <s v="Kansas"/>
    <s v="Stafford"/>
    <x v="1"/>
    <x v="7"/>
    <n v="6178"/>
  </r>
  <r>
    <s v="KS"/>
    <s v="Kansas"/>
    <s v="Stanton"/>
    <x v="1"/>
    <x v="7"/>
    <n v="6178"/>
  </r>
  <r>
    <s v="KS"/>
    <s v="Kansas"/>
    <s v="Stevens"/>
    <x v="1"/>
    <x v="7"/>
    <n v="6178"/>
  </r>
  <r>
    <s v="KS"/>
    <s v="Kansas"/>
    <s v="Sumner"/>
    <x v="1"/>
    <x v="7"/>
    <n v="6178"/>
  </r>
  <r>
    <s v="KS"/>
    <s v="Kansas"/>
    <s v="Thomas"/>
    <x v="3"/>
    <x v="7"/>
    <n v="6178"/>
  </r>
  <r>
    <s v="KS"/>
    <s v="Kansas"/>
    <s v="Trego"/>
    <x v="3"/>
    <x v="7"/>
    <n v="6178"/>
  </r>
  <r>
    <s v="KS"/>
    <s v="Kansas"/>
    <s v="Wabaunsee"/>
    <x v="1"/>
    <x v="7"/>
    <n v="6178"/>
  </r>
  <r>
    <s v="KS"/>
    <s v="Kansas"/>
    <s v="Wallace"/>
    <x v="3"/>
    <x v="7"/>
    <n v="6178"/>
  </r>
  <r>
    <s v="KS"/>
    <s v="Kansas"/>
    <s v="Washington"/>
    <x v="1"/>
    <x v="7"/>
    <n v="6178"/>
  </r>
  <r>
    <s v="KS"/>
    <s v="Kansas"/>
    <s v="Wichita"/>
    <x v="3"/>
    <x v="7"/>
    <n v="6178"/>
  </r>
  <r>
    <s v="KS"/>
    <s v="Kansas"/>
    <s v="Wilson"/>
    <x v="1"/>
    <x v="7"/>
    <n v="6178"/>
  </r>
  <r>
    <s v="KS"/>
    <s v="Kansas"/>
    <s v="Woodson"/>
    <x v="1"/>
    <x v="7"/>
    <n v="6178"/>
  </r>
  <r>
    <s v="KS"/>
    <s v="Kansas"/>
    <s v="Wyandotte"/>
    <x v="1"/>
    <x v="7"/>
    <n v="6178"/>
  </r>
  <r>
    <s v="KY"/>
    <s v="Kentucky"/>
    <s v="Adair"/>
    <x v="1"/>
    <x v="0"/>
    <n v="4904"/>
  </r>
  <r>
    <s v="KY"/>
    <s v="Kentucky"/>
    <s v="Allen"/>
    <x v="1"/>
    <x v="0"/>
    <n v="4904"/>
  </r>
  <r>
    <s v="KY"/>
    <s v="Kentucky"/>
    <s v="Anderson"/>
    <x v="1"/>
    <x v="0"/>
    <n v="4904"/>
  </r>
  <r>
    <s v="KY"/>
    <s v="Kentucky"/>
    <s v="Ballard"/>
    <x v="1"/>
    <x v="0"/>
    <n v="4904"/>
  </r>
  <r>
    <s v="KY"/>
    <s v="Kentucky"/>
    <s v="Barren"/>
    <x v="1"/>
    <x v="0"/>
    <n v="4904"/>
  </r>
  <r>
    <s v="KY"/>
    <s v="Kentucky"/>
    <s v="Bath"/>
    <x v="1"/>
    <x v="0"/>
    <n v="4904"/>
  </r>
  <r>
    <s v="KY"/>
    <s v="Kentucky"/>
    <s v="Bell"/>
    <x v="1"/>
    <x v="0"/>
    <n v="4904"/>
  </r>
  <r>
    <s v="KY"/>
    <s v="Kentucky"/>
    <s v="Boone"/>
    <x v="1"/>
    <x v="0"/>
    <n v="4904"/>
  </r>
  <r>
    <s v="KY"/>
    <s v="Kentucky"/>
    <s v="Bourbon"/>
    <x v="1"/>
    <x v="0"/>
    <n v="4904"/>
  </r>
  <r>
    <s v="KY"/>
    <s v="Kentucky"/>
    <s v="Boyd"/>
    <x v="1"/>
    <x v="0"/>
    <n v="4904"/>
  </r>
  <r>
    <s v="KY"/>
    <s v="Kentucky"/>
    <s v="Boyle"/>
    <x v="1"/>
    <x v="0"/>
    <n v="4904"/>
  </r>
  <r>
    <s v="KY"/>
    <s v="Kentucky"/>
    <s v="Bracken"/>
    <x v="1"/>
    <x v="0"/>
    <n v="4904"/>
  </r>
  <r>
    <s v="KY"/>
    <s v="Kentucky"/>
    <s v="Breathitt"/>
    <x v="1"/>
    <x v="0"/>
    <n v="4904"/>
  </r>
  <r>
    <s v="KY"/>
    <s v="Kentucky"/>
    <s v="Breckinridge"/>
    <x v="1"/>
    <x v="0"/>
    <n v="4904"/>
  </r>
  <r>
    <s v="KY"/>
    <s v="Kentucky"/>
    <s v="Bullitt"/>
    <x v="1"/>
    <x v="0"/>
    <n v="4904"/>
  </r>
  <r>
    <s v="KY"/>
    <s v="Kentucky"/>
    <s v="Butler"/>
    <x v="1"/>
    <x v="0"/>
    <n v="4904"/>
  </r>
  <r>
    <s v="KY"/>
    <s v="Kentucky"/>
    <s v="Caldwell"/>
    <x v="1"/>
    <x v="0"/>
    <n v="4904"/>
  </r>
  <r>
    <s v="KY"/>
    <s v="Kentucky"/>
    <s v="Calloway"/>
    <x v="1"/>
    <x v="0"/>
    <n v="4904"/>
  </r>
  <r>
    <s v="KY"/>
    <s v="Kentucky"/>
    <s v="Campbell"/>
    <x v="1"/>
    <x v="0"/>
    <n v="4904"/>
  </r>
  <r>
    <s v="KY"/>
    <s v="Kentucky"/>
    <s v="Carlisle"/>
    <x v="1"/>
    <x v="0"/>
    <n v="4904"/>
  </r>
  <r>
    <s v="KY"/>
    <s v="Kentucky"/>
    <s v="Carroll"/>
    <x v="1"/>
    <x v="0"/>
    <n v="4904"/>
  </r>
  <r>
    <s v="KY"/>
    <s v="Kentucky"/>
    <s v="Carter"/>
    <x v="1"/>
    <x v="0"/>
    <n v="4904"/>
  </r>
  <r>
    <s v="KY"/>
    <s v="Kentucky"/>
    <s v="Casey"/>
    <x v="1"/>
    <x v="0"/>
    <n v="4904"/>
  </r>
  <r>
    <s v="KY"/>
    <s v="Kentucky"/>
    <s v="Christian"/>
    <x v="1"/>
    <x v="0"/>
    <n v="4904"/>
  </r>
  <r>
    <s v="KY"/>
    <s v="Kentucky"/>
    <s v="Clark"/>
    <x v="1"/>
    <x v="0"/>
    <n v="4904"/>
  </r>
  <r>
    <s v="KY"/>
    <s v="Kentucky"/>
    <s v="Clay"/>
    <x v="1"/>
    <x v="0"/>
    <n v="4904"/>
  </r>
  <r>
    <s v="KY"/>
    <s v="Kentucky"/>
    <s v="Clinton"/>
    <x v="1"/>
    <x v="0"/>
    <n v="4904"/>
  </r>
  <r>
    <s v="KY"/>
    <s v="Kentucky"/>
    <s v="Crittenden"/>
    <x v="1"/>
    <x v="0"/>
    <n v="4904"/>
  </r>
  <r>
    <s v="KY"/>
    <s v="Kentucky"/>
    <s v="Cumberland"/>
    <x v="1"/>
    <x v="0"/>
    <n v="4904"/>
  </r>
  <r>
    <s v="KY"/>
    <s v="Kentucky"/>
    <s v="Daviess"/>
    <x v="1"/>
    <x v="0"/>
    <n v="4904"/>
  </r>
  <r>
    <s v="KY"/>
    <s v="Kentucky"/>
    <s v="Edmonson"/>
    <x v="1"/>
    <x v="0"/>
    <n v="4904"/>
  </r>
  <r>
    <s v="KY"/>
    <s v="Kentucky"/>
    <s v="Elliott"/>
    <x v="1"/>
    <x v="0"/>
    <n v="4904"/>
  </r>
  <r>
    <s v="KY"/>
    <s v="Kentucky"/>
    <s v="Estill"/>
    <x v="1"/>
    <x v="0"/>
    <n v="4904"/>
  </r>
  <r>
    <s v="KY"/>
    <s v="Kentucky"/>
    <s v="Fayette"/>
    <x v="1"/>
    <x v="0"/>
    <n v="4904"/>
  </r>
  <r>
    <s v="KY"/>
    <s v="Kentucky"/>
    <s v="Fleming"/>
    <x v="1"/>
    <x v="0"/>
    <n v="4904"/>
  </r>
  <r>
    <s v="KY"/>
    <s v="Kentucky"/>
    <s v="Floyd"/>
    <x v="1"/>
    <x v="0"/>
    <n v="4904"/>
  </r>
  <r>
    <s v="KY"/>
    <s v="Kentucky"/>
    <s v="Franklin"/>
    <x v="1"/>
    <x v="0"/>
    <n v="4904"/>
  </r>
  <r>
    <s v="KY"/>
    <s v="Kentucky"/>
    <s v="Fulton"/>
    <x v="1"/>
    <x v="0"/>
    <n v="4904"/>
  </r>
  <r>
    <s v="KY"/>
    <s v="Kentucky"/>
    <s v="Gallatin"/>
    <x v="1"/>
    <x v="0"/>
    <n v="4904"/>
  </r>
  <r>
    <s v="KY"/>
    <s v="Kentucky"/>
    <s v="Garrard"/>
    <x v="1"/>
    <x v="0"/>
    <n v="4904"/>
  </r>
  <r>
    <s v="KY"/>
    <s v="Kentucky"/>
    <s v="Grant"/>
    <x v="1"/>
    <x v="0"/>
    <n v="4904"/>
  </r>
  <r>
    <s v="KY"/>
    <s v="Kentucky"/>
    <s v="Graves"/>
    <x v="1"/>
    <x v="0"/>
    <n v="4904"/>
  </r>
  <r>
    <s v="KY"/>
    <s v="Kentucky"/>
    <s v="Grayson"/>
    <x v="1"/>
    <x v="0"/>
    <n v="4904"/>
  </r>
  <r>
    <s v="KY"/>
    <s v="Kentucky"/>
    <s v="Green"/>
    <x v="1"/>
    <x v="0"/>
    <n v="4904"/>
  </r>
  <r>
    <s v="KY"/>
    <s v="Kentucky"/>
    <s v="Greenup"/>
    <x v="1"/>
    <x v="0"/>
    <n v="4904"/>
  </r>
  <r>
    <s v="KY"/>
    <s v="Kentucky"/>
    <s v="Hancock"/>
    <x v="1"/>
    <x v="0"/>
    <n v="4904"/>
  </r>
  <r>
    <s v="KY"/>
    <s v="Kentucky"/>
    <s v="Hardin"/>
    <x v="1"/>
    <x v="0"/>
    <n v="4904"/>
  </r>
  <r>
    <s v="KY"/>
    <s v="Kentucky"/>
    <s v="Union"/>
    <x v="1"/>
    <x v="0"/>
    <n v="4904"/>
  </r>
  <r>
    <s v="KY"/>
    <s v="Kentucky"/>
    <s v="Warren"/>
    <x v="1"/>
    <x v="0"/>
    <n v="4904"/>
  </r>
  <r>
    <s v="KY"/>
    <s v="Kentucky"/>
    <s v="Washington"/>
    <x v="1"/>
    <x v="0"/>
    <n v="4904"/>
  </r>
  <r>
    <s v="KY"/>
    <s v="Kentucky"/>
    <s v="Wayne"/>
    <x v="1"/>
    <x v="0"/>
    <n v="4904"/>
  </r>
  <r>
    <s v="KY"/>
    <s v="Kentucky"/>
    <s v="Webster"/>
    <x v="1"/>
    <x v="0"/>
    <n v="4904"/>
  </r>
  <r>
    <s v="KY"/>
    <s v="Kentucky"/>
    <s v="Whitley"/>
    <x v="1"/>
    <x v="0"/>
    <n v="4904"/>
  </r>
  <r>
    <s v="KY"/>
    <s v="Kentucky"/>
    <s v="Wolfe"/>
    <x v="1"/>
    <x v="0"/>
    <n v="4904"/>
  </r>
  <r>
    <s v="KY"/>
    <s v="Kentucky"/>
    <s v="Woodford"/>
    <x v="1"/>
    <x v="0"/>
    <n v="4904"/>
  </r>
  <r>
    <s v="LA"/>
    <s v="Louisiana"/>
    <s v="Acadia"/>
    <x v="0"/>
    <x v="1"/>
    <n v="11394"/>
  </r>
  <r>
    <s v="LA"/>
    <s v="Louisiana"/>
    <s v="Allen"/>
    <x v="0"/>
    <x v="1"/>
    <n v="11394"/>
  </r>
  <r>
    <s v="LA"/>
    <s v="Louisiana"/>
    <s v="Ascension"/>
    <x v="0"/>
    <x v="1"/>
    <n v="11394"/>
  </r>
  <r>
    <s v="LA"/>
    <s v="Louisiana"/>
    <s v="Assumption"/>
    <x v="0"/>
    <x v="1"/>
    <n v="11394"/>
  </r>
  <r>
    <s v="LA"/>
    <s v="Louisiana"/>
    <s v="Avoyelles"/>
    <x v="0"/>
    <x v="1"/>
    <n v="11394"/>
  </r>
  <r>
    <s v="LA"/>
    <s v="Louisiana"/>
    <s v="Beauregard"/>
    <x v="0"/>
    <x v="1"/>
    <n v="11394"/>
  </r>
  <r>
    <s v="LA"/>
    <s v="Louisiana"/>
    <s v="Bienville"/>
    <x v="0"/>
    <x v="1"/>
    <n v="11394"/>
  </r>
  <r>
    <s v="LA"/>
    <s v="Louisiana"/>
    <s v="Bossier"/>
    <x v="0"/>
    <x v="1"/>
    <n v="11394"/>
  </r>
  <r>
    <s v="LA"/>
    <s v="Louisiana"/>
    <s v="Caddo"/>
    <x v="0"/>
    <x v="1"/>
    <n v="11394"/>
  </r>
  <r>
    <s v="LA"/>
    <s v="Louisiana"/>
    <s v="Calcasieu"/>
    <x v="0"/>
    <x v="1"/>
    <n v="11394"/>
  </r>
  <r>
    <s v="LA"/>
    <s v="Louisiana"/>
    <s v="Caldwell"/>
    <x v="0"/>
    <x v="1"/>
    <n v="11394"/>
  </r>
  <r>
    <s v="LA"/>
    <s v="Louisiana"/>
    <s v="Cameron"/>
    <x v="0"/>
    <x v="1"/>
    <n v="11394"/>
  </r>
  <r>
    <s v="LA"/>
    <s v="Louisiana"/>
    <s v="Catahoula"/>
    <x v="0"/>
    <x v="1"/>
    <n v="11394"/>
  </r>
  <r>
    <s v="LA"/>
    <s v="Louisiana"/>
    <s v="Claiborne"/>
    <x v="0"/>
    <x v="1"/>
    <n v="11394"/>
  </r>
  <r>
    <s v="LA"/>
    <s v="Louisiana"/>
    <s v="Concordia"/>
    <x v="0"/>
    <x v="1"/>
    <n v="11394"/>
  </r>
  <r>
    <s v="LA"/>
    <s v="Louisiana"/>
    <s v="De Soto"/>
    <x v="0"/>
    <x v="1"/>
    <n v="11394"/>
  </r>
  <r>
    <s v="LA"/>
    <s v="Louisiana"/>
    <s v="East Baton Rouge"/>
    <x v="0"/>
    <x v="1"/>
    <n v="11394"/>
  </r>
  <r>
    <s v="LA"/>
    <s v="Louisiana"/>
    <s v="East Carroll"/>
    <x v="1"/>
    <x v="1"/>
    <n v="11394"/>
  </r>
  <r>
    <s v="LA"/>
    <s v="Louisiana"/>
    <s v="East Feliciana"/>
    <x v="0"/>
    <x v="1"/>
    <n v="11394"/>
  </r>
  <r>
    <s v="LA"/>
    <s v="Louisiana"/>
    <s v="Evangeline"/>
    <x v="0"/>
    <x v="1"/>
    <n v="11394"/>
  </r>
  <r>
    <s v="LA"/>
    <s v="Louisiana"/>
    <s v="Franklin"/>
    <x v="0"/>
    <x v="1"/>
    <n v="11394"/>
  </r>
  <r>
    <s v="LA"/>
    <s v="Louisiana"/>
    <s v="Grant"/>
    <x v="0"/>
    <x v="1"/>
    <n v="11394"/>
  </r>
  <r>
    <s v="LA"/>
    <s v="Louisiana"/>
    <s v="Iberia"/>
    <x v="0"/>
    <x v="1"/>
    <n v="11394"/>
  </r>
  <r>
    <s v="LA"/>
    <s v="Louisiana"/>
    <s v="Iberville"/>
    <x v="0"/>
    <x v="1"/>
    <n v="11394"/>
  </r>
  <r>
    <s v="LA"/>
    <s v="Louisiana"/>
    <s v="Jackson"/>
    <x v="0"/>
    <x v="1"/>
    <n v="11394"/>
  </r>
  <r>
    <s v="LA"/>
    <s v="Louisiana"/>
    <s v="Jefferson"/>
    <x v="0"/>
    <x v="1"/>
    <n v="11394"/>
  </r>
  <r>
    <s v="LA"/>
    <s v="Louisiana"/>
    <s v="Jefferson Davis"/>
    <x v="0"/>
    <x v="1"/>
    <n v="11394"/>
  </r>
  <r>
    <s v="LA"/>
    <s v="Louisiana"/>
    <s v="La Salle"/>
    <x v="0"/>
    <x v="1"/>
    <n v="11394"/>
  </r>
  <r>
    <s v="LA"/>
    <s v="Louisiana"/>
    <s v="Lafayette"/>
    <x v="0"/>
    <x v="1"/>
    <n v="11394"/>
  </r>
  <r>
    <s v="LA"/>
    <s v="Louisiana"/>
    <s v="Lafourche"/>
    <x v="0"/>
    <x v="1"/>
    <n v="11394"/>
  </r>
  <r>
    <s v="LA"/>
    <s v="Louisiana"/>
    <s v="Lincoln"/>
    <x v="0"/>
    <x v="1"/>
    <n v="11394"/>
  </r>
  <r>
    <s v="LA"/>
    <s v="Louisiana"/>
    <s v="Livingston"/>
    <x v="0"/>
    <x v="1"/>
    <n v="11394"/>
  </r>
  <r>
    <s v="LA"/>
    <s v="Louisiana"/>
    <s v="Madison"/>
    <x v="0"/>
    <x v="1"/>
    <n v="11394"/>
  </r>
  <r>
    <s v="LA"/>
    <s v="Louisiana"/>
    <s v="Morehouse"/>
    <x v="1"/>
    <x v="1"/>
    <n v="11394"/>
  </r>
  <r>
    <s v="LA"/>
    <s v="Louisiana"/>
    <s v="Natchitoches"/>
    <x v="0"/>
    <x v="1"/>
    <n v="11394"/>
  </r>
  <r>
    <s v="LA"/>
    <s v="Louisiana"/>
    <s v="Orleans"/>
    <x v="0"/>
    <x v="1"/>
    <n v="11394"/>
  </r>
  <r>
    <s v="LA"/>
    <s v="Louisiana"/>
    <s v="Ouachita"/>
    <x v="0"/>
    <x v="1"/>
    <n v="11394"/>
  </r>
  <r>
    <s v="LA"/>
    <s v="Louisiana"/>
    <s v="Plaquemines"/>
    <x v="0"/>
    <x v="1"/>
    <n v="11394"/>
  </r>
  <r>
    <s v="LA"/>
    <s v="Louisiana"/>
    <s v="Pointe Coupee"/>
    <x v="0"/>
    <x v="1"/>
    <n v="11394"/>
  </r>
  <r>
    <s v="LA"/>
    <s v="Louisiana"/>
    <s v="Rapides"/>
    <x v="0"/>
    <x v="1"/>
    <n v="11394"/>
  </r>
  <r>
    <s v="LA"/>
    <s v="Louisiana"/>
    <s v="Red River"/>
    <x v="0"/>
    <x v="1"/>
    <n v="11394"/>
  </r>
  <r>
    <s v="LA"/>
    <s v="Louisiana"/>
    <s v="Richland"/>
    <x v="0"/>
    <x v="1"/>
    <n v="11394"/>
  </r>
  <r>
    <s v="LA"/>
    <s v="Louisiana"/>
    <s v="Sabine"/>
    <x v="0"/>
    <x v="1"/>
    <n v="11394"/>
  </r>
  <r>
    <s v="LA"/>
    <s v="Louisiana"/>
    <s v="St. Bernard"/>
    <x v="0"/>
    <x v="1"/>
    <n v="11394"/>
  </r>
  <r>
    <s v="LA"/>
    <s v="Louisiana"/>
    <s v="St. Charles"/>
    <x v="0"/>
    <x v="1"/>
    <n v="11394"/>
  </r>
  <r>
    <s v="LA"/>
    <s v="Louisiana"/>
    <s v="St. Helena"/>
    <x v="0"/>
    <x v="1"/>
    <n v="11394"/>
  </r>
  <r>
    <s v="LA"/>
    <s v="Louisiana"/>
    <s v="St. James"/>
    <x v="0"/>
    <x v="1"/>
    <n v="11394"/>
  </r>
  <r>
    <s v="LA"/>
    <s v="Louisiana"/>
    <s v="St. John the Baptist"/>
    <x v="0"/>
    <x v="1"/>
    <n v="11394"/>
  </r>
  <r>
    <s v="LA"/>
    <s v="Louisiana"/>
    <s v="St. Landry"/>
    <x v="0"/>
    <x v="1"/>
    <n v="11394"/>
  </r>
  <r>
    <s v="LA"/>
    <s v="Louisiana"/>
    <s v="St. Martin"/>
    <x v="0"/>
    <x v="1"/>
    <n v="11394"/>
  </r>
  <r>
    <s v="LA"/>
    <s v="Louisiana"/>
    <s v="St. Mary"/>
    <x v="0"/>
    <x v="1"/>
    <n v="11394"/>
  </r>
  <r>
    <s v="LA"/>
    <s v="Louisiana"/>
    <s v="St. Tammany"/>
    <x v="0"/>
    <x v="1"/>
    <n v="11394"/>
  </r>
  <r>
    <s v="LA"/>
    <s v="Louisiana"/>
    <s v="Tangipahoa"/>
    <x v="0"/>
    <x v="1"/>
    <n v="11394"/>
  </r>
  <r>
    <s v="LA"/>
    <s v="Louisiana"/>
    <s v="Tensas"/>
    <x v="0"/>
    <x v="1"/>
    <n v="11394"/>
  </r>
  <r>
    <s v="LA"/>
    <s v="Louisiana"/>
    <s v="Terrebonne"/>
    <x v="0"/>
    <x v="1"/>
    <n v="11394"/>
  </r>
  <r>
    <s v="LA"/>
    <s v="Louisiana"/>
    <s v="Union"/>
    <x v="0"/>
    <x v="1"/>
    <n v="11394"/>
  </r>
  <r>
    <s v="LA"/>
    <s v="Louisiana"/>
    <s v="Vermilion"/>
    <x v="0"/>
    <x v="1"/>
    <n v="11394"/>
  </r>
  <r>
    <s v="MI"/>
    <s v="Michigan"/>
    <s v="Antrim"/>
    <x v="3"/>
    <x v="6"/>
    <n v="12742"/>
  </r>
  <r>
    <s v="MI"/>
    <s v="Michigan"/>
    <s v="Arenac"/>
    <x v="3"/>
    <x v="6"/>
    <n v="12742"/>
  </r>
  <r>
    <s v="MI"/>
    <s v="Michigan"/>
    <s v="Baraga"/>
    <x v="6"/>
    <x v="6"/>
    <n v="12742"/>
  </r>
  <r>
    <s v="MI"/>
    <s v="Michigan"/>
    <s v="Barry"/>
    <x v="3"/>
    <x v="6"/>
    <n v="12742"/>
  </r>
  <r>
    <s v="MI"/>
    <s v="Michigan"/>
    <s v="Bay"/>
    <x v="3"/>
    <x v="6"/>
    <n v="12742"/>
  </r>
  <r>
    <s v="MI"/>
    <s v="Michigan"/>
    <s v="Benzie"/>
    <x v="3"/>
    <x v="6"/>
    <n v="12742"/>
  </r>
  <r>
    <s v="MI"/>
    <s v="Michigan"/>
    <s v="Berrien"/>
    <x v="3"/>
    <x v="6"/>
    <n v="12742"/>
  </r>
  <r>
    <s v="MI"/>
    <s v="Michigan"/>
    <s v="Branch"/>
    <x v="3"/>
    <x v="6"/>
    <n v="12742"/>
  </r>
  <r>
    <s v="MI"/>
    <s v="Michigan"/>
    <s v="Calhoun"/>
    <x v="3"/>
    <x v="6"/>
    <n v="12742"/>
  </r>
  <r>
    <s v="MI"/>
    <s v="Michigan"/>
    <s v="Cass"/>
    <x v="3"/>
    <x v="6"/>
    <n v="12742"/>
  </r>
  <r>
    <s v="MI"/>
    <s v="Michigan"/>
    <s v="Charlevoix"/>
    <x v="3"/>
    <x v="6"/>
    <n v="12742"/>
  </r>
  <r>
    <s v="MI"/>
    <s v="Michigan"/>
    <s v="Cheboygan"/>
    <x v="3"/>
    <x v="6"/>
    <n v="12742"/>
  </r>
  <r>
    <s v="MI"/>
    <s v="Michigan"/>
    <s v="Chippewa"/>
    <x v="6"/>
    <x v="6"/>
    <n v="12742"/>
  </r>
  <r>
    <s v="MI"/>
    <s v="Michigan"/>
    <s v="Clare"/>
    <x v="3"/>
    <x v="6"/>
    <n v="12742"/>
  </r>
  <r>
    <s v="MI"/>
    <s v="Michigan"/>
    <s v="Clinton"/>
    <x v="3"/>
    <x v="6"/>
    <n v="12742"/>
  </r>
  <r>
    <s v="MI"/>
    <s v="Michigan"/>
    <s v="Crawford"/>
    <x v="3"/>
    <x v="6"/>
    <n v="12742"/>
  </r>
  <r>
    <s v="MI"/>
    <s v="Michigan"/>
    <s v="Delta"/>
    <x v="3"/>
    <x v="6"/>
    <n v="12742"/>
  </r>
  <r>
    <s v="MI"/>
    <s v="Michigan"/>
    <s v="Dickinson"/>
    <x v="3"/>
    <x v="6"/>
    <n v="12742"/>
  </r>
  <r>
    <s v="MI"/>
    <s v="Michigan"/>
    <s v="Eaton"/>
    <x v="3"/>
    <x v="6"/>
    <n v="12742"/>
  </r>
  <r>
    <s v="MI"/>
    <s v="Michigan"/>
    <s v="Emmet"/>
    <x v="3"/>
    <x v="6"/>
    <n v="12742"/>
  </r>
  <r>
    <s v="MI"/>
    <s v="Michigan"/>
    <s v="Genesee"/>
    <x v="3"/>
    <x v="6"/>
    <n v="12742"/>
  </r>
  <r>
    <s v="MI"/>
    <s v="Michigan"/>
    <s v="Gladwin"/>
    <x v="3"/>
    <x v="6"/>
    <n v="12742"/>
  </r>
  <r>
    <s v="MI"/>
    <s v="Michigan"/>
    <s v="Gogebic"/>
    <x v="6"/>
    <x v="6"/>
    <n v="12742"/>
  </r>
  <r>
    <s v="MI"/>
    <s v="Michigan"/>
    <s v="Grand Traverse"/>
    <x v="3"/>
    <x v="6"/>
    <n v="12742"/>
  </r>
  <r>
    <s v="MI"/>
    <s v="Michigan"/>
    <s v="Gratiot"/>
    <x v="3"/>
    <x v="6"/>
    <n v="12742"/>
  </r>
  <r>
    <s v="MI"/>
    <s v="Michigan"/>
    <s v="Hillsdale"/>
    <x v="3"/>
    <x v="6"/>
    <n v="12742"/>
  </r>
  <r>
    <s v="MI"/>
    <s v="Michigan"/>
    <s v="Houghton"/>
    <x v="6"/>
    <x v="6"/>
    <n v="12742"/>
  </r>
  <r>
    <s v="MI"/>
    <s v="Michigan"/>
    <s v="Huron"/>
    <x v="3"/>
    <x v="6"/>
    <n v="12742"/>
  </r>
  <r>
    <s v="MI"/>
    <s v="Michigan"/>
    <s v="Ingham"/>
    <x v="3"/>
    <x v="6"/>
    <n v="12742"/>
  </r>
  <r>
    <s v="MI"/>
    <s v="Michigan"/>
    <s v="Ionia"/>
    <x v="3"/>
    <x v="6"/>
    <n v="12742"/>
  </r>
  <r>
    <s v="MI"/>
    <s v="Michigan"/>
    <s v="Iosco"/>
    <x v="3"/>
    <x v="6"/>
    <n v="12742"/>
  </r>
  <r>
    <s v="MI"/>
    <s v="Michigan"/>
    <s v="Iron"/>
    <x v="6"/>
    <x v="6"/>
    <n v="12742"/>
  </r>
  <r>
    <s v="MI"/>
    <s v="Michigan"/>
    <s v="Isabella"/>
    <x v="3"/>
    <x v="6"/>
    <n v="12742"/>
  </r>
  <r>
    <s v="MI"/>
    <s v="Michigan"/>
    <s v="Jackson"/>
    <x v="3"/>
    <x v="6"/>
    <n v="12742"/>
  </r>
  <r>
    <s v="MI"/>
    <s v="Michigan"/>
    <s v="Kalamazoo"/>
    <x v="3"/>
    <x v="6"/>
    <n v="12742"/>
  </r>
  <r>
    <s v="MI"/>
    <s v="Michigan"/>
    <s v="Kalkaska"/>
    <x v="3"/>
    <x v="6"/>
    <n v="12742"/>
  </r>
  <r>
    <s v="MI"/>
    <s v="Michigan"/>
    <s v="Kent"/>
    <x v="3"/>
    <x v="6"/>
    <n v="12742"/>
  </r>
  <r>
    <s v="MI"/>
    <s v="Michigan"/>
    <s v="Keweenaw"/>
    <x v="6"/>
    <x v="6"/>
    <n v="12742"/>
  </r>
  <r>
    <s v="MI"/>
    <s v="Michigan"/>
    <s v="Lake"/>
    <x v="3"/>
    <x v="6"/>
    <n v="12742"/>
  </r>
  <r>
    <s v="MI"/>
    <s v="Michigan"/>
    <s v="Lapeer"/>
    <x v="3"/>
    <x v="6"/>
    <n v="12742"/>
  </r>
  <r>
    <s v="MI"/>
    <s v="Michigan"/>
    <s v="Leelanau"/>
    <x v="3"/>
    <x v="6"/>
    <n v="12742"/>
  </r>
  <r>
    <s v="MI"/>
    <s v="Michigan"/>
    <s v="Lenawee"/>
    <x v="3"/>
    <x v="6"/>
    <n v="12742"/>
  </r>
  <r>
    <s v="MI"/>
    <s v="Michigan"/>
    <s v="Livingston"/>
    <x v="3"/>
    <x v="6"/>
    <n v="12742"/>
  </r>
  <r>
    <s v="MI"/>
    <s v="Michigan"/>
    <s v="Luce"/>
    <x v="6"/>
    <x v="6"/>
    <n v="12742"/>
  </r>
  <r>
    <s v="MI"/>
    <s v="Michigan"/>
    <s v="Mackinac"/>
    <x v="6"/>
    <x v="6"/>
    <n v="12742"/>
  </r>
  <r>
    <s v="MI"/>
    <s v="Michigan"/>
    <s v="Macomb"/>
    <x v="3"/>
    <x v="6"/>
    <n v="12742"/>
  </r>
  <r>
    <s v="MI"/>
    <s v="Michigan"/>
    <s v="Manistee"/>
    <x v="3"/>
    <x v="6"/>
    <n v="12742"/>
  </r>
  <r>
    <s v="MI"/>
    <s v="Michigan"/>
    <s v="Marquette"/>
    <x v="3"/>
    <x v="6"/>
    <n v="12742"/>
  </r>
  <r>
    <s v="MI"/>
    <s v="Michigan"/>
    <s v="Mason"/>
    <x v="3"/>
    <x v="6"/>
    <n v="12742"/>
  </r>
  <r>
    <s v="MI"/>
    <s v="Michigan"/>
    <s v="Mecosta"/>
    <x v="3"/>
    <x v="6"/>
    <n v="12742"/>
  </r>
  <r>
    <s v="MI"/>
    <s v="Michigan"/>
    <s v="Menominee"/>
    <x v="3"/>
    <x v="6"/>
    <n v="12742"/>
  </r>
  <r>
    <s v="MI"/>
    <s v="Michigan"/>
    <s v="Midland"/>
    <x v="3"/>
    <x v="6"/>
    <n v="12742"/>
  </r>
  <r>
    <s v="MI"/>
    <s v="Michigan"/>
    <s v="Missaukee"/>
    <x v="3"/>
    <x v="6"/>
    <n v="12742"/>
  </r>
  <r>
    <s v="MI"/>
    <s v="Michigan"/>
    <s v="Monroe"/>
    <x v="3"/>
    <x v="6"/>
    <n v="12742"/>
  </r>
  <r>
    <s v="MI"/>
    <s v="Michigan"/>
    <s v="Montcalm"/>
    <x v="3"/>
    <x v="6"/>
    <n v="12742"/>
  </r>
  <r>
    <s v="MI"/>
    <s v="Michigan"/>
    <s v="Montmorency"/>
    <x v="3"/>
    <x v="6"/>
    <n v="12742"/>
  </r>
  <r>
    <s v="MI"/>
    <s v="Michigan"/>
    <s v="Muskegon"/>
    <x v="3"/>
    <x v="6"/>
    <n v="12742"/>
  </r>
  <r>
    <s v="MI"/>
    <s v="Michigan"/>
    <s v="Newaygo"/>
    <x v="3"/>
    <x v="6"/>
    <n v="12742"/>
  </r>
  <r>
    <s v="MI"/>
    <s v="Michigan"/>
    <s v="Oakland"/>
    <x v="3"/>
    <x v="6"/>
    <n v="12742"/>
  </r>
  <r>
    <s v="MI"/>
    <s v="Michigan"/>
    <s v="Oceana"/>
    <x v="3"/>
    <x v="6"/>
    <n v="12742"/>
  </r>
  <r>
    <s v="MI"/>
    <s v="Michigan"/>
    <s v="Ogemaw"/>
    <x v="3"/>
    <x v="6"/>
    <n v="12742"/>
  </r>
  <r>
    <s v="MI"/>
    <s v="Michigan"/>
    <s v="Ontonagon"/>
    <x v="6"/>
    <x v="6"/>
    <n v="12742"/>
  </r>
  <r>
    <s v="MI"/>
    <s v="Michigan"/>
    <s v="Osceola"/>
    <x v="3"/>
    <x v="6"/>
    <n v="12742"/>
  </r>
  <r>
    <s v="MI"/>
    <s v="Michigan"/>
    <s v="Oscoda"/>
    <x v="3"/>
    <x v="6"/>
    <n v="12742"/>
  </r>
  <r>
    <s v="MI"/>
    <s v="Michigan"/>
    <s v="Otsego"/>
    <x v="3"/>
    <x v="6"/>
    <n v="12742"/>
  </r>
  <r>
    <s v="MN"/>
    <s v="Minnesota"/>
    <s v="Nicollet"/>
    <x v="3"/>
    <x v="7"/>
    <n v="6178"/>
  </r>
  <r>
    <s v="MN"/>
    <s v="Minnesota"/>
    <s v="Nobles"/>
    <x v="3"/>
    <x v="7"/>
    <n v="6178"/>
  </r>
  <r>
    <s v="MN"/>
    <s v="Minnesota"/>
    <s v="Norman"/>
    <x v="6"/>
    <x v="7"/>
    <n v="6178"/>
  </r>
  <r>
    <s v="MN"/>
    <s v="Minnesota"/>
    <s v="Olmsted"/>
    <x v="3"/>
    <x v="7"/>
    <n v="6178"/>
  </r>
  <r>
    <s v="MN"/>
    <s v="Minnesota"/>
    <s v="Otter Tail"/>
    <x v="6"/>
    <x v="7"/>
    <n v="6178"/>
  </r>
  <r>
    <s v="MN"/>
    <s v="Minnesota"/>
    <s v="Pennington"/>
    <x v="6"/>
    <x v="7"/>
    <n v="6178"/>
  </r>
  <r>
    <s v="MN"/>
    <s v="Minnesota"/>
    <s v="Pine"/>
    <x v="6"/>
    <x v="7"/>
    <n v="6178"/>
  </r>
  <r>
    <s v="MN"/>
    <s v="Minnesota"/>
    <s v="Pipestone"/>
    <x v="3"/>
    <x v="7"/>
    <n v="6178"/>
  </r>
  <r>
    <s v="MN"/>
    <s v="Minnesota"/>
    <s v="Polk"/>
    <x v="6"/>
    <x v="7"/>
    <n v="6178"/>
  </r>
  <r>
    <s v="MN"/>
    <s v="Minnesota"/>
    <s v="Pope"/>
    <x v="3"/>
    <x v="7"/>
    <n v="6178"/>
  </r>
  <r>
    <s v="MN"/>
    <s v="Minnesota"/>
    <s v="Ramsey"/>
    <x v="3"/>
    <x v="7"/>
    <n v="6178"/>
  </r>
  <r>
    <s v="MN"/>
    <s v="Minnesota"/>
    <s v="Red Lake"/>
    <x v="6"/>
    <x v="7"/>
    <n v="6178"/>
  </r>
  <r>
    <s v="MN"/>
    <s v="Minnesota"/>
    <s v="Redwood"/>
    <x v="3"/>
    <x v="7"/>
    <n v="6178"/>
  </r>
  <r>
    <s v="MN"/>
    <s v="Minnesota"/>
    <s v="Renville"/>
    <x v="3"/>
    <x v="7"/>
    <n v="6178"/>
  </r>
  <r>
    <s v="MN"/>
    <s v="Minnesota"/>
    <s v="Rice"/>
    <x v="3"/>
    <x v="7"/>
    <n v="6178"/>
  </r>
  <r>
    <s v="MN"/>
    <s v="Minnesota"/>
    <s v="Rock"/>
    <x v="3"/>
    <x v="7"/>
    <n v="6178"/>
  </r>
  <r>
    <s v="MN"/>
    <s v="Minnesota"/>
    <s v="Roseau"/>
    <x v="6"/>
    <x v="7"/>
    <n v="6178"/>
  </r>
  <r>
    <s v="MN"/>
    <s v="Minnesota"/>
    <s v="Scott"/>
    <x v="3"/>
    <x v="7"/>
    <n v="6178"/>
  </r>
  <r>
    <s v="MN"/>
    <s v="Minnesota"/>
    <s v="Sherburne"/>
    <x v="3"/>
    <x v="7"/>
    <n v="6178"/>
  </r>
  <r>
    <s v="MN"/>
    <s v="Minnesota"/>
    <s v="Sibley"/>
    <x v="3"/>
    <x v="7"/>
    <n v="6178"/>
  </r>
  <r>
    <s v="MN"/>
    <s v="Minnesota"/>
    <s v="St. Louis"/>
    <x v="6"/>
    <x v="7"/>
    <n v="6178"/>
  </r>
  <r>
    <s v="MN"/>
    <s v="Minnesota"/>
    <s v="Stearns"/>
    <x v="3"/>
    <x v="7"/>
    <n v="6178"/>
  </r>
  <r>
    <s v="MN"/>
    <s v="Minnesota"/>
    <s v="Steele"/>
    <x v="3"/>
    <x v="7"/>
    <n v="6178"/>
  </r>
  <r>
    <s v="MN"/>
    <s v="Minnesota"/>
    <s v="Stevens"/>
    <x v="3"/>
    <x v="7"/>
    <n v="6178"/>
  </r>
  <r>
    <s v="MN"/>
    <s v="Minnesota"/>
    <s v="Swift"/>
    <x v="3"/>
    <x v="7"/>
    <n v="6178"/>
  </r>
  <r>
    <s v="MN"/>
    <s v="Minnesota"/>
    <s v="Todd"/>
    <x v="3"/>
    <x v="7"/>
    <n v="6178"/>
  </r>
  <r>
    <s v="MN"/>
    <s v="Minnesota"/>
    <s v="Traverse"/>
    <x v="3"/>
    <x v="7"/>
    <n v="6178"/>
  </r>
  <r>
    <s v="MN"/>
    <s v="Minnesota"/>
    <s v="Wabasha"/>
    <x v="3"/>
    <x v="7"/>
    <n v="6178"/>
  </r>
  <r>
    <s v="MN"/>
    <s v="Minnesota"/>
    <s v="Wadena"/>
    <x v="6"/>
    <x v="7"/>
    <n v="6178"/>
  </r>
  <r>
    <s v="MN"/>
    <s v="Minnesota"/>
    <s v="Waseca"/>
    <x v="3"/>
    <x v="7"/>
    <n v="6178"/>
  </r>
  <r>
    <s v="MN"/>
    <s v="Minnesota"/>
    <s v="Washington"/>
    <x v="3"/>
    <x v="7"/>
    <n v="6178"/>
  </r>
  <r>
    <s v="MN"/>
    <s v="Minnesota"/>
    <s v="Watonwan"/>
    <x v="3"/>
    <x v="7"/>
    <n v="6178"/>
  </r>
  <r>
    <s v="MN"/>
    <s v="Minnesota"/>
    <s v="Wilkin"/>
    <x v="6"/>
    <x v="7"/>
    <n v="6178"/>
  </r>
  <r>
    <s v="MN"/>
    <s v="Minnesota"/>
    <s v="Winona"/>
    <x v="3"/>
    <x v="7"/>
    <n v="6178"/>
  </r>
  <r>
    <s v="MN"/>
    <s v="Minnesota"/>
    <s v="Wright"/>
    <x v="3"/>
    <x v="7"/>
    <n v="6178"/>
  </r>
  <r>
    <s v="MN"/>
    <s v="Minnesota"/>
    <s v="Yellow Medicine"/>
    <x v="3"/>
    <x v="7"/>
    <n v="6178"/>
  </r>
  <r>
    <s v="MS"/>
    <s v="Mississippi"/>
    <s v="Adams"/>
    <x v="0"/>
    <x v="0"/>
    <n v="4904"/>
  </r>
  <r>
    <s v="MS"/>
    <s v="Mississippi"/>
    <s v="Alcorn"/>
    <x v="1"/>
    <x v="0"/>
    <n v="4904"/>
  </r>
  <r>
    <s v="MS"/>
    <s v="Mississippi"/>
    <s v="Amite"/>
    <x v="0"/>
    <x v="0"/>
    <n v="4904"/>
  </r>
  <r>
    <s v="MS"/>
    <s v="Mississippi"/>
    <s v="Attala"/>
    <x v="1"/>
    <x v="0"/>
    <n v="4904"/>
  </r>
  <r>
    <s v="MS"/>
    <s v="Mississippi"/>
    <s v="Benton"/>
    <x v="1"/>
    <x v="0"/>
    <n v="4904"/>
  </r>
  <r>
    <s v="MS"/>
    <s v="Mississippi"/>
    <s v="Bolivar"/>
    <x v="1"/>
    <x v="0"/>
    <n v="4904"/>
  </r>
  <r>
    <s v="MS"/>
    <s v="Mississippi"/>
    <s v="Calhoun"/>
    <x v="1"/>
    <x v="0"/>
    <n v="4904"/>
  </r>
  <r>
    <s v="MS"/>
    <s v="Mississippi"/>
    <s v="Carroll"/>
    <x v="1"/>
    <x v="0"/>
    <n v="4904"/>
  </r>
  <r>
    <s v="MS"/>
    <s v="Mississippi"/>
    <s v="Chickasaw"/>
    <x v="1"/>
    <x v="0"/>
    <n v="4904"/>
  </r>
  <r>
    <s v="MS"/>
    <s v="Mississippi"/>
    <s v="Choctaw"/>
    <x v="1"/>
    <x v="0"/>
    <n v="4904"/>
  </r>
  <r>
    <s v="MS"/>
    <s v="Mississippi"/>
    <s v="Claiborne"/>
    <x v="0"/>
    <x v="0"/>
    <n v="4904"/>
  </r>
  <r>
    <s v="MS"/>
    <s v="Mississippi"/>
    <s v="Clarke"/>
    <x v="1"/>
    <x v="0"/>
    <n v="4904"/>
  </r>
  <r>
    <s v="MS"/>
    <s v="Mississippi"/>
    <s v="Clay"/>
    <x v="1"/>
    <x v="0"/>
    <n v="4904"/>
  </r>
  <r>
    <s v="MS"/>
    <s v="Mississippi"/>
    <s v="Coahoma"/>
    <x v="1"/>
    <x v="0"/>
    <n v="4904"/>
  </r>
  <r>
    <s v="MS"/>
    <s v="Mississippi"/>
    <s v="Copiah"/>
    <x v="0"/>
    <x v="0"/>
    <n v="4904"/>
  </r>
  <r>
    <s v="MS"/>
    <s v="Mississippi"/>
    <s v="Covington"/>
    <x v="0"/>
    <x v="0"/>
    <n v="4904"/>
  </r>
  <r>
    <s v="MS"/>
    <s v="Mississippi"/>
    <s v="DeSoto"/>
    <x v="1"/>
    <x v="0"/>
    <n v="4904"/>
  </r>
  <r>
    <s v="MS"/>
    <s v="Mississippi"/>
    <s v="Forrest"/>
    <x v="0"/>
    <x v="0"/>
    <n v="4904"/>
  </r>
  <r>
    <s v="MS"/>
    <s v="Mississippi"/>
    <s v="Franklin"/>
    <x v="0"/>
    <x v="0"/>
    <n v="4904"/>
  </r>
  <r>
    <s v="MS"/>
    <s v="Mississippi"/>
    <s v="George"/>
    <x v="0"/>
    <x v="0"/>
    <n v="4904"/>
  </r>
  <r>
    <s v="MS"/>
    <s v="Mississippi"/>
    <s v="Greene"/>
    <x v="0"/>
    <x v="0"/>
    <n v="4904"/>
  </r>
  <r>
    <s v="MS"/>
    <s v="Mississippi"/>
    <s v="Grenada"/>
    <x v="1"/>
    <x v="0"/>
    <n v="4904"/>
  </r>
  <r>
    <s v="MS"/>
    <s v="Mississippi"/>
    <s v="Hancock"/>
    <x v="1"/>
    <x v="0"/>
    <n v="4904"/>
  </r>
  <r>
    <s v="MS"/>
    <s v="Mississippi"/>
    <s v="Harrison"/>
    <x v="1"/>
    <x v="0"/>
    <n v="4904"/>
  </r>
  <r>
    <s v="MS"/>
    <s v="Mississippi"/>
    <s v="Hinds"/>
    <x v="0"/>
    <x v="0"/>
    <n v="4904"/>
  </r>
  <r>
    <s v="MS"/>
    <s v="Mississippi"/>
    <s v="Holmes"/>
    <x v="1"/>
    <x v="0"/>
    <n v="4904"/>
  </r>
  <r>
    <s v="MS"/>
    <s v="Mississippi"/>
    <s v="Humphreys"/>
    <x v="1"/>
    <x v="0"/>
    <n v="4904"/>
  </r>
  <r>
    <s v="MS"/>
    <s v="Mississippi"/>
    <s v="Issaquena"/>
    <x v="1"/>
    <x v="0"/>
    <n v="4904"/>
  </r>
  <r>
    <s v="MS"/>
    <s v="Mississippi"/>
    <s v="Itawamba"/>
    <x v="1"/>
    <x v="0"/>
    <n v="4904"/>
  </r>
  <r>
    <s v="MO"/>
    <s v="Missouri"/>
    <s v="Caldwell"/>
    <x v="3"/>
    <x v="7"/>
    <n v="6178"/>
  </r>
  <r>
    <s v="MO"/>
    <s v="Missouri"/>
    <s v="Callaway"/>
    <x v="1"/>
    <x v="7"/>
    <n v="6178"/>
  </r>
  <r>
    <s v="MO"/>
    <s v="Missouri"/>
    <s v="Camden"/>
    <x v="1"/>
    <x v="7"/>
    <n v="6178"/>
  </r>
  <r>
    <s v="MO"/>
    <s v="Missouri"/>
    <s v="Cape Girardeau"/>
    <x v="1"/>
    <x v="7"/>
    <n v="6178"/>
  </r>
  <r>
    <s v="MO"/>
    <s v="Missouri"/>
    <s v="Carroll"/>
    <x v="1"/>
    <x v="7"/>
    <n v="6178"/>
  </r>
  <r>
    <s v="MO"/>
    <s v="Missouri"/>
    <s v="Carter"/>
    <x v="1"/>
    <x v="7"/>
    <n v="6178"/>
  </r>
  <r>
    <s v="MO"/>
    <s v="Missouri"/>
    <s v="Cass"/>
    <x v="1"/>
    <x v="7"/>
    <n v="6178"/>
  </r>
  <r>
    <s v="MO"/>
    <s v="Missouri"/>
    <s v="Cedar"/>
    <x v="1"/>
    <x v="7"/>
    <n v="6178"/>
  </r>
  <r>
    <s v="MO"/>
    <s v="Missouri"/>
    <s v="Chariton"/>
    <x v="3"/>
    <x v="7"/>
    <n v="6178"/>
  </r>
  <r>
    <s v="MO"/>
    <s v="Missouri"/>
    <s v="Christian"/>
    <x v="1"/>
    <x v="7"/>
    <n v="6178"/>
  </r>
  <r>
    <s v="MO"/>
    <s v="Missouri"/>
    <s v="Clark"/>
    <x v="3"/>
    <x v="7"/>
    <n v="6178"/>
  </r>
  <r>
    <s v="MO"/>
    <s v="Missouri"/>
    <s v="Clay"/>
    <x v="1"/>
    <x v="7"/>
    <n v="6178"/>
  </r>
  <r>
    <s v="MO"/>
    <s v="Missouri"/>
    <s v="Clinton"/>
    <x v="3"/>
    <x v="7"/>
    <n v="6178"/>
  </r>
  <r>
    <s v="MO"/>
    <s v="Missouri"/>
    <s v="Cole"/>
    <x v="1"/>
    <x v="7"/>
    <n v="6178"/>
  </r>
  <r>
    <s v="MO"/>
    <s v="Missouri"/>
    <s v="Cooper"/>
    <x v="1"/>
    <x v="7"/>
    <n v="6178"/>
  </r>
  <r>
    <s v="MO"/>
    <s v="Missouri"/>
    <s v="Crawford"/>
    <x v="1"/>
    <x v="7"/>
    <n v="6178"/>
  </r>
  <r>
    <s v="MO"/>
    <s v="Missouri"/>
    <s v="Dade"/>
    <x v="1"/>
    <x v="7"/>
    <n v="6178"/>
  </r>
  <r>
    <s v="MO"/>
    <s v="Missouri"/>
    <s v="Dallas"/>
    <x v="1"/>
    <x v="7"/>
    <n v="6178"/>
  </r>
  <r>
    <s v="MO"/>
    <s v="Missouri"/>
    <s v="Daviess"/>
    <x v="3"/>
    <x v="7"/>
    <n v="6178"/>
  </r>
  <r>
    <s v="MO"/>
    <s v="Missouri"/>
    <s v="DeKalb"/>
    <x v="3"/>
    <x v="7"/>
    <n v="6178"/>
  </r>
  <r>
    <s v="MO"/>
    <s v="Missouri"/>
    <s v="Dent"/>
    <x v="1"/>
    <x v="7"/>
    <n v="6178"/>
  </r>
  <r>
    <s v="MO"/>
    <s v="Missouri"/>
    <s v="Douglas"/>
    <x v="1"/>
    <x v="7"/>
    <n v="6178"/>
  </r>
  <r>
    <s v="MO"/>
    <s v="Missouri"/>
    <s v="Dunklin"/>
    <x v="1"/>
    <x v="7"/>
    <n v="6178"/>
  </r>
  <r>
    <s v="MO"/>
    <s v="Missouri"/>
    <s v="Franklin"/>
    <x v="1"/>
    <x v="7"/>
    <n v="6178"/>
  </r>
  <r>
    <s v="MO"/>
    <s v="Missouri"/>
    <s v="Gasconade"/>
    <x v="1"/>
    <x v="7"/>
    <n v="6178"/>
  </r>
  <r>
    <s v="MO"/>
    <s v="Missouri"/>
    <s v="Gentry"/>
    <x v="3"/>
    <x v="7"/>
    <n v="6178"/>
  </r>
  <r>
    <s v="MO"/>
    <s v="Missouri"/>
    <s v="Greene"/>
    <x v="1"/>
    <x v="7"/>
    <n v="6178"/>
  </r>
  <r>
    <s v="MO"/>
    <s v="Missouri"/>
    <s v="Grundy"/>
    <x v="3"/>
    <x v="7"/>
    <n v="6178"/>
  </r>
  <r>
    <s v="MO"/>
    <s v="Missouri"/>
    <s v="Harrison"/>
    <x v="3"/>
    <x v="7"/>
    <n v="6178"/>
  </r>
  <r>
    <s v="MO"/>
    <s v="Missouri"/>
    <s v="Henry"/>
    <x v="1"/>
    <x v="7"/>
    <n v="6178"/>
  </r>
  <r>
    <s v="MO"/>
    <s v="Missouri"/>
    <s v="Hickory"/>
    <x v="1"/>
    <x v="7"/>
    <n v="6178"/>
  </r>
  <r>
    <s v="MO"/>
    <s v="Missouri"/>
    <s v="Holt"/>
    <x v="3"/>
    <x v="7"/>
    <n v="6178"/>
  </r>
  <r>
    <s v="MO"/>
    <s v="Missouri"/>
    <s v="Howard"/>
    <x v="1"/>
    <x v="7"/>
    <n v="6178"/>
  </r>
  <r>
    <s v="MO"/>
    <s v="Missouri"/>
    <s v="Howell"/>
    <x v="1"/>
    <x v="7"/>
    <n v="6178"/>
  </r>
  <r>
    <s v="MO"/>
    <s v="Missouri"/>
    <s v="Iron"/>
    <x v="1"/>
    <x v="7"/>
    <n v="6178"/>
  </r>
  <r>
    <s v="MO"/>
    <s v="Missouri"/>
    <s v="Jackson"/>
    <x v="1"/>
    <x v="7"/>
    <n v="6178"/>
  </r>
  <r>
    <s v="MO"/>
    <s v="Missouri"/>
    <s v="Jasper"/>
    <x v="1"/>
    <x v="7"/>
    <n v="6178"/>
  </r>
  <r>
    <s v="MO"/>
    <s v="Missouri"/>
    <s v="Jefferson"/>
    <x v="1"/>
    <x v="7"/>
    <n v="6178"/>
  </r>
  <r>
    <s v="MO"/>
    <s v="Missouri"/>
    <s v="Johnson"/>
    <x v="1"/>
    <x v="7"/>
    <n v="6178"/>
  </r>
  <r>
    <s v="MO"/>
    <s v="Missouri"/>
    <s v="Knox"/>
    <x v="3"/>
    <x v="7"/>
    <n v="6178"/>
  </r>
  <r>
    <s v="MO"/>
    <s v="Missouri"/>
    <s v="Laclede"/>
    <x v="1"/>
    <x v="7"/>
    <n v="6178"/>
  </r>
  <r>
    <s v="MO"/>
    <s v="Missouri"/>
    <s v="Lafayette"/>
    <x v="1"/>
    <x v="7"/>
    <n v="6178"/>
  </r>
  <r>
    <s v="MO"/>
    <s v="Missouri"/>
    <s v="Lawrence"/>
    <x v="1"/>
    <x v="7"/>
    <n v="6178"/>
  </r>
  <r>
    <s v="MO"/>
    <s v="Missouri"/>
    <s v="Lewis"/>
    <x v="3"/>
    <x v="7"/>
    <n v="6178"/>
  </r>
  <r>
    <s v="MO"/>
    <s v="Missouri"/>
    <s v="Lincoln"/>
    <x v="1"/>
    <x v="7"/>
    <n v="6178"/>
  </r>
  <r>
    <s v="MO"/>
    <s v="Missouri"/>
    <s v="Linn"/>
    <x v="3"/>
    <x v="7"/>
    <n v="6178"/>
  </r>
  <r>
    <s v="MO"/>
    <s v="Missouri"/>
    <s v="Livingston"/>
    <x v="3"/>
    <x v="7"/>
    <n v="6178"/>
  </r>
  <r>
    <s v="MO"/>
    <s v="Missouri"/>
    <s v="Macon"/>
    <x v="3"/>
    <x v="7"/>
    <n v="6178"/>
  </r>
  <r>
    <s v="MO"/>
    <s v="Missouri"/>
    <s v="Madison"/>
    <x v="1"/>
    <x v="7"/>
    <n v="6178"/>
  </r>
  <r>
    <s v="MO"/>
    <s v="Missouri"/>
    <s v="Maries"/>
    <x v="1"/>
    <x v="7"/>
    <n v="6178"/>
  </r>
  <r>
    <s v="MO"/>
    <s v="Missouri"/>
    <s v="Marion"/>
    <x v="3"/>
    <x v="7"/>
    <n v="6178"/>
  </r>
  <r>
    <s v="MO"/>
    <s v="Missouri"/>
    <s v="McDonald"/>
    <x v="1"/>
    <x v="7"/>
    <n v="6178"/>
  </r>
  <r>
    <s v="MO"/>
    <s v="Missouri"/>
    <s v="Mercer"/>
    <x v="3"/>
    <x v="7"/>
    <n v="6178"/>
  </r>
  <r>
    <s v="MO"/>
    <s v="Missouri"/>
    <s v="Miller"/>
    <x v="1"/>
    <x v="7"/>
    <n v="6178"/>
  </r>
  <r>
    <s v="MO"/>
    <s v="Missouri"/>
    <s v="Mississippi"/>
    <x v="1"/>
    <x v="7"/>
    <n v="6178"/>
  </r>
  <r>
    <s v="MO"/>
    <s v="Missouri"/>
    <s v="Moniteau"/>
    <x v="1"/>
    <x v="7"/>
    <n v="6178"/>
  </r>
  <r>
    <s v="MO"/>
    <s v="Missouri"/>
    <s v="Monroe"/>
    <x v="1"/>
    <x v="7"/>
    <n v="6178"/>
  </r>
  <r>
    <s v="MO"/>
    <s v="Missouri"/>
    <s v="Montgomery"/>
    <x v="1"/>
    <x v="7"/>
    <n v="6178"/>
  </r>
  <r>
    <s v="MO"/>
    <s v="Missouri"/>
    <s v="Morgan"/>
    <x v="1"/>
    <x v="7"/>
    <n v="6178"/>
  </r>
  <r>
    <s v="MO"/>
    <s v="Missouri"/>
    <s v="New Madrid"/>
    <x v="1"/>
    <x v="7"/>
    <n v="6178"/>
  </r>
  <r>
    <s v="MO"/>
    <s v="Missouri"/>
    <s v="Newton"/>
    <x v="1"/>
    <x v="7"/>
    <n v="6178"/>
  </r>
  <r>
    <s v="MO"/>
    <s v="Missouri"/>
    <s v="Nodaway"/>
    <x v="3"/>
    <x v="7"/>
    <n v="6178"/>
  </r>
  <r>
    <s v="MO"/>
    <s v="Missouri"/>
    <s v="Oregon"/>
    <x v="1"/>
    <x v="7"/>
    <n v="6178"/>
  </r>
  <r>
    <s v="MO"/>
    <s v="Missouri"/>
    <s v="Osage"/>
    <x v="1"/>
    <x v="7"/>
    <n v="6178"/>
  </r>
  <r>
    <s v="MO"/>
    <s v="Missouri"/>
    <s v="Ozark"/>
    <x v="1"/>
    <x v="7"/>
    <n v="6178"/>
  </r>
  <r>
    <s v="MT"/>
    <s v="Montana"/>
    <s v="Madison"/>
    <x v="3"/>
    <x v="3"/>
    <n v="4981"/>
  </r>
  <r>
    <s v="MT"/>
    <s v="Montana"/>
    <s v="McCone"/>
    <x v="3"/>
    <x v="3"/>
    <n v="4981"/>
  </r>
  <r>
    <s v="MT"/>
    <s v="Montana"/>
    <s v="Meagher"/>
    <x v="3"/>
    <x v="3"/>
    <n v="4981"/>
  </r>
  <r>
    <s v="MT"/>
    <s v="Montana"/>
    <s v="Mineral"/>
    <x v="3"/>
    <x v="3"/>
    <n v="4981"/>
  </r>
  <r>
    <s v="MT"/>
    <s v="Montana"/>
    <s v="Missoula"/>
    <x v="3"/>
    <x v="3"/>
    <n v="4981"/>
  </r>
  <r>
    <s v="MT"/>
    <s v="Montana"/>
    <s v="Musselshell"/>
    <x v="3"/>
    <x v="3"/>
    <n v="4981"/>
  </r>
  <r>
    <s v="MT"/>
    <s v="Montana"/>
    <s v="Park"/>
    <x v="3"/>
    <x v="3"/>
    <n v="4981"/>
  </r>
  <r>
    <s v="MT"/>
    <s v="Montana"/>
    <s v="Petroleum"/>
    <x v="3"/>
    <x v="3"/>
    <n v="4981"/>
  </r>
  <r>
    <s v="MT"/>
    <s v="Montana"/>
    <s v="Phillips"/>
    <x v="3"/>
    <x v="3"/>
    <n v="4981"/>
  </r>
  <r>
    <s v="MT"/>
    <s v="Montana"/>
    <s v="Pondera"/>
    <x v="3"/>
    <x v="3"/>
    <n v="4981"/>
  </r>
  <r>
    <s v="MT"/>
    <s v="Montana"/>
    <s v="Powder River"/>
    <x v="3"/>
    <x v="3"/>
    <n v="4981"/>
  </r>
  <r>
    <s v="MT"/>
    <s v="Montana"/>
    <s v="Powell"/>
    <x v="3"/>
    <x v="3"/>
    <n v="4981"/>
  </r>
  <r>
    <s v="MT"/>
    <s v="Montana"/>
    <s v="Prairie"/>
    <x v="3"/>
    <x v="3"/>
    <n v="4981"/>
  </r>
  <r>
    <s v="MT"/>
    <s v="Montana"/>
    <s v="Ravalli"/>
    <x v="3"/>
    <x v="3"/>
    <n v="4981"/>
  </r>
  <r>
    <s v="MT"/>
    <s v="Montana"/>
    <s v="Richland"/>
    <x v="3"/>
    <x v="3"/>
    <n v="4981"/>
  </r>
  <r>
    <s v="MT"/>
    <s v="Montana"/>
    <s v="Roosevelt"/>
    <x v="3"/>
    <x v="3"/>
    <n v="4981"/>
  </r>
  <r>
    <s v="MT"/>
    <s v="Montana"/>
    <s v="Rosebud"/>
    <x v="3"/>
    <x v="3"/>
    <n v="4981"/>
  </r>
  <r>
    <s v="MT"/>
    <s v="Montana"/>
    <s v="Sanders"/>
    <x v="3"/>
    <x v="3"/>
    <n v="4981"/>
  </r>
  <r>
    <s v="MT"/>
    <s v="Montana"/>
    <s v="Sheridan"/>
    <x v="3"/>
    <x v="3"/>
    <n v="4981"/>
  </r>
  <r>
    <s v="MT"/>
    <s v="Montana"/>
    <s v="Silver Bow"/>
    <x v="3"/>
    <x v="3"/>
    <n v="4981"/>
  </r>
  <r>
    <s v="MT"/>
    <s v="Montana"/>
    <s v="Stillwater"/>
    <x v="3"/>
    <x v="3"/>
    <n v="4981"/>
  </r>
  <r>
    <s v="MT"/>
    <s v="Montana"/>
    <s v="Sweet Grass"/>
    <x v="3"/>
    <x v="3"/>
    <n v="4981"/>
  </r>
  <r>
    <s v="MT"/>
    <s v="Montana"/>
    <s v="Teton"/>
    <x v="3"/>
    <x v="3"/>
    <n v="4981"/>
  </r>
  <r>
    <s v="MT"/>
    <s v="Montana"/>
    <s v="Toole"/>
    <x v="3"/>
    <x v="3"/>
    <n v="4981"/>
  </r>
  <r>
    <s v="MT"/>
    <s v="Montana"/>
    <s v="Treasure"/>
    <x v="3"/>
    <x v="3"/>
    <n v="4981"/>
  </r>
  <r>
    <s v="MT"/>
    <s v="Montana"/>
    <s v="Valley"/>
    <x v="3"/>
    <x v="3"/>
    <n v="4981"/>
  </r>
  <r>
    <s v="MT"/>
    <s v="Montana"/>
    <s v="Wheatland"/>
    <x v="3"/>
    <x v="3"/>
    <n v="4981"/>
  </r>
  <r>
    <s v="MT"/>
    <s v="Montana"/>
    <s v="Wibaux"/>
    <x v="3"/>
    <x v="3"/>
    <n v="4981"/>
  </r>
  <r>
    <s v="MT"/>
    <s v="Montana"/>
    <s v="Yellowstone"/>
    <x v="3"/>
    <x v="3"/>
    <n v="4981"/>
  </r>
  <r>
    <s v="NE"/>
    <s v="Nebraska"/>
    <s v="Adams"/>
    <x v="3"/>
    <x v="7"/>
    <n v="6178"/>
  </r>
  <r>
    <s v="NE"/>
    <s v="Nebraska"/>
    <s v="Antelope"/>
    <x v="3"/>
    <x v="7"/>
    <n v="6178"/>
  </r>
  <r>
    <s v="NE"/>
    <s v="Nebraska"/>
    <s v="Arthur"/>
    <x v="3"/>
    <x v="7"/>
    <n v="6178"/>
  </r>
  <r>
    <s v="NE"/>
    <s v="Nebraska"/>
    <s v="Banner"/>
    <x v="3"/>
    <x v="7"/>
    <n v="6178"/>
  </r>
  <r>
    <s v="NE"/>
    <s v="Nebraska"/>
    <s v="Blaine"/>
    <x v="3"/>
    <x v="7"/>
    <n v="6178"/>
  </r>
  <r>
    <s v="NE"/>
    <s v="Nebraska"/>
    <s v="Boone"/>
    <x v="3"/>
    <x v="7"/>
    <n v="6178"/>
  </r>
  <r>
    <s v="NE"/>
    <s v="Nebraska"/>
    <s v="Box Butte"/>
    <x v="3"/>
    <x v="7"/>
    <n v="6178"/>
  </r>
  <r>
    <s v="NE"/>
    <s v="Nebraska"/>
    <s v="Boyd"/>
    <x v="3"/>
    <x v="7"/>
    <n v="6178"/>
  </r>
  <r>
    <s v="NE"/>
    <s v="Nebraska"/>
    <s v="Brown"/>
    <x v="3"/>
    <x v="7"/>
    <n v="6178"/>
  </r>
  <r>
    <s v="NE"/>
    <s v="Nebraska"/>
    <s v="Buffalo"/>
    <x v="3"/>
    <x v="7"/>
    <n v="6178"/>
  </r>
  <r>
    <s v="NE"/>
    <s v="Nebraska"/>
    <s v="Burt"/>
    <x v="3"/>
    <x v="7"/>
    <n v="6178"/>
  </r>
  <r>
    <s v="NE"/>
    <s v="Nebraska"/>
    <s v="Butler"/>
    <x v="3"/>
    <x v="7"/>
    <n v="6178"/>
  </r>
  <r>
    <s v="NE"/>
    <s v="Nebraska"/>
    <s v="Cass"/>
    <x v="3"/>
    <x v="7"/>
    <n v="6178"/>
  </r>
  <r>
    <s v="NE"/>
    <s v="Nebraska"/>
    <s v="Cedar"/>
    <x v="3"/>
    <x v="7"/>
    <n v="6178"/>
  </r>
  <r>
    <s v="NE"/>
    <s v="Nebraska"/>
    <s v="Chase"/>
    <x v="3"/>
    <x v="7"/>
    <n v="6178"/>
  </r>
  <r>
    <s v="NE"/>
    <s v="Nebraska"/>
    <s v="Cherry"/>
    <x v="3"/>
    <x v="7"/>
    <n v="6178"/>
  </r>
  <r>
    <s v="NE"/>
    <s v="Nebraska"/>
    <s v="Cheyenne"/>
    <x v="3"/>
    <x v="7"/>
    <n v="6178"/>
  </r>
  <r>
    <s v="NE"/>
    <s v="Nebraska"/>
    <s v="Clay"/>
    <x v="3"/>
    <x v="7"/>
    <n v="6178"/>
  </r>
  <r>
    <s v="NE"/>
    <s v="Nebraska"/>
    <s v="Colfax"/>
    <x v="3"/>
    <x v="7"/>
    <n v="6178"/>
  </r>
  <r>
    <s v="NE"/>
    <s v="Nebraska"/>
    <s v="Cuming"/>
    <x v="3"/>
    <x v="7"/>
    <n v="6178"/>
  </r>
  <r>
    <s v="NE"/>
    <s v="Nebraska"/>
    <s v="Custer"/>
    <x v="3"/>
    <x v="7"/>
    <n v="6178"/>
  </r>
  <r>
    <s v="NE"/>
    <s v="Nebraska"/>
    <s v="Dakota"/>
    <x v="3"/>
    <x v="7"/>
    <n v="6178"/>
  </r>
  <r>
    <s v="NE"/>
    <s v="Nebraska"/>
    <s v="Dawes"/>
    <x v="3"/>
    <x v="7"/>
    <n v="6178"/>
  </r>
  <r>
    <s v="NE"/>
    <s v="Nebraska"/>
    <s v="Dawson"/>
    <x v="3"/>
    <x v="7"/>
    <n v="6178"/>
  </r>
  <r>
    <s v="NE"/>
    <s v="Nebraska"/>
    <s v="Deuel"/>
    <x v="3"/>
    <x v="7"/>
    <n v="6178"/>
  </r>
  <r>
    <s v="NE"/>
    <s v="Nebraska"/>
    <s v="Dixon"/>
    <x v="3"/>
    <x v="7"/>
    <n v="6178"/>
  </r>
  <r>
    <s v="NE"/>
    <s v="Nebraska"/>
    <s v="Dodge"/>
    <x v="3"/>
    <x v="7"/>
    <n v="6178"/>
  </r>
  <r>
    <s v="NE"/>
    <s v="Nebraska"/>
    <s v="Douglas"/>
    <x v="3"/>
    <x v="7"/>
    <n v="6178"/>
  </r>
  <r>
    <s v="NE"/>
    <s v="Nebraska"/>
    <s v="Dundy"/>
    <x v="3"/>
    <x v="7"/>
    <n v="6178"/>
  </r>
  <r>
    <s v="NE"/>
    <s v="Nebraska"/>
    <s v="Fillmore"/>
    <x v="3"/>
    <x v="7"/>
    <n v="6178"/>
  </r>
  <r>
    <s v="NE"/>
    <s v="Nebraska"/>
    <s v="Franklin"/>
    <x v="3"/>
    <x v="7"/>
    <n v="6178"/>
  </r>
  <r>
    <s v="NE"/>
    <s v="Nebraska"/>
    <s v="Frontier"/>
    <x v="3"/>
    <x v="7"/>
    <n v="6178"/>
  </r>
  <r>
    <s v="NE"/>
    <s v="Nebraska"/>
    <s v="Furnas"/>
    <x v="3"/>
    <x v="7"/>
    <n v="6178"/>
  </r>
  <r>
    <s v="NE"/>
    <s v="Nebraska"/>
    <s v="Gage"/>
    <x v="3"/>
    <x v="7"/>
    <n v="6178"/>
  </r>
  <r>
    <s v="NE"/>
    <s v="Nebraska"/>
    <s v="Garden"/>
    <x v="3"/>
    <x v="7"/>
    <n v="6178"/>
  </r>
  <r>
    <s v="NE"/>
    <s v="Nebraska"/>
    <s v="Garfield"/>
    <x v="3"/>
    <x v="7"/>
    <n v="6178"/>
  </r>
  <r>
    <s v="NV"/>
    <s v="Nevada"/>
    <s v="Lander"/>
    <x v="3"/>
    <x v="3"/>
    <n v="4981"/>
  </r>
  <r>
    <s v="NV"/>
    <s v="Nevada"/>
    <s v="Lincoln"/>
    <x v="3"/>
    <x v="3"/>
    <n v="4981"/>
  </r>
  <r>
    <s v="NV"/>
    <s v="Nevada"/>
    <s v="Lyon"/>
    <x v="3"/>
    <x v="3"/>
    <n v="4981"/>
  </r>
  <r>
    <s v="NV"/>
    <s v="Nevada"/>
    <s v="Mineral"/>
    <x v="3"/>
    <x v="3"/>
    <n v="4981"/>
  </r>
  <r>
    <s v="NV"/>
    <s v="Nevada"/>
    <s v="Nye"/>
    <x v="3"/>
    <x v="3"/>
    <n v="4981"/>
  </r>
  <r>
    <s v="NV"/>
    <s v="Nevada"/>
    <s v="Pershing"/>
    <x v="3"/>
    <x v="3"/>
    <n v="4981"/>
  </r>
  <r>
    <s v="NV"/>
    <s v="Nevada"/>
    <s v="Storey"/>
    <x v="3"/>
    <x v="3"/>
    <n v="4981"/>
  </r>
  <r>
    <s v="NV"/>
    <s v="Nevada"/>
    <s v="Washoe"/>
    <x v="3"/>
    <x v="3"/>
    <n v="4981"/>
  </r>
  <r>
    <s v="NV"/>
    <s v="Nevada"/>
    <s v="White Pine"/>
    <x v="3"/>
    <x v="3"/>
    <n v="4981"/>
  </r>
  <r>
    <s v="NH"/>
    <s v="New Hampshire"/>
    <s v="Belknap"/>
    <x v="3"/>
    <x v="4"/>
    <n v="4302"/>
  </r>
  <r>
    <s v="NH"/>
    <s v="New Hampshire"/>
    <s v="Carroll"/>
    <x v="3"/>
    <x v="4"/>
    <n v="4302"/>
  </r>
  <r>
    <s v="NH"/>
    <s v="New Hampshire"/>
    <s v="Cheshire"/>
    <x v="3"/>
    <x v="4"/>
    <n v="4302"/>
  </r>
  <r>
    <s v="NH"/>
    <s v="New Hampshire"/>
    <s v="Coos"/>
    <x v="3"/>
    <x v="4"/>
    <n v="4302"/>
  </r>
  <r>
    <s v="NH"/>
    <s v="New Hampshire"/>
    <s v="Grafton"/>
    <x v="3"/>
    <x v="4"/>
    <n v="4302"/>
  </r>
  <r>
    <s v="NH"/>
    <s v="New Hampshire"/>
    <s v="Hillsborough"/>
    <x v="3"/>
    <x v="4"/>
    <n v="4302"/>
  </r>
  <r>
    <s v="NH"/>
    <s v="New Hampshire"/>
    <s v="Merrimack"/>
    <x v="3"/>
    <x v="4"/>
    <n v="4302"/>
  </r>
  <r>
    <s v="NH"/>
    <s v="New Hampshire"/>
    <s v="Rockingham"/>
    <x v="3"/>
    <x v="4"/>
    <n v="4302"/>
  </r>
  <r>
    <s v="NH"/>
    <s v="New Hampshire"/>
    <s v="Strafford"/>
    <x v="3"/>
    <x v="4"/>
    <n v="4302"/>
  </r>
  <r>
    <s v="NH"/>
    <s v="New Hampshire"/>
    <s v="Sullivan"/>
    <x v="3"/>
    <x v="4"/>
    <n v="4302"/>
  </r>
  <r>
    <s v="NJ"/>
    <s v="New Jersey"/>
    <s v="Atlantic"/>
    <x v="1"/>
    <x v="8"/>
    <n v="11232"/>
  </r>
  <r>
    <s v="NJ"/>
    <s v="New Jersey"/>
    <s v="Bergen"/>
    <x v="3"/>
    <x v="8"/>
    <n v="11232"/>
  </r>
  <r>
    <s v="NJ"/>
    <s v="New Jersey"/>
    <s v="Burlington"/>
    <x v="1"/>
    <x v="8"/>
    <n v="11232"/>
  </r>
  <r>
    <s v="NJ"/>
    <s v="New Jersey"/>
    <s v="Camden"/>
    <x v="1"/>
    <x v="8"/>
    <n v="11232"/>
  </r>
  <r>
    <s v="NJ"/>
    <s v="New Jersey"/>
    <s v="Cape May"/>
    <x v="1"/>
    <x v="8"/>
    <n v="11232"/>
  </r>
  <r>
    <s v="NJ"/>
    <s v="New Jersey"/>
    <s v="Cumberland"/>
    <x v="1"/>
    <x v="8"/>
    <n v="11232"/>
  </r>
  <r>
    <s v="NJ"/>
    <s v="New Jersey"/>
    <s v="Essex"/>
    <x v="1"/>
    <x v="8"/>
    <n v="11232"/>
  </r>
  <r>
    <s v="NJ"/>
    <s v="New Jersey"/>
    <s v="Gloucester"/>
    <x v="1"/>
    <x v="8"/>
    <n v="11232"/>
  </r>
  <r>
    <s v="NJ"/>
    <s v="New Jersey"/>
    <s v="Hudson"/>
    <x v="1"/>
    <x v="8"/>
    <n v="11232"/>
  </r>
  <r>
    <s v="NJ"/>
    <s v="New Jersey"/>
    <s v="Hunterdon"/>
    <x v="3"/>
    <x v="8"/>
    <n v="11232"/>
  </r>
  <r>
    <s v="NJ"/>
    <s v="New Jersey"/>
    <s v="Mercer"/>
    <x v="3"/>
    <x v="8"/>
    <n v="11232"/>
  </r>
  <r>
    <s v="NJ"/>
    <s v="New Jersey"/>
    <s v="Middlesex"/>
    <x v="1"/>
    <x v="8"/>
    <n v="11232"/>
  </r>
  <r>
    <s v="NJ"/>
    <s v="New Jersey"/>
    <s v="Monmouth"/>
    <x v="1"/>
    <x v="8"/>
    <n v="11232"/>
  </r>
  <r>
    <s v="NJ"/>
    <s v="New Jersey"/>
    <s v="Morris"/>
    <x v="3"/>
    <x v="8"/>
    <n v="11232"/>
  </r>
  <r>
    <s v="NJ"/>
    <s v="New Jersey"/>
    <s v="Ocean"/>
    <x v="1"/>
    <x v="8"/>
    <n v="11232"/>
  </r>
  <r>
    <s v="NJ"/>
    <s v="New Jersey"/>
    <s v="Passaic"/>
    <x v="3"/>
    <x v="8"/>
    <n v="11232"/>
  </r>
  <r>
    <s v="NJ"/>
    <s v="New Jersey"/>
    <s v="Salem"/>
    <x v="1"/>
    <x v="8"/>
    <n v="11232"/>
  </r>
  <r>
    <s v="NJ"/>
    <s v="New Jersey"/>
    <s v="Somerset"/>
    <x v="3"/>
    <x v="8"/>
    <n v="11232"/>
  </r>
  <r>
    <s v="NJ"/>
    <s v="New Jersey"/>
    <s v="Sussex"/>
    <x v="3"/>
    <x v="8"/>
    <n v="11232"/>
  </r>
  <r>
    <s v="NJ"/>
    <s v="New Jersey"/>
    <s v="Union"/>
    <x v="1"/>
    <x v="8"/>
    <n v="11232"/>
  </r>
  <r>
    <s v="NJ"/>
    <s v="New Jersey"/>
    <s v="Warren"/>
    <x v="3"/>
    <x v="8"/>
    <n v="11232"/>
  </r>
  <r>
    <s v="NM"/>
    <s v="New Mexico"/>
    <s v="Bernalillo"/>
    <x v="4"/>
    <x v="3"/>
    <n v="4981"/>
  </r>
  <r>
    <s v="NM"/>
    <s v="New Mexico"/>
    <s v="Catron"/>
    <x v="3"/>
    <x v="3"/>
    <n v="4981"/>
  </r>
  <r>
    <s v="NM"/>
    <s v="New Mexico"/>
    <s v="Chaves"/>
    <x v="5"/>
    <x v="3"/>
    <n v="4981"/>
  </r>
  <r>
    <s v="NM"/>
    <s v="New Mexico"/>
    <s v="Cibola"/>
    <x v="3"/>
    <x v="3"/>
    <n v="4981"/>
  </r>
  <r>
    <s v="NM"/>
    <s v="New Mexico"/>
    <s v="Colfax"/>
    <x v="3"/>
    <x v="3"/>
    <n v="4981"/>
  </r>
  <r>
    <s v="NM"/>
    <s v="New Mexico"/>
    <s v="Curry"/>
    <x v="4"/>
    <x v="3"/>
    <n v="4981"/>
  </r>
  <r>
    <s v="NM"/>
    <s v="New Mexico"/>
    <s v="DeBaca"/>
    <x v="4"/>
    <x v="3"/>
    <n v="4981"/>
  </r>
  <r>
    <s v="NM"/>
    <s v="New Mexico"/>
    <s v="Dona Ana"/>
    <x v="5"/>
    <x v="3"/>
    <n v="4981"/>
  </r>
  <r>
    <s v="NM"/>
    <s v="New Mexico"/>
    <s v="Eddy"/>
    <x v="5"/>
    <x v="3"/>
    <n v="4981"/>
  </r>
  <r>
    <s v="NM"/>
    <s v="New Mexico"/>
    <s v="Grant"/>
    <x v="4"/>
    <x v="3"/>
    <n v="4981"/>
  </r>
  <r>
    <s v="NM"/>
    <s v="New Mexico"/>
    <s v="Guadalupe"/>
    <x v="4"/>
    <x v="3"/>
    <n v="4981"/>
  </r>
  <r>
    <s v="NM"/>
    <s v="New Mexico"/>
    <s v="Harding"/>
    <x v="3"/>
    <x v="3"/>
    <n v="4981"/>
  </r>
  <r>
    <s v="NM"/>
    <s v="New Mexico"/>
    <s v="Hidalgo"/>
    <x v="5"/>
    <x v="3"/>
    <n v="4981"/>
  </r>
  <r>
    <s v="NM"/>
    <s v="New Mexico"/>
    <s v="Lea"/>
    <x v="5"/>
    <x v="3"/>
    <n v="4981"/>
  </r>
  <r>
    <s v="NM"/>
    <s v="New Mexico"/>
    <s v="Lincoln"/>
    <x v="4"/>
    <x v="3"/>
    <n v="4981"/>
  </r>
  <r>
    <s v="NM"/>
    <s v="New Mexico"/>
    <s v="Los Alamos"/>
    <x v="3"/>
    <x v="3"/>
    <n v="4981"/>
  </r>
  <r>
    <s v="NM"/>
    <s v="New Mexico"/>
    <s v="Luna"/>
    <x v="5"/>
    <x v="3"/>
    <n v="4981"/>
  </r>
  <r>
    <s v="NM"/>
    <s v="New Mexico"/>
    <s v="McKinley"/>
    <x v="3"/>
    <x v="3"/>
    <n v="4981"/>
  </r>
  <r>
    <s v="NM"/>
    <s v="New Mexico"/>
    <s v="Mora"/>
    <x v="3"/>
    <x v="3"/>
    <n v="4981"/>
  </r>
  <r>
    <s v="NM"/>
    <s v="New Mexico"/>
    <s v="Otero"/>
    <x v="5"/>
    <x v="3"/>
    <n v="4981"/>
  </r>
  <r>
    <s v="NM"/>
    <s v="New Mexico"/>
    <s v="Quay"/>
    <x v="4"/>
    <x v="3"/>
    <n v="4981"/>
  </r>
  <r>
    <s v="NM"/>
    <s v="New Mexico"/>
    <s v="Rio Arriba"/>
    <x v="3"/>
    <x v="3"/>
    <n v="4981"/>
  </r>
  <r>
    <s v="NM"/>
    <s v="New Mexico"/>
    <s v="Roosevelt"/>
    <x v="4"/>
    <x v="3"/>
    <n v="4981"/>
  </r>
  <r>
    <s v="NM"/>
    <s v="New Mexico"/>
    <s v="San Juan"/>
    <x v="3"/>
    <x v="3"/>
    <n v="4981"/>
  </r>
  <r>
    <s v="NM"/>
    <s v="New Mexico"/>
    <s v="San Miguel"/>
    <x v="3"/>
    <x v="3"/>
    <n v="4981"/>
  </r>
  <r>
    <s v="NY"/>
    <s v="New York"/>
    <s v="Washington"/>
    <x v="3"/>
    <x v="8"/>
    <n v="11232"/>
  </r>
  <r>
    <s v="NY"/>
    <s v="New York"/>
    <s v="Wayne"/>
    <x v="3"/>
    <x v="8"/>
    <n v="11232"/>
  </r>
  <r>
    <s v="NY"/>
    <s v="New York"/>
    <s v="Westchester"/>
    <x v="1"/>
    <x v="8"/>
    <n v="11232"/>
  </r>
  <r>
    <s v="NY"/>
    <s v="New York"/>
    <s v="Wyoming"/>
    <x v="3"/>
    <x v="8"/>
    <n v="11232"/>
  </r>
  <r>
    <s v="NY"/>
    <s v="New York"/>
    <s v="Yates"/>
    <x v="3"/>
    <x v="8"/>
    <n v="11232"/>
  </r>
  <r>
    <s v="NC"/>
    <s v="North Carolina"/>
    <s v="Alamance"/>
    <x v="1"/>
    <x v="5"/>
    <n v="17981"/>
  </r>
  <r>
    <s v="NC"/>
    <s v="North Carolina"/>
    <s v="Alexander"/>
    <x v="1"/>
    <x v="5"/>
    <n v="17981"/>
  </r>
  <r>
    <s v="NC"/>
    <s v="North Carolina"/>
    <s v="Alleghany"/>
    <x v="3"/>
    <x v="5"/>
    <n v="17981"/>
  </r>
  <r>
    <s v="NC"/>
    <s v="North Carolina"/>
    <s v="Anson"/>
    <x v="1"/>
    <x v="5"/>
    <n v="17981"/>
  </r>
  <r>
    <s v="NC"/>
    <s v="North Carolina"/>
    <s v="Ashe"/>
    <x v="3"/>
    <x v="5"/>
    <n v="17981"/>
  </r>
  <r>
    <s v="NC"/>
    <s v="North Carolina"/>
    <s v="Avery"/>
    <x v="3"/>
    <x v="5"/>
    <n v="17981"/>
  </r>
  <r>
    <s v="NC"/>
    <s v="North Carolina"/>
    <s v="Beaufort"/>
    <x v="1"/>
    <x v="5"/>
    <n v="17981"/>
  </r>
  <r>
    <s v="NC"/>
    <s v="North Carolina"/>
    <s v="Bertie"/>
    <x v="1"/>
    <x v="5"/>
    <n v="17981"/>
  </r>
  <r>
    <s v="NC"/>
    <s v="North Carolina"/>
    <s v="Bladen"/>
    <x v="1"/>
    <x v="5"/>
    <n v="17981"/>
  </r>
  <r>
    <s v="NC"/>
    <s v="North Carolina"/>
    <s v="Brunswick"/>
    <x v="0"/>
    <x v="5"/>
    <n v="17981"/>
  </r>
  <r>
    <s v="NC"/>
    <s v="North Carolina"/>
    <s v="Buncombe"/>
    <x v="1"/>
    <x v="5"/>
    <n v="17981"/>
  </r>
  <r>
    <s v="NC"/>
    <s v="North Carolina"/>
    <s v="Burke"/>
    <x v="1"/>
    <x v="5"/>
    <n v="17981"/>
  </r>
  <r>
    <s v="NC"/>
    <s v="North Carolina"/>
    <s v="Cabarrus"/>
    <x v="1"/>
    <x v="5"/>
    <n v="17981"/>
  </r>
  <r>
    <s v="NC"/>
    <s v="North Carolina"/>
    <s v="Caldwell"/>
    <x v="1"/>
    <x v="5"/>
    <n v="17981"/>
  </r>
  <r>
    <s v="NC"/>
    <s v="North Carolina"/>
    <s v="Camden"/>
    <x v="1"/>
    <x v="5"/>
    <n v="17981"/>
  </r>
  <r>
    <s v="NC"/>
    <s v="North Carolina"/>
    <s v="Carteret"/>
    <x v="0"/>
    <x v="5"/>
    <n v="17981"/>
  </r>
  <r>
    <s v="NC"/>
    <s v="North Carolina"/>
    <s v="Caswell"/>
    <x v="1"/>
    <x v="5"/>
    <n v="17981"/>
  </r>
  <r>
    <s v="NC"/>
    <s v="North Carolina"/>
    <s v="Catawba"/>
    <x v="1"/>
    <x v="5"/>
    <n v="17981"/>
  </r>
  <r>
    <s v="NC"/>
    <s v="North Carolina"/>
    <s v="Chatham"/>
    <x v="1"/>
    <x v="5"/>
    <n v="17981"/>
  </r>
  <r>
    <s v="NC"/>
    <s v="North Carolina"/>
    <s v="Cherokee"/>
    <x v="1"/>
    <x v="5"/>
    <n v="17981"/>
  </r>
  <r>
    <s v="NC"/>
    <s v="North Carolina"/>
    <s v="Chowan"/>
    <x v="1"/>
    <x v="5"/>
    <n v="17981"/>
  </r>
  <r>
    <s v="NC"/>
    <s v="North Carolina"/>
    <s v="Clay"/>
    <x v="1"/>
    <x v="5"/>
    <n v="17981"/>
  </r>
  <r>
    <s v="NC"/>
    <s v="North Carolina"/>
    <s v="Cleveland"/>
    <x v="1"/>
    <x v="5"/>
    <n v="17981"/>
  </r>
  <r>
    <s v="NC"/>
    <s v="North Carolina"/>
    <s v="Columbus"/>
    <x v="0"/>
    <x v="5"/>
    <n v="17981"/>
  </r>
  <r>
    <s v="NC"/>
    <s v="North Carolina"/>
    <s v="Craven"/>
    <x v="1"/>
    <x v="5"/>
    <n v="17981"/>
  </r>
  <r>
    <s v="NC"/>
    <s v="North Carolina"/>
    <s v="Cumberland"/>
    <x v="1"/>
    <x v="5"/>
    <n v="17981"/>
  </r>
  <r>
    <s v="NC"/>
    <s v="North Carolina"/>
    <s v="Currituck"/>
    <x v="1"/>
    <x v="5"/>
    <n v="17981"/>
  </r>
  <r>
    <s v="NC"/>
    <s v="North Carolina"/>
    <s v="Dare"/>
    <x v="1"/>
    <x v="5"/>
    <n v="17981"/>
  </r>
  <r>
    <s v="NC"/>
    <s v="North Carolina"/>
    <s v="Davidson"/>
    <x v="1"/>
    <x v="5"/>
    <n v="17981"/>
  </r>
  <r>
    <s v="NC"/>
    <s v="North Carolina"/>
    <s v="Davie"/>
    <x v="1"/>
    <x v="5"/>
    <n v="17981"/>
  </r>
  <r>
    <s v="NC"/>
    <s v="North Carolina"/>
    <s v="Duplin"/>
    <x v="1"/>
    <x v="5"/>
    <n v="17981"/>
  </r>
  <r>
    <s v="NC"/>
    <s v="North Carolina"/>
    <s v="Durham"/>
    <x v="1"/>
    <x v="5"/>
    <n v="17981"/>
  </r>
  <r>
    <s v="NC"/>
    <s v="North Carolina"/>
    <s v="Edgecombe"/>
    <x v="1"/>
    <x v="5"/>
    <n v="17981"/>
  </r>
  <r>
    <s v="NC"/>
    <s v="North Carolina"/>
    <s v="Forsyth"/>
    <x v="1"/>
    <x v="5"/>
    <n v="17981"/>
  </r>
  <r>
    <s v="NC"/>
    <s v="North Carolina"/>
    <s v="Franklin"/>
    <x v="1"/>
    <x v="5"/>
    <n v="17981"/>
  </r>
  <r>
    <s v="NC"/>
    <s v="North Carolina"/>
    <s v="Gaston"/>
    <x v="1"/>
    <x v="5"/>
    <n v="17981"/>
  </r>
  <r>
    <s v="NC"/>
    <s v="North Carolina"/>
    <s v="Gates"/>
    <x v="1"/>
    <x v="5"/>
    <n v="17981"/>
  </r>
  <r>
    <s v="NC"/>
    <s v="North Carolina"/>
    <s v="Graham"/>
    <x v="1"/>
    <x v="5"/>
    <n v="17981"/>
  </r>
  <r>
    <s v="NC"/>
    <s v="North Carolina"/>
    <s v="Granville"/>
    <x v="1"/>
    <x v="5"/>
    <n v="17981"/>
  </r>
  <r>
    <s v="NC"/>
    <s v="North Carolina"/>
    <s v="Greene"/>
    <x v="1"/>
    <x v="5"/>
    <n v="17981"/>
  </r>
  <r>
    <s v="NC"/>
    <s v="North Carolina"/>
    <s v="Guilford"/>
    <x v="1"/>
    <x v="5"/>
    <n v="17981"/>
  </r>
  <r>
    <s v="NC"/>
    <s v="North Carolina"/>
    <s v="Halifax"/>
    <x v="1"/>
    <x v="5"/>
    <n v="17981"/>
  </r>
  <r>
    <s v="NC"/>
    <s v="North Carolina"/>
    <s v="Harnett"/>
    <x v="1"/>
    <x v="5"/>
    <n v="17981"/>
  </r>
  <r>
    <s v="NC"/>
    <s v="North Carolina"/>
    <s v="Haywood"/>
    <x v="1"/>
    <x v="5"/>
    <n v="17981"/>
  </r>
  <r>
    <s v="NC"/>
    <s v="North Carolina"/>
    <s v="Henderson"/>
    <x v="1"/>
    <x v="5"/>
    <n v="17981"/>
  </r>
  <r>
    <s v="NC"/>
    <s v="North Carolina"/>
    <s v="Hertford"/>
    <x v="1"/>
    <x v="5"/>
    <n v="17981"/>
  </r>
  <r>
    <s v="NC"/>
    <s v="North Carolina"/>
    <s v="Hoke"/>
    <x v="1"/>
    <x v="5"/>
    <n v="17981"/>
  </r>
  <r>
    <s v="NC"/>
    <s v="North Carolina"/>
    <s v="Hyde"/>
    <x v="1"/>
    <x v="5"/>
    <n v="17981"/>
  </r>
  <r>
    <s v="NC"/>
    <s v="North Carolina"/>
    <s v="Iredell"/>
    <x v="1"/>
    <x v="5"/>
    <n v="17981"/>
  </r>
  <r>
    <s v="NC"/>
    <s v="North Carolina"/>
    <s v="Jackson"/>
    <x v="1"/>
    <x v="5"/>
    <n v="17981"/>
  </r>
  <r>
    <s v="NC"/>
    <s v="North Carolina"/>
    <s v="Johnston"/>
    <x v="1"/>
    <x v="5"/>
    <n v="17981"/>
  </r>
  <r>
    <s v="NC"/>
    <s v="North Carolina"/>
    <s v="Jones"/>
    <x v="1"/>
    <x v="5"/>
    <n v="17981"/>
  </r>
  <r>
    <s v="NC"/>
    <s v="North Carolina"/>
    <s v="Lee"/>
    <x v="1"/>
    <x v="5"/>
    <n v="17981"/>
  </r>
  <r>
    <s v="NC"/>
    <s v="North Carolina"/>
    <s v="Lenoir"/>
    <x v="1"/>
    <x v="5"/>
    <n v="17981"/>
  </r>
  <r>
    <s v="NC"/>
    <s v="North Carolina"/>
    <s v="Lincoln"/>
    <x v="1"/>
    <x v="5"/>
    <n v="17981"/>
  </r>
  <r>
    <s v="NC"/>
    <s v="North Carolina"/>
    <s v="Macon"/>
    <x v="1"/>
    <x v="5"/>
    <n v="17981"/>
  </r>
  <r>
    <s v="NC"/>
    <s v="North Carolina"/>
    <s v="Madison"/>
    <x v="1"/>
    <x v="5"/>
    <n v="17981"/>
  </r>
  <r>
    <s v="NC"/>
    <s v="North Carolina"/>
    <s v="Martin"/>
    <x v="1"/>
    <x v="5"/>
    <n v="17981"/>
  </r>
  <r>
    <s v="NC"/>
    <s v="North Carolina"/>
    <s v="McDowell"/>
    <x v="1"/>
    <x v="5"/>
    <n v="17981"/>
  </r>
  <r>
    <s v="NC"/>
    <s v="North Carolina"/>
    <s v="Mecklenburg"/>
    <x v="1"/>
    <x v="5"/>
    <n v="17981"/>
  </r>
  <r>
    <s v="ND"/>
    <s v="North Dakota"/>
    <s v="McIntosh"/>
    <x v="3"/>
    <x v="7"/>
    <n v="6178"/>
  </r>
  <r>
    <s v="ND"/>
    <s v="North Dakota"/>
    <s v="McKenzie"/>
    <x v="3"/>
    <x v="7"/>
    <n v="6178"/>
  </r>
  <r>
    <s v="ND"/>
    <s v="North Dakota"/>
    <s v="McLean"/>
    <x v="6"/>
    <x v="7"/>
    <n v="6178"/>
  </r>
  <r>
    <s v="ND"/>
    <s v="North Dakota"/>
    <s v="Mercer"/>
    <x v="3"/>
    <x v="7"/>
    <n v="6178"/>
  </r>
  <r>
    <s v="ND"/>
    <s v="North Dakota"/>
    <s v="Morton"/>
    <x v="3"/>
    <x v="7"/>
    <n v="6178"/>
  </r>
  <r>
    <s v="ND"/>
    <s v="North Dakota"/>
    <s v="Mountrail"/>
    <x v="6"/>
    <x v="7"/>
    <n v="6178"/>
  </r>
  <r>
    <s v="ND"/>
    <s v="North Dakota"/>
    <s v="Nelson"/>
    <x v="6"/>
    <x v="7"/>
    <n v="6178"/>
  </r>
  <r>
    <s v="ND"/>
    <s v="North Dakota"/>
    <s v="Oliver"/>
    <x v="3"/>
    <x v="7"/>
    <n v="6178"/>
  </r>
  <r>
    <s v="ND"/>
    <s v="North Dakota"/>
    <s v="Pembina"/>
    <x v="6"/>
    <x v="7"/>
    <n v="6178"/>
  </r>
  <r>
    <s v="ND"/>
    <s v="North Dakota"/>
    <s v="Pierce"/>
    <x v="6"/>
    <x v="7"/>
    <n v="6178"/>
  </r>
  <r>
    <s v="ND"/>
    <s v="North Dakota"/>
    <s v="Ramsey"/>
    <x v="6"/>
    <x v="7"/>
    <n v="6178"/>
  </r>
  <r>
    <s v="ND"/>
    <s v="North Dakota"/>
    <s v="Ransom"/>
    <x v="3"/>
    <x v="7"/>
    <n v="6178"/>
  </r>
  <r>
    <s v="ND"/>
    <s v="North Dakota"/>
    <s v="Renville"/>
    <x v="6"/>
    <x v="7"/>
    <n v="6178"/>
  </r>
  <r>
    <s v="ND"/>
    <s v="North Dakota"/>
    <s v="Richland"/>
    <x v="3"/>
    <x v="7"/>
    <n v="6178"/>
  </r>
  <r>
    <s v="ND"/>
    <s v="North Dakota"/>
    <s v="Rolette"/>
    <x v="6"/>
    <x v="7"/>
    <n v="6178"/>
  </r>
  <r>
    <s v="ND"/>
    <s v="North Dakota"/>
    <s v="Sargent"/>
    <x v="3"/>
    <x v="7"/>
    <n v="6178"/>
  </r>
  <r>
    <s v="ND"/>
    <s v="North Dakota"/>
    <s v="Sheridan"/>
    <x v="6"/>
    <x v="7"/>
    <n v="6178"/>
  </r>
  <r>
    <s v="ND"/>
    <s v="North Dakota"/>
    <s v="Sioux"/>
    <x v="3"/>
    <x v="7"/>
    <n v="6178"/>
  </r>
  <r>
    <s v="ND"/>
    <s v="North Dakota"/>
    <s v="Slope"/>
    <x v="3"/>
    <x v="7"/>
    <n v="6178"/>
  </r>
  <r>
    <s v="ND"/>
    <s v="North Dakota"/>
    <s v="Stark"/>
    <x v="3"/>
    <x v="7"/>
    <n v="6178"/>
  </r>
  <r>
    <s v="ND"/>
    <s v="North Dakota"/>
    <s v="Steele"/>
    <x v="6"/>
    <x v="7"/>
    <n v="6178"/>
  </r>
  <r>
    <s v="ND"/>
    <s v="North Dakota"/>
    <s v="Stutsman"/>
    <x v="6"/>
    <x v="7"/>
    <n v="6178"/>
  </r>
  <r>
    <s v="ND"/>
    <s v="North Dakota"/>
    <s v="Towner"/>
    <x v="6"/>
    <x v="7"/>
    <n v="6178"/>
  </r>
  <r>
    <s v="ND"/>
    <s v="North Dakota"/>
    <s v="Traill"/>
    <x v="6"/>
    <x v="7"/>
    <n v="6178"/>
  </r>
  <r>
    <s v="ND"/>
    <s v="North Dakota"/>
    <s v="Walsh"/>
    <x v="6"/>
    <x v="7"/>
    <n v="6178"/>
  </r>
  <r>
    <s v="ND"/>
    <s v="North Dakota"/>
    <s v="Ward"/>
    <x v="6"/>
    <x v="7"/>
    <n v="6178"/>
  </r>
  <r>
    <s v="ND"/>
    <s v="North Dakota"/>
    <s v="Wells"/>
    <x v="6"/>
    <x v="7"/>
    <n v="6178"/>
  </r>
  <r>
    <s v="ND"/>
    <s v="North Dakota"/>
    <s v="Williams"/>
    <x v="6"/>
    <x v="7"/>
    <n v="6178"/>
  </r>
  <r>
    <s v="OH"/>
    <s v="Ohio"/>
    <s v="Adams"/>
    <x v="1"/>
    <x v="6"/>
    <n v="12742"/>
  </r>
  <r>
    <s v="OH"/>
    <s v="Ohio"/>
    <s v="Allen"/>
    <x v="3"/>
    <x v="6"/>
    <n v="12742"/>
  </r>
  <r>
    <s v="OH"/>
    <s v="Ohio"/>
    <s v="Ashland"/>
    <x v="3"/>
    <x v="6"/>
    <n v="12742"/>
  </r>
  <r>
    <s v="OH"/>
    <s v="Ohio"/>
    <s v="Ashtabula"/>
    <x v="3"/>
    <x v="6"/>
    <n v="12742"/>
  </r>
  <r>
    <s v="OH"/>
    <s v="Ohio"/>
    <s v="Athens"/>
    <x v="3"/>
    <x v="6"/>
    <n v="12742"/>
  </r>
  <r>
    <s v="OH"/>
    <s v="Ohio"/>
    <s v="Auglaize"/>
    <x v="3"/>
    <x v="6"/>
    <n v="12742"/>
  </r>
  <r>
    <s v="OH"/>
    <s v="Ohio"/>
    <s v="Belmont"/>
    <x v="3"/>
    <x v="6"/>
    <n v="12742"/>
  </r>
  <r>
    <s v="OH"/>
    <s v="Ohio"/>
    <s v="Brown"/>
    <x v="1"/>
    <x v="6"/>
    <n v="12742"/>
  </r>
  <r>
    <s v="OH"/>
    <s v="Ohio"/>
    <s v="Butler"/>
    <x v="3"/>
    <x v="6"/>
    <n v="12742"/>
  </r>
  <r>
    <s v="OH"/>
    <s v="Ohio"/>
    <s v="Carroll"/>
    <x v="3"/>
    <x v="6"/>
    <n v="12742"/>
  </r>
  <r>
    <s v="OH"/>
    <s v="Ohio"/>
    <s v="Champaign"/>
    <x v="3"/>
    <x v="6"/>
    <n v="12742"/>
  </r>
  <r>
    <s v="OH"/>
    <s v="Ohio"/>
    <s v="Clark"/>
    <x v="3"/>
    <x v="6"/>
    <n v="12742"/>
  </r>
  <r>
    <s v="OH"/>
    <s v="Ohio"/>
    <s v="Clermont"/>
    <x v="1"/>
    <x v="6"/>
    <n v="12742"/>
  </r>
  <r>
    <s v="OH"/>
    <s v="Ohio"/>
    <s v="Clinton"/>
    <x v="3"/>
    <x v="6"/>
    <n v="12742"/>
  </r>
  <r>
    <s v="OH"/>
    <s v="Ohio"/>
    <s v="Columbiana"/>
    <x v="3"/>
    <x v="6"/>
    <n v="12742"/>
  </r>
  <r>
    <s v="OH"/>
    <s v="Ohio"/>
    <s v="Coshocton"/>
    <x v="3"/>
    <x v="6"/>
    <n v="12742"/>
  </r>
  <r>
    <s v="OH"/>
    <s v="Ohio"/>
    <s v="Crawford"/>
    <x v="3"/>
    <x v="6"/>
    <n v="12742"/>
  </r>
  <r>
    <s v="OH"/>
    <s v="Ohio"/>
    <s v="Cuyahoga"/>
    <x v="3"/>
    <x v="6"/>
    <n v="12742"/>
  </r>
  <r>
    <s v="OH"/>
    <s v="Ohio"/>
    <s v="Darke"/>
    <x v="3"/>
    <x v="6"/>
    <n v="12742"/>
  </r>
  <r>
    <s v="OH"/>
    <s v="Ohio"/>
    <s v="Defiance"/>
    <x v="3"/>
    <x v="6"/>
    <n v="12742"/>
  </r>
  <r>
    <s v="OH"/>
    <s v="Ohio"/>
    <s v="Delaware"/>
    <x v="3"/>
    <x v="6"/>
    <n v="12742"/>
  </r>
  <r>
    <s v="OH"/>
    <s v="Ohio"/>
    <s v="Erie"/>
    <x v="3"/>
    <x v="6"/>
    <n v="12742"/>
  </r>
  <r>
    <s v="OH"/>
    <s v="Ohio"/>
    <s v="Fairfield"/>
    <x v="3"/>
    <x v="6"/>
    <n v="12742"/>
  </r>
  <r>
    <s v="OH"/>
    <s v="Ohio"/>
    <s v="Fayette"/>
    <x v="3"/>
    <x v="6"/>
    <n v="12742"/>
  </r>
  <r>
    <s v="OH"/>
    <s v="Ohio"/>
    <s v="Franklin"/>
    <x v="3"/>
    <x v="6"/>
    <n v="12742"/>
  </r>
  <r>
    <s v="OH"/>
    <s v="Ohio"/>
    <s v="Fulton"/>
    <x v="3"/>
    <x v="6"/>
    <n v="12742"/>
  </r>
  <r>
    <s v="OH"/>
    <s v="Ohio"/>
    <s v="Gallia"/>
    <x v="1"/>
    <x v="6"/>
    <n v="12742"/>
  </r>
  <r>
    <s v="OH"/>
    <s v="Ohio"/>
    <s v="Geauga"/>
    <x v="3"/>
    <x v="6"/>
    <n v="12742"/>
  </r>
  <r>
    <s v="OH"/>
    <s v="Ohio"/>
    <s v="Greene"/>
    <x v="3"/>
    <x v="6"/>
    <n v="12742"/>
  </r>
  <r>
    <s v="OH"/>
    <s v="Ohio"/>
    <s v="Guernsey"/>
    <x v="3"/>
    <x v="6"/>
    <n v="12742"/>
  </r>
  <r>
    <s v="OH"/>
    <s v="Ohio"/>
    <s v="Hamilton"/>
    <x v="1"/>
    <x v="6"/>
    <n v="12742"/>
  </r>
  <r>
    <s v="OH"/>
    <s v="Ohio"/>
    <s v="Hancock"/>
    <x v="3"/>
    <x v="6"/>
    <n v="12742"/>
  </r>
  <r>
    <s v="OH"/>
    <s v="Ohio"/>
    <s v="Hardin"/>
    <x v="3"/>
    <x v="6"/>
    <n v="12742"/>
  </r>
  <r>
    <s v="OH"/>
    <s v="Ohio"/>
    <s v="Harrison"/>
    <x v="3"/>
    <x v="6"/>
    <n v="12742"/>
  </r>
  <r>
    <s v="OH"/>
    <s v="Ohio"/>
    <s v="Henry"/>
    <x v="3"/>
    <x v="6"/>
    <n v="12742"/>
  </r>
  <r>
    <s v="OH"/>
    <s v="Ohio"/>
    <s v="Highland"/>
    <x v="3"/>
    <x v="6"/>
    <n v="12742"/>
  </r>
  <r>
    <s v="OH"/>
    <s v="Ohio"/>
    <s v="Hocking"/>
    <x v="3"/>
    <x v="6"/>
    <n v="12742"/>
  </r>
  <r>
    <s v="OK"/>
    <s v="Oklahoma"/>
    <s v="Coal"/>
    <x v="1"/>
    <x v="1"/>
    <n v="11394"/>
  </r>
  <r>
    <s v="OK"/>
    <s v="Oklahoma"/>
    <s v="Comanche"/>
    <x v="1"/>
    <x v="1"/>
    <n v="11394"/>
  </r>
  <r>
    <s v="OK"/>
    <s v="Oklahoma"/>
    <s v="Cotton"/>
    <x v="1"/>
    <x v="1"/>
    <n v="11394"/>
  </r>
  <r>
    <s v="OK"/>
    <s v="Oklahoma"/>
    <s v="Craig"/>
    <x v="1"/>
    <x v="1"/>
    <n v="11394"/>
  </r>
  <r>
    <s v="OK"/>
    <s v="Oklahoma"/>
    <s v="Creek"/>
    <x v="1"/>
    <x v="1"/>
    <n v="11394"/>
  </r>
  <r>
    <s v="OK"/>
    <s v="Oklahoma"/>
    <s v="Custer"/>
    <x v="1"/>
    <x v="1"/>
    <n v="11394"/>
  </r>
  <r>
    <s v="OK"/>
    <s v="Oklahoma"/>
    <s v="Delaware"/>
    <x v="1"/>
    <x v="1"/>
    <n v="11394"/>
  </r>
  <r>
    <s v="OK"/>
    <s v="Oklahoma"/>
    <s v="Dewey"/>
    <x v="1"/>
    <x v="1"/>
    <n v="11394"/>
  </r>
  <r>
    <s v="OK"/>
    <s v="Oklahoma"/>
    <s v="Ellis"/>
    <x v="1"/>
    <x v="1"/>
    <n v="11394"/>
  </r>
  <r>
    <s v="OK"/>
    <s v="Oklahoma"/>
    <s v="Garfield"/>
    <x v="1"/>
    <x v="1"/>
    <n v="11394"/>
  </r>
  <r>
    <s v="OK"/>
    <s v="Oklahoma"/>
    <s v="Garvin"/>
    <x v="1"/>
    <x v="1"/>
    <n v="11394"/>
  </r>
  <r>
    <s v="OK"/>
    <s v="Oklahoma"/>
    <s v="Grady"/>
    <x v="1"/>
    <x v="1"/>
    <n v="11394"/>
  </r>
  <r>
    <s v="OK"/>
    <s v="Oklahoma"/>
    <s v="Grant"/>
    <x v="1"/>
    <x v="1"/>
    <n v="11394"/>
  </r>
  <r>
    <s v="OK"/>
    <s v="Oklahoma"/>
    <s v="Greer"/>
    <x v="1"/>
    <x v="1"/>
    <n v="11394"/>
  </r>
  <r>
    <s v="OK"/>
    <s v="Oklahoma"/>
    <s v="Harmon"/>
    <x v="1"/>
    <x v="1"/>
    <n v="11394"/>
  </r>
  <r>
    <s v="OK"/>
    <s v="Oklahoma"/>
    <s v="Harper"/>
    <x v="1"/>
    <x v="1"/>
    <n v="11394"/>
  </r>
  <r>
    <s v="OK"/>
    <s v="Oklahoma"/>
    <s v="Haskell"/>
    <x v="1"/>
    <x v="1"/>
    <n v="11394"/>
  </r>
  <r>
    <s v="OK"/>
    <s v="Oklahoma"/>
    <s v="Hughes"/>
    <x v="1"/>
    <x v="1"/>
    <n v="11394"/>
  </r>
  <r>
    <s v="OK"/>
    <s v="Oklahoma"/>
    <s v="Jackson"/>
    <x v="1"/>
    <x v="1"/>
    <n v="11394"/>
  </r>
  <r>
    <s v="OK"/>
    <s v="Oklahoma"/>
    <s v="Jefferson"/>
    <x v="1"/>
    <x v="1"/>
    <n v="11394"/>
  </r>
  <r>
    <s v="OK"/>
    <s v="Oklahoma"/>
    <s v="Johnston"/>
    <x v="1"/>
    <x v="1"/>
    <n v="11394"/>
  </r>
  <r>
    <s v="OK"/>
    <s v="Oklahoma"/>
    <s v="Kay"/>
    <x v="1"/>
    <x v="1"/>
    <n v="11394"/>
  </r>
  <r>
    <s v="OK"/>
    <s v="Oklahoma"/>
    <s v="Kingfisher"/>
    <x v="1"/>
    <x v="1"/>
    <n v="11394"/>
  </r>
  <r>
    <s v="OK"/>
    <s v="Oklahoma"/>
    <s v="Kiowa"/>
    <x v="1"/>
    <x v="1"/>
    <n v="11394"/>
  </r>
  <r>
    <s v="OK"/>
    <s v="Oklahoma"/>
    <s v="Latimer"/>
    <x v="1"/>
    <x v="1"/>
    <n v="11394"/>
  </r>
  <r>
    <s v="OK"/>
    <s v="Oklahoma"/>
    <s v="Le Flore"/>
    <x v="1"/>
    <x v="1"/>
    <n v="11394"/>
  </r>
  <r>
    <s v="OK"/>
    <s v="Oklahoma"/>
    <s v="Lincoln"/>
    <x v="1"/>
    <x v="1"/>
    <n v="11394"/>
  </r>
  <r>
    <s v="OK"/>
    <s v="Oklahoma"/>
    <s v="Logan"/>
    <x v="1"/>
    <x v="1"/>
    <n v="11394"/>
  </r>
  <r>
    <s v="OK"/>
    <s v="Oklahoma"/>
    <s v="Love"/>
    <x v="1"/>
    <x v="1"/>
    <n v="11394"/>
  </r>
  <r>
    <s v="OK"/>
    <s v="Oklahoma"/>
    <s v="Major"/>
    <x v="1"/>
    <x v="1"/>
    <n v="11394"/>
  </r>
  <r>
    <s v="OK"/>
    <s v="Oklahoma"/>
    <s v="Marshall"/>
    <x v="1"/>
    <x v="1"/>
    <n v="11394"/>
  </r>
  <r>
    <s v="OK"/>
    <s v="Oklahoma"/>
    <s v="Mayes"/>
    <x v="1"/>
    <x v="1"/>
    <n v="11394"/>
  </r>
  <r>
    <s v="OK"/>
    <s v="Oklahoma"/>
    <s v="McClain"/>
    <x v="1"/>
    <x v="1"/>
    <n v="11394"/>
  </r>
  <r>
    <s v="OK"/>
    <s v="Oklahoma"/>
    <s v="McCurtain"/>
    <x v="1"/>
    <x v="1"/>
    <n v="11394"/>
  </r>
  <r>
    <s v="OK"/>
    <s v="Oklahoma"/>
    <s v="McIntosh"/>
    <x v="1"/>
    <x v="1"/>
    <n v="11394"/>
  </r>
  <r>
    <s v="OK"/>
    <s v="Oklahoma"/>
    <s v="Murray"/>
    <x v="1"/>
    <x v="1"/>
    <n v="11394"/>
  </r>
  <r>
    <s v="OK"/>
    <s v="Oklahoma"/>
    <s v="Muskogee"/>
    <x v="1"/>
    <x v="1"/>
    <n v="11394"/>
  </r>
  <r>
    <s v="OK"/>
    <s v="Oklahoma"/>
    <s v="Noble"/>
    <x v="1"/>
    <x v="1"/>
    <n v="11394"/>
  </r>
  <r>
    <s v="OK"/>
    <s v="Oklahoma"/>
    <s v="Nowata"/>
    <x v="1"/>
    <x v="1"/>
    <n v="11394"/>
  </r>
  <r>
    <s v="OK"/>
    <s v="Oklahoma"/>
    <s v="Okfuskee"/>
    <x v="1"/>
    <x v="1"/>
    <n v="11394"/>
  </r>
  <r>
    <s v="OK"/>
    <s v="Oklahoma"/>
    <s v="Oklahoma"/>
    <x v="1"/>
    <x v="1"/>
    <n v="11394"/>
  </r>
  <r>
    <s v="OK"/>
    <s v="Oklahoma"/>
    <s v="Okmulgee"/>
    <x v="1"/>
    <x v="1"/>
    <n v="11394"/>
  </r>
  <r>
    <s v="OK"/>
    <s v="Oklahoma"/>
    <s v="Osage"/>
    <x v="1"/>
    <x v="1"/>
    <n v="11394"/>
  </r>
  <r>
    <s v="OK"/>
    <s v="Oklahoma"/>
    <s v="Ottawa"/>
    <x v="1"/>
    <x v="1"/>
    <n v="11394"/>
  </r>
  <r>
    <s v="OK"/>
    <s v="Oklahoma"/>
    <s v="Pawnee"/>
    <x v="1"/>
    <x v="1"/>
    <n v="11394"/>
  </r>
  <r>
    <s v="OK"/>
    <s v="Oklahoma"/>
    <s v="Payne"/>
    <x v="1"/>
    <x v="1"/>
    <n v="11394"/>
  </r>
  <r>
    <s v="OK"/>
    <s v="Oklahoma"/>
    <s v="Pittsburg"/>
    <x v="1"/>
    <x v="1"/>
    <n v="11394"/>
  </r>
  <r>
    <s v="OK"/>
    <s v="Oklahoma"/>
    <s v="Pontotoc"/>
    <x v="1"/>
    <x v="1"/>
    <n v="11394"/>
  </r>
  <r>
    <s v="OK"/>
    <s v="Oklahoma"/>
    <s v="Pottawatomie"/>
    <x v="1"/>
    <x v="1"/>
    <n v="11394"/>
  </r>
  <r>
    <s v="OK"/>
    <s v="Oklahoma"/>
    <s v="Pushmataha"/>
    <x v="1"/>
    <x v="1"/>
    <n v="11394"/>
  </r>
  <r>
    <s v="OK"/>
    <s v="Oklahoma"/>
    <s v="Roger Mills"/>
    <x v="1"/>
    <x v="1"/>
    <n v="11394"/>
  </r>
  <r>
    <s v="OK"/>
    <s v="Oklahoma"/>
    <s v="Rogers"/>
    <x v="1"/>
    <x v="1"/>
    <n v="11394"/>
  </r>
  <r>
    <s v="OK"/>
    <s v="Oklahoma"/>
    <s v="Seminole"/>
    <x v="1"/>
    <x v="1"/>
    <n v="11394"/>
  </r>
  <r>
    <s v="OK"/>
    <s v="Oklahoma"/>
    <s v="Sequoyah"/>
    <x v="1"/>
    <x v="1"/>
    <n v="11394"/>
  </r>
  <r>
    <s v="OK"/>
    <s v="Oklahoma"/>
    <s v="Stephens"/>
    <x v="1"/>
    <x v="1"/>
    <n v="11394"/>
  </r>
  <r>
    <s v="OK"/>
    <s v="Oklahoma"/>
    <s v="Texas"/>
    <x v="4"/>
    <x v="1"/>
    <n v="11394"/>
  </r>
  <r>
    <s v="OK"/>
    <s v="Oklahoma"/>
    <s v="Tillman"/>
    <x v="1"/>
    <x v="1"/>
    <n v="11394"/>
  </r>
  <r>
    <s v="OK"/>
    <s v="Oklahoma"/>
    <s v="Tulsa"/>
    <x v="1"/>
    <x v="1"/>
    <n v="11394"/>
  </r>
  <r>
    <s v="OK"/>
    <s v="Oklahoma"/>
    <s v="Wagoner"/>
    <x v="1"/>
    <x v="1"/>
    <n v="11394"/>
  </r>
  <r>
    <s v="OK"/>
    <s v="Oklahoma"/>
    <s v="Washington"/>
    <x v="1"/>
    <x v="1"/>
    <n v="11394"/>
  </r>
  <r>
    <s v="OK"/>
    <s v="Oklahoma"/>
    <s v="Washita"/>
    <x v="1"/>
    <x v="1"/>
    <n v="11394"/>
  </r>
  <r>
    <s v="OK"/>
    <s v="Oklahoma"/>
    <s v="Woods"/>
    <x v="1"/>
    <x v="1"/>
    <n v="11394"/>
  </r>
  <r>
    <s v="OK"/>
    <s v="Oklahoma"/>
    <s v="Woodward"/>
    <x v="1"/>
    <x v="1"/>
    <n v="11394"/>
  </r>
  <r>
    <s v="OR"/>
    <s v="Oregon"/>
    <s v="Baker"/>
    <x v="3"/>
    <x v="2"/>
    <n v="13379"/>
  </r>
  <r>
    <s v="OR"/>
    <s v="Oregon"/>
    <s v="Benton"/>
    <x v="2"/>
    <x v="2"/>
    <n v="13379"/>
  </r>
  <r>
    <s v="PA"/>
    <s v="Pennsylvania"/>
    <s v="Indiana"/>
    <x v="3"/>
    <x v="8"/>
    <n v="11232"/>
  </r>
  <r>
    <s v="PA"/>
    <s v="Pennsylvania"/>
    <s v="Jefferson"/>
    <x v="3"/>
    <x v="8"/>
    <n v="11232"/>
  </r>
  <r>
    <s v="PA"/>
    <s v="Pennsylvania"/>
    <s v="Juniata"/>
    <x v="3"/>
    <x v="8"/>
    <n v="11232"/>
  </r>
  <r>
    <s v="PA"/>
    <s v="Pennsylvania"/>
    <s v="Lackawanna"/>
    <x v="3"/>
    <x v="8"/>
    <n v="11232"/>
  </r>
  <r>
    <s v="PA"/>
    <s v="Pennsylvania"/>
    <s v="Lancaster"/>
    <x v="3"/>
    <x v="8"/>
    <n v="11232"/>
  </r>
  <r>
    <s v="PA"/>
    <s v="Pennsylvania"/>
    <s v="Lawrence"/>
    <x v="3"/>
    <x v="8"/>
    <n v="11232"/>
  </r>
  <r>
    <s v="PA"/>
    <s v="Pennsylvania"/>
    <s v="Lebanon"/>
    <x v="3"/>
    <x v="8"/>
    <n v="11232"/>
  </r>
  <r>
    <s v="PA"/>
    <s v="Pennsylvania"/>
    <s v="Lehigh"/>
    <x v="3"/>
    <x v="8"/>
    <n v="11232"/>
  </r>
  <r>
    <s v="PA"/>
    <s v="Pennsylvania"/>
    <s v="Luzerne"/>
    <x v="3"/>
    <x v="8"/>
    <n v="11232"/>
  </r>
  <r>
    <s v="PA"/>
    <s v="Pennsylvania"/>
    <s v="Lycoming"/>
    <x v="3"/>
    <x v="8"/>
    <n v="11232"/>
  </r>
  <r>
    <s v="PA"/>
    <s v="Pennsylvania"/>
    <s v="McKean"/>
    <x v="3"/>
    <x v="8"/>
    <n v="11232"/>
  </r>
  <r>
    <s v="PA"/>
    <s v="Pennsylvania"/>
    <s v="Mercer"/>
    <x v="3"/>
    <x v="8"/>
    <n v="11232"/>
  </r>
  <r>
    <s v="PA"/>
    <s v="Pennsylvania"/>
    <s v="Mifflin"/>
    <x v="3"/>
    <x v="8"/>
    <n v="11232"/>
  </r>
  <r>
    <s v="PA"/>
    <s v="Pennsylvania"/>
    <s v="Monroe"/>
    <x v="3"/>
    <x v="8"/>
    <n v="11232"/>
  </r>
  <r>
    <s v="PA"/>
    <s v="Pennsylvania"/>
    <s v="Montgomery"/>
    <x v="1"/>
    <x v="8"/>
    <n v="11232"/>
  </r>
  <r>
    <s v="PA"/>
    <s v="Pennsylvania"/>
    <s v="Montour"/>
    <x v="3"/>
    <x v="8"/>
    <n v="11232"/>
  </r>
  <r>
    <s v="PA"/>
    <s v="Pennsylvania"/>
    <s v="Northampton"/>
    <x v="3"/>
    <x v="8"/>
    <n v="11232"/>
  </r>
  <r>
    <s v="PA"/>
    <s v="Pennsylvania"/>
    <s v="Northumberland"/>
    <x v="3"/>
    <x v="8"/>
    <n v="11232"/>
  </r>
  <r>
    <s v="PA"/>
    <s v="Pennsylvania"/>
    <s v="Perry"/>
    <x v="3"/>
    <x v="8"/>
    <n v="11232"/>
  </r>
  <r>
    <s v="PA"/>
    <s v="Pennsylvania"/>
    <s v="Philadelphia"/>
    <x v="1"/>
    <x v="8"/>
    <n v="11232"/>
  </r>
  <r>
    <s v="PA"/>
    <s v="Pennsylvania"/>
    <s v="Pike"/>
    <x v="3"/>
    <x v="8"/>
    <n v="11232"/>
  </r>
  <r>
    <s v="PA"/>
    <s v="Pennsylvania"/>
    <s v="Potter"/>
    <x v="3"/>
    <x v="8"/>
    <n v="11232"/>
  </r>
  <r>
    <s v="PA"/>
    <s v="Pennsylvania"/>
    <s v="Schuylkill"/>
    <x v="3"/>
    <x v="8"/>
    <n v="11232"/>
  </r>
  <r>
    <s v="PA"/>
    <s v="Pennsylvania"/>
    <s v="Snyder"/>
    <x v="3"/>
    <x v="8"/>
    <n v="11232"/>
  </r>
  <r>
    <s v="PA"/>
    <s v="Pennsylvania"/>
    <s v="Somerset"/>
    <x v="3"/>
    <x v="8"/>
    <n v="11232"/>
  </r>
  <r>
    <s v="PA"/>
    <s v="Pennsylvania"/>
    <s v="Sullivan"/>
    <x v="3"/>
    <x v="8"/>
    <n v="11232"/>
  </r>
  <r>
    <s v="PA"/>
    <s v="Pennsylvania"/>
    <s v="Susquehanna"/>
    <x v="3"/>
    <x v="8"/>
    <n v="11232"/>
  </r>
  <r>
    <s v="PA"/>
    <s v="Pennsylvania"/>
    <s v="Tioga"/>
    <x v="3"/>
    <x v="8"/>
    <n v="11232"/>
  </r>
  <r>
    <s v="PA"/>
    <s v="Pennsylvania"/>
    <s v="Union"/>
    <x v="3"/>
    <x v="8"/>
    <n v="11232"/>
  </r>
  <r>
    <s v="PA"/>
    <s v="Pennsylvania"/>
    <s v="Venango"/>
    <x v="3"/>
    <x v="8"/>
    <n v="11232"/>
  </r>
  <r>
    <s v="PA"/>
    <s v="Pennsylvania"/>
    <s v="Warren"/>
    <x v="3"/>
    <x v="8"/>
    <n v="11232"/>
  </r>
  <r>
    <s v="PA"/>
    <s v="Pennsylvania"/>
    <s v="Washington"/>
    <x v="3"/>
    <x v="8"/>
    <n v="11232"/>
  </r>
  <r>
    <s v="PA"/>
    <s v="Pennsylvania"/>
    <s v="Wayne"/>
    <x v="3"/>
    <x v="8"/>
    <n v="11232"/>
  </r>
  <r>
    <s v="PA"/>
    <s v="Pennsylvania"/>
    <s v="Westmoreland"/>
    <x v="3"/>
    <x v="8"/>
    <n v="11232"/>
  </r>
  <r>
    <s v="PA"/>
    <s v="Pennsylvania"/>
    <s v="Wyoming"/>
    <x v="3"/>
    <x v="8"/>
    <n v="11232"/>
  </r>
  <r>
    <s v="PA"/>
    <s v="Pennsylvania"/>
    <s v="York"/>
    <x v="1"/>
    <x v="8"/>
    <n v="11232"/>
  </r>
  <r>
    <s v="RI"/>
    <s v="Rhode Island"/>
    <s v="Bristol"/>
    <x v="3"/>
    <x v="4"/>
    <n v="4302"/>
  </r>
  <r>
    <s v="RI"/>
    <s v="Rhode Island"/>
    <s v="Kent"/>
    <x v="3"/>
    <x v="4"/>
    <n v="4302"/>
  </r>
  <r>
    <s v="RI"/>
    <s v="Rhode Island"/>
    <s v="Newport"/>
    <x v="3"/>
    <x v="4"/>
    <n v="4302"/>
  </r>
  <r>
    <s v="RI"/>
    <s v="Rhode Island"/>
    <s v="Providence"/>
    <x v="3"/>
    <x v="4"/>
    <n v="4302"/>
  </r>
  <r>
    <s v="RI"/>
    <s v="Rhode Island"/>
    <s v="Washington"/>
    <x v="3"/>
    <x v="4"/>
    <n v="4302"/>
  </r>
  <r>
    <s v="SC"/>
    <s v="South Carolina"/>
    <s v="Abbeville"/>
    <x v="1"/>
    <x v="5"/>
    <n v="17981"/>
  </r>
  <r>
    <s v="SC"/>
    <s v="South Carolina"/>
    <s v="Aiken"/>
    <x v="1"/>
    <x v="5"/>
    <n v="17981"/>
  </r>
  <r>
    <s v="SC"/>
    <s v="South Carolina"/>
    <s v="Allendale"/>
    <x v="0"/>
    <x v="5"/>
    <n v="17981"/>
  </r>
  <r>
    <s v="SC"/>
    <s v="South Carolina"/>
    <s v="Anderson"/>
    <x v="1"/>
    <x v="5"/>
    <n v="17981"/>
  </r>
  <r>
    <s v="SC"/>
    <s v="South Carolina"/>
    <s v="Bamberg"/>
    <x v="0"/>
    <x v="5"/>
    <n v="17981"/>
  </r>
  <r>
    <s v="SC"/>
    <s v="South Carolina"/>
    <s v="Barnwell"/>
    <x v="0"/>
    <x v="5"/>
    <n v="17981"/>
  </r>
  <r>
    <s v="SC"/>
    <s v="South Carolina"/>
    <s v="Beaufort"/>
    <x v="0"/>
    <x v="5"/>
    <n v="17981"/>
  </r>
  <r>
    <s v="SC"/>
    <s v="South Carolina"/>
    <s v="Berkeley"/>
    <x v="0"/>
    <x v="5"/>
    <n v="17981"/>
  </r>
  <r>
    <s v="SC"/>
    <s v="South Carolina"/>
    <s v="Calhoun"/>
    <x v="1"/>
    <x v="5"/>
    <n v="17981"/>
  </r>
  <r>
    <s v="SC"/>
    <s v="South Carolina"/>
    <s v="Charleston"/>
    <x v="0"/>
    <x v="5"/>
    <n v="17981"/>
  </r>
  <r>
    <s v="SC"/>
    <s v="South Carolina"/>
    <s v="Cherokee"/>
    <x v="1"/>
    <x v="5"/>
    <n v="17981"/>
  </r>
  <r>
    <s v="SC"/>
    <s v="South Carolina"/>
    <s v="Chester"/>
    <x v="1"/>
    <x v="5"/>
    <n v="17981"/>
  </r>
  <r>
    <s v="SC"/>
    <s v="South Carolina"/>
    <s v="Chesterfield"/>
    <x v="1"/>
    <x v="5"/>
    <n v="17981"/>
  </r>
  <r>
    <s v="SC"/>
    <s v="South Carolina"/>
    <s v="Clarendon"/>
    <x v="1"/>
    <x v="5"/>
    <n v="17981"/>
  </r>
  <r>
    <s v="SC"/>
    <s v="South Carolina"/>
    <s v="Colleton"/>
    <x v="0"/>
    <x v="5"/>
    <n v="17981"/>
  </r>
  <r>
    <s v="SC"/>
    <s v="South Carolina"/>
    <s v="Darlington"/>
    <x v="1"/>
    <x v="5"/>
    <n v="17981"/>
  </r>
  <r>
    <s v="SC"/>
    <s v="South Carolina"/>
    <s v="Dillon"/>
    <x v="1"/>
    <x v="5"/>
    <n v="17981"/>
  </r>
  <r>
    <s v="SC"/>
    <s v="South Carolina"/>
    <s v="Dorchester"/>
    <x v="0"/>
    <x v="5"/>
    <n v="17981"/>
  </r>
  <r>
    <s v="SC"/>
    <s v="South Carolina"/>
    <s v="Edgefield"/>
    <x v="1"/>
    <x v="5"/>
    <n v="17981"/>
  </r>
  <r>
    <s v="SC"/>
    <s v="South Carolina"/>
    <s v="Fairfield"/>
    <x v="1"/>
    <x v="5"/>
    <n v="17981"/>
  </r>
  <r>
    <s v="SC"/>
    <s v="South Carolina"/>
    <s v="Florence"/>
    <x v="1"/>
    <x v="5"/>
    <n v="17981"/>
  </r>
  <r>
    <s v="SC"/>
    <s v="South Carolina"/>
    <s v="Georgetown"/>
    <x v="0"/>
    <x v="5"/>
    <n v="17981"/>
  </r>
  <r>
    <s v="SC"/>
    <s v="South Carolina"/>
    <s v="Greenville"/>
    <x v="1"/>
    <x v="5"/>
    <n v="17981"/>
  </r>
  <r>
    <s v="SC"/>
    <s v="South Carolina"/>
    <s v="Greenwood"/>
    <x v="1"/>
    <x v="5"/>
    <n v="17981"/>
  </r>
  <r>
    <s v="SD"/>
    <s v="South Dakota"/>
    <s v="McCook"/>
    <x v="3"/>
    <x v="7"/>
    <n v="6178"/>
  </r>
  <r>
    <s v="SD"/>
    <s v="South Dakota"/>
    <s v="McPherson"/>
    <x v="3"/>
    <x v="7"/>
    <n v="6178"/>
  </r>
  <r>
    <s v="SD"/>
    <s v="South Dakota"/>
    <s v="Meade"/>
    <x v="3"/>
    <x v="7"/>
    <n v="6178"/>
  </r>
  <r>
    <s v="SD"/>
    <s v="South Dakota"/>
    <s v="Mellette"/>
    <x v="3"/>
    <x v="7"/>
    <n v="6178"/>
  </r>
  <r>
    <s v="SD"/>
    <s v="South Dakota"/>
    <s v="Miner"/>
    <x v="3"/>
    <x v="7"/>
    <n v="6178"/>
  </r>
  <r>
    <s v="SD"/>
    <s v="South Dakota"/>
    <s v="Minnehaha"/>
    <x v="3"/>
    <x v="7"/>
    <n v="6178"/>
  </r>
  <r>
    <s v="SD"/>
    <s v="South Dakota"/>
    <s v="Moody"/>
    <x v="3"/>
    <x v="7"/>
    <n v="6178"/>
  </r>
  <r>
    <s v="SD"/>
    <s v="South Dakota"/>
    <s v="Pennington"/>
    <x v="3"/>
    <x v="7"/>
    <n v="6178"/>
  </r>
  <r>
    <s v="SD"/>
    <s v="South Dakota"/>
    <s v="Perkins"/>
    <x v="3"/>
    <x v="7"/>
    <n v="6178"/>
  </r>
  <r>
    <s v="SD"/>
    <s v="South Dakota"/>
    <s v="Potter"/>
    <x v="3"/>
    <x v="7"/>
    <n v="6178"/>
  </r>
  <r>
    <s v="SD"/>
    <s v="South Dakota"/>
    <s v="Roberts"/>
    <x v="3"/>
    <x v="7"/>
    <n v="6178"/>
  </r>
  <r>
    <s v="SD"/>
    <s v="South Dakota"/>
    <s v="Sanborn"/>
    <x v="3"/>
    <x v="7"/>
    <n v="6178"/>
  </r>
  <r>
    <s v="SD"/>
    <s v="South Dakota"/>
    <s v="Shannon"/>
    <x v="3"/>
    <x v="7"/>
    <n v="6178"/>
  </r>
  <r>
    <s v="SD"/>
    <s v="South Dakota"/>
    <s v="Spink"/>
    <x v="3"/>
    <x v="7"/>
    <n v="6178"/>
  </r>
  <r>
    <s v="SD"/>
    <s v="South Dakota"/>
    <s v="Stanley"/>
    <x v="3"/>
    <x v="7"/>
    <n v="6178"/>
  </r>
  <r>
    <s v="SD"/>
    <s v="South Dakota"/>
    <s v="Sully"/>
    <x v="3"/>
    <x v="7"/>
    <n v="6178"/>
  </r>
  <r>
    <s v="SD"/>
    <s v="South Dakota"/>
    <s v="Todd"/>
    <x v="3"/>
    <x v="7"/>
    <n v="6178"/>
  </r>
  <r>
    <s v="SD"/>
    <s v="South Dakota"/>
    <s v="Tripp"/>
    <x v="3"/>
    <x v="7"/>
    <n v="6178"/>
  </r>
  <r>
    <s v="SD"/>
    <s v="South Dakota"/>
    <s v="Turner"/>
    <x v="3"/>
    <x v="7"/>
    <n v="6178"/>
  </r>
  <r>
    <s v="SD"/>
    <s v="South Dakota"/>
    <s v="Union"/>
    <x v="3"/>
    <x v="7"/>
    <n v="6178"/>
  </r>
  <r>
    <s v="SD"/>
    <s v="South Dakota"/>
    <s v="Walworth"/>
    <x v="3"/>
    <x v="7"/>
    <n v="6178"/>
  </r>
  <r>
    <s v="SD"/>
    <s v="South Dakota"/>
    <s v="Yankton"/>
    <x v="3"/>
    <x v="7"/>
    <n v="6178"/>
  </r>
  <r>
    <s v="SD"/>
    <s v="South Dakota"/>
    <s v="Ziebach"/>
    <x v="3"/>
    <x v="7"/>
    <n v="6178"/>
  </r>
  <r>
    <s v="TN"/>
    <s v="Tennessee"/>
    <s v="Anderson"/>
    <x v="1"/>
    <x v="0"/>
    <n v="4904"/>
  </r>
  <r>
    <s v="TN"/>
    <s v="Tennessee"/>
    <s v="Bedford"/>
    <x v="1"/>
    <x v="0"/>
    <n v="4904"/>
  </r>
  <r>
    <s v="TN"/>
    <s v="Tennessee"/>
    <s v="Benton"/>
    <x v="1"/>
    <x v="0"/>
    <n v="4904"/>
  </r>
  <r>
    <s v="TN"/>
    <s v="Tennessee"/>
    <s v="Bledsoe"/>
    <x v="1"/>
    <x v="0"/>
    <n v="4904"/>
  </r>
  <r>
    <s v="TN"/>
    <s v="Tennessee"/>
    <s v="Blount"/>
    <x v="1"/>
    <x v="0"/>
    <n v="4904"/>
  </r>
  <r>
    <s v="TN"/>
    <s v="Tennessee"/>
    <s v="Bradley"/>
    <x v="1"/>
    <x v="0"/>
    <n v="4904"/>
  </r>
  <r>
    <s v="TN"/>
    <s v="Tennessee"/>
    <s v="Campbell"/>
    <x v="1"/>
    <x v="0"/>
    <n v="4904"/>
  </r>
  <r>
    <s v="TN"/>
    <s v="Tennessee"/>
    <s v="Cannon"/>
    <x v="1"/>
    <x v="0"/>
    <n v="4904"/>
  </r>
  <r>
    <s v="TN"/>
    <s v="Tennessee"/>
    <s v="Carroll"/>
    <x v="1"/>
    <x v="0"/>
    <n v="4904"/>
  </r>
  <r>
    <s v="TN"/>
    <s v="Tennessee"/>
    <s v="Carter"/>
    <x v="1"/>
    <x v="0"/>
    <n v="4904"/>
  </r>
  <r>
    <s v="TN"/>
    <s v="Tennessee"/>
    <s v="Cheatham"/>
    <x v="1"/>
    <x v="0"/>
    <n v="4904"/>
  </r>
  <r>
    <s v="TN"/>
    <s v="Tennessee"/>
    <s v="Chester"/>
    <x v="1"/>
    <x v="0"/>
    <n v="4904"/>
  </r>
  <r>
    <s v="TN"/>
    <s v="Tennessee"/>
    <s v="Claiborne"/>
    <x v="1"/>
    <x v="0"/>
    <n v="4904"/>
  </r>
  <r>
    <s v="TN"/>
    <s v="Tennessee"/>
    <s v="Clay"/>
    <x v="1"/>
    <x v="0"/>
    <n v="4904"/>
  </r>
  <r>
    <s v="TN"/>
    <s v="Tennessee"/>
    <s v="Cocke"/>
    <x v="1"/>
    <x v="0"/>
    <n v="4904"/>
  </r>
  <r>
    <s v="TN"/>
    <s v="Tennessee"/>
    <s v="Coffee"/>
    <x v="1"/>
    <x v="0"/>
    <n v="4904"/>
  </r>
  <r>
    <s v="TN"/>
    <s v="Tennessee"/>
    <s v="Crockett"/>
    <x v="1"/>
    <x v="0"/>
    <n v="4904"/>
  </r>
  <r>
    <s v="TN"/>
    <s v="Tennessee"/>
    <s v="Cumberland"/>
    <x v="1"/>
    <x v="0"/>
    <n v="4904"/>
  </r>
  <r>
    <s v="TN"/>
    <s v="Tennessee"/>
    <s v="Davidson"/>
    <x v="1"/>
    <x v="0"/>
    <n v="4904"/>
  </r>
  <r>
    <s v="TN"/>
    <s v="Tennessee"/>
    <s v="Decatur"/>
    <x v="1"/>
    <x v="0"/>
    <n v="4904"/>
  </r>
  <r>
    <s v="TN"/>
    <s v="Tennessee"/>
    <s v="DeKalb"/>
    <x v="1"/>
    <x v="0"/>
    <n v="4904"/>
  </r>
  <r>
    <s v="TN"/>
    <s v="Tennessee"/>
    <s v="Dickson"/>
    <x v="1"/>
    <x v="0"/>
    <n v="4904"/>
  </r>
  <r>
    <s v="TN"/>
    <s v="Tennessee"/>
    <s v="Dyer"/>
    <x v="1"/>
    <x v="0"/>
    <n v="4904"/>
  </r>
  <r>
    <s v="TN"/>
    <s v="Tennessee"/>
    <s v="Fayette"/>
    <x v="1"/>
    <x v="0"/>
    <n v="4904"/>
  </r>
  <r>
    <s v="TN"/>
    <s v="Tennessee"/>
    <s v="Fentress"/>
    <x v="1"/>
    <x v="0"/>
    <n v="4904"/>
  </r>
  <r>
    <s v="TN"/>
    <s v="Tennessee"/>
    <s v="Franklin"/>
    <x v="1"/>
    <x v="0"/>
    <n v="4904"/>
  </r>
  <r>
    <s v="TN"/>
    <s v="Tennessee"/>
    <s v="Gibson"/>
    <x v="1"/>
    <x v="0"/>
    <n v="4904"/>
  </r>
  <r>
    <s v="TN"/>
    <s v="Tennessee"/>
    <s v="Giles"/>
    <x v="1"/>
    <x v="0"/>
    <n v="4904"/>
  </r>
  <r>
    <s v="TN"/>
    <s v="Tennessee"/>
    <s v="Grainger"/>
    <x v="1"/>
    <x v="0"/>
    <n v="4904"/>
  </r>
  <r>
    <s v="TN"/>
    <s v="Tennessee"/>
    <s v="Greene"/>
    <x v="1"/>
    <x v="0"/>
    <n v="4904"/>
  </r>
  <r>
    <s v="TN"/>
    <s v="Tennessee"/>
    <s v="Grundy"/>
    <x v="1"/>
    <x v="0"/>
    <n v="4904"/>
  </r>
  <r>
    <s v="TN"/>
    <s v="Tennessee"/>
    <s v="Hamblen"/>
    <x v="1"/>
    <x v="0"/>
    <n v="4904"/>
  </r>
  <r>
    <s v="TN"/>
    <s v="Tennessee"/>
    <s v="Hamilton"/>
    <x v="1"/>
    <x v="0"/>
    <n v="4904"/>
  </r>
  <r>
    <s v="TN"/>
    <s v="Tennessee"/>
    <s v="Hancock"/>
    <x v="1"/>
    <x v="0"/>
    <n v="4904"/>
  </r>
  <r>
    <s v="TN"/>
    <s v="Tennessee"/>
    <s v="Hardeman"/>
    <x v="1"/>
    <x v="0"/>
    <n v="4904"/>
  </r>
  <r>
    <s v="TN"/>
    <s v="Tennessee"/>
    <s v="Hardin"/>
    <x v="1"/>
    <x v="0"/>
    <n v="4904"/>
  </r>
  <r>
    <s v="TN"/>
    <s v="Tennessee"/>
    <s v="Hawkins"/>
    <x v="1"/>
    <x v="0"/>
    <n v="4904"/>
  </r>
  <r>
    <s v="TN"/>
    <s v="Tennessee"/>
    <s v="Haywood"/>
    <x v="1"/>
    <x v="0"/>
    <n v="4904"/>
  </r>
  <r>
    <s v="TN"/>
    <s v="Tennessee"/>
    <s v="Henderson"/>
    <x v="1"/>
    <x v="0"/>
    <n v="4904"/>
  </r>
  <r>
    <s v="TN"/>
    <s v="Tennessee"/>
    <s v="Henry"/>
    <x v="1"/>
    <x v="0"/>
    <n v="4904"/>
  </r>
  <r>
    <s v="TN"/>
    <s v="Tennessee"/>
    <s v="Hickman"/>
    <x v="1"/>
    <x v="0"/>
    <n v="4904"/>
  </r>
  <r>
    <s v="TN"/>
    <s v="Tennessee"/>
    <s v="Houston"/>
    <x v="1"/>
    <x v="0"/>
    <n v="4904"/>
  </r>
  <r>
    <s v="TX"/>
    <s v="Texas"/>
    <s v="Bee"/>
    <x v="0"/>
    <x v="1"/>
    <n v="11394"/>
  </r>
  <r>
    <s v="TX"/>
    <s v="Texas"/>
    <s v="Bell"/>
    <x v="0"/>
    <x v="1"/>
    <n v="11394"/>
  </r>
  <r>
    <s v="TX"/>
    <s v="Texas"/>
    <s v="Bexar"/>
    <x v="0"/>
    <x v="1"/>
    <n v="11394"/>
  </r>
  <r>
    <s v="TX"/>
    <s v="Texas"/>
    <s v="Blanco"/>
    <x v="0"/>
    <x v="1"/>
    <n v="11394"/>
  </r>
  <r>
    <s v="TX"/>
    <s v="Texas"/>
    <s v="Borden"/>
    <x v="5"/>
    <x v="1"/>
    <n v="11394"/>
  </r>
  <r>
    <s v="TX"/>
    <s v="Texas"/>
    <s v="Bosque"/>
    <x v="0"/>
    <x v="1"/>
    <n v="11394"/>
  </r>
  <r>
    <s v="TX"/>
    <s v="Texas"/>
    <s v="Bowie"/>
    <x v="0"/>
    <x v="1"/>
    <n v="11394"/>
  </r>
  <r>
    <s v="TX"/>
    <s v="Texas"/>
    <s v="Brazoria"/>
    <x v="0"/>
    <x v="1"/>
    <n v="11394"/>
  </r>
  <r>
    <s v="TX"/>
    <s v="Texas"/>
    <s v="Brazos"/>
    <x v="0"/>
    <x v="1"/>
    <n v="11394"/>
  </r>
  <r>
    <s v="TX"/>
    <s v="Texas"/>
    <s v="Brewster"/>
    <x v="5"/>
    <x v="1"/>
    <n v="11394"/>
  </r>
  <r>
    <s v="TX"/>
    <s v="Texas"/>
    <s v="Briscoe"/>
    <x v="4"/>
    <x v="1"/>
    <n v="11394"/>
  </r>
  <r>
    <s v="TX"/>
    <s v="Texas"/>
    <s v="Brooks"/>
    <x v="0"/>
    <x v="1"/>
    <n v="11394"/>
  </r>
  <r>
    <s v="TX"/>
    <s v="Texas"/>
    <s v="Brown"/>
    <x v="0"/>
    <x v="1"/>
    <n v="11394"/>
  </r>
  <r>
    <s v="TX"/>
    <s v="Texas"/>
    <s v="Burleson"/>
    <x v="0"/>
    <x v="1"/>
    <n v="11394"/>
  </r>
  <r>
    <s v="TX"/>
    <s v="Texas"/>
    <s v="Burnet"/>
    <x v="0"/>
    <x v="1"/>
    <n v="11394"/>
  </r>
  <r>
    <s v="TX"/>
    <s v="Texas"/>
    <s v="Caldwell"/>
    <x v="0"/>
    <x v="1"/>
    <n v="11394"/>
  </r>
  <r>
    <s v="TX"/>
    <s v="Texas"/>
    <s v="Calhoun"/>
    <x v="0"/>
    <x v="1"/>
    <n v="11394"/>
  </r>
  <r>
    <s v="TX"/>
    <s v="Texas"/>
    <s v="Callahan"/>
    <x v="5"/>
    <x v="1"/>
    <n v="11394"/>
  </r>
  <r>
    <s v="TX"/>
    <s v="Texas"/>
    <s v="Cameron"/>
    <x v="0"/>
    <x v="1"/>
    <n v="11394"/>
  </r>
  <r>
    <s v="TX"/>
    <s v="Texas"/>
    <s v="Camp"/>
    <x v="0"/>
    <x v="1"/>
    <n v="11394"/>
  </r>
  <r>
    <s v="TX"/>
    <s v="Texas"/>
    <s v="Carson"/>
    <x v="4"/>
    <x v="1"/>
    <n v="11394"/>
  </r>
  <r>
    <s v="TX"/>
    <s v="Texas"/>
    <s v="Cass"/>
    <x v="0"/>
    <x v="1"/>
    <n v="11394"/>
  </r>
  <r>
    <s v="TX"/>
    <s v="Texas"/>
    <s v="Castro"/>
    <x v="4"/>
    <x v="1"/>
    <n v="11394"/>
  </r>
  <r>
    <s v="TX"/>
    <s v="Texas"/>
    <s v="Chambers"/>
    <x v="0"/>
    <x v="1"/>
    <n v="11394"/>
  </r>
  <r>
    <s v="TX"/>
    <s v="Texas"/>
    <s v="Cherokee"/>
    <x v="0"/>
    <x v="1"/>
    <n v="11394"/>
  </r>
  <r>
    <s v="TX"/>
    <s v="Texas"/>
    <s v="Childress"/>
    <x v="5"/>
    <x v="1"/>
    <n v="11394"/>
  </r>
  <r>
    <s v="TX"/>
    <s v="Texas"/>
    <s v="Clay"/>
    <x v="1"/>
    <x v="1"/>
    <n v="11394"/>
  </r>
  <r>
    <s v="TX"/>
    <s v="Texas"/>
    <s v="Cochran"/>
    <x v="4"/>
    <x v="1"/>
    <n v="11394"/>
  </r>
  <r>
    <s v="TX"/>
    <s v="Texas"/>
    <s v="Coke"/>
    <x v="5"/>
    <x v="1"/>
    <n v="11394"/>
  </r>
  <r>
    <s v="TX"/>
    <s v="Texas"/>
    <s v="Coleman"/>
    <x v="5"/>
    <x v="1"/>
    <n v="11394"/>
  </r>
  <r>
    <s v="TX"/>
    <s v="Texas"/>
    <s v="Collin"/>
    <x v="0"/>
    <x v="1"/>
    <n v="11394"/>
  </r>
  <r>
    <s v="TX"/>
    <s v="Texas"/>
    <s v="Collingsworth"/>
    <x v="5"/>
    <x v="1"/>
    <n v="11394"/>
  </r>
  <r>
    <s v="TX"/>
    <s v="Texas"/>
    <s v="Colorado"/>
    <x v="0"/>
    <x v="1"/>
    <n v="11394"/>
  </r>
  <r>
    <s v="TX"/>
    <s v="Texas"/>
    <s v="Comal"/>
    <x v="0"/>
    <x v="1"/>
    <n v="11394"/>
  </r>
  <r>
    <s v="TX"/>
    <s v="Texas"/>
    <s v="Comanche"/>
    <x v="0"/>
    <x v="1"/>
    <n v="11394"/>
  </r>
  <r>
    <s v="TX"/>
    <s v="Texas"/>
    <s v="Concho"/>
    <x v="5"/>
    <x v="1"/>
    <n v="11394"/>
  </r>
  <r>
    <s v="TX"/>
    <s v="Texas"/>
    <s v="Cooke"/>
    <x v="1"/>
    <x v="1"/>
    <n v="11394"/>
  </r>
  <r>
    <s v="TX"/>
    <s v="Texas"/>
    <s v="Coryell"/>
    <x v="0"/>
    <x v="1"/>
    <n v="11394"/>
  </r>
  <r>
    <s v="TX"/>
    <s v="Texas"/>
    <s v="Cottle"/>
    <x v="5"/>
    <x v="1"/>
    <n v="11394"/>
  </r>
  <r>
    <s v="TX"/>
    <s v="Texas"/>
    <s v="Crane"/>
    <x v="5"/>
    <x v="1"/>
    <n v="11394"/>
  </r>
  <r>
    <s v="TX"/>
    <s v="Texas"/>
    <s v="Crockett"/>
    <x v="5"/>
    <x v="1"/>
    <n v="11394"/>
  </r>
  <r>
    <s v="TX"/>
    <s v="Texas"/>
    <s v="Crosby"/>
    <x v="5"/>
    <x v="1"/>
    <n v="11394"/>
  </r>
  <r>
    <s v="TX"/>
    <s v="Texas"/>
    <s v="Culberson"/>
    <x v="5"/>
    <x v="1"/>
    <n v="11394"/>
  </r>
  <r>
    <s v="TX"/>
    <s v="Texas"/>
    <s v="Dallam"/>
    <x v="4"/>
    <x v="1"/>
    <n v="11394"/>
  </r>
  <r>
    <s v="TX"/>
    <s v="Texas"/>
    <s v="Dallas"/>
    <x v="0"/>
    <x v="1"/>
    <n v="11394"/>
  </r>
  <r>
    <s v="TX"/>
    <s v="Texas"/>
    <s v="Dawson"/>
    <x v="5"/>
    <x v="1"/>
    <n v="11394"/>
  </r>
  <r>
    <s v="TX"/>
    <s v="Texas"/>
    <s v="Deaf Smith"/>
    <x v="4"/>
    <x v="1"/>
    <n v="11394"/>
  </r>
  <r>
    <s v="TX"/>
    <s v="Texas"/>
    <s v="Delta"/>
    <x v="0"/>
    <x v="1"/>
    <n v="11394"/>
  </r>
  <r>
    <s v="TX"/>
    <s v="Texas"/>
    <s v="Denton"/>
    <x v="0"/>
    <x v="1"/>
    <n v="11394"/>
  </r>
  <r>
    <s v="TX"/>
    <s v="Texas"/>
    <s v="DeWitt"/>
    <x v="0"/>
    <x v="1"/>
    <n v="11394"/>
  </r>
  <r>
    <s v="TX"/>
    <s v="Texas"/>
    <s v="Dickens"/>
    <x v="5"/>
    <x v="1"/>
    <n v="11394"/>
  </r>
  <r>
    <s v="TX"/>
    <s v="Texas"/>
    <s v="Dimmit"/>
    <x v="0"/>
    <x v="1"/>
    <n v="11394"/>
  </r>
  <r>
    <s v="TX"/>
    <s v="Texas"/>
    <s v="Donley"/>
    <x v="4"/>
    <x v="1"/>
    <n v="11394"/>
  </r>
  <r>
    <s v="TX"/>
    <s v="Texas"/>
    <s v="Duval"/>
    <x v="0"/>
    <x v="1"/>
    <n v="11394"/>
  </r>
  <r>
    <s v="TX"/>
    <s v="Texas"/>
    <s v="Eastland"/>
    <x v="1"/>
    <x v="1"/>
    <n v="11394"/>
  </r>
  <r>
    <s v="TX"/>
    <s v="Texas"/>
    <s v="Ector"/>
    <x v="5"/>
    <x v="1"/>
    <n v="11394"/>
  </r>
  <r>
    <s v="TX"/>
    <s v="Texas"/>
    <s v="Edwards"/>
    <x v="0"/>
    <x v="1"/>
    <n v="11394"/>
  </r>
  <r>
    <s v="TX"/>
    <s v="Texas"/>
    <s v="El Paso"/>
    <x v="5"/>
    <x v="1"/>
    <n v="11394"/>
  </r>
  <r>
    <s v="TX"/>
    <s v="Texas"/>
    <s v="Ellis"/>
    <x v="0"/>
    <x v="1"/>
    <n v="11394"/>
  </r>
  <r>
    <s v="TX"/>
    <s v="Texas"/>
    <s v="Erath"/>
    <x v="0"/>
    <x v="1"/>
    <n v="11394"/>
  </r>
  <r>
    <s v="TX"/>
    <s v="Texas"/>
    <s v="Falls"/>
    <x v="0"/>
    <x v="1"/>
    <n v="11394"/>
  </r>
  <r>
    <s v="TX"/>
    <s v="Texas"/>
    <s v="Fannin"/>
    <x v="1"/>
    <x v="1"/>
    <n v="11394"/>
  </r>
  <r>
    <s v="TX"/>
    <s v="Texas"/>
    <s v="Fayette"/>
    <x v="0"/>
    <x v="1"/>
    <n v="11394"/>
  </r>
  <r>
    <s v="TX"/>
    <s v="Texas"/>
    <s v="Fisher"/>
    <x v="5"/>
    <x v="1"/>
    <n v="11394"/>
  </r>
  <r>
    <s v="TX"/>
    <s v="Texas"/>
    <s v="Floyd"/>
    <x v="4"/>
    <x v="1"/>
    <n v="11394"/>
  </r>
  <r>
    <s v="TX"/>
    <s v="Texas"/>
    <s v="Lavaca"/>
    <x v="0"/>
    <x v="1"/>
    <n v="11394"/>
  </r>
  <r>
    <s v="TX"/>
    <s v="Texas"/>
    <s v="Lee"/>
    <x v="0"/>
    <x v="1"/>
    <n v="11394"/>
  </r>
  <r>
    <s v="TX"/>
    <s v="Texas"/>
    <s v="Leon"/>
    <x v="0"/>
    <x v="1"/>
    <n v="11394"/>
  </r>
  <r>
    <s v="TX"/>
    <s v="Texas"/>
    <s v="Liberty"/>
    <x v="0"/>
    <x v="1"/>
    <n v="11394"/>
  </r>
  <r>
    <s v="TX"/>
    <s v="Texas"/>
    <s v="Limestone"/>
    <x v="0"/>
    <x v="1"/>
    <n v="11394"/>
  </r>
  <r>
    <s v="TX"/>
    <s v="Texas"/>
    <s v="Lipscomb"/>
    <x v="4"/>
    <x v="1"/>
    <n v="11394"/>
  </r>
  <r>
    <s v="TX"/>
    <s v="Texas"/>
    <s v="Live Oak"/>
    <x v="0"/>
    <x v="1"/>
    <n v="11394"/>
  </r>
  <r>
    <s v="TX"/>
    <s v="Texas"/>
    <s v="Llano"/>
    <x v="0"/>
    <x v="1"/>
    <n v="11394"/>
  </r>
  <r>
    <s v="TX"/>
    <s v="Texas"/>
    <s v="Loving"/>
    <x v="5"/>
    <x v="1"/>
    <n v="11394"/>
  </r>
  <r>
    <s v="TX"/>
    <s v="Texas"/>
    <s v="Lubbock"/>
    <x v="5"/>
    <x v="1"/>
    <n v="11394"/>
  </r>
  <r>
    <s v="TX"/>
    <s v="Texas"/>
    <s v="Lynn"/>
    <x v="5"/>
    <x v="1"/>
    <n v="11394"/>
  </r>
  <r>
    <s v="TX"/>
    <s v="Texas"/>
    <s v="Madison"/>
    <x v="0"/>
    <x v="1"/>
    <n v="11394"/>
  </r>
  <r>
    <s v="TX"/>
    <s v="Texas"/>
    <s v="Marion"/>
    <x v="0"/>
    <x v="1"/>
    <n v="11394"/>
  </r>
  <r>
    <s v="TX"/>
    <s v="Texas"/>
    <s v="Martin"/>
    <x v="5"/>
    <x v="1"/>
    <n v="11394"/>
  </r>
  <r>
    <s v="TX"/>
    <s v="Texas"/>
    <s v="Mason"/>
    <x v="5"/>
    <x v="1"/>
    <n v="11394"/>
  </r>
  <r>
    <s v="TX"/>
    <s v="Texas"/>
    <s v="Matagorda"/>
    <x v="0"/>
    <x v="1"/>
    <n v="11394"/>
  </r>
  <r>
    <s v="TX"/>
    <s v="Texas"/>
    <s v="Maverick"/>
    <x v="0"/>
    <x v="1"/>
    <n v="11394"/>
  </r>
  <r>
    <s v="TX"/>
    <s v="Texas"/>
    <s v="McCulloch"/>
    <x v="5"/>
    <x v="1"/>
    <n v="11394"/>
  </r>
  <r>
    <s v="TX"/>
    <s v="Texas"/>
    <s v="McLennan"/>
    <x v="0"/>
    <x v="1"/>
    <n v="11394"/>
  </r>
  <r>
    <s v="TX"/>
    <s v="Texas"/>
    <s v="McMullen"/>
    <x v="0"/>
    <x v="1"/>
    <n v="11394"/>
  </r>
  <r>
    <s v="TX"/>
    <s v="Texas"/>
    <s v="Medina"/>
    <x v="0"/>
    <x v="1"/>
    <n v="11394"/>
  </r>
  <r>
    <s v="TX"/>
    <s v="Texas"/>
    <s v="Menard"/>
    <x v="5"/>
    <x v="1"/>
    <n v="11394"/>
  </r>
  <r>
    <s v="TX"/>
    <s v="Texas"/>
    <s v="Midland"/>
    <x v="5"/>
    <x v="1"/>
    <n v="11394"/>
  </r>
  <r>
    <s v="TX"/>
    <s v="Texas"/>
    <s v="Milam"/>
    <x v="0"/>
    <x v="1"/>
    <n v="11394"/>
  </r>
  <r>
    <s v="TX"/>
    <s v="Texas"/>
    <s v="Mills"/>
    <x v="0"/>
    <x v="1"/>
    <n v="11394"/>
  </r>
  <r>
    <s v="TX"/>
    <s v="Texas"/>
    <s v="Mitchell"/>
    <x v="5"/>
    <x v="1"/>
    <n v="11394"/>
  </r>
  <r>
    <s v="TX"/>
    <s v="Texas"/>
    <s v="Montague"/>
    <x v="1"/>
    <x v="1"/>
    <n v="11394"/>
  </r>
  <r>
    <s v="TX"/>
    <s v="Texas"/>
    <s v="Montgomery"/>
    <x v="0"/>
    <x v="1"/>
    <n v="11394"/>
  </r>
  <r>
    <s v="TX"/>
    <s v="Texas"/>
    <s v="Moore"/>
    <x v="4"/>
    <x v="1"/>
    <n v="11394"/>
  </r>
  <r>
    <s v="TX"/>
    <s v="Texas"/>
    <s v="Morris"/>
    <x v="0"/>
    <x v="1"/>
    <n v="11394"/>
  </r>
  <r>
    <s v="TX"/>
    <s v="Texas"/>
    <s v="Motley"/>
    <x v="5"/>
    <x v="1"/>
    <n v="11394"/>
  </r>
  <r>
    <s v="TX"/>
    <s v="Texas"/>
    <s v="Nacogdoches"/>
    <x v="0"/>
    <x v="1"/>
    <n v="11394"/>
  </r>
  <r>
    <s v="TX"/>
    <s v="Texas"/>
    <s v="Navarro"/>
    <x v="0"/>
    <x v="1"/>
    <n v="11394"/>
  </r>
  <r>
    <s v="TX"/>
    <s v="Texas"/>
    <s v="Newton"/>
    <x v="0"/>
    <x v="1"/>
    <n v="11394"/>
  </r>
  <r>
    <s v="TX"/>
    <s v="Texas"/>
    <s v="Nolan"/>
    <x v="5"/>
    <x v="1"/>
    <n v="11394"/>
  </r>
  <r>
    <s v="TX"/>
    <s v="Texas"/>
    <s v="Nueces"/>
    <x v="0"/>
    <x v="1"/>
    <n v="11394"/>
  </r>
  <r>
    <s v="TX"/>
    <s v="Texas"/>
    <s v="Ochiltree"/>
    <x v="4"/>
    <x v="1"/>
    <n v="11394"/>
  </r>
  <r>
    <s v="TX"/>
    <s v="Texas"/>
    <s v="Oldham"/>
    <x v="4"/>
    <x v="1"/>
    <n v="11394"/>
  </r>
  <r>
    <s v="TX"/>
    <s v="Texas"/>
    <s v="Orange"/>
    <x v="0"/>
    <x v="1"/>
    <n v="11394"/>
  </r>
  <r>
    <s v="TX"/>
    <s v="Texas"/>
    <s v="Palo Pinto"/>
    <x v="1"/>
    <x v="1"/>
    <n v="11394"/>
  </r>
  <r>
    <s v="TX"/>
    <s v="Texas"/>
    <s v="Panola"/>
    <x v="0"/>
    <x v="1"/>
    <n v="11394"/>
  </r>
  <r>
    <s v="TX"/>
    <s v="Texas"/>
    <s v="Parker"/>
    <x v="0"/>
    <x v="1"/>
    <n v="11394"/>
  </r>
  <r>
    <s v="TX"/>
    <s v="Texas"/>
    <s v="Parmer"/>
    <x v="4"/>
    <x v="1"/>
    <n v="11394"/>
  </r>
  <r>
    <s v="TX"/>
    <s v="Texas"/>
    <s v="Pecos"/>
    <x v="5"/>
    <x v="1"/>
    <n v="11394"/>
  </r>
  <r>
    <s v="TX"/>
    <s v="Texas"/>
    <s v="Polk"/>
    <x v="0"/>
    <x v="1"/>
    <n v="11394"/>
  </r>
  <r>
    <s v="TX"/>
    <s v="Texas"/>
    <s v="Potter"/>
    <x v="4"/>
    <x v="1"/>
    <n v="11394"/>
  </r>
  <r>
    <s v="TX"/>
    <s v="Texas"/>
    <s v="Presidio"/>
    <x v="5"/>
    <x v="1"/>
    <n v="11394"/>
  </r>
  <r>
    <s v="TX"/>
    <s v="Texas"/>
    <s v="Rains"/>
    <x v="0"/>
    <x v="1"/>
    <n v="11394"/>
  </r>
  <r>
    <s v="TX"/>
    <s v="Texas"/>
    <s v="Randall"/>
    <x v="4"/>
    <x v="1"/>
    <n v="11394"/>
  </r>
  <r>
    <s v="TX"/>
    <s v="Texas"/>
    <s v="Reagan"/>
    <x v="5"/>
    <x v="1"/>
    <n v="11394"/>
  </r>
  <r>
    <s v="TX"/>
    <s v="Texas"/>
    <s v="Real"/>
    <x v="0"/>
    <x v="1"/>
    <n v="11394"/>
  </r>
  <r>
    <s v="TX"/>
    <s v="Texas"/>
    <s v="Red River"/>
    <x v="0"/>
    <x v="1"/>
    <n v="11394"/>
  </r>
  <r>
    <s v="TX"/>
    <s v="Texas"/>
    <s v="Reeves"/>
    <x v="5"/>
    <x v="1"/>
    <n v="11394"/>
  </r>
  <r>
    <s v="TX"/>
    <s v="Texas"/>
    <s v="Refugio"/>
    <x v="0"/>
    <x v="1"/>
    <n v="11394"/>
  </r>
  <r>
    <s v="TX"/>
    <s v="Texas"/>
    <s v="Roberts"/>
    <x v="4"/>
    <x v="1"/>
    <n v="11394"/>
  </r>
  <r>
    <s v="TX"/>
    <s v="Texas"/>
    <s v="Robertson"/>
    <x v="0"/>
    <x v="1"/>
    <n v="11394"/>
  </r>
  <r>
    <s v="TX"/>
    <s v="Texas"/>
    <s v="Rockwall"/>
    <x v="0"/>
    <x v="1"/>
    <n v="11394"/>
  </r>
  <r>
    <s v="TX"/>
    <s v="Texas"/>
    <s v="Runnels"/>
    <x v="5"/>
    <x v="1"/>
    <n v="11394"/>
  </r>
  <r>
    <s v="TX"/>
    <s v="Texas"/>
    <s v="Rusk"/>
    <x v="0"/>
    <x v="1"/>
    <n v="11394"/>
  </r>
  <r>
    <s v="TX"/>
    <s v="Texas"/>
    <s v="Sabine"/>
    <x v="0"/>
    <x v="1"/>
    <n v="11394"/>
  </r>
  <r>
    <s v="TX"/>
    <s v="Texas"/>
    <s v="San Augustine"/>
    <x v="0"/>
    <x v="1"/>
    <n v="11394"/>
  </r>
  <r>
    <s v="TX"/>
    <s v="Texas"/>
    <s v="San Jacinto"/>
    <x v="0"/>
    <x v="1"/>
    <n v="11394"/>
  </r>
  <r>
    <s v="TX"/>
    <s v="Texas"/>
    <s v="San Patricio"/>
    <x v="0"/>
    <x v="1"/>
    <n v="11394"/>
  </r>
  <r>
    <s v="TX"/>
    <s v="Texas"/>
    <s v="San Saba"/>
    <x v="0"/>
    <x v="1"/>
    <n v="11394"/>
  </r>
  <r>
    <s v="TX"/>
    <s v="Texas"/>
    <s v="Schleicher"/>
    <x v="5"/>
    <x v="1"/>
    <n v="11394"/>
  </r>
  <r>
    <s v="UT"/>
    <s v="Utah"/>
    <s v="San Juan"/>
    <x v="3"/>
    <x v="3"/>
    <n v="4981"/>
  </r>
  <r>
    <s v="UT"/>
    <s v="Utah"/>
    <s v="Sanpete"/>
    <x v="3"/>
    <x v="3"/>
    <n v="4981"/>
  </r>
  <r>
    <s v="UT"/>
    <s v="Utah"/>
    <s v="Sevier"/>
    <x v="3"/>
    <x v="3"/>
    <n v="4981"/>
  </r>
  <r>
    <s v="UT"/>
    <s v="Utah"/>
    <s v="Summit"/>
    <x v="3"/>
    <x v="3"/>
    <n v="4981"/>
  </r>
  <r>
    <s v="UT"/>
    <s v="Utah"/>
    <s v="Tooele"/>
    <x v="3"/>
    <x v="3"/>
    <n v="4981"/>
  </r>
  <r>
    <s v="UT"/>
    <s v="Utah"/>
    <s v="Uintah"/>
    <x v="3"/>
    <x v="3"/>
    <n v="4981"/>
  </r>
  <r>
    <s v="UT"/>
    <s v="Utah"/>
    <s v="Utah"/>
    <x v="3"/>
    <x v="3"/>
    <n v="4981"/>
  </r>
  <r>
    <s v="UT"/>
    <s v="Utah"/>
    <s v="Wasatch"/>
    <x v="3"/>
    <x v="3"/>
    <n v="4981"/>
  </r>
  <r>
    <s v="UT"/>
    <s v="Utah"/>
    <s v="Washington"/>
    <x v="5"/>
    <x v="3"/>
    <n v="4981"/>
  </r>
  <r>
    <s v="UT"/>
    <s v="Utah"/>
    <s v="Wayne"/>
    <x v="3"/>
    <x v="3"/>
    <n v="4981"/>
  </r>
  <r>
    <s v="UT"/>
    <s v="Utah"/>
    <s v="Weber"/>
    <x v="3"/>
    <x v="3"/>
    <n v="4981"/>
  </r>
  <r>
    <s v="VT"/>
    <s v="Vermont"/>
    <s v="Addison"/>
    <x v="3"/>
    <x v="4"/>
    <n v="4302"/>
  </r>
  <r>
    <s v="VT"/>
    <s v="Vermont"/>
    <s v="Bennington"/>
    <x v="3"/>
    <x v="4"/>
    <n v="4302"/>
  </r>
  <r>
    <s v="VT"/>
    <s v="Vermont"/>
    <s v="Caledonia"/>
    <x v="3"/>
    <x v="4"/>
    <n v="4302"/>
  </r>
  <r>
    <s v="VT"/>
    <s v="Vermont"/>
    <s v="Chittenden"/>
    <x v="3"/>
    <x v="4"/>
    <n v="4302"/>
  </r>
  <r>
    <s v="VT"/>
    <s v="Vermont"/>
    <s v="Essex"/>
    <x v="3"/>
    <x v="4"/>
    <n v="4302"/>
  </r>
  <r>
    <s v="VT"/>
    <s v="Vermont"/>
    <s v="Franklin"/>
    <x v="3"/>
    <x v="4"/>
    <n v="4302"/>
  </r>
  <r>
    <s v="VT"/>
    <s v="Vermont"/>
    <s v="Grand Isle"/>
    <x v="3"/>
    <x v="4"/>
    <n v="4302"/>
  </r>
  <r>
    <s v="VT"/>
    <s v="Vermont"/>
    <s v="Lamoille"/>
    <x v="3"/>
    <x v="4"/>
    <n v="4302"/>
  </r>
  <r>
    <s v="VT"/>
    <s v="Vermont"/>
    <s v="Orange"/>
    <x v="3"/>
    <x v="4"/>
    <n v="4302"/>
  </r>
  <r>
    <s v="VT"/>
    <s v="Vermont"/>
    <s v="Orleans"/>
    <x v="3"/>
    <x v="4"/>
    <n v="4302"/>
  </r>
  <r>
    <s v="VT"/>
    <s v="Vermont"/>
    <s v="Rutland"/>
    <x v="3"/>
    <x v="4"/>
    <n v="4302"/>
  </r>
  <r>
    <s v="VT"/>
    <s v="Vermont"/>
    <s v="Washington"/>
    <x v="3"/>
    <x v="4"/>
    <n v="4302"/>
  </r>
  <r>
    <s v="VT"/>
    <s v="Vermont"/>
    <s v="Windham"/>
    <x v="3"/>
    <x v="4"/>
    <n v="4302"/>
  </r>
  <r>
    <s v="VT"/>
    <s v="Vermont"/>
    <s v="Windsor"/>
    <x v="3"/>
    <x v="4"/>
    <n v="4302"/>
  </r>
  <r>
    <s v="VA"/>
    <s v="Virginia"/>
    <s v="Accomack"/>
    <x v="1"/>
    <x v="5"/>
    <n v="17981"/>
  </r>
  <r>
    <s v="VA"/>
    <s v="Virginia"/>
    <s v="Albemarle"/>
    <x v="1"/>
    <x v="5"/>
    <n v="17981"/>
  </r>
  <r>
    <s v="VA"/>
    <s v="Virginia"/>
    <s v="Alexandria (city)"/>
    <x v="1"/>
    <x v="5"/>
    <n v="17981"/>
  </r>
  <r>
    <s v="VA"/>
    <s v="Virginia"/>
    <s v="Alleghany"/>
    <x v="1"/>
    <x v="5"/>
    <n v="17981"/>
  </r>
  <r>
    <s v="VA"/>
    <s v="Virginia"/>
    <s v="Amelia"/>
    <x v="1"/>
    <x v="5"/>
    <n v="17981"/>
  </r>
  <r>
    <s v="VA"/>
    <s v="Virginia"/>
    <s v="Amherst"/>
    <x v="1"/>
    <x v="5"/>
    <n v="17981"/>
  </r>
  <r>
    <s v="VA"/>
    <s v="Virginia"/>
    <s v="Appomattox"/>
    <x v="1"/>
    <x v="5"/>
    <n v="17981"/>
  </r>
  <r>
    <s v="VA"/>
    <s v="Virginia"/>
    <s v="Arlington"/>
    <x v="1"/>
    <x v="5"/>
    <n v="17981"/>
  </r>
  <r>
    <s v="VA"/>
    <s v="Virginia"/>
    <s v="Augusta"/>
    <x v="1"/>
    <x v="5"/>
    <n v="17981"/>
  </r>
  <r>
    <s v="VA"/>
    <s v="Virginia"/>
    <s v="Bath"/>
    <x v="1"/>
    <x v="5"/>
    <n v="17981"/>
  </r>
  <r>
    <s v="VA"/>
    <s v="Virginia"/>
    <s v="Bedford"/>
    <x v="1"/>
    <x v="5"/>
    <n v="17981"/>
  </r>
  <r>
    <s v="VA"/>
    <s v="Virginia"/>
    <s v="Bedford (city)"/>
    <x v="1"/>
    <x v="5"/>
    <n v="17981"/>
  </r>
  <r>
    <s v="VA"/>
    <s v="Virginia"/>
    <s v="Bland"/>
    <x v="1"/>
    <x v="5"/>
    <n v="17981"/>
  </r>
  <r>
    <s v="VA"/>
    <s v="Virginia"/>
    <s v="Botetourt"/>
    <x v="1"/>
    <x v="5"/>
    <n v="17981"/>
  </r>
  <r>
    <s v="VA"/>
    <s v="Virginia"/>
    <s v="Bristol (city)"/>
    <x v="1"/>
    <x v="5"/>
    <n v="17981"/>
  </r>
  <r>
    <s v="VA"/>
    <s v="Virginia"/>
    <s v="Brunswick"/>
    <x v="1"/>
    <x v="5"/>
    <n v="17981"/>
  </r>
  <r>
    <s v="VA"/>
    <s v="Virginia"/>
    <s v="Buchanan"/>
    <x v="1"/>
    <x v="5"/>
    <n v="17981"/>
  </r>
  <r>
    <s v="VA"/>
    <s v="Virginia"/>
    <s v="Buckingham"/>
    <x v="1"/>
    <x v="5"/>
    <n v="17981"/>
  </r>
  <r>
    <s v="VA"/>
    <s v="Virginia"/>
    <s v="Buena Vista (city)"/>
    <x v="1"/>
    <x v="5"/>
    <n v="17981"/>
  </r>
  <r>
    <s v="VA"/>
    <s v="Virginia"/>
    <s v="Campbell"/>
    <x v="1"/>
    <x v="5"/>
    <n v="17981"/>
  </r>
  <r>
    <s v="VA"/>
    <s v="Virginia"/>
    <s v="Caroline"/>
    <x v="1"/>
    <x v="5"/>
    <n v="17981"/>
  </r>
  <r>
    <s v="VA"/>
    <s v="Virginia"/>
    <s v="Carroll"/>
    <x v="1"/>
    <x v="5"/>
    <n v="17981"/>
  </r>
  <r>
    <s v="VA"/>
    <s v="Virginia"/>
    <s v="Charles City"/>
    <x v="1"/>
    <x v="5"/>
    <n v="17981"/>
  </r>
  <r>
    <s v="VA"/>
    <s v="Virginia"/>
    <s v="Charlotte"/>
    <x v="1"/>
    <x v="5"/>
    <n v="17981"/>
  </r>
  <r>
    <s v="VA"/>
    <s v="Virginia"/>
    <s v="Charlottesville (city)"/>
    <x v="1"/>
    <x v="5"/>
    <n v="17981"/>
  </r>
  <r>
    <s v="VA"/>
    <s v="Virginia"/>
    <s v="Chesapeake (city)"/>
    <x v="1"/>
    <x v="5"/>
    <n v="17981"/>
  </r>
  <r>
    <s v="VA"/>
    <s v="Virginia"/>
    <s v="Chesterfield"/>
    <x v="1"/>
    <x v="5"/>
    <n v="17981"/>
  </r>
  <r>
    <s v="VA"/>
    <s v="Virginia"/>
    <s v="Clarke"/>
    <x v="1"/>
    <x v="5"/>
    <n v="17981"/>
  </r>
  <r>
    <s v="VA"/>
    <s v="Virginia"/>
    <s v="Clifton Forge (city)"/>
    <x v="1"/>
    <x v="5"/>
    <n v="17981"/>
  </r>
  <r>
    <s v="VA"/>
    <s v="Virginia"/>
    <s v="Colonial Heights (city)"/>
    <x v="1"/>
    <x v="5"/>
    <n v="17981"/>
  </r>
  <r>
    <s v="VA"/>
    <s v="Virginia"/>
    <s v="Covington (city)"/>
    <x v="1"/>
    <x v="5"/>
    <n v="17981"/>
  </r>
  <r>
    <s v="VA"/>
    <s v="Virginia"/>
    <s v="Craig"/>
    <x v="1"/>
    <x v="5"/>
    <n v="17981"/>
  </r>
  <r>
    <s v="VA"/>
    <s v="Virginia"/>
    <s v="Culpeper"/>
    <x v="1"/>
    <x v="5"/>
    <n v="17981"/>
  </r>
  <r>
    <s v="VA"/>
    <s v="Virginia"/>
    <s v="Cumberland"/>
    <x v="1"/>
    <x v="5"/>
    <n v="17981"/>
  </r>
  <r>
    <s v="VA"/>
    <s v="Virginia"/>
    <s v="Danville (city)"/>
    <x v="1"/>
    <x v="5"/>
    <n v="17981"/>
  </r>
  <r>
    <s v="VA"/>
    <s v="Virginia"/>
    <s v="Dickenson"/>
    <x v="1"/>
    <x v="5"/>
    <n v="17981"/>
  </r>
  <r>
    <s v="VA"/>
    <s v="Virginia"/>
    <s v="Dinwiddie"/>
    <x v="1"/>
    <x v="5"/>
    <n v="17981"/>
  </r>
  <r>
    <s v="VA"/>
    <s v="Virginia"/>
    <s v="Emporia (city)"/>
    <x v="1"/>
    <x v="5"/>
    <n v="17981"/>
  </r>
  <r>
    <s v="VA"/>
    <s v="Virginia"/>
    <s v="Essex"/>
    <x v="1"/>
    <x v="5"/>
    <n v="17981"/>
  </r>
  <r>
    <s v="VA"/>
    <s v="Virginia"/>
    <s v="Fairfax"/>
    <x v="1"/>
    <x v="5"/>
    <n v="17981"/>
  </r>
  <r>
    <s v="VA"/>
    <s v="Virginia"/>
    <s v="Rappahannock"/>
    <x v="1"/>
    <x v="5"/>
    <n v="17981"/>
  </r>
  <r>
    <s v="VA"/>
    <s v="Virginia"/>
    <s v="Richmond"/>
    <x v="1"/>
    <x v="5"/>
    <n v="17981"/>
  </r>
  <r>
    <s v="VA"/>
    <s v="Virginia"/>
    <s v="Richmond (city)"/>
    <x v="1"/>
    <x v="5"/>
    <n v="17981"/>
  </r>
  <r>
    <s v="VA"/>
    <s v="Virginia"/>
    <s v="Roanoke"/>
    <x v="1"/>
    <x v="5"/>
    <n v="17981"/>
  </r>
  <r>
    <s v="VA"/>
    <s v="Virginia"/>
    <s v="Roanoke (city)"/>
    <x v="1"/>
    <x v="5"/>
    <n v="17981"/>
  </r>
  <r>
    <s v="VA"/>
    <s v="Virginia"/>
    <s v="Rockbridge"/>
    <x v="1"/>
    <x v="5"/>
    <n v="17981"/>
  </r>
  <r>
    <s v="VA"/>
    <s v="Virginia"/>
    <s v="Rockingham"/>
    <x v="1"/>
    <x v="5"/>
    <n v="17981"/>
  </r>
  <r>
    <s v="VA"/>
    <s v="Virginia"/>
    <s v="Russell"/>
    <x v="1"/>
    <x v="5"/>
    <n v="17981"/>
  </r>
  <r>
    <s v="VA"/>
    <s v="Virginia"/>
    <s v="Salem (city)"/>
    <x v="1"/>
    <x v="5"/>
    <n v="17981"/>
  </r>
  <r>
    <s v="VA"/>
    <s v="Virginia"/>
    <s v="Scott"/>
    <x v="1"/>
    <x v="5"/>
    <n v="17981"/>
  </r>
  <r>
    <s v="VA"/>
    <s v="Virginia"/>
    <s v="Shenandoah"/>
    <x v="1"/>
    <x v="5"/>
    <n v="17981"/>
  </r>
  <r>
    <s v="VA"/>
    <s v="Virginia"/>
    <s v="Smyth"/>
    <x v="1"/>
    <x v="5"/>
    <n v="17981"/>
  </r>
  <r>
    <s v="VA"/>
    <s v="Virginia"/>
    <s v="Southampton"/>
    <x v="1"/>
    <x v="5"/>
    <n v="17981"/>
  </r>
  <r>
    <s v="VA"/>
    <s v="Virginia"/>
    <s v="Spotsylvania"/>
    <x v="1"/>
    <x v="5"/>
    <n v="17981"/>
  </r>
  <r>
    <s v="VA"/>
    <s v="Virginia"/>
    <s v="Stafford"/>
    <x v="1"/>
    <x v="5"/>
    <n v="17981"/>
  </r>
  <r>
    <s v="VA"/>
    <s v="Virginia"/>
    <s v="Staunton (city)"/>
    <x v="1"/>
    <x v="5"/>
    <n v="17981"/>
  </r>
  <r>
    <s v="VA"/>
    <s v="Virginia"/>
    <s v="Suffolk (city)"/>
    <x v="1"/>
    <x v="5"/>
    <n v="17981"/>
  </r>
  <r>
    <s v="VA"/>
    <s v="Virginia"/>
    <s v="Surry"/>
    <x v="1"/>
    <x v="5"/>
    <n v="17981"/>
  </r>
  <r>
    <s v="VA"/>
    <s v="Virginia"/>
    <s v="Sussex"/>
    <x v="1"/>
    <x v="5"/>
    <n v="17981"/>
  </r>
  <r>
    <s v="VA"/>
    <s v="Virginia"/>
    <s v="Tazewell"/>
    <x v="1"/>
    <x v="5"/>
    <n v="17981"/>
  </r>
  <r>
    <s v="VA"/>
    <s v="Virginia"/>
    <s v="Virginia Beach (city)"/>
    <x v="1"/>
    <x v="5"/>
    <n v="17981"/>
  </r>
  <r>
    <s v="VA"/>
    <s v="Virginia"/>
    <s v="Warren"/>
    <x v="1"/>
    <x v="5"/>
    <n v="17981"/>
  </r>
  <r>
    <s v="VA"/>
    <s v="Virginia"/>
    <s v="Washington"/>
    <x v="1"/>
    <x v="5"/>
    <n v="17981"/>
  </r>
  <r>
    <s v="VA"/>
    <s v="Virginia"/>
    <s v="Waynesboro (city)"/>
    <x v="1"/>
    <x v="5"/>
    <n v="17981"/>
  </r>
  <r>
    <s v="VA"/>
    <s v="Virginia"/>
    <s v="Westmoreland"/>
    <x v="1"/>
    <x v="5"/>
    <n v="17981"/>
  </r>
  <r>
    <s v="VA"/>
    <s v="Virginia"/>
    <s v="Williamsburg (city)"/>
    <x v="1"/>
    <x v="5"/>
    <n v="17981"/>
  </r>
  <r>
    <s v="VA"/>
    <s v="Virginia"/>
    <s v="Winchester (city)"/>
    <x v="1"/>
    <x v="5"/>
    <n v="17981"/>
  </r>
  <r>
    <s v="VA"/>
    <s v="Virginia"/>
    <s v="Wise"/>
    <x v="1"/>
    <x v="5"/>
    <n v="17981"/>
  </r>
  <r>
    <s v="VA"/>
    <s v="Virginia"/>
    <s v="Wythe"/>
    <x v="1"/>
    <x v="5"/>
    <n v="17981"/>
  </r>
  <r>
    <s v="VA"/>
    <s v="Virginia"/>
    <s v="York"/>
    <x v="1"/>
    <x v="5"/>
    <n v="17981"/>
  </r>
  <r>
    <s v="WA"/>
    <s v="Washington"/>
    <s v="Adams"/>
    <x v="3"/>
    <x v="2"/>
    <n v="13379"/>
  </r>
  <r>
    <s v="WA"/>
    <s v="Washington"/>
    <s v="Asotin"/>
    <x v="3"/>
    <x v="2"/>
    <n v="13379"/>
  </r>
  <r>
    <s v="WA"/>
    <s v="Washington"/>
    <s v="Benton"/>
    <x v="3"/>
    <x v="2"/>
    <n v="13379"/>
  </r>
  <r>
    <s v="WA"/>
    <s v="Washington"/>
    <s v="Chelan"/>
    <x v="3"/>
    <x v="2"/>
    <n v="13379"/>
  </r>
  <r>
    <s v="WA"/>
    <s v="Washington"/>
    <s v="Clallam"/>
    <x v="2"/>
    <x v="2"/>
    <n v="13379"/>
  </r>
  <r>
    <s v="WA"/>
    <s v="Washington"/>
    <s v="Clark"/>
    <x v="2"/>
    <x v="2"/>
    <n v="13379"/>
  </r>
  <r>
    <s v="WA"/>
    <s v="Washington"/>
    <s v="Columbia"/>
    <x v="3"/>
    <x v="2"/>
    <n v="13379"/>
  </r>
  <r>
    <s v="WA"/>
    <s v="Washington"/>
    <s v="Cowlitz"/>
    <x v="2"/>
    <x v="2"/>
    <n v="13379"/>
  </r>
  <r>
    <s v="WA"/>
    <s v="Washington"/>
    <s v="Douglas"/>
    <x v="3"/>
    <x v="2"/>
    <n v="13379"/>
  </r>
  <r>
    <s v="WA"/>
    <s v="Washington"/>
    <s v="Ferry"/>
    <x v="3"/>
    <x v="2"/>
    <n v="13379"/>
  </r>
  <r>
    <s v="WA"/>
    <s v="Washington"/>
    <s v="Franklin"/>
    <x v="3"/>
    <x v="2"/>
    <n v="13379"/>
  </r>
  <r>
    <s v="WA"/>
    <s v="Washington"/>
    <s v="Garfield"/>
    <x v="3"/>
    <x v="2"/>
    <n v="13379"/>
  </r>
  <r>
    <s v="WA"/>
    <s v="Washington"/>
    <s v="Grant"/>
    <x v="3"/>
    <x v="2"/>
    <n v="13379"/>
  </r>
  <r>
    <s v="WA"/>
    <s v="Washington"/>
    <s v="Grays Harbor"/>
    <x v="2"/>
    <x v="2"/>
    <n v="13379"/>
  </r>
  <r>
    <s v="WA"/>
    <s v="Washington"/>
    <s v="Island"/>
    <x v="3"/>
    <x v="2"/>
    <n v="13379"/>
  </r>
  <r>
    <s v="WA"/>
    <s v="Washington"/>
    <s v="Jefferson"/>
    <x v="2"/>
    <x v="2"/>
    <n v="13379"/>
  </r>
  <r>
    <s v="WA"/>
    <s v="Washington"/>
    <s v="King"/>
    <x v="2"/>
    <x v="2"/>
    <n v="13379"/>
  </r>
  <r>
    <s v="WA"/>
    <s v="Washington"/>
    <s v="Kitsap"/>
    <x v="2"/>
    <x v="2"/>
    <n v="13379"/>
  </r>
  <r>
    <s v="WA"/>
    <s v="Washington"/>
    <s v="Kittitas"/>
    <x v="3"/>
    <x v="2"/>
    <n v="13379"/>
  </r>
  <r>
    <s v="WA"/>
    <s v="Washington"/>
    <s v="Klickitat"/>
    <x v="3"/>
    <x v="2"/>
    <n v="13379"/>
  </r>
  <r>
    <s v="WA"/>
    <s v="Washington"/>
    <s v="Lewis"/>
    <x v="2"/>
    <x v="2"/>
    <n v="13379"/>
  </r>
  <r>
    <s v="WA"/>
    <s v="Washington"/>
    <s v="Lincoln"/>
    <x v="3"/>
    <x v="2"/>
    <n v="13379"/>
  </r>
  <r>
    <s v="WA"/>
    <s v="Washington"/>
    <s v="Mason"/>
    <x v="2"/>
    <x v="2"/>
    <n v="13379"/>
  </r>
  <r>
    <s v="WA"/>
    <s v="Washington"/>
    <s v="Okanogan"/>
    <x v="3"/>
    <x v="2"/>
    <n v="13379"/>
  </r>
  <r>
    <s v="WA"/>
    <s v="Washington"/>
    <s v="Pacific"/>
    <x v="2"/>
    <x v="2"/>
    <n v="13379"/>
  </r>
  <r>
    <s v="WA"/>
    <s v="Washington"/>
    <s v="Pend Oreille"/>
    <x v="3"/>
    <x v="2"/>
    <n v="13379"/>
  </r>
  <r>
    <s v="WA"/>
    <s v="Washington"/>
    <s v="Pierce"/>
    <x v="2"/>
    <x v="2"/>
    <n v="13379"/>
  </r>
  <r>
    <s v="WA"/>
    <s v="Washington"/>
    <s v="San Juan"/>
    <x v="3"/>
    <x v="2"/>
    <n v="13379"/>
  </r>
  <r>
    <s v="WA"/>
    <s v="Washington"/>
    <s v="Skagit"/>
    <x v="2"/>
    <x v="2"/>
    <n v="13379"/>
  </r>
  <r>
    <s v="WA"/>
    <s v="Washington"/>
    <s v="Skamania"/>
    <x v="3"/>
    <x v="2"/>
    <n v="13379"/>
  </r>
  <r>
    <s v="WA"/>
    <s v="Washington"/>
    <s v="Snohomish"/>
    <x v="2"/>
    <x v="2"/>
    <n v="13379"/>
  </r>
  <r>
    <s v="WA"/>
    <s v="Washington"/>
    <s v="Spokane"/>
    <x v="3"/>
    <x v="2"/>
    <n v="13379"/>
  </r>
  <r>
    <s v="WA"/>
    <s v="Washington"/>
    <s v="Stevens"/>
    <x v="3"/>
    <x v="2"/>
    <n v="13379"/>
  </r>
  <r>
    <s v="WA"/>
    <s v="Washington"/>
    <s v="Thurston"/>
    <x v="2"/>
    <x v="2"/>
    <n v="13379"/>
  </r>
  <r>
    <s v="WA"/>
    <s v="Washington"/>
    <s v="Wahkiakum"/>
    <x v="2"/>
    <x v="2"/>
    <n v="13379"/>
  </r>
  <r>
    <s v="WI"/>
    <s v="Wisconsin"/>
    <s v="Burnett"/>
    <x v="6"/>
    <x v="6"/>
    <n v="12742"/>
  </r>
  <r>
    <s v="WI"/>
    <s v="Wisconsin"/>
    <s v="Calumet"/>
    <x v="3"/>
    <x v="6"/>
    <n v="12742"/>
  </r>
  <r>
    <s v="WI"/>
    <s v="Wisconsin"/>
    <s v="Chippewa"/>
    <x v="3"/>
    <x v="6"/>
    <n v="12742"/>
  </r>
  <r>
    <s v="WI"/>
    <s v="Wisconsin"/>
    <s v="Clark"/>
    <x v="3"/>
    <x v="6"/>
    <n v="12742"/>
  </r>
  <r>
    <s v="WI"/>
    <s v="Wisconsin"/>
    <s v="Columbia"/>
    <x v="3"/>
    <x v="6"/>
    <n v="12742"/>
  </r>
  <r>
    <s v="WI"/>
    <s v="Wisconsin"/>
    <s v="Crawford"/>
    <x v="3"/>
    <x v="6"/>
    <n v="12742"/>
  </r>
  <r>
    <s v="WI"/>
    <s v="Wisconsin"/>
    <s v="Dane"/>
    <x v="3"/>
    <x v="6"/>
    <n v="12742"/>
  </r>
  <r>
    <s v="WI"/>
    <s v="Wisconsin"/>
    <s v="Dodge"/>
    <x v="3"/>
    <x v="6"/>
    <n v="12742"/>
  </r>
  <r>
    <s v="WI"/>
    <s v="Wisconsin"/>
    <s v="Door"/>
    <x v="3"/>
    <x v="6"/>
    <n v="12742"/>
  </r>
  <r>
    <s v="WI"/>
    <s v="Wisconsin"/>
    <s v="Douglas"/>
    <x v="6"/>
    <x v="6"/>
    <n v="12742"/>
  </r>
  <r>
    <s v="WI"/>
    <s v="Wisconsin"/>
    <s v="Dunn"/>
    <x v="3"/>
    <x v="6"/>
    <n v="12742"/>
  </r>
  <r>
    <s v="WI"/>
    <s v="Wisconsin"/>
    <s v="Eau Claire"/>
    <x v="3"/>
    <x v="6"/>
    <n v="12742"/>
  </r>
  <r>
    <s v="WI"/>
    <s v="Wisconsin"/>
    <s v="Florence"/>
    <x v="6"/>
    <x v="6"/>
    <n v="12742"/>
  </r>
  <r>
    <s v="WI"/>
    <s v="Wisconsin"/>
    <s v="Fond du Lac"/>
    <x v="3"/>
    <x v="6"/>
    <n v="12742"/>
  </r>
  <r>
    <s v="WI"/>
    <s v="Wisconsin"/>
    <s v="Forest"/>
    <x v="6"/>
    <x v="6"/>
    <n v="12742"/>
  </r>
  <r>
    <s v="WI"/>
    <s v="Wisconsin"/>
    <s v="Grant"/>
    <x v="3"/>
    <x v="6"/>
    <n v="12742"/>
  </r>
  <r>
    <s v="WI"/>
    <s v="Wisconsin"/>
    <s v="Green"/>
    <x v="3"/>
    <x v="6"/>
    <n v="12742"/>
  </r>
  <r>
    <s v="WI"/>
    <s v="Wisconsin"/>
    <s v="Green Lake"/>
    <x v="3"/>
    <x v="6"/>
    <n v="12742"/>
  </r>
  <r>
    <s v="WI"/>
    <s v="Wisconsin"/>
    <s v="Iowa"/>
    <x v="3"/>
    <x v="6"/>
    <n v="12742"/>
  </r>
  <r>
    <s v="WI"/>
    <s v="Wisconsin"/>
    <s v="Iron"/>
    <x v="6"/>
    <x v="6"/>
    <n v="12742"/>
  </r>
  <r>
    <s v="WI"/>
    <s v="Wisconsin"/>
    <s v="Jackson"/>
    <x v="3"/>
    <x v="6"/>
    <n v="12742"/>
  </r>
  <r>
    <s v="WI"/>
    <s v="Wisconsin"/>
    <s v="Jefferson"/>
    <x v="3"/>
    <x v="6"/>
    <n v="12742"/>
  </r>
  <r>
    <s v="WI"/>
    <s v="Wisconsin"/>
    <s v="Juneau"/>
    <x v="3"/>
    <x v="6"/>
    <n v="12742"/>
  </r>
  <r>
    <s v="WI"/>
    <s v="Wisconsin"/>
    <s v="Kenosha"/>
    <x v="3"/>
    <x v="6"/>
    <n v="12742"/>
  </r>
  <r>
    <s v="WI"/>
    <s v="Wisconsin"/>
    <s v="Kewaunee"/>
    <x v="3"/>
    <x v="6"/>
    <n v="12742"/>
  </r>
  <r>
    <s v="WI"/>
    <s v="Wisconsin"/>
    <s v="La Crosse"/>
    <x v="3"/>
    <x v="6"/>
    <n v="12742"/>
  </r>
  <r>
    <s v="WI"/>
    <s v="Wisconsin"/>
    <s v="Lafayette"/>
    <x v="3"/>
    <x v="6"/>
    <n v="12742"/>
  </r>
  <r>
    <s v="WI"/>
    <s v="Wisconsin"/>
    <s v="Langlade"/>
    <x v="6"/>
    <x v="6"/>
    <n v="12742"/>
  </r>
  <r>
    <s v="WI"/>
    <s v="Wisconsin"/>
    <s v="Lincoln"/>
    <x v="6"/>
    <x v="6"/>
    <n v="12742"/>
  </r>
  <r>
    <s v="WI"/>
    <s v="Wisconsin"/>
    <s v="Manitowoc"/>
    <x v="3"/>
    <x v="6"/>
    <n v="12742"/>
  </r>
  <r>
    <s v="WI"/>
    <s v="Wisconsin"/>
    <s v="Marathon"/>
    <x v="3"/>
    <x v="6"/>
    <n v="12742"/>
  </r>
  <r>
    <s v="WI"/>
    <s v="Wisconsin"/>
    <s v="Marinette"/>
    <x v="3"/>
    <x v="6"/>
    <n v="12742"/>
  </r>
  <r>
    <s v="WI"/>
    <s v="Wisconsin"/>
    <s v="Marquette"/>
    <x v="3"/>
    <x v="6"/>
    <n v="12742"/>
  </r>
  <r>
    <s v="WI"/>
    <s v="Wisconsin"/>
    <s v="Menominee"/>
    <x v="3"/>
    <x v="6"/>
    <n v="12742"/>
  </r>
  <r>
    <s v="WI"/>
    <s v="Wisconsin"/>
    <s v="Milwaukee"/>
    <x v="3"/>
    <x v="6"/>
    <n v="12742"/>
  </r>
  <r>
    <s v="WI"/>
    <s v="Wisconsin"/>
    <s v="Monroe"/>
    <x v="3"/>
    <x v="6"/>
    <n v="12742"/>
  </r>
  <r>
    <s v="WI"/>
    <s v="Wisconsin"/>
    <s v="Oconto"/>
    <x v="3"/>
    <x v="6"/>
    <n v="12742"/>
  </r>
  <r>
    <s v="WI"/>
    <s v="Wisconsin"/>
    <s v="Oneida"/>
    <x v="6"/>
    <x v="6"/>
    <n v="12742"/>
  </r>
  <r>
    <s v="WI"/>
    <s v="Wisconsin"/>
    <s v="Outagamie"/>
    <x v="3"/>
    <x v="6"/>
    <n v="12742"/>
  </r>
  <r>
    <s v="WI"/>
    <s v="Wisconsin"/>
    <s v="Ozaukee"/>
    <x v="3"/>
    <x v="6"/>
    <n v="12742"/>
  </r>
  <r>
    <s v="WI"/>
    <s v="Wisconsin"/>
    <s v="Pepin"/>
    <x v="3"/>
    <x v="6"/>
    <n v="12742"/>
  </r>
  <r>
    <s v="WI"/>
    <s v="Wisconsin"/>
    <s v="Pierce"/>
    <x v="3"/>
    <x v="6"/>
    <n v="12742"/>
  </r>
  <r>
    <s v="WI"/>
    <s v="Wisconsin"/>
    <s v="Polk"/>
    <x v="3"/>
    <x v="6"/>
    <n v="12742"/>
  </r>
  <r>
    <s v="WI"/>
    <s v="Wisconsin"/>
    <s v="Portage"/>
    <x v="3"/>
    <x v="6"/>
    <n v="12742"/>
  </r>
  <r>
    <s v="WI"/>
    <s v="Wisconsin"/>
    <s v="Price"/>
    <x v="6"/>
    <x v="6"/>
    <n v="12742"/>
  </r>
  <r>
    <s v="WI"/>
    <s v="Wisconsin"/>
    <s v="Racine"/>
    <x v="3"/>
    <x v="6"/>
    <n v="12742"/>
  </r>
  <r>
    <s v="WI"/>
    <s v="Wisconsin"/>
    <s v="Richland"/>
    <x v="3"/>
    <x v="6"/>
    <n v="12742"/>
  </r>
  <r>
    <s v="WI"/>
    <s v="Wisconsin"/>
    <s v="Rock"/>
    <x v="3"/>
    <x v="6"/>
    <n v="12742"/>
  </r>
  <r>
    <s v="WI"/>
    <s v="Wisconsin"/>
    <s v="Rusk"/>
    <x v="3"/>
    <x v="6"/>
    <n v="12742"/>
  </r>
  <r>
    <s v="WI"/>
    <s v="Wisconsin"/>
    <s v="Sauk"/>
    <x v="3"/>
    <x v="6"/>
    <n v="12742"/>
  </r>
  <r>
    <s v="WI"/>
    <s v="Wisconsin"/>
    <s v="Sawyer"/>
    <x v="6"/>
    <x v="6"/>
    <n v="12742"/>
  </r>
  <r>
    <s v="WI"/>
    <s v="Wisconsin"/>
    <s v="Shawano"/>
    <x v="3"/>
    <x v="6"/>
    <n v="12742"/>
  </r>
  <r>
    <s v="WI"/>
    <s v="Wisconsin"/>
    <s v="Sheboygan"/>
    <x v="3"/>
    <x v="6"/>
    <n v="12742"/>
  </r>
  <r>
    <s v="WI"/>
    <s v="Wisconsin"/>
    <s v="St. Croix"/>
    <x v="3"/>
    <x v="6"/>
    <n v="12742"/>
  </r>
  <r>
    <s v="WI"/>
    <s v="Wisconsin"/>
    <s v="Taylor"/>
    <x v="6"/>
    <x v="6"/>
    <n v="12742"/>
  </r>
  <r>
    <s v="WI"/>
    <s v="Wisconsin"/>
    <s v="Trempealeau"/>
    <x v="3"/>
    <x v="6"/>
    <n v="12742"/>
  </r>
  <r>
    <s v="WI"/>
    <s v="Wisconsin"/>
    <s v="Vernon"/>
    <x v="3"/>
    <x v="6"/>
    <n v="12742"/>
  </r>
  <r>
    <s v="WI"/>
    <s v="Wisconsin"/>
    <s v="Vilas"/>
    <x v="6"/>
    <x v="6"/>
    <n v="12742"/>
  </r>
  <r>
    <s v="WI"/>
    <s v="Wisconsin"/>
    <s v="Walworth"/>
    <x v="3"/>
    <x v="6"/>
    <n v="12742"/>
  </r>
  <r>
    <s v="WI"/>
    <s v="Wisconsin"/>
    <s v="Washburn"/>
    <x v="6"/>
    <x v="6"/>
    <n v="12742"/>
  </r>
  <r>
    <s v="WI"/>
    <s v="Wisconsin"/>
    <s v="Washington"/>
    <x v="3"/>
    <x v="6"/>
    <n v="12742"/>
  </r>
  <r>
    <s v="WI"/>
    <s v="Wisconsin"/>
    <s v="Waukesha"/>
    <x v="3"/>
    <x v="6"/>
    <n v="12742"/>
  </r>
  <r>
    <s v="WI"/>
    <s v="Wisconsin"/>
    <s v="Waupaca"/>
    <x v="3"/>
    <x v="6"/>
    <n v="12742"/>
  </r>
  <r>
    <s v="WI"/>
    <s v="Wisconsin"/>
    <s v="Waushara"/>
    <x v="3"/>
    <x v="6"/>
    <n v="12742"/>
  </r>
  <r>
    <s v="WI"/>
    <s v="Wisconsin"/>
    <s v="Winnebago"/>
    <x v="3"/>
    <x v="6"/>
    <n v="127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K1:S11" firstHeaderRow="1" firstDataRow="2" firstDataCol="1"/>
  <pivotFields count="6">
    <pivotField showAll="0" defaultSubtotal="0"/>
    <pivotField showAll="0" defaultSubtotal="0"/>
    <pivotField dataField="1" showAll="0" defaultSubtotal="0"/>
    <pivotField axis="axisCol" showAll="0" defaultSubtotal="0">
      <items count="9">
        <item m="1" x="8"/>
        <item x="3"/>
        <item x="5"/>
        <item x="0"/>
        <item x="2"/>
        <item x="4"/>
        <item x="1"/>
        <item x="7"/>
        <item x="6"/>
      </items>
    </pivotField>
    <pivotField axis="axisRow" showAll="0" defaultSubtotal="0">
      <items count="10">
        <item x="6"/>
        <item x="0"/>
        <item x="8"/>
        <item x="3"/>
        <item x="4"/>
        <item x="2"/>
        <item x="5"/>
        <item x="7"/>
        <item x="1"/>
        <item m="1" x="9"/>
      </items>
    </pivotField>
    <pivotField showAll="0" defaultSubtota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3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Count of County" fld="2" subtotal="count" showDataAs="percentOfRow" baseField="4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nnl.gov/main/publications/external/technical_reports/PNNL-20761.pdf" TargetMode="External"/><Relationship Id="rId2" Type="http://schemas.openxmlformats.org/officeDocument/2006/relationships/hyperlink" Target="https://be-exchange.org/wp-content/uploads/2017/11/BEEx_Retrofitting_Affordability_Update_Nov2015-1.pdf" TargetMode="External"/><Relationship Id="rId1" Type="http://schemas.openxmlformats.org/officeDocument/2006/relationships/hyperlink" Target="https://www.osti.gov/servlets/purl/1129577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1.eere.energy.gov/buildings/publications/pdfs/building_america/ba_climateguide_7_1.pdf" TargetMode="External"/><Relationship Id="rId4" Type="http://schemas.openxmlformats.org/officeDocument/2006/relationships/hyperlink" Target="https://www.eia.gov/consumption/commercial/data/2012/index.php?view=characteristic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2" max="2" width="73.140625" customWidth="1"/>
  </cols>
  <sheetData>
    <row r="1" spans="1:2" x14ac:dyDescent="0.25">
      <c r="A1" s="2" t="s">
        <v>2648</v>
      </c>
    </row>
    <row r="2" spans="1:2" x14ac:dyDescent="0.25">
      <c r="A2" s="2" t="s">
        <v>2649</v>
      </c>
    </row>
    <row r="4" spans="1:2" x14ac:dyDescent="0.25">
      <c r="A4" s="2" t="s">
        <v>8</v>
      </c>
      <c r="B4" s="6" t="s">
        <v>13</v>
      </c>
    </row>
    <row r="5" spans="1:2" x14ac:dyDescent="0.25">
      <c r="B5" t="s">
        <v>9</v>
      </c>
    </row>
    <row r="6" spans="1:2" x14ac:dyDescent="0.25">
      <c r="B6" s="3">
        <v>2014</v>
      </c>
    </row>
    <row r="7" spans="1:2" x14ac:dyDescent="0.25">
      <c r="B7" t="s">
        <v>10</v>
      </c>
    </row>
    <row r="8" spans="1:2" x14ac:dyDescent="0.25">
      <c r="B8" s="4" t="s">
        <v>11</v>
      </c>
    </row>
    <row r="9" spans="1:2" x14ac:dyDescent="0.25">
      <c r="B9" t="s">
        <v>12</v>
      </c>
    </row>
    <row r="11" spans="1:2" x14ac:dyDescent="0.25">
      <c r="B11" s="6" t="s">
        <v>16</v>
      </c>
    </row>
    <row r="12" spans="1:2" x14ac:dyDescent="0.25">
      <c r="B12" t="s">
        <v>18</v>
      </c>
    </row>
    <row r="13" spans="1:2" x14ac:dyDescent="0.25">
      <c r="B13" s="3">
        <v>2015</v>
      </c>
    </row>
    <row r="14" spans="1:2" x14ac:dyDescent="0.25">
      <c r="B14" t="s">
        <v>19</v>
      </c>
    </row>
    <row r="15" spans="1:2" x14ac:dyDescent="0.25">
      <c r="B15" s="4" t="s">
        <v>17</v>
      </c>
    </row>
    <row r="16" spans="1:2" x14ac:dyDescent="0.25">
      <c r="B16" t="s">
        <v>223</v>
      </c>
    </row>
    <row r="18" spans="2:2" x14ac:dyDescent="0.25">
      <c r="B18" s="6" t="s">
        <v>2623</v>
      </c>
    </row>
    <row r="19" spans="2:2" x14ac:dyDescent="0.25">
      <c r="B19" t="s">
        <v>2624</v>
      </c>
    </row>
    <row r="20" spans="2:2" x14ac:dyDescent="0.25">
      <c r="B20" s="3">
        <v>2011</v>
      </c>
    </row>
    <row r="21" spans="2:2" x14ac:dyDescent="0.25">
      <c r="B21" t="s">
        <v>2626</v>
      </c>
    </row>
    <row r="22" spans="2:2" x14ac:dyDescent="0.25">
      <c r="B22" s="4" t="s">
        <v>2625</v>
      </c>
    </row>
    <row r="23" spans="2:2" x14ac:dyDescent="0.25">
      <c r="B23" t="s">
        <v>2629</v>
      </c>
    </row>
    <row r="25" spans="2:2" x14ac:dyDescent="0.25">
      <c r="B25" s="6" t="s">
        <v>2630</v>
      </c>
    </row>
    <row r="26" spans="2:2" x14ac:dyDescent="0.25">
      <c r="B26" t="s">
        <v>2631</v>
      </c>
    </row>
    <row r="27" spans="2:2" x14ac:dyDescent="0.25">
      <c r="B27" s="3">
        <v>2015</v>
      </c>
    </row>
    <row r="28" spans="2:2" x14ac:dyDescent="0.25">
      <c r="B28" t="s">
        <v>2632</v>
      </c>
    </row>
    <row r="29" spans="2:2" x14ac:dyDescent="0.25">
      <c r="B29" s="4" t="s">
        <v>2633</v>
      </c>
    </row>
    <row r="30" spans="2:2" x14ac:dyDescent="0.25">
      <c r="B30" t="s">
        <v>2634</v>
      </c>
    </row>
    <row r="32" spans="2:2" x14ac:dyDescent="0.25">
      <c r="B32" s="6" t="s">
        <v>2635</v>
      </c>
    </row>
    <row r="33" spans="1:2" x14ac:dyDescent="0.25">
      <c r="B33" t="s">
        <v>2636</v>
      </c>
    </row>
    <row r="34" spans="1:2" x14ac:dyDescent="0.25">
      <c r="B34" s="3">
        <v>2010</v>
      </c>
    </row>
    <row r="35" spans="1:2" x14ac:dyDescent="0.25">
      <c r="B35" t="s">
        <v>2637</v>
      </c>
    </row>
    <row r="36" spans="1:2" x14ac:dyDescent="0.25">
      <c r="B36" s="4" t="s">
        <v>2638</v>
      </c>
    </row>
    <row r="37" spans="1:2" x14ac:dyDescent="0.25">
      <c r="B37" t="s">
        <v>2634</v>
      </c>
    </row>
    <row r="39" spans="1:2" x14ac:dyDescent="0.25">
      <c r="A39" s="2" t="s">
        <v>2833</v>
      </c>
    </row>
    <row r="40" spans="1:2" x14ac:dyDescent="0.25">
      <c r="A40" s="119" t="s">
        <v>2834</v>
      </c>
    </row>
    <row r="41" spans="1:2" x14ac:dyDescent="0.25">
      <c r="A41" s="119" t="s">
        <v>2835</v>
      </c>
    </row>
    <row r="42" spans="1:2" x14ac:dyDescent="0.25">
      <c r="A42" s="119"/>
    </row>
    <row r="43" spans="1:2" x14ac:dyDescent="0.25">
      <c r="A43" s="119" t="s">
        <v>2836</v>
      </c>
    </row>
    <row r="44" spans="1:2" x14ac:dyDescent="0.25">
      <c r="A44" s="119" t="s">
        <v>2837</v>
      </c>
    </row>
    <row r="45" spans="1:2" x14ac:dyDescent="0.25">
      <c r="A45" s="119" t="s">
        <v>2838</v>
      </c>
    </row>
    <row r="46" spans="1:2" x14ac:dyDescent="0.25">
      <c r="A46" s="119" t="s">
        <v>2839</v>
      </c>
    </row>
    <row r="47" spans="1:2" x14ac:dyDescent="0.25">
      <c r="A47" s="119" t="s">
        <v>2840</v>
      </c>
    </row>
    <row r="48" spans="1:2" x14ac:dyDescent="0.25">
      <c r="A48" s="119" t="s">
        <v>2841</v>
      </c>
    </row>
  </sheetData>
  <hyperlinks>
    <hyperlink ref="B8" r:id="rId1" xr:uid="{00000000-0004-0000-0000-000000000000}"/>
    <hyperlink ref="B15" r:id="rId2" xr:uid="{00000000-0004-0000-0000-000001000000}"/>
    <hyperlink ref="B22" r:id="rId3" xr:uid="{00000000-0004-0000-0000-000002000000}"/>
    <hyperlink ref="B29" r:id="rId4" xr:uid="{00000000-0004-0000-0000-000003000000}"/>
    <hyperlink ref="B36" r:id="rId5" xr:uid="{00000000-0004-0000-0000-000004000000}"/>
  </hyperlinks>
  <pageMargins left="0.7" right="0.7" top="0.75" bottom="0.75" header="0.3" footer="0.3"/>
  <pageSetup orientation="portrait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56"/>
  <sheetViews>
    <sheetView topLeftCell="A37" workbookViewId="0">
      <selection activeCell="C55" sqref="C55"/>
    </sheetView>
  </sheetViews>
  <sheetFormatPr defaultRowHeight="15" x14ac:dyDescent="0.25"/>
  <cols>
    <col min="1" max="1" width="39" customWidth="1"/>
    <col min="2" max="2" width="25.7109375" bestFit="1" customWidth="1"/>
    <col min="3" max="3" width="21.140625" bestFit="1" customWidth="1"/>
    <col min="4" max="4" width="35.140625" bestFit="1" customWidth="1"/>
    <col min="5" max="5" width="25.7109375" bestFit="1" customWidth="1"/>
    <col min="6" max="6" width="56.42578125" bestFit="1" customWidth="1"/>
    <col min="7" max="7" width="19.140625" customWidth="1"/>
    <col min="8" max="8" width="21.42578125" customWidth="1"/>
    <col min="9" max="9" width="18.85546875" customWidth="1"/>
  </cols>
  <sheetData>
    <row r="1" spans="1:6" x14ac:dyDescent="0.25">
      <c r="A1" s="6" t="s">
        <v>14</v>
      </c>
      <c r="B1" s="6"/>
      <c r="C1" s="6"/>
    </row>
    <row r="2" spans="1:6" x14ac:dyDescent="0.25">
      <c r="C2" t="s">
        <v>5</v>
      </c>
    </row>
    <row r="3" spans="1:6" x14ac:dyDescent="0.25">
      <c r="A3" t="s">
        <v>0</v>
      </c>
      <c r="B3" s="7">
        <v>40420</v>
      </c>
      <c r="C3" t="s">
        <v>7</v>
      </c>
    </row>
    <row r="4" spans="1:6" x14ac:dyDescent="0.25">
      <c r="A4" t="s">
        <v>1</v>
      </c>
      <c r="B4" s="7">
        <v>22.11</v>
      </c>
      <c r="C4" t="s">
        <v>7</v>
      </c>
    </row>
    <row r="5" spans="1:6" x14ac:dyDescent="0.25">
      <c r="A5" t="s">
        <v>2</v>
      </c>
      <c r="B5">
        <v>74.5</v>
      </c>
      <c r="C5" t="s">
        <v>6</v>
      </c>
    </row>
    <row r="6" spans="1:6" x14ac:dyDescent="0.25">
      <c r="A6" t="s">
        <v>3</v>
      </c>
      <c r="B6">
        <f>B3/(B5*10^6)</f>
        <v>5.4255033557046978E-4</v>
      </c>
    </row>
    <row r="7" spans="1:6" x14ac:dyDescent="0.25">
      <c r="A7" t="s">
        <v>4</v>
      </c>
      <c r="B7" s="1">
        <v>0.47</v>
      </c>
      <c r="C7" t="s">
        <v>6</v>
      </c>
    </row>
    <row r="10" spans="1:6" x14ac:dyDescent="0.25">
      <c r="A10" s="6" t="s">
        <v>15</v>
      </c>
      <c r="B10" s="6"/>
      <c r="C10" s="6"/>
      <c r="D10" s="5"/>
      <c r="E10" s="5"/>
      <c r="F10" s="5"/>
    </row>
    <row r="11" spans="1:6" x14ac:dyDescent="0.25">
      <c r="A11" s="12" t="s">
        <v>217</v>
      </c>
      <c r="B11" s="12"/>
      <c r="C11" s="12"/>
      <c r="D11" s="13"/>
      <c r="E11" s="13"/>
      <c r="F11" s="13"/>
    </row>
    <row r="12" spans="1:6" x14ac:dyDescent="0.25">
      <c r="A12" t="s">
        <v>199</v>
      </c>
      <c r="B12" t="s">
        <v>200</v>
      </c>
      <c r="C12" t="s">
        <v>201</v>
      </c>
      <c r="D12" t="s">
        <v>197</v>
      </c>
      <c r="E12" t="s">
        <v>214</v>
      </c>
      <c r="F12" t="s">
        <v>213</v>
      </c>
    </row>
    <row r="13" spans="1:6" x14ac:dyDescent="0.25">
      <c r="A13" t="s">
        <v>192</v>
      </c>
      <c r="B13" t="s">
        <v>202</v>
      </c>
      <c r="C13" s="10">
        <v>0.44</v>
      </c>
      <c r="D13">
        <v>1000</v>
      </c>
      <c r="E13">
        <v>0.3</v>
      </c>
      <c r="F13">
        <f>E13*C13</f>
        <v>0.13200000000000001</v>
      </c>
    </row>
    <row r="14" spans="1:6" x14ac:dyDescent="0.25">
      <c r="A14" t="s">
        <v>192</v>
      </c>
      <c r="B14" t="s">
        <v>203</v>
      </c>
      <c r="C14" s="10">
        <v>0.28999999999999998</v>
      </c>
      <c r="D14">
        <v>500</v>
      </c>
      <c r="E14">
        <v>0.08</v>
      </c>
      <c r="F14">
        <f t="shared" ref="F14:F35" si="0">E14*C14</f>
        <v>2.3199999999999998E-2</v>
      </c>
    </row>
    <row r="15" spans="1:6" x14ac:dyDescent="0.25">
      <c r="A15" t="s">
        <v>192</v>
      </c>
      <c r="B15" t="s">
        <v>204</v>
      </c>
      <c r="C15" s="10">
        <v>0.04</v>
      </c>
      <c r="D15">
        <v>240</v>
      </c>
      <c r="E15">
        <v>0.71</v>
      </c>
      <c r="F15">
        <f t="shared" si="0"/>
        <v>2.8399999999999998E-2</v>
      </c>
    </row>
    <row r="16" spans="1:6" x14ac:dyDescent="0.25">
      <c r="A16" t="s">
        <v>183</v>
      </c>
      <c r="B16" t="s">
        <v>205</v>
      </c>
      <c r="C16" s="10">
        <v>0.24</v>
      </c>
      <c r="D16">
        <v>570</v>
      </c>
      <c r="E16">
        <v>0.6</v>
      </c>
      <c r="F16">
        <f t="shared" si="0"/>
        <v>0.14399999999999999</v>
      </c>
    </row>
    <row r="17" spans="1:6" x14ac:dyDescent="0.25">
      <c r="A17" t="s">
        <v>184</v>
      </c>
      <c r="B17" t="s">
        <v>202</v>
      </c>
      <c r="C17" s="10">
        <v>0.17</v>
      </c>
      <c r="D17">
        <v>190</v>
      </c>
      <c r="E17">
        <v>0.6</v>
      </c>
      <c r="F17">
        <f t="shared" si="0"/>
        <v>0.10200000000000001</v>
      </c>
    </row>
    <row r="18" spans="1:6" x14ac:dyDescent="0.25">
      <c r="A18" t="s">
        <v>184</v>
      </c>
      <c r="B18" t="s">
        <v>206</v>
      </c>
      <c r="C18" s="10">
        <v>0.12</v>
      </c>
      <c r="D18">
        <v>180</v>
      </c>
      <c r="E18">
        <v>1.28</v>
      </c>
      <c r="F18">
        <f t="shared" si="0"/>
        <v>0.15359999999999999</v>
      </c>
    </row>
    <row r="19" spans="1:6" x14ac:dyDescent="0.25">
      <c r="A19" t="s">
        <v>185</v>
      </c>
      <c r="B19" t="s">
        <v>202</v>
      </c>
      <c r="C19" s="10">
        <v>0.33</v>
      </c>
      <c r="D19">
        <v>340</v>
      </c>
      <c r="E19">
        <v>0.48</v>
      </c>
      <c r="F19">
        <f t="shared" si="0"/>
        <v>0.15840000000000001</v>
      </c>
    </row>
    <row r="20" spans="1:6" x14ac:dyDescent="0.25">
      <c r="A20" t="s">
        <v>185</v>
      </c>
      <c r="B20" t="s">
        <v>207</v>
      </c>
      <c r="C20" s="10">
        <v>0.06</v>
      </c>
      <c r="D20">
        <v>210</v>
      </c>
      <c r="E20">
        <v>0.04</v>
      </c>
      <c r="F20">
        <f t="shared" si="0"/>
        <v>2.3999999999999998E-3</v>
      </c>
    </row>
    <row r="21" spans="1:6" x14ac:dyDescent="0.25">
      <c r="A21" t="s">
        <v>185</v>
      </c>
      <c r="B21" t="s">
        <v>208</v>
      </c>
      <c r="C21" s="10">
        <v>0.27</v>
      </c>
      <c r="D21">
        <v>190</v>
      </c>
      <c r="E21">
        <v>0.06</v>
      </c>
      <c r="F21">
        <f t="shared" si="0"/>
        <v>1.6199999999999999E-2</v>
      </c>
    </row>
    <row r="22" spans="1:6" x14ac:dyDescent="0.25">
      <c r="A22" t="s">
        <v>186</v>
      </c>
      <c r="B22" t="s">
        <v>202</v>
      </c>
      <c r="C22" s="10">
        <v>0.38</v>
      </c>
      <c r="D22">
        <v>260</v>
      </c>
      <c r="E22">
        <v>0.55000000000000004</v>
      </c>
      <c r="F22">
        <f t="shared" si="0"/>
        <v>0.20900000000000002</v>
      </c>
    </row>
    <row r="23" spans="1:6" x14ac:dyDescent="0.25">
      <c r="A23" t="s">
        <v>186</v>
      </c>
      <c r="B23" t="s">
        <v>211</v>
      </c>
      <c r="C23" s="10">
        <v>0.08</v>
      </c>
      <c r="D23">
        <v>200</v>
      </c>
      <c r="E23">
        <v>2.19</v>
      </c>
      <c r="F23">
        <f t="shared" si="0"/>
        <v>0.17519999999999999</v>
      </c>
    </row>
    <row r="24" spans="1:6" x14ac:dyDescent="0.25">
      <c r="A24" t="s">
        <v>186</v>
      </c>
      <c r="B24" t="s">
        <v>212</v>
      </c>
      <c r="C24" s="10">
        <v>0.36</v>
      </c>
      <c r="D24">
        <v>110</v>
      </c>
      <c r="E24">
        <v>2.0499999999999998</v>
      </c>
      <c r="F24">
        <f t="shared" si="0"/>
        <v>0.73799999999999988</v>
      </c>
    </row>
    <row r="25" spans="1:6" x14ac:dyDescent="0.25">
      <c r="A25" t="s">
        <v>186</v>
      </c>
      <c r="B25" t="s">
        <v>203</v>
      </c>
      <c r="C25" s="10">
        <v>0.32</v>
      </c>
      <c r="D25">
        <v>110</v>
      </c>
      <c r="E25">
        <v>7.0000000000000007E-2</v>
      </c>
      <c r="F25">
        <f t="shared" si="0"/>
        <v>2.2400000000000003E-2</v>
      </c>
    </row>
    <row r="26" spans="1:6" x14ac:dyDescent="0.25">
      <c r="A26" t="s">
        <v>187</v>
      </c>
      <c r="B26" t="s">
        <v>202</v>
      </c>
      <c r="C26" s="10">
        <v>0.26</v>
      </c>
      <c r="D26">
        <v>350</v>
      </c>
      <c r="E26">
        <v>0.28999999999999998</v>
      </c>
      <c r="F26">
        <f t="shared" si="0"/>
        <v>7.5399999999999995E-2</v>
      </c>
    </row>
    <row r="27" spans="1:6" x14ac:dyDescent="0.25">
      <c r="A27" t="s">
        <v>187</v>
      </c>
      <c r="B27" t="s">
        <v>203</v>
      </c>
      <c r="C27" s="10">
        <v>0.19</v>
      </c>
      <c r="D27">
        <v>140</v>
      </c>
      <c r="E27">
        <v>7.0000000000000007E-2</v>
      </c>
      <c r="F27">
        <f t="shared" si="0"/>
        <v>1.3300000000000001E-2</v>
      </c>
    </row>
    <row r="28" spans="1:6" x14ac:dyDescent="0.25">
      <c r="A28" t="s">
        <v>188</v>
      </c>
      <c r="B28" t="s">
        <v>202</v>
      </c>
      <c r="C28" s="10">
        <v>0.28000000000000003</v>
      </c>
      <c r="D28">
        <v>250</v>
      </c>
      <c r="E28">
        <v>0.62</v>
      </c>
      <c r="F28">
        <f t="shared" si="0"/>
        <v>0.1736</v>
      </c>
    </row>
    <row r="29" spans="1:6" x14ac:dyDescent="0.25">
      <c r="A29" t="s">
        <v>188</v>
      </c>
      <c r="B29" t="s">
        <v>203</v>
      </c>
      <c r="C29" s="10">
        <v>0.28000000000000003</v>
      </c>
      <c r="D29">
        <v>120</v>
      </c>
      <c r="E29">
        <v>0.06</v>
      </c>
      <c r="F29">
        <f t="shared" si="0"/>
        <v>1.6800000000000002E-2</v>
      </c>
    </row>
    <row r="30" spans="1:6" x14ac:dyDescent="0.25">
      <c r="A30" t="s">
        <v>189</v>
      </c>
      <c r="B30" t="s">
        <v>209</v>
      </c>
      <c r="C30" s="10">
        <v>0.64</v>
      </c>
      <c r="D30">
        <v>260</v>
      </c>
      <c r="E30">
        <v>0.32</v>
      </c>
      <c r="F30">
        <f t="shared" si="0"/>
        <v>0.20480000000000001</v>
      </c>
    </row>
    <row r="31" spans="1:6" x14ac:dyDescent="0.25">
      <c r="A31" t="s">
        <v>189</v>
      </c>
      <c r="B31" t="s">
        <v>203</v>
      </c>
      <c r="C31" s="10">
        <v>0.45</v>
      </c>
      <c r="D31">
        <v>130</v>
      </c>
      <c r="E31">
        <v>0.22</v>
      </c>
      <c r="F31">
        <f t="shared" si="0"/>
        <v>9.9000000000000005E-2</v>
      </c>
    </row>
    <row r="32" spans="1:6" x14ac:dyDescent="0.25">
      <c r="A32" t="s">
        <v>189</v>
      </c>
      <c r="B32" t="s">
        <v>210</v>
      </c>
      <c r="C32" s="10">
        <v>0.36</v>
      </c>
      <c r="D32">
        <v>80</v>
      </c>
      <c r="E32">
        <v>0.06</v>
      </c>
      <c r="F32">
        <f t="shared" si="0"/>
        <v>2.1599999999999998E-2</v>
      </c>
    </row>
    <row r="33" spans="1:9" x14ac:dyDescent="0.25">
      <c r="A33" t="s">
        <v>190</v>
      </c>
      <c r="B33" t="s">
        <v>195</v>
      </c>
      <c r="C33" s="10">
        <v>0.2</v>
      </c>
      <c r="D33">
        <v>210</v>
      </c>
      <c r="E33">
        <v>0.01</v>
      </c>
      <c r="F33">
        <f t="shared" si="0"/>
        <v>2E-3</v>
      </c>
    </row>
    <row r="34" spans="1:9" x14ac:dyDescent="0.25">
      <c r="A34" t="s">
        <v>191</v>
      </c>
      <c r="B34" t="s">
        <v>202</v>
      </c>
      <c r="C34" s="10">
        <v>0.19</v>
      </c>
      <c r="D34">
        <v>60</v>
      </c>
      <c r="E34">
        <v>0.6</v>
      </c>
      <c r="F34">
        <f t="shared" si="0"/>
        <v>0.11399999999999999</v>
      </c>
    </row>
    <row r="35" spans="1:9" x14ac:dyDescent="0.25">
      <c r="A35" t="s">
        <v>191</v>
      </c>
      <c r="B35" t="s">
        <v>203</v>
      </c>
      <c r="C35" s="10">
        <v>0.28999999999999998</v>
      </c>
      <c r="D35">
        <v>40</v>
      </c>
      <c r="E35">
        <v>0.05</v>
      </c>
      <c r="F35">
        <f t="shared" si="0"/>
        <v>1.4499999999999999E-2</v>
      </c>
    </row>
    <row r="37" spans="1:9" x14ac:dyDescent="0.25">
      <c r="A37" s="12" t="s">
        <v>218</v>
      </c>
      <c r="B37" s="13"/>
      <c r="C37" s="13"/>
      <c r="D37" s="13"/>
      <c r="E37" s="13"/>
      <c r="F37" s="13"/>
      <c r="G37" s="13"/>
    </row>
    <row r="38" spans="1:9" ht="14.25" customHeight="1" x14ac:dyDescent="0.25">
      <c r="B38" t="s">
        <v>196</v>
      </c>
      <c r="C38" t="s">
        <v>193</v>
      </c>
      <c r="D38" t="s">
        <v>194</v>
      </c>
      <c r="E38" t="s">
        <v>198</v>
      </c>
      <c r="F38" t="s">
        <v>216</v>
      </c>
      <c r="G38" s="78" t="s">
        <v>215</v>
      </c>
      <c r="H38" s="78" t="s">
        <v>220</v>
      </c>
      <c r="I38" s="78" t="s">
        <v>221</v>
      </c>
    </row>
    <row r="39" spans="1:9" x14ac:dyDescent="0.25">
      <c r="A39" t="s">
        <v>192</v>
      </c>
      <c r="B39">
        <v>270</v>
      </c>
      <c r="C39">
        <v>4.9000000000000004</v>
      </c>
      <c r="D39">
        <v>230</v>
      </c>
      <c r="E39">
        <f>C39-SUMIF($A$13:$A$35,A39,$D$13:$D$35)/10^3</f>
        <v>3.16</v>
      </c>
      <c r="F39" s="7">
        <f>D39*10^6-SUMIF($A$13:$A$35,A39,$F$13:$F$35)*B39*10^6</f>
        <v>180428000</v>
      </c>
      <c r="G39" s="11">
        <f>F39/(E39*10^12)</f>
        <v>5.7097468354430379E-5</v>
      </c>
      <c r="H39">
        <v>31</v>
      </c>
      <c r="I39" s="14">
        <f>1-(H39-E39)/H39</f>
        <v>0.10193548387096774</v>
      </c>
    </row>
    <row r="40" spans="1:9" x14ac:dyDescent="0.25">
      <c r="A40" t="s">
        <v>183</v>
      </c>
      <c r="B40">
        <v>200</v>
      </c>
      <c r="C40">
        <v>3.7</v>
      </c>
      <c r="D40">
        <v>430</v>
      </c>
      <c r="E40">
        <f t="shared" ref="E40:E48" si="1">C40-SUMIF($A$13:$A$35,A40,$D$13:$D$35)/10^3</f>
        <v>3.1300000000000003</v>
      </c>
      <c r="F40" s="7">
        <f t="shared" ref="F40:F48" si="2">D40*10^6-SUMIF($A$13:$A$35,A40,$F$13:$F$35)*B40*10^6</f>
        <v>401200000</v>
      </c>
      <c r="G40" s="11">
        <f t="shared" ref="G40:G48" si="3">F40/(E40*10^12)</f>
        <v>1.2817891373801915E-4</v>
      </c>
      <c r="H40">
        <v>26</v>
      </c>
      <c r="I40" s="14">
        <f t="shared" ref="I40:I48" si="4">1-(H40-E40)/H40</f>
        <v>0.12038461538461531</v>
      </c>
    </row>
    <row r="41" spans="1:9" x14ac:dyDescent="0.25">
      <c r="A41" t="s">
        <v>184</v>
      </c>
      <c r="B41">
        <v>220</v>
      </c>
      <c r="C41">
        <v>2.7</v>
      </c>
      <c r="D41">
        <v>220</v>
      </c>
      <c r="E41">
        <f t="shared" si="1"/>
        <v>2.33</v>
      </c>
      <c r="F41" s="7">
        <f t="shared" si="2"/>
        <v>163768000</v>
      </c>
      <c r="G41" s="11">
        <f t="shared" si="3"/>
        <v>7.0286695278969961E-5</v>
      </c>
      <c r="H41">
        <v>26</v>
      </c>
      <c r="I41" s="14">
        <f t="shared" si="4"/>
        <v>8.9615384615384541E-2</v>
      </c>
    </row>
    <row r="42" spans="1:9" x14ac:dyDescent="0.25">
      <c r="A42" t="s">
        <v>185</v>
      </c>
      <c r="B42">
        <v>160</v>
      </c>
      <c r="C42">
        <v>2.2999999999999998</v>
      </c>
      <c r="D42">
        <v>180</v>
      </c>
      <c r="E42">
        <f t="shared" si="1"/>
        <v>1.5599999999999998</v>
      </c>
      <c r="F42" s="7">
        <f t="shared" si="2"/>
        <v>151680000</v>
      </c>
      <c r="G42" s="11">
        <f t="shared" si="3"/>
        <v>9.723076923076924E-5</v>
      </c>
      <c r="H42">
        <v>17</v>
      </c>
      <c r="I42" s="14">
        <f t="shared" si="4"/>
        <v>9.176470588235297E-2</v>
      </c>
    </row>
    <row r="43" spans="1:9" x14ac:dyDescent="0.25">
      <c r="A43" t="s">
        <v>186</v>
      </c>
      <c r="B43">
        <v>110</v>
      </c>
      <c r="C43">
        <v>1.7</v>
      </c>
      <c r="D43">
        <v>240</v>
      </c>
      <c r="E43">
        <f t="shared" si="1"/>
        <v>1.02</v>
      </c>
      <c r="F43" s="7">
        <f t="shared" si="2"/>
        <v>114094000.00000003</v>
      </c>
      <c r="G43" s="11">
        <f t="shared" si="3"/>
        <v>1.1185686274509807E-4</v>
      </c>
      <c r="H43">
        <v>12</v>
      </c>
      <c r="I43" s="14">
        <f t="shared" si="4"/>
        <v>8.4999999999999964E-2</v>
      </c>
    </row>
    <row r="44" spans="1:9" x14ac:dyDescent="0.25">
      <c r="A44" t="s">
        <v>187</v>
      </c>
      <c r="B44">
        <v>220</v>
      </c>
      <c r="C44">
        <v>1.7</v>
      </c>
      <c r="D44">
        <v>40</v>
      </c>
      <c r="E44">
        <f t="shared" si="1"/>
        <v>1.21</v>
      </c>
      <c r="F44" s="7">
        <f t="shared" si="2"/>
        <v>20486000</v>
      </c>
      <c r="G44" s="11">
        <f t="shared" si="3"/>
        <v>1.6930578512396694E-5</v>
      </c>
      <c r="H44">
        <v>35</v>
      </c>
      <c r="I44" s="14">
        <f t="shared" si="4"/>
        <v>3.4571428571428586E-2</v>
      </c>
    </row>
    <row r="45" spans="1:9" x14ac:dyDescent="0.25">
      <c r="A45" t="s">
        <v>188</v>
      </c>
      <c r="B45">
        <v>110</v>
      </c>
      <c r="C45">
        <v>1.7</v>
      </c>
      <c r="D45">
        <v>280</v>
      </c>
      <c r="E45">
        <f t="shared" si="1"/>
        <v>1.33</v>
      </c>
      <c r="F45" s="7">
        <f t="shared" si="2"/>
        <v>259056000</v>
      </c>
      <c r="G45" s="11">
        <f t="shared" si="3"/>
        <v>1.9477894736842104E-4</v>
      </c>
      <c r="H45">
        <v>13</v>
      </c>
      <c r="I45" s="14">
        <f t="shared" si="4"/>
        <v>0.10230769230769232</v>
      </c>
    </row>
    <row r="46" spans="1:9" x14ac:dyDescent="0.25">
      <c r="A46" t="s">
        <v>189</v>
      </c>
      <c r="B46">
        <v>80</v>
      </c>
      <c r="C46">
        <v>1.2</v>
      </c>
      <c r="D46">
        <v>500</v>
      </c>
      <c r="E46">
        <f t="shared" si="1"/>
        <v>0.73</v>
      </c>
      <c r="F46" s="7">
        <f t="shared" si="2"/>
        <v>473968000</v>
      </c>
      <c r="G46" s="11">
        <f t="shared" si="3"/>
        <v>6.4927123287671236E-4</v>
      </c>
      <c r="H46">
        <v>8</v>
      </c>
      <c r="I46" s="14">
        <f t="shared" si="4"/>
        <v>9.1250000000000053E-2</v>
      </c>
    </row>
    <row r="47" spans="1:9" x14ac:dyDescent="0.25">
      <c r="A47" t="s">
        <v>190</v>
      </c>
      <c r="B47">
        <v>100</v>
      </c>
      <c r="C47">
        <v>0.7</v>
      </c>
      <c r="D47">
        <v>50</v>
      </c>
      <c r="E47">
        <f t="shared" si="1"/>
        <v>0.49</v>
      </c>
      <c r="F47" s="7">
        <f t="shared" si="2"/>
        <v>49800000</v>
      </c>
      <c r="G47" s="11">
        <f t="shared" si="3"/>
        <v>1.0163265306122449E-4</v>
      </c>
      <c r="H47">
        <v>15</v>
      </c>
      <c r="I47" s="14">
        <f t="shared" si="4"/>
        <v>3.2666666666666733E-2</v>
      </c>
    </row>
    <row r="48" spans="1:9" x14ac:dyDescent="0.25">
      <c r="A48" t="s">
        <v>191</v>
      </c>
      <c r="B48">
        <v>60</v>
      </c>
      <c r="C48">
        <v>0.3</v>
      </c>
      <c r="D48">
        <v>10</v>
      </c>
      <c r="E48">
        <f t="shared" si="1"/>
        <v>0.19999999999999998</v>
      </c>
      <c r="F48" s="7">
        <f t="shared" si="2"/>
        <v>2290000</v>
      </c>
      <c r="G48" s="11">
        <f t="shared" si="3"/>
        <v>1.1450000000000002E-5</v>
      </c>
      <c r="H48">
        <v>6</v>
      </c>
      <c r="I48" s="14">
        <f t="shared" si="4"/>
        <v>3.3333333333333326E-2</v>
      </c>
    </row>
    <row r="50" spans="1:3" x14ac:dyDescent="0.25">
      <c r="A50" t="s">
        <v>219</v>
      </c>
      <c r="C50" s="11">
        <f>SUMPRODUCT(B39:B48,G39:G48)/SUM(B39:B48)</f>
        <v>1.1262661801507862E-4</v>
      </c>
    </row>
    <row r="51" spans="1:3" x14ac:dyDescent="0.25">
      <c r="A51" t="s">
        <v>222</v>
      </c>
      <c r="C51" s="10">
        <f>SUMPRODUCT(B39:B48,I39:I48)/SUM(B39:B48)</f>
        <v>8.2858476068544143E-2</v>
      </c>
    </row>
    <row r="52" spans="1:3" ht="15.75" thickBot="1" x14ac:dyDescent="0.3"/>
    <row r="53" spans="1:3" ht="15.75" thickBot="1" x14ac:dyDescent="0.3">
      <c r="A53" s="2" t="s">
        <v>182</v>
      </c>
      <c r="B53" s="89">
        <f>(B6*'AEO 2019_Table 4'!C17+C50*'AEO 2019_Table 4'!C18)/SUM('AEO 2019_Table 4'!C17:C18)</f>
        <v>4.2479669855059076E-4</v>
      </c>
    </row>
    <row r="54" spans="1:3" ht="30" x14ac:dyDescent="0.25">
      <c r="A54" s="82" t="s">
        <v>2744</v>
      </c>
      <c r="B54" s="81">
        <f>(B7*'AEO 2019_Table 4'!C17+C51*'AEO 2019_Table 4'!C18)/SUM('AEO 2019_Table 4'!C17:C18)</f>
        <v>0.36396416009899707</v>
      </c>
    </row>
    <row r="55" spans="1:3" ht="45.75" thickBot="1" x14ac:dyDescent="0.3">
      <c r="A55" s="77" t="s">
        <v>2742</v>
      </c>
      <c r="B55" s="10">
        <f>SUM('AEO 2019_Table 4'!D77:D78,'AEO 2019_Table 4'!D89)/SUM('AEO 2019_Table 4'!D77:D86)</f>
        <v>0.69537068759154586</v>
      </c>
    </row>
    <row r="56" spans="1:3" ht="30.75" thickBot="1" x14ac:dyDescent="0.3">
      <c r="A56" s="84" t="s">
        <v>2745</v>
      </c>
      <c r="B56" s="79">
        <f>B54/B55</f>
        <v>0.52341027108808214</v>
      </c>
    </row>
  </sheetData>
  <pageMargins left="0.7" right="0.7" top="0.75" bottom="0.75" header="0.3" footer="0.3"/>
  <pageSetup orientation="portrait" r:id="rId1"/>
  <ignoredErrors>
    <ignoredError sqref="B5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W56"/>
  <sheetViews>
    <sheetView topLeftCell="D1" workbookViewId="0">
      <selection activeCell="K10" sqref="K10"/>
    </sheetView>
  </sheetViews>
  <sheetFormatPr defaultRowHeight="15" x14ac:dyDescent="0.25"/>
  <cols>
    <col min="1" max="1" width="12.28515625" bestFit="1" customWidth="1"/>
    <col min="2" max="2" width="50.28515625" customWidth="1"/>
    <col min="3" max="3" width="30" style="14" bestFit="1" customWidth="1"/>
    <col min="4" max="4" width="30" style="14" customWidth="1"/>
    <col min="5" max="5" width="14.28515625" style="7" bestFit="1" customWidth="1"/>
    <col min="6" max="6" width="8.5703125" bestFit="1" customWidth="1"/>
    <col min="7" max="7" width="5.5703125" customWidth="1"/>
    <col min="8" max="8" width="14.42578125" customWidth="1"/>
    <col min="9" max="9" width="20" bestFit="1" customWidth="1"/>
    <col min="10" max="10" width="47.7109375" bestFit="1" customWidth="1"/>
    <col min="11" max="11" width="20.42578125" bestFit="1" customWidth="1"/>
    <col min="12" max="12" width="30.85546875" bestFit="1" customWidth="1"/>
    <col min="13" max="13" width="18.28515625" customWidth="1"/>
    <col min="14" max="14" width="38.7109375" bestFit="1" customWidth="1"/>
    <col min="15" max="15" width="37.5703125" bestFit="1" customWidth="1"/>
    <col min="16" max="16" width="56.85546875" bestFit="1" customWidth="1"/>
    <col min="17" max="17" width="48.5703125" bestFit="1" customWidth="1"/>
    <col min="18" max="18" width="57.140625" bestFit="1" customWidth="1"/>
    <col min="19" max="19" width="59.7109375" bestFit="1" customWidth="1"/>
    <col min="20" max="20" width="29" customWidth="1"/>
    <col min="21" max="21" width="50.5703125" customWidth="1"/>
    <col min="22" max="22" width="7.28515625" customWidth="1"/>
    <col min="23" max="23" width="11.28515625" customWidth="1"/>
    <col min="24" max="24" width="30" bestFit="1" customWidth="1"/>
    <col min="25" max="25" width="32.42578125" bestFit="1" customWidth="1"/>
    <col min="26" max="26" width="55.28515625" bestFit="1" customWidth="1"/>
    <col min="27" max="27" width="39.7109375" bestFit="1" customWidth="1"/>
    <col min="28" max="28" width="52" bestFit="1" customWidth="1"/>
    <col min="29" max="29" width="91" bestFit="1" customWidth="1"/>
    <col min="30" max="30" width="81.28515625" bestFit="1" customWidth="1"/>
    <col min="31" max="31" width="11.28515625" bestFit="1" customWidth="1"/>
  </cols>
  <sheetData>
    <row r="1" spans="1:23" x14ac:dyDescent="0.25">
      <c r="A1" t="s">
        <v>224</v>
      </c>
      <c r="B1" t="s">
        <v>230</v>
      </c>
      <c r="C1" t="s">
        <v>231</v>
      </c>
      <c r="D1" t="s">
        <v>233</v>
      </c>
      <c r="E1" t="s">
        <v>232</v>
      </c>
      <c r="F1" t="s">
        <v>2627</v>
      </c>
      <c r="I1" t="s">
        <v>2567</v>
      </c>
      <c r="J1" t="s">
        <v>2611</v>
      </c>
      <c r="K1" s="53" t="s">
        <v>236</v>
      </c>
      <c r="L1" t="s">
        <v>2591</v>
      </c>
      <c r="M1" t="s">
        <v>2628</v>
      </c>
      <c r="N1" t="s">
        <v>215</v>
      </c>
    </row>
    <row r="2" spans="1:23" x14ac:dyDescent="0.25">
      <c r="A2" s="74" t="s">
        <v>225</v>
      </c>
      <c r="B2" s="74" t="s">
        <v>2612</v>
      </c>
      <c r="C2" s="75">
        <v>1E-3</v>
      </c>
      <c r="D2" s="75">
        <f t="shared" ref="D2:D41" si="0">MIN(1,1-C2)</f>
        <v>0.999</v>
      </c>
      <c r="E2" s="76">
        <v>312358</v>
      </c>
      <c r="F2">
        <v>0</v>
      </c>
      <c r="H2" s="3" t="s">
        <v>228</v>
      </c>
      <c r="I2" s="1">
        <f>'County Climates'!L28</f>
        <v>0.41667827720379225</v>
      </c>
      <c r="J2" s="66">
        <f>'CBECS_Table C4'!B61</f>
        <v>1352</v>
      </c>
      <c r="K2" s="73">
        <f t="array" ref="K2">SUMPRODUCT(IF(A2:A56=H2,C2:C56),IF(A2:A56=H2,F2:F56))</f>
        <v>0.23800000000000002</v>
      </c>
      <c r="L2" s="64">
        <f>'CBECS_Table B10'!H26*10^3/'CBECS_Table B10'!B26</f>
        <v>15762.845849802372</v>
      </c>
      <c r="M2">
        <f t="array" ref="M2">SUMPRODUCT(IF(A2:A56=H2,E2:E56),IF(A2:A56=H2,F2:F56))</f>
        <v>1238255</v>
      </c>
      <c r="N2" s="16">
        <f>M2/(J2*10^6*K2)</f>
        <v>3.8481894236984736E-3</v>
      </c>
    </row>
    <row r="3" spans="1:23" x14ac:dyDescent="0.25">
      <c r="A3" t="s">
        <v>226</v>
      </c>
      <c r="B3" t="s">
        <v>2612</v>
      </c>
      <c r="C3" s="14">
        <v>8.9999999999999993E-3</v>
      </c>
      <c r="D3" s="14">
        <f t="shared" si="0"/>
        <v>0.99099999999999999</v>
      </c>
      <c r="E3" s="7">
        <v>376577</v>
      </c>
      <c r="F3">
        <v>1</v>
      </c>
      <c r="H3" s="3" t="s">
        <v>226</v>
      </c>
      <c r="I3" s="1">
        <f>'County Climates'!L29+'County Climates'!L32</f>
        <v>6.7288165818244539E-2</v>
      </c>
      <c r="J3" s="66">
        <f>'CBECS_Table C4'!B63</f>
        <v>960</v>
      </c>
      <c r="K3" s="73">
        <f t="array" ref="K3">SUMPRODUCT(IF(A3:A57=H3,C3:C57),IF(A3:A57=H3,F3:F57))</f>
        <v>0.38200000000000006</v>
      </c>
      <c r="L3" s="65">
        <f>L2</f>
        <v>15762.845849802372</v>
      </c>
      <c r="M3">
        <f t="array" ref="M3">SUMPRODUCT(IF(A3:A57=H3,E3:E57),IF(A3:A57=H3,F3:F57))</f>
        <v>1353942</v>
      </c>
      <c r="N3" s="16">
        <f t="shared" ref="N3:N6" si="1">M3/(J3*10^6*K3)</f>
        <v>3.6920320680628267E-3</v>
      </c>
      <c r="O3" s="16"/>
      <c r="P3" s="16"/>
      <c r="Q3" s="16"/>
      <c r="R3" s="16"/>
      <c r="S3" s="16"/>
      <c r="T3" s="16"/>
      <c r="U3" s="16"/>
      <c r="V3" s="16"/>
      <c r="W3" s="16"/>
    </row>
    <row r="4" spans="1:23" x14ac:dyDescent="0.25">
      <c r="A4" t="s">
        <v>227</v>
      </c>
      <c r="B4" t="s">
        <v>2612</v>
      </c>
      <c r="C4" s="14">
        <v>1.2999999999999999E-2</v>
      </c>
      <c r="D4" s="14">
        <f t="shared" si="0"/>
        <v>0.98699999999999999</v>
      </c>
      <c r="E4" s="7">
        <v>390000</v>
      </c>
      <c r="F4">
        <v>1</v>
      </c>
      <c r="H4" s="3" t="s">
        <v>225</v>
      </c>
      <c r="I4" s="1">
        <f>'County Climates'!L30+'County Climates'!L33</f>
        <v>0.42559457568791081</v>
      </c>
      <c r="J4" s="66">
        <f>'CBECS_Table C4'!B64</f>
        <v>1185</v>
      </c>
      <c r="K4" s="73">
        <f t="array" ref="K4">SUMPRODUCT(IF(A4:A58=H4,C4:C58),IF(A4:A58=H4,F4:F58))</f>
        <v>0.35200000000000004</v>
      </c>
      <c r="L4" s="65">
        <f t="shared" ref="L4:L6" si="2">L3</f>
        <v>15762.845849802372</v>
      </c>
      <c r="M4">
        <f t="array" ref="M4">SUMPRODUCT(IF(A4:A58=H4,E4:E58),IF(A4:A58=H4,F4:F58))</f>
        <v>857498</v>
      </c>
      <c r="N4" s="16">
        <f t="shared" si="1"/>
        <v>2.0557585347142308E-3</v>
      </c>
      <c r="O4" s="16"/>
      <c r="P4" s="16"/>
      <c r="Q4" s="16"/>
      <c r="R4" s="16"/>
      <c r="S4" s="16"/>
      <c r="T4" s="16"/>
      <c r="U4" s="16"/>
      <c r="V4" s="16"/>
      <c r="W4" s="16"/>
    </row>
    <row r="5" spans="1:23" x14ac:dyDescent="0.25">
      <c r="A5" t="s">
        <v>228</v>
      </c>
      <c r="B5" t="s">
        <v>2612</v>
      </c>
      <c r="C5" s="14">
        <v>1.6E-2</v>
      </c>
      <c r="D5" s="14">
        <f t="shared" si="0"/>
        <v>0.98399999999999999</v>
      </c>
      <c r="E5" s="7">
        <v>369120</v>
      </c>
      <c r="F5">
        <v>1</v>
      </c>
      <c r="H5" s="3" t="s">
        <v>227</v>
      </c>
      <c r="I5" s="1">
        <f>'County Climates'!L31</f>
        <v>4.683457240690006E-2</v>
      </c>
      <c r="J5" s="66">
        <f>'CBECS_Table C4'!B65</f>
        <v>1337</v>
      </c>
      <c r="K5" s="73">
        <f t="array" ref="K5">SUMPRODUCT(IF(A5:A59=H5,C5:C59),IF(A5:A59=H5,F5:F59))</f>
        <v>0.25700000000000001</v>
      </c>
      <c r="L5" s="65">
        <f t="shared" si="2"/>
        <v>15762.845849802372</v>
      </c>
      <c r="M5">
        <f t="array" ref="M5">SUMPRODUCT(IF(A5:A59=H5,E5:E59),IF(A5:A59=H5,F5:F59))</f>
        <v>827853</v>
      </c>
      <c r="N5" s="16">
        <f t="shared" si="1"/>
        <v>2.4092878824477824E-3</v>
      </c>
      <c r="O5" s="16"/>
      <c r="P5" s="16"/>
      <c r="Q5" s="16"/>
      <c r="R5" s="16"/>
      <c r="S5" s="16"/>
      <c r="T5" s="16"/>
      <c r="U5" s="16"/>
      <c r="V5" s="16"/>
      <c r="W5" s="16"/>
    </row>
    <row r="6" spans="1:23" x14ac:dyDescent="0.25">
      <c r="A6" t="s">
        <v>229</v>
      </c>
      <c r="B6" t="s">
        <v>2612</v>
      </c>
      <c r="C6" s="14">
        <v>2.1999999999999999E-2</v>
      </c>
      <c r="D6" s="14">
        <f t="shared" si="0"/>
        <v>0.97799999999999998</v>
      </c>
      <c r="E6" s="7">
        <v>412876</v>
      </c>
      <c r="F6">
        <v>1</v>
      </c>
      <c r="H6" s="3" t="s">
        <v>229</v>
      </c>
      <c r="I6" s="1">
        <f>'County Climates'!L35+'County Climates'!L34</f>
        <v>4.3604408883152465E-2</v>
      </c>
      <c r="J6" s="66">
        <f>'CBECS_Table C4'!B61</f>
        <v>1352</v>
      </c>
      <c r="K6" s="73">
        <f t="array" ref="K6">SUMPRODUCT(IF(A6:A60=H6,C6:C60),IF(A6:A60=H6,F6:F60))</f>
        <v>0.224</v>
      </c>
      <c r="L6" s="65">
        <f t="shared" si="2"/>
        <v>15762.845849802372</v>
      </c>
      <c r="M6">
        <f t="array" ref="M6">SUMPRODUCT(IF(A6:A60=H6,E6:E60),IF(A6:A60=H6,F6:F60))</f>
        <v>1225959</v>
      </c>
      <c r="N6" s="16">
        <f t="shared" si="1"/>
        <v>4.0481000369822486E-3</v>
      </c>
      <c r="O6" s="16"/>
      <c r="P6" s="16"/>
      <c r="Q6" s="16"/>
      <c r="R6" s="16"/>
      <c r="S6" s="16"/>
      <c r="T6" s="16"/>
      <c r="U6" s="16"/>
      <c r="V6" s="16"/>
      <c r="W6" s="16"/>
    </row>
    <row r="7" spans="1:23" ht="45.75" thickBot="1" x14ac:dyDescent="0.3">
      <c r="A7" t="s">
        <v>225</v>
      </c>
      <c r="B7" s="31" t="s">
        <v>2613</v>
      </c>
      <c r="C7" s="14">
        <v>9.2999999999999999E-2</v>
      </c>
      <c r="D7" s="14">
        <f t="shared" si="0"/>
        <v>0.90700000000000003</v>
      </c>
      <c r="E7" s="7">
        <v>213808</v>
      </c>
      <c r="F7">
        <v>1</v>
      </c>
      <c r="H7" s="3"/>
      <c r="I7" s="16"/>
      <c r="J7" s="16"/>
      <c r="K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 ht="45.75" thickBot="1" x14ac:dyDescent="0.3">
      <c r="A8" t="s">
        <v>226</v>
      </c>
      <c r="B8" s="31" t="s">
        <v>2613</v>
      </c>
      <c r="C8" s="14">
        <v>0.10299999999999999</v>
      </c>
      <c r="D8" s="14">
        <f t="shared" si="0"/>
        <v>0.89700000000000002</v>
      </c>
      <c r="E8" s="7">
        <v>215730</v>
      </c>
      <c r="F8">
        <v>1</v>
      </c>
      <c r="H8" s="3"/>
      <c r="I8" s="16"/>
      <c r="J8" s="2" t="s">
        <v>215</v>
      </c>
      <c r="K8" s="80">
        <f>SUMPRODUCT(I2:I6,N2:N6)</f>
        <v>3.0161596637131726E-3</v>
      </c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 ht="45" x14ac:dyDescent="0.25">
      <c r="A9" t="s">
        <v>227</v>
      </c>
      <c r="B9" s="31" t="s">
        <v>2613</v>
      </c>
      <c r="C9" s="14">
        <v>0.106</v>
      </c>
      <c r="D9" s="14">
        <f t="shared" si="0"/>
        <v>0.89400000000000002</v>
      </c>
      <c r="E9" s="7">
        <v>223420</v>
      </c>
      <c r="F9">
        <v>1</v>
      </c>
      <c r="J9" s="82" t="s">
        <v>2744</v>
      </c>
      <c r="K9" s="81">
        <f>SUMPRODUCT(I2:I6,K2:K6)</f>
        <v>0.29648667265761608</v>
      </c>
      <c r="O9" s="16"/>
      <c r="P9" s="16"/>
      <c r="Q9" s="16"/>
      <c r="R9" s="16"/>
      <c r="S9" s="16"/>
      <c r="T9" s="16"/>
      <c r="U9" s="16"/>
      <c r="V9" s="16"/>
      <c r="W9" s="16"/>
    </row>
    <row r="10" spans="1:23" ht="45.75" thickBot="1" x14ac:dyDescent="0.3">
      <c r="A10" t="s">
        <v>228</v>
      </c>
      <c r="B10" s="31" t="s">
        <v>2613</v>
      </c>
      <c r="C10" s="14">
        <v>9.0999999999999998E-2</v>
      </c>
      <c r="D10" s="14">
        <f t="shared" si="0"/>
        <v>0.90900000000000003</v>
      </c>
      <c r="E10" s="7">
        <v>211458</v>
      </c>
      <c r="F10">
        <v>1</v>
      </c>
      <c r="J10" s="77" t="s">
        <v>2743</v>
      </c>
      <c r="K10" s="10">
        <f>SUM('AEO 2019_Table 5'!D61:D62,'AEO 2019_Table 5'!D64)/SUM('AEO 2019_Table 5'!D61:D67)</f>
        <v>0.58842711373477341</v>
      </c>
    </row>
    <row r="11" spans="1:23" ht="45.75" thickBot="1" x14ac:dyDescent="0.3">
      <c r="A11" t="s">
        <v>229</v>
      </c>
      <c r="B11" s="31" t="s">
        <v>2613</v>
      </c>
      <c r="C11" s="14">
        <v>7.9000000000000001E-2</v>
      </c>
      <c r="D11" s="14">
        <f t="shared" si="0"/>
        <v>0.92100000000000004</v>
      </c>
      <c r="E11" s="7">
        <v>210604</v>
      </c>
      <c r="F11">
        <v>1</v>
      </c>
      <c r="J11" s="2" t="s">
        <v>2745</v>
      </c>
      <c r="K11" s="83">
        <f>K9/K10</f>
        <v>0.50386303713267355</v>
      </c>
    </row>
    <row r="12" spans="1:23" ht="30" x14ac:dyDescent="0.25">
      <c r="A12" t="s">
        <v>225</v>
      </c>
      <c r="B12" s="31" t="s">
        <v>2614</v>
      </c>
      <c r="C12" s="14">
        <v>0.11700000000000001</v>
      </c>
      <c r="D12" s="14">
        <f t="shared" si="0"/>
        <v>0.88300000000000001</v>
      </c>
      <c r="E12" s="7">
        <v>226887</v>
      </c>
      <c r="F12">
        <v>1</v>
      </c>
      <c r="I12" s="53"/>
    </row>
    <row r="13" spans="1:23" ht="30" x14ac:dyDescent="0.25">
      <c r="A13" t="s">
        <v>226</v>
      </c>
      <c r="B13" s="31" t="s">
        <v>2614</v>
      </c>
      <c r="C13" s="14">
        <v>0.13100000000000001</v>
      </c>
      <c r="D13" s="14">
        <f t="shared" si="0"/>
        <v>0.86899999999999999</v>
      </c>
      <c r="E13" s="7">
        <v>228917</v>
      </c>
      <c r="F13">
        <v>1</v>
      </c>
      <c r="I13" s="7"/>
      <c r="J13" s="3"/>
      <c r="K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30" x14ac:dyDescent="0.25">
      <c r="A14" t="s">
        <v>227</v>
      </c>
      <c r="B14" s="31" t="s">
        <v>2614</v>
      </c>
      <c r="C14" s="14">
        <v>0.11899999999999999</v>
      </c>
      <c r="D14" s="14">
        <f t="shared" si="0"/>
        <v>0.88100000000000001</v>
      </c>
      <c r="E14" s="7">
        <v>237086</v>
      </c>
      <c r="F14">
        <v>1</v>
      </c>
      <c r="I14" s="7"/>
      <c r="J14" s="3"/>
      <c r="K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30" x14ac:dyDescent="0.25">
      <c r="A15" t="s">
        <v>228</v>
      </c>
      <c r="B15" s="31" t="s">
        <v>2614</v>
      </c>
      <c r="C15" s="14">
        <v>0.1</v>
      </c>
      <c r="D15" s="14">
        <f t="shared" si="0"/>
        <v>0.9</v>
      </c>
      <c r="E15" s="7">
        <v>224393</v>
      </c>
      <c r="F15">
        <v>1</v>
      </c>
      <c r="I15" s="7"/>
      <c r="J15" s="3"/>
      <c r="K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30" x14ac:dyDescent="0.25">
      <c r="A16" t="s">
        <v>229</v>
      </c>
      <c r="B16" s="31" t="s">
        <v>2614</v>
      </c>
      <c r="C16" s="14">
        <v>8.5000000000000006E-2</v>
      </c>
      <c r="D16" s="14">
        <f t="shared" si="0"/>
        <v>0.91500000000000004</v>
      </c>
      <c r="E16" s="7">
        <v>223487</v>
      </c>
      <c r="F16">
        <v>1</v>
      </c>
      <c r="J16" s="3"/>
      <c r="K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x14ac:dyDescent="0.25">
      <c r="A17" t="s">
        <v>225</v>
      </c>
      <c r="B17" t="s">
        <v>2615</v>
      </c>
      <c r="C17" s="14">
        <v>6.0000000000000001E-3</v>
      </c>
      <c r="D17" s="14">
        <f t="shared" si="0"/>
        <v>0.99399999999999999</v>
      </c>
      <c r="E17" s="7">
        <v>233036</v>
      </c>
      <c r="F17">
        <v>1</v>
      </c>
      <c r="J17" s="3"/>
      <c r="K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x14ac:dyDescent="0.25">
      <c r="A18" t="s">
        <v>226</v>
      </c>
      <c r="B18" t="s">
        <v>2615</v>
      </c>
      <c r="C18" s="14">
        <v>6.0000000000000001E-3</v>
      </c>
      <c r="D18" s="14">
        <f t="shared" si="0"/>
        <v>0.99399999999999999</v>
      </c>
      <c r="E18" s="7">
        <v>300659</v>
      </c>
      <c r="F18">
        <v>1</v>
      </c>
      <c r="J18" s="3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x14ac:dyDescent="0.25">
      <c r="A19" t="s">
        <v>227</v>
      </c>
      <c r="B19" t="s">
        <v>2615</v>
      </c>
      <c r="C19" s="14">
        <v>0</v>
      </c>
      <c r="D19" s="14">
        <f t="shared" si="0"/>
        <v>1</v>
      </c>
      <c r="E19" s="7">
        <v>285784</v>
      </c>
      <c r="F19">
        <v>1</v>
      </c>
      <c r="J19" s="3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x14ac:dyDescent="0.25">
      <c r="A20" t="s">
        <v>228</v>
      </c>
      <c r="B20" t="s">
        <v>2615</v>
      </c>
      <c r="C20" s="14">
        <v>2E-3</v>
      </c>
      <c r="D20" s="14">
        <f t="shared" si="0"/>
        <v>0.998</v>
      </c>
      <c r="E20" s="7">
        <v>345387</v>
      </c>
      <c r="F20">
        <v>1</v>
      </c>
    </row>
    <row r="21" spans="1:23" x14ac:dyDescent="0.25">
      <c r="A21" t="s">
        <v>229</v>
      </c>
      <c r="B21" t="s">
        <v>2615</v>
      </c>
      <c r="C21" s="14">
        <v>7.0000000000000001E-3</v>
      </c>
      <c r="D21" s="14">
        <f t="shared" si="0"/>
        <v>0.99299999999999999</v>
      </c>
      <c r="E21" s="7">
        <v>300332</v>
      </c>
      <c r="F21">
        <v>1</v>
      </c>
    </row>
    <row r="22" spans="1:23" x14ac:dyDescent="0.25">
      <c r="A22" t="s">
        <v>225</v>
      </c>
      <c r="B22" t="s">
        <v>2616</v>
      </c>
      <c r="C22" s="14">
        <v>2.7E-2</v>
      </c>
      <c r="D22" s="14">
        <f t="shared" si="0"/>
        <v>0.97299999999999998</v>
      </c>
      <c r="E22" s="7">
        <v>42490</v>
      </c>
      <c r="F22">
        <v>1</v>
      </c>
    </row>
    <row r="23" spans="1:23" x14ac:dyDescent="0.25">
      <c r="A23" t="s">
        <v>226</v>
      </c>
      <c r="B23" t="s">
        <v>2616</v>
      </c>
      <c r="C23" s="14">
        <v>3.4000000000000002E-2</v>
      </c>
      <c r="D23" s="14">
        <f t="shared" si="0"/>
        <v>0.96599999999999997</v>
      </c>
      <c r="E23" s="7">
        <v>45189</v>
      </c>
      <c r="F23">
        <v>1</v>
      </c>
    </row>
    <row r="24" spans="1:23" x14ac:dyDescent="0.25">
      <c r="A24" t="s">
        <v>227</v>
      </c>
      <c r="B24" t="s">
        <v>2616</v>
      </c>
      <c r="C24" s="14">
        <v>2.9000000000000001E-2</v>
      </c>
      <c r="D24" s="14">
        <f t="shared" si="0"/>
        <v>0.97099999999999997</v>
      </c>
      <c r="E24" s="7">
        <v>37368</v>
      </c>
      <c r="F24">
        <v>1</v>
      </c>
    </row>
    <row r="25" spans="1:23" x14ac:dyDescent="0.25">
      <c r="A25" t="s">
        <v>228</v>
      </c>
      <c r="B25" t="s">
        <v>2616</v>
      </c>
      <c r="C25" s="14">
        <v>2.5999999999999999E-2</v>
      </c>
      <c r="D25" s="14">
        <f t="shared" si="0"/>
        <v>0.97399999999999998</v>
      </c>
      <c r="E25" s="7">
        <v>30665</v>
      </c>
      <c r="F25">
        <v>1</v>
      </c>
    </row>
    <row r="26" spans="1:23" x14ac:dyDescent="0.25">
      <c r="A26" t="s">
        <v>229</v>
      </c>
      <c r="B26" t="s">
        <v>2616</v>
      </c>
      <c r="C26" s="14">
        <v>2.7E-2</v>
      </c>
      <c r="D26" s="14">
        <f t="shared" si="0"/>
        <v>0.97299999999999998</v>
      </c>
      <c r="E26" s="7">
        <v>30541</v>
      </c>
      <c r="F26">
        <v>1</v>
      </c>
      <c r="J26" s="7"/>
    </row>
    <row r="27" spans="1:23" x14ac:dyDescent="0.25">
      <c r="A27" t="s">
        <v>225</v>
      </c>
      <c r="B27" t="s">
        <v>2617</v>
      </c>
      <c r="C27" s="14">
        <v>7.0999999999999994E-2</v>
      </c>
      <c r="D27" s="14">
        <f t="shared" si="0"/>
        <v>0.92900000000000005</v>
      </c>
      <c r="E27" s="7">
        <v>1837</v>
      </c>
      <c r="F27">
        <v>1</v>
      </c>
    </row>
    <row r="28" spans="1:23" x14ac:dyDescent="0.25">
      <c r="A28" t="s">
        <v>226</v>
      </c>
      <c r="B28" t="s">
        <v>2617</v>
      </c>
      <c r="C28" s="14">
        <v>4.2000000000000003E-2</v>
      </c>
      <c r="D28" s="14">
        <f t="shared" si="0"/>
        <v>0.95799999999999996</v>
      </c>
      <c r="E28" s="7">
        <v>1854</v>
      </c>
      <c r="F28">
        <v>1</v>
      </c>
    </row>
    <row r="29" spans="1:23" x14ac:dyDescent="0.25">
      <c r="A29" s="74" t="s">
        <v>227</v>
      </c>
      <c r="B29" s="74" t="s">
        <v>2617</v>
      </c>
      <c r="C29" s="75">
        <v>2E-3</v>
      </c>
      <c r="D29" s="75">
        <f t="shared" si="0"/>
        <v>0.998</v>
      </c>
      <c r="E29" s="76">
        <v>1920</v>
      </c>
      <c r="F29">
        <v>0</v>
      </c>
    </row>
    <row r="30" spans="1:23" x14ac:dyDescent="0.25">
      <c r="A30" s="74" t="s">
        <v>228</v>
      </c>
      <c r="B30" s="74" t="s">
        <v>2617</v>
      </c>
      <c r="C30" s="75">
        <v>1.0999999999999999E-2</v>
      </c>
      <c r="D30" s="75">
        <f t="shared" si="0"/>
        <v>0.98899999999999999</v>
      </c>
      <c r="E30" s="76">
        <v>1817</v>
      </c>
      <c r="F30">
        <v>0</v>
      </c>
    </row>
    <row r="31" spans="1:23" x14ac:dyDescent="0.25">
      <c r="A31" s="74" t="s">
        <v>229</v>
      </c>
      <c r="B31" s="74" t="s">
        <v>2617</v>
      </c>
      <c r="C31" s="75">
        <v>1E-3</v>
      </c>
      <c r="D31" s="75">
        <f t="shared" si="0"/>
        <v>0.999</v>
      </c>
      <c r="E31" s="76">
        <v>1810</v>
      </c>
      <c r="F31">
        <v>0</v>
      </c>
    </row>
    <row r="32" spans="1:23" x14ac:dyDescent="0.25">
      <c r="A32" s="74" t="s">
        <v>225</v>
      </c>
      <c r="B32" s="74" t="s">
        <v>2618</v>
      </c>
      <c r="C32" s="75">
        <v>8.9999999999999993E-3</v>
      </c>
      <c r="D32" s="75">
        <f t="shared" si="0"/>
        <v>0.99099999999999999</v>
      </c>
      <c r="E32" s="76">
        <v>37153</v>
      </c>
      <c r="F32">
        <v>0</v>
      </c>
    </row>
    <row r="33" spans="1:6" x14ac:dyDescent="0.25">
      <c r="A33" t="s">
        <v>226</v>
      </c>
      <c r="B33" t="s">
        <v>2618</v>
      </c>
      <c r="C33" s="14">
        <v>1.9E-2</v>
      </c>
      <c r="D33" s="14">
        <f t="shared" si="0"/>
        <v>0.98099999999999998</v>
      </c>
      <c r="E33" s="7">
        <v>15190</v>
      </c>
      <c r="F33">
        <v>1</v>
      </c>
    </row>
    <row r="34" spans="1:6" x14ac:dyDescent="0.25">
      <c r="A34" s="74" t="s">
        <v>227</v>
      </c>
      <c r="B34" s="74" t="s">
        <v>2618</v>
      </c>
      <c r="C34" s="75">
        <v>5.0000000000000001E-3</v>
      </c>
      <c r="D34" s="75">
        <f t="shared" si="0"/>
        <v>0.995</v>
      </c>
      <c r="E34" s="76">
        <v>42298</v>
      </c>
      <c r="F34">
        <v>0</v>
      </c>
    </row>
    <row r="35" spans="1:6" x14ac:dyDescent="0.25">
      <c r="A35" s="74" t="s">
        <v>228</v>
      </c>
      <c r="B35" s="74" t="s">
        <v>2618</v>
      </c>
      <c r="C35" s="75">
        <v>5.0000000000000001E-3</v>
      </c>
      <c r="D35" s="75">
        <f t="shared" si="0"/>
        <v>0.995</v>
      </c>
      <c r="E35" s="76">
        <v>46189</v>
      </c>
      <c r="F35">
        <v>0</v>
      </c>
    </row>
    <row r="36" spans="1:6" x14ac:dyDescent="0.25">
      <c r="A36" s="74" t="s">
        <v>229</v>
      </c>
      <c r="B36" s="74" t="s">
        <v>2618</v>
      </c>
      <c r="C36" s="75">
        <v>3.0000000000000001E-3</v>
      </c>
      <c r="D36" s="75">
        <f t="shared" si="0"/>
        <v>0.997</v>
      </c>
      <c r="E36" s="76">
        <v>42414</v>
      </c>
      <c r="F36">
        <v>0</v>
      </c>
    </row>
    <row r="37" spans="1:6" x14ac:dyDescent="0.25">
      <c r="A37" t="s">
        <v>225</v>
      </c>
      <c r="B37" t="s">
        <v>2619</v>
      </c>
      <c r="C37" s="14">
        <v>8.0000000000000002E-3</v>
      </c>
      <c r="D37" s="14">
        <f t="shared" si="0"/>
        <v>0.99199999999999999</v>
      </c>
      <c r="E37" s="7">
        <v>24866</v>
      </c>
      <c r="F37">
        <v>1</v>
      </c>
    </row>
    <row r="38" spans="1:6" x14ac:dyDescent="0.25">
      <c r="A38" t="s">
        <v>226</v>
      </c>
      <c r="B38" t="s">
        <v>2619</v>
      </c>
      <c r="C38" s="14">
        <v>8.9999999999999993E-3</v>
      </c>
      <c r="D38" s="14">
        <f t="shared" si="0"/>
        <v>0.99099999999999999</v>
      </c>
      <c r="E38" s="7">
        <v>29300</v>
      </c>
      <c r="F38">
        <v>1</v>
      </c>
    </row>
    <row r="39" spans="1:6" x14ac:dyDescent="0.25">
      <c r="A39" s="74" t="s">
        <v>227</v>
      </c>
      <c r="B39" s="74" t="s">
        <v>2619</v>
      </c>
      <c r="C39" s="75">
        <v>3.0000000000000001E-3</v>
      </c>
      <c r="D39" s="75">
        <f t="shared" si="0"/>
        <v>0.997</v>
      </c>
      <c r="E39" s="76">
        <v>28326</v>
      </c>
      <c r="F39">
        <v>0</v>
      </c>
    </row>
    <row r="40" spans="1:6" x14ac:dyDescent="0.25">
      <c r="A40" s="74" t="s">
        <v>228</v>
      </c>
      <c r="B40" s="74" t="s">
        <v>2619</v>
      </c>
      <c r="C40" s="75">
        <v>3.0000000000000001E-3</v>
      </c>
      <c r="D40" s="75">
        <f t="shared" si="0"/>
        <v>0.997</v>
      </c>
      <c r="E40" s="76">
        <v>30960</v>
      </c>
      <c r="F40">
        <v>0</v>
      </c>
    </row>
    <row r="41" spans="1:6" x14ac:dyDescent="0.25">
      <c r="A41" s="74" t="s">
        <v>229</v>
      </c>
      <c r="B41" s="74" t="s">
        <v>2619</v>
      </c>
      <c r="C41" s="75">
        <v>2E-3</v>
      </c>
      <c r="D41" s="75">
        <f t="shared" si="0"/>
        <v>0.998</v>
      </c>
      <c r="E41" s="76">
        <v>28416</v>
      </c>
      <c r="F41">
        <v>0</v>
      </c>
    </row>
    <row r="42" spans="1:6" x14ac:dyDescent="0.25">
      <c r="A42" t="s">
        <v>225</v>
      </c>
      <c r="B42" t="s">
        <v>2620</v>
      </c>
      <c r="C42" s="14">
        <v>1.2999999999999999E-2</v>
      </c>
      <c r="D42" s="14">
        <f t="shared" ref="D42:D56" si="3">MIN(1,1-C42)</f>
        <v>0.98699999999999999</v>
      </c>
      <c r="E42" s="7">
        <v>64649</v>
      </c>
      <c r="F42">
        <v>1</v>
      </c>
    </row>
    <row r="43" spans="1:6" x14ac:dyDescent="0.25">
      <c r="A43" t="s">
        <v>226</v>
      </c>
      <c r="B43" t="s">
        <v>2620</v>
      </c>
      <c r="C43" s="14">
        <v>1.4E-2</v>
      </c>
      <c r="D43" s="14">
        <f t="shared" si="3"/>
        <v>0.98599999999999999</v>
      </c>
      <c r="E43" s="7">
        <v>85146</v>
      </c>
      <c r="F43">
        <v>1</v>
      </c>
    </row>
    <row r="44" spans="1:6" x14ac:dyDescent="0.25">
      <c r="A44" s="74" t="s">
        <v>227</v>
      </c>
      <c r="B44" s="74" t="s">
        <v>2620</v>
      </c>
      <c r="C44" s="75">
        <v>4.0000000000000001E-3</v>
      </c>
      <c r="D44" s="75">
        <f t="shared" si="3"/>
        <v>0.996</v>
      </c>
      <c r="E44" s="76">
        <v>74909</v>
      </c>
      <c r="F44">
        <v>0</v>
      </c>
    </row>
    <row r="45" spans="1:6" x14ac:dyDescent="0.25">
      <c r="A45" s="74" t="s">
        <v>228</v>
      </c>
      <c r="B45" s="74" t="s">
        <v>2620</v>
      </c>
      <c r="C45" s="75">
        <v>5.0000000000000001E-3</v>
      </c>
      <c r="D45" s="75">
        <f t="shared" si="3"/>
        <v>0.995</v>
      </c>
      <c r="E45" s="76">
        <v>83928</v>
      </c>
      <c r="F45">
        <v>0</v>
      </c>
    </row>
    <row r="46" spans="1:6" x14ac:dyDescent="0.25">
      <c r="A46" s="74" t="s">
        <v>229</v>
      </c>
      <c r="B46" s="74" t="s">
        <v>2620</v>
      </c>
      <c r="C46" s="75">
        <v>3.0000000000000001E-3</v>
      </c>
      <c r="D46" s="75">
        <f t="shared" si="3"/>
        <v>0.997</v>
      </c>
      <c r="E46" s="76">
        <v>75994</v>
      </c>
      <c r="F46">
        <v>0</v>
      </c>
    </row>
    <row r="47" spans="1:6" x14ac:dyDescent="0.25">
      <c r="A47" t="s">
        <v>225</v>
      </c>
      <c r="B47" t="s">
        <v>2621</v>
      </c>
      <c r="C47" s="14">
        <v>1.7000000000000001E-2</v>
      </c>
      <c r="D47" s="14">
        <f t="shared" si="3"/>
        <v>0.98299999999999998</v>
      </c>
      <c r="E47" s="7">
        <v>49925</v>
      </c>
      <c r="F47">
        <v>1</v>
      </c>
    </row>
    <row r="48" spans="1:6" x14ac:dyDescent="0.25">
      <c r="A48" t="s">
        <v>226</v>
      </c>
      <c r="B48" t="s">
        <v>2621</v>
      </c>
      <c r="C48" s="14">
        <v>1.4999999999999999E-2</v>
      </c>
      <c r="D48" s="14">
        <f t="shared" si="3"/>
        <v>0.98499999999999999</v>
      </c>
      <c r="E48" s="7">
        <v>55380</v>
      </c>
      <c r="F48">
        <v>1</v>
      </c>
    </row>
    <row r="49" spans="1:6" x14ac:dyDescent="0.25">
      <c r="A49" s="74" t="s">
        <v>227</v>
      </c>
      <c r="B49" s="74" t="s">
        <v>2621</v>
      </c>
      <c r="C49" s="75">
        <v>4.0000000000000001E-3</v>
      </c>
      <c r="D49" s="75">
        <f t="shared" si="3"/>
        <v>0.996</v>
      </c>
      <c r="E49" s="76">
        <v>55399</v>
      </c>
      <c r="F49">
        <v>0</v>
      </c>
    </row>
    <row r="50" spans="1:6" x14ac:dyDescent="0.25">
      <c r="A50" s="74" t="s">
        <v>228</v>
      </c>
      <c r="B50" s="74" t="s">
        <v>2621</v>
      </c>
      <c r="C50" s="75">
        <v>6.0000000000000001E-3</v>
      </c>
      <c r="D50" s="75">
        <f t="shared" si="3"/>
        <v>0.99399999999999999</v>
      </c>
      <c r="E50" s="76">
        <v>58155</v>
      </c>
      <c r="F50">
        <v>0</v>
      </c>
    </row>
    <row r="51" spans="1:6" x14ac:dyDescent="0.25">
      <c r="A51" s="74" t="s">
        <v>229</v>
      </c>
      <c r="B51" s="74" t="s">
        <v>2621</v>
      </c>
      <c r="C51" s="75">
        <v>3.0000000000000001E-3</v>
      </c>
      <c r="D51" s="75">
        <f t="shared" si="3"/>
        <v>0.997</v>
      </c>
      <c r="E51" s="76">
        <v>54585</v>
      </c>
      <c r="F51">
        <v>0</v>
      </c>
    </row>
    <row r="52" spans="1:6" x14ac:dyDescent="0.25">
      <c r="A52" s="74" t="s">
        <v>225</v>
      </c>
      <c r="B52" s="74" t="s">
        <v>2622</v>
      </c>
      <c r="C52" s="75">
        <v>2E-3</v>
      </c>
      <c r="D52" s="75">
        <f t="shared" si="3"/>
        <v>0.998</v>
      </c>
      <c r="E52" s="76">
        <v>33440</v>
      </c>
      <c r="F52">
        <v>0</v>
      </c>
    </row>
    <row r="53" spans="1:6" x14ac:dyDescent="0.25">
      <c r="A53" s="74" t="s">
        <v>226</v>
      </c>
      <c r="B53" s="74" t="s">
        <v>2622</v>
      </c>
      <c r="C53" s="75">
        <v>3.0000000000000001E-3</v>
      </c>
      <c r="D53" s="75">
        <f t="shared" si="3"/>
        <v>0.997</v>
      </c>
      <c r="E53" s="76">
        <v>46801</v>
      </c>
      <c r="F53">
        <v>0</v>
      </c>
    </row>
    <row r="54" spans="1:6" x14ac:dyDescent="0.25">
      <c r="A54" t="s">
        <v>227</v>
      </c>
      <c r="B54" t="s">
        <v>2622</v>
      </c>
      <c r="C54" s="14">
        <v>3.0000000000000001E-3</v>
      </c>
      <c r="D54" s="14">
        <f t="shared" si="3"/>
        <v>0.997</v>
      </c>
      <c r="E54" s="7">
        <v>44195</v>
      </c>
      <c r="F54">
        <v>1</v>
      </c>
    </row>
    <row r="55" spans="1:6" x14ac:dyDescent="0.25">
      <c r="A55" t="s">
        <v>228</v>
      </c>
      <c r="B55" t="s">
        <v>2622</v>
      </c>
      <c r="C55" s="14">
        <v>3.0000000000000001E-3</v>
      </c>
      <c r="D55" s="14">
        <f t="shared" si="3"/>
        <v>0.997</v>
      </c>
      <c r="E55" s="7">
        <v>57232</v>
      </c>
      <c r="F55">
        <v>1</v>
      </c>
    </row>
    <row r="56" spans="1:6" x14ac:dyDescent="0.25">
      <c r="A56" t="s">
        <v>229</v>
      </c>
      <c r="B56" t="s">
        <v>2622</v>
      </c>
      <c r="C56" s="14">
        <v>4.0000000000000001E-3</v>
      </c>
      <c r="D56" s="14">
        <f t="shared" si="3"/>
        <v>0.996</v>
      </c>
      <c r="E56" s="7">
        <v>48119</v>
      </c>
      <c r="F56">
        <v>1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141"/>
  <sheetViews>
    <sheetView workbookViewId="0"/>
  </sheetViews>
  <sheetFormatPr defaultRowHeight="15" x14ac:dyDescent="0.25"/>
  <cols>
    <col min="1" max="1" width="14.7109375" customWidth="1"/>
    <col min="2" max="2" width="15.28515625" customWidth="1"/>
    <col min="3" max="3" width="28.5703125" bestFit="1" customWidth="1"/>
    <col min="4" max="4" width="13.28515625" bestFit="1" customWidth="1"/>
    <col min="5" max="5" width="26.140625" bestFit="1" customWidth="1"/>
    <col min="11" max="11" width="26.140625" bestFit="1" customWidth="1"/>
    <col min="12" max="12" width="16.28515625" bestFit="1" customWidth="1"/>
    <col min="13" max="13" width="7.85546875" customWidth="1"/>
    <col min="14" max="14" width="10.7109375" customWidth="1"/>
    <col min="15" max="15" width="7.42578125" customWidth="1"/>
    <col min="16" max="16" width="10.42578125" customWidth="1"/>
    <col min="17" max="17" width="13.42578125" bestFit="1" customWidth="1"/>
    <col min="18" max="18" width="9" customWidth="1"/>
    <col min="19" max="19" width="9.5703125" customWidth="1"/>
    <col min="20" max="21" width="11.28515625" bestFit="1" customWidth="1"/>
  </cols>
  <sheetData>
    <row r="1" spans="1:21" x14ac:dyDescent="0.25">
      <c r="A1" s="2" t="s">
        <v>237</v>
      </c>
      <c r="B1" s="2" t="s">
        <v>238</v>
      </c>
      <c r="C1" s="2" t="s">
        <v>239</v>
      </c>
      <c r="D1" s="2" t="s">
        <v>224</v>
      </c>
      <c r="E1" s="2" t="s">
        <v>2256</v>
      </c>
      <c r="F1" s="2" t="s">
        <v>2561</v>
      </c>
      <c r="K1" s="15" t="s">
        <v>2562</v>
      </c>
      <c r="L1" s="15" t="s">
        <v>235</v>
      </c>
    </row>
    <row r="2" spans="1:21" x14ac:dyDescent="0.25">
      <c r="A2" t="s">
        <v>240</v>
      </c>
      <c r="B2" t="s">
        <v>241</v>
      </c>
      <c r="C2" t="s">
        <v>242</v>
      </c>
      <c r="D2" t="s">
        <v>243</v>
      </c>
      <c r="E2" t="str">
        <f>INDEX('State Codes'!$E$7:$E$70,MATCH(INDEX('State Codes'!$C$7:$C$70,MATCH('County Climates'!B2,'State Codes'!$D$7:$D$70,0),1),'State Codes'!$C$7:$C$70,0),1)</f>
        <v>East South Central Division</v>
      </c>
      <c r="F2">
        <f>INDEX('CBECS_Table B5'!$C$6:$K$6,1,MATCH('County Climates'!E2,'CBECS_Table B5'!$C$1:$K$1,0))</f>
        <v>4904</v>
      </c>
      <c r="K2" s="15" t="s">
        <v>234</v>
      </c>
      <c r="L2" t="s">
        <v>228</v>
      </c>
      <c r="M2" t="s">
        <v>359</v>
      </c>
      <c r="N2" t="s">
        <v>243</v>
      </c>
      <c r="O2" t="s">
        <v>227</v>
      </c>
      <c r="P2" t="s">
        <v>357</v>
      </c>
      <c r="Q2" t="s">
        <v>247</v>
      </c>
      <c r="R2" t="s">
        <v>1386</v>
      </c>
      <c r="S2" t="s">
        <v>229</v>
      </c>
      <c r="U2" t="s">
        <v>2563</v>
      </c>
    </row>
    <row r="3" spans="1:21" x14ac:dyDescent="0.25">
      <c r="A3" t="s">
        <v>240</v>
      </c>
      <c r="B3" t="s">
        <v>241</v>
      </c>
      <c r="C3" t="s">
        <v>244</v>
      </c>
      <c r="D3" t="s">
        <v>243</v>
      </c>
      <c r="E3" t="str">
        <f>INDEX('State Codes'!$E$7:$E$70,MATCH(INDEX('State Codes'!$C$7:$C$70,MATCH('County Climates'!B3,'State Codes'!$D$7:$D$70,0),1),'State Codes'!$C$7:$C$70,0),1)</f>
        <v>East South Central Division</v>
      </c>
      <c r="F3">
        <f>INDEX('CBECS_Table B5'!$C$6:$K$6,1,MATCH('County Climates'!E3,'CBECS_Table B5'!$C$1:$K$1,0))</f>
        <v>4904</v>
      </c>
      <c r="K3" s="3" t="s">
        <v>2270</v>
      </c>
      <c r="L3" s="51">
        <v>0.76659038901601828</v>
      </c>
      <c r="M3" s="51">
        <v>0</v>
      </c>
      <c r="N3" s="51">
        <v>0</v>
      </c>
      <c r="O3" s="51">
        <v>0</v>
      </c>
      <c r="P3" s="51">
        <v>0</v>
      </c>
      <c r="Q3" s="51">
        <v>0.17620137299771166</v>
      </c>
      <c r="R3" s="51">
        <v>0</v>
      </c>
      <c r="S3" s="51">
        <v>5.7208237986270026E-2</v>
      </c>
      <c r="U3">
        <f>INDEX('CBECS_Table B5'!$C$6:$K$6,1,MATCH('County Climates'!K3,'CBECS_Table B5'!$C$1:$K$1,0))</f>
        <v>12742</v>
      </c>
    </row>
    <row r="4" spans="1:21" x14ac:dyDescent="0.25">
      <c r="A4" t="s">
        <v>240</v>
      </c>
      <c r="B4" t="s">
        <v>241</v>
      </c>
      <c r="C4" t="s">
        <v>245</v>
      </c>
      <c r="D4" t="s">
        <v>243</v>
      </c>
      <c r="E4" t="str">
        <f>INDEX('State Codes'!$E$7:$E$70,MATCH(INDEX('State Codes'!$C$7:$C$70,MATCH('County Climates'!B4,'State Codes'!$D$7:$D$70,0),1),'State Codes'!$C$7:$C$70,0),1)</f>
        <v>East South Central Division</v>
      </c>
      <c r="F4">
        <f>INDEX('CBECS_Table B5'!$C$6:$K$6,1,MATCH('County Climates'!E4,'CBECS_Table B5'!$C$1:$K$1,0))</f>
        <v>4904</v>
      </c>
      <c r="K4" s="3" t="s">
        <v>2279</v>
      </c>
      <c r="L4" s="51">
        <v>0</v>
      </c>
      <c r="M4" s="51">
        <v>0</v>
      </c>
      <c r="N4" s="51">
        <v>0.15109890109890109</v>
      </c>
      <c r="O4" s="51">
        <v>0</v>
      </c>
      <c r="P4" s="51">
        <v>0</v>
      </c>
      <c r="Q4" s="51">
        <v>0.84890109890109888</v>
      </c>
      <c r="R4" s="51">
        <v>0</v>
      </c>
      <c r="S4" s="51">
        <v>0</v>
      </c>
      <c r="U4">
        <f>INDEX('CBECS_Table B5'!$C$6:$K$6,1,MATCH('County Climates'!K4,'CBECS_Table B5'!$C$1:$K$1,0))</f>
        <v>4904</v>
      </c>
    </row>
    <row r="5" spans="1:21" x14ac:dyDescent="0.25">
      <c r="A5" t="s">
        <v>240</v>
      </c>
      <c r="B5" t="s">
        <v>241</v>
      </c>
      <c r="C5" t="s">
        <v>246</v>
      </c>
      <c r="D5" t="s">
        <v>247</v>
      </c>
      <c r="E5" t="str">
        <f>INDEX('State Codes'!$E$7:$E$70,MATCH(INDEX('State Codes'!$C$7:$C$70,MATCH('County Climates'!B5,'State Codes'!$D$7:$D$70,0),1),'State Codes'!$C$7:$C$70,0),1)</f>
        <v>East South Central Division</v>
      </c>
      <c r="F5">
        <f>INDEX('CBECS_Table B5'!$C$6:$K$6,1,MATCH('County Climates'!E5,'CBECS_Table B5'!$C$1:$K$1,0))</f>
        <v>4904</v>
      </c>
      <c r="K5" s="3" t="s">
        <v>2266</v>
      </c>
      <c r="L5" s="51">
        <v>0.82</v>
      </c>
      <c r="M5" s="51">
        <v>0</v>
      </c>
      <c r="N5" s="51">
        <v>0</v>
      </c>
      <c r="O5" s="51">
        <v>0</v>
      </c>
      <c r="P5" s="51">
        <v>0</v>
      </c>
      <c r="Q5" s="51">
        <v>0.18</v>
      </c>
      <c r="R5" s="51">
        <v>0</v>
      </c>
      <c r="S5" s="51">
        <v>0</v>
      </c>
      <c r="U5">
        <f>INDEX('CBECS_Table B5'!$C$6:$K$6,1,MATCH('County Climates'!K5,'CBECS_Table B5'!$C$1:$K$1,0))</f>
        <v>11232</v>
      </c>
    </row>
    <row r="6" spans="1:21" x14ac:dyDescent="0.25">
      <c r="A6" t="s">
        <v>240</v>
      </c>
      <c r="B6" t="s">
        <v>241</v>
      </c>
      <c r="C6" t="s">
        <v>248</v>
      </c>
      <c r="D6" t="s">
        <v>247</v>
      </c>
      <c r="E6" t="str">
        <f>INDEX('State Codes'!$E$7:$E$70,MATCH(INDEX('State Codes'!$C$7:$C$70,MATCH('County Climates'!B6,'State Codes'!$D$7:$D$70,0),1),'State Codes'!$C$7:$C$70,0),1)</f>
        <v>East South Central Division</v>
      </c>
      <c r="F6">
        <f>INDEX('CBECS_Table B5'!$C$6:$K$6,1,MATCH('County Climates'!E6,'CBECS_Table B5'!$C$1:$K$1,0))</f>
        <v>4904</v>
      </c>
      <c r="K6" s="3" t="s">
        <v>2284</v>
      </c>
      <c r="L6" s="51">
        <v>0.81494661921708189</v>
      </c>
      <c r="M6" s="51">
        <v>6.7615658362989328E-2</v>
      </c>
      <c r="N6" s="51">
        <v>0</v>
      </c>
      <c r="O6" s="51">
        <v>0</v>
      </c>
      <c r="P6" s="51">
        <v>6.0498220640569395E-2</v>
      </c>
      <c r="Q6" s="51">
        <v>0</v>
      </c>
      <c r="R6" s="51">
        <v>0</v>
      </c>
      <c r="S6" s="51">
        <v>5.6939501779359428E-2</v>
      </c>
      <c r="U6">
        <f>INDEX('CBECS_Table B5'!$C$6:$K$6,1,MATCH('County Climates'!K6,'CBECS_Table B5'!$C$1:$K$1,0))</f>
        <v>4981</v>
      </c>
    </row>
    <row r="7" spans="1:21" x14ac:dyDescent="0.25">
      <c r="A7" t="s">
        <v>240</v>
      </c>
      <c r="B7" t="s">
        <v>241</v>
      </c>
      <c r="C7" t="s">
        <v>249</v>
      </c>
      <c r="D7" t="s">
        <v>243</v>
      </c>
      <c r="E7" t="str">
        <f>INDEX('State Codes'!$E$7:$E$70,MATCH(INDEX('State Codes'!$C$7:$C$70,MATCH('County Climates'!B7,'State Codes'!$D$7:$D$70,0),1),'State Codes'!$C$7:$C$70,0),1)</f>
        <v>East South Central Division</v>
      </c>
      <c r="F7">
        <f>INDEX('CBECS_Table B5'!$C$6:$K$6,1,MATCH('County Climates'!E7,'CBECS_Table B5'!$C$1:$K$1,0))</f>
        <v>4904</v>
      </c>
      <c r="K7" s="3" t="s">
        <v>2261</v>
      </c>
      <c r="L7" s="51">
        <v>0.9850746268656716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>
        <v>0</v>
      </c>
      <c r="S7" s="51">
        <v>1.4925373134328358E-2</v>
      </c>
      <c r="U7">
        <f>INDEX('CBECS_Table B5'!$C$6:$K$6,1,MATCH('County Climates'!K7,'CBECS_Table B5'!$C$1:$K$1,0))</f>
        <v>4302</v>
      </c>
    </row>
    <row r="8" spans="1:21" x14ac:dyDescent="0.25">
      <c r="A8" t="s">
        <v>240</v>
      </c>
      <c r="B8" t="s">
        <v>241</v>
      </c>
      <c r="C8" t="s">
        <v>250</v>
      </c>
      <c r="D8" t="s">
        <v>243</v>
      </c>
      <c r="E8" t="str">
        <f>INDEX('State Codes'!$E$7:$E$70,MATCH(INDEX('State Codes'!$C$7:$C$70,MATCH('County Climates'!B8,'State Codes'!$D$7:$D$70,0),1),'State Codes'!$C$7:$C$70,0),1)</f>
        <v>East South Central Division</v>
      </c>
      <c r="F8">
        <f>INDEX('CBECS_Table B5'!$C$6:$K$6,1,MATCH('County Climates'!E8,'CBECS_Table B5'!$C$1:$K$1,0))</f>
        <v>4904</v>
      </c>
      <c r="K8" s="3" t="s">
        <v>2286</v>
      </c>
      <c r="L8" s="51">
        <v>0.29878048780487804</v>
      </c>
      <c r="M8" s="51">
        <v>0.15853658536585366</v>
      </c>
      <c r="N8" s="51">
        <v>3.048780487804878E-2</v>
      </c>
      <c r="O8" s="51">
        <v>0.3048780487804878</v>
      </c>
      <c r="P8" s="51">
        <v>4.878048780487805E-2</v>
      </c>
      <c r="Q8" s="51">
        <v>0</v>
      </c>
      <c r="R8" s="51">
        <v>5.4878048780487805E-2</v>
      </c>
      <c r="S8" s="51">
        <v>0.10365853658536585</v>
      </c>
      <c r="U8">
        <f>INDEX('CBECS_Table B5'!$C$6:$K$6,1,MATCH('County Climates'!K8,'CBECS_Table B5'!$C$1:$K$1,0))</f>
        <v>13379</v>
      </c>
    </row>
    <row r="9" spans="1:21" x14ac:dyDescent="0.25">
      <c r="A9" t="s">
        <v>240</v>
      </c>
      <c r="B9" t="s">
        <v>241</v>
      </c>
      <c r="C9" t="s">
        <v>251</v>
      </c>
      <c r="D9" t="s">
        <v>247</v>
      </c>
      <c r="E9" t="str">
        <f>INDEX('State Codes'!$E$7:$E$70,MATCH(INDEX('State Codes'!$C$7:$C$70,MATCH('County Climates'!B9,'State Codes'!$D$7:$D$70,0),1),'State Codes'!$C$7:$C$70,0),1)</f>
        <v>East South Central Division</v>
      </c>
      <c r="F9">
        <f>INDEX('CBECS_Table B5'!$C$6:$K$6,1,MATCH('County Climates'!E9,'CBECS_Table B5'!$C$1:$K$1,0))</f>
        <v>4904</v>
      </c>
      <c r="K9" s="3" t="s">
        <v>2275</v>
      </c>
      <c r="L9" s="51">
        <v>5.9422750424448216E-2</v>
      </c>
      <c r="M9" s="51">
        <v>0</v>
      </c>
      <c r="N9" s="51">
        <v>0.27504244482173174</v>
      </c>
      <c r="O9" s="51">
        <v>0</v>
      </c>
      <c r="P9" s="51">
        <v>0</v>
      </c>
      <c r="Q9" s="51">
        <v>0.66553480475381999</v>
      </c>
      <c r="R9" s="51">
        <v>0</v>
      </c>
      <c r="S9" s="51">
        <v>0</v>
      </c>
      <c r="U9">
        <f>INDEX('CBECS_Table B5'!$C$6:$K$6,1,MATCH('County Climates'!K9,'CBECS_Table B5'!$C$1:$K$1,0))</f>
        <v>17981</v>
      </c>
    </row>
    <row r="10" spans="1:21" x14ac:dyDescent="0.25">
      <c r="A10" t="s">
        <v>240</v>
      </c>
      <c r="B10" t="s">
        <v>241</v>
      </c>
      <c r="C10" t="s">
        <v>252</v>
      </c>
      <c r="D10" t="s">
        <v>247</v>
      </c>
      <c r="E10" t="str">
        <f>INDEX('State Codes'!$E$7:$E$70,MATCH(INDEX('State Codes'!$C$7:$C$70,MATCH('County Climates'!B10,'State Codes'!$D$7:$D$70,0),1),'State Codes'!$C$7:$C$70,0),1)</f>
        <v>East South Central Division</v>
      </c>
      <c r="F10">
        <f>INDEX('CBECS_Table B5'!$C$6:$K$6,1,MATCH('County Climates'!E10,'CBECS_Table B5'!$C$1:$K$1,0))</f>
        <v>4904</v>
      </c>
      <c r="K10" s="3" t="s">
        <v>2272</v>
      </c>
      <c r="L10" s="51">
        <v>0.63915857605177995</v>
      </c>
      <c r="M10" s="51">
        <v>0</v>
      </c>
      <c r="N10" s="51">
        <v>0</v>
      </c>
      <c r="O10" s="51">
        <v>0</v>
      </c>
      <c r="P10" s="51">
        <v>0</v>
      </c>
      <c r="Q10" s="51">
        <v>0.26375404530744334</v>
      </c>
      <c r="R10" s="51">
        <v>0</v>
      </c>
      <c r="S10" s="51">
        <v>9.7087378640776698E-2</v>
      </c>
      <c r="U10">
        <f>INDEX('CBECS_Table B5'!$C$6:$K$6,1,MATCH('County Climates'!K10,'CBECS_Table B5'!$C$1:$K$1,0))</f>
        <v>6178</v>
      </c>
    </row>
    <row r="11" spans="1:21" x14ac:dyDescent="0.25">
      <c r="A11" t="s">
        <v>240</v>
      </c>
      <c r="B11" t="s">
        <v>241</v>
      </c>
      <c r="C11" t="s">
        <v>253</v>
      </c>
      <c r="D11" t="s">
        <v>247</v>
      </c>
      <c r="E11" t="str">
        <f>INDEX('State Codes'!$E$7:$E$70,MATCH(INDEX('State Codes'!$C$7:$C$70,MATCH('County Climates'!B11,'State Codes'!$D$7:$D$70,0),1),'State Codes'!$C$7:$C$70,0),1)</f>
        <v>East South Central Division</v>
      </c>
      <c r="F11">
        <f>INDEX('CBECS_Table B5'!$C$6:$K$6,1,MATCH('County Climates'!E11,'CBECS_Table B5'!$C$1:$K$1,0))</f>
        <v>4904</v>
      </c>
      <c r="K11" s="3" t="s">
        <v>2281</v>
      </c>
      <c r="L11" s="51">
        <v>0</v>
      </c>
      <c r="M11" s="51">
        <v>0.14893617021276595</v>
      </c>
      <c r="N11" s="51">
        <v>0.44468085106382976</v>
      </c>
      <c r="O11" s="51">
        <v>0</v>
      </c>
      <c r="P11" s="51">
        <v>6.5957446808510636E-2</v>
      </c>
      <c r="Q11" s="51">
        <v>0.34042553191489361</v>
      </c>
      <c r="R11" s="51">
        <v>0</v>
      </c>
      <c r="S11" s="51">
        <v>0</v>
      </c>
      <c r="U11">
        <f>INDEX('CBECS_Table B5'!$C$6:$K$6,1,MATCH('County Climates'!K11,'CBECS_Table B5'!$C$1:$K$1,0))</f>
        <v>11394</v>
      </c>
    </row>
    <row r="12" spans="1:21" x14ac:dyDescent="0.25">
      <c r="A12" t="s">
        <v>240</v>
      </c>
      <c r="B12" t="s">
        <v>241</v>
      </c>
      <c r="C12" t="s">
        <v>254</v>
      </c>
      <c r="D12" t="s">
        <v>247</v>
      </c>
      <c r="E12" t="str">
        <f>INDEX('State Codes'!$E$7:$E$70,MATCH(INDEX('State Codes'!$C$7:$C$70,MATCH('County Climates'!B12,'State Codes'!$D$7:$D$70,0),1),'State Codes'!$C$7:$C$70,0),1)</f>
        <v>East South Central Division</v>
      </c>
      <c r="F12">
        <f>INDEX('CBECS_Table B5'!$C$6:$K$6,1,MATCH('County Climates'!E12,'CBECS_Table B5'!$C$1:$K$1,0))</f>
        <v>4904</v>
      </c>
    </row>
    <row r="13" spans="1:21" x14ac:dyDescent="0.25">
      <c r="A13" t="s">
        <v>240</v>
      </c>
      <c r="B13" t="s">
        <v>241</v>
      </c>
      <c r="C13" t="s">
        <v>255</v>
      </c>
      <c r="D13" t="s">
        <v>243</v>
      </c>
      <c r="E13" t="str">
        <f>INDEX('State Codes'!$E$7:$E$70,MATCH(INDEX('State Codes'!$C$7:$C$70,MATCH('County Climates'!B13,'State Codes'!$D$7:$D$70,0),1),'State Codes'!$C$7:$C$70,0),1)</f>
        <v>East South Central Division</v>
      </c>
      <c r="F13">
        <f>INDEX('CBECS_Table B5'!$C$6:$K$6,1,MATCH('County Climates'!E13,'CBECS_Table B5'!$C$1:$K$1,0))</f>
        <v>4904</v>
      </c>
    </row>
    <row r="14" spans="1:21" x14ac:dyDescent="0.25">
      <c r="A14" t="s">
        <v>240</v>
      </c>
      <c r="B14" t="s">
        <v>241</v>
      </c>
      <c r="C14" t="s">
        <v>256</v>
      </c>
      <c r="D14" t="s">
        <v>243</v>
      </c>
      <c r="E14" t="str">
        <f>INDEX('State Codes'!$E$7:$E$70,MATCH(INDEX('State Codes'!$C$7:$C$70,MATCH('County Climates'!B14,'State Codes'!$D$7:$D$70,0),1),'State Codes'!$C$7:$C$70,0),1)</f>
        <v>East South Central Division</v>
      </c>
      <c r="F14">
        <f>INDEX('CBECS_Table B5'!$C$6:$K$6,1,MATCH('County Climates'!E14,'CBECS_Table B5'!$C$1:$K$1,0))</f>
        <v>4904</v>
      </c>
      <c r="K14" s="131" t="s">
        <v>2255</v>
      </c>
      <c r="L14" s="130" t="s">
        <v>2563</v>
      </c>
      <c r="M14" s="130"/>
      <c r="N14" s="130"/>
      <c r="O14" s="130"/>
      <c r="P14" s="130"/>
      <c r="Q14" s="130"/>
      <c r="R14" s="130"/>
      <c r="S14" s="130"/>
    </row>
    <row r="15" spans="1:21" x14ac:dyDescent="0.25">
      <c r="A15" t="s">
        <v>240</v>
      </c>
      <c r="B15" t="s">
        <v>241</v>
      </c>
      <c r="C15" t="s">
        <v>257</v>
      </c>
      <c r="D15" t="s">
        <v>247</v>
      </c>
      <c r="E15" t="str">
        <f>INDEX('State Codes'!$E$7:$E$70,MATCH(INDEX('State Codes'!$C$7:$C$70,MATCH('County Climates'!B15,'State Codes'!$D$7:$D$70,0),1),'State Codes'!$C$7:$C$70,0),1)</f>
        <v>East South Central Division</v>
      </c>
      <c r="F15">
        <f>INDEX('CBECS_Table B5'!$C$6:$K$6,1,MATCH('County Climates'!E15,'CBECS_Table B5'!$C$1:$K$1,0))</f>
        <v>4904</v>
      </c>
      <c r="K15" s="131"/>
      <c r="L15" t="s">
        <v>228</v>
      </c>
      <c r="M15" t="s">
        <v>359</v>
      </c>
      <c r="N15" t="s">
        <v>243</v>
      </c>
      <c r="O15" t="s">
        <v>227</v>
      </c>
      <c r="P15" t="s">
        <v>357</v>
      </c>
      <c r="Q15" t="s">
        <v>247</v>
      </c>
      <c r="R15" t="s">
        <v>1386</v>
      </c>
      <c r="S15" t="s">
        <v>229</v>
      </c>
    </row>
    <row r="16" spans="1:21" x14ac:dyDescent="0.25">
      <c r="A16" t="s">
        <v>240</v>
      </c>
      <c r="B16" t="s">
        <v>241</v>
      </c>
      <c r="C16" t="s">
        <v>258</v>
      </c>
      <c r="D16" t="s">
        <v>247</v>
      </c>
      <c r="E16" t="str">
        <f>INDEX('State Codes'!$E$7:$E$70,MATCH(INDEX('State Codes'!$C$7:$C$70,MATCH('County Climates'!B16,'State Codes'!$D$7:$D$70,0),1),'State Codes'!$C$7:$C$70,0),1)</f>
        <v>East South Central Division</v>
      </c>
      <c r="F16">
        <f>INDEX('CBECS_Table B5'!$C$6:$K$6,1,MATCH('County Climates'!E16,'CBECS_Table B5'!$C$1:$K$1,0))</f>
        <v>4904</v>
      </c>
      <c r="K16" t="s">
        <v>2270</v>
      </c>
      <c r="L16" s="52">
        <f>L3*$U3*10^6</f>
        <v>9767894736.8421059</v>
      </c>
      <c r="M16" s="52">
        <f t="shared" ref="M16:S16" si="0">M3*$U3*10^6</f>
        <v>0</v>
      </c>
      <c r="N16" s="52">
        <f t="shared" si="0"/>
        <v>0</v>
      </c>
      <c r="O16" s="52">
        <f t="shared" si="0"/>
        <v>0</v>
      </c>
      <c r="P16" s="52">
        <f t="shared" si="0"/>
        <v>0</v>
      </c>
      <c r="Q16" s="52">
        <f t="shared" si="0"/>
        <v>2245157894.7368422</v>
      </c>
      <c r="R16" s="52">
        <f t="shared" si="0"/>
        <v>0</v>
      </c>
      <c r="S16" s="52">
        <f t="shared" si="0"/>
        <v>728947368.42105269</v>
      </c>
    </row>
    <row r="17" spans="1:19" x14ac:dyDescent="0.25">
      <c r="A17" t="s">
        <v>240</v>
      </c>
      <c r="B17" t="s">
        <v>241</v>
      </c>
      <c r="C17" t="s">
        <v>259</v>
      </c>
      <c r="D17" t="s">
        <v>243</v>
      </c>
      <c r="E17" t="str">
        <f>INDEX('State Codes'!$E$7:$E$70,MATCH(INDEX('State Codes'!$C$7:$C$70,MATCH('County Climates'!B17,'State Codes'!$D$7:$D$70,0),1),'State Codes'!$C$7:$C$70,0),1)</f>
        <v>East South Central Division</v>
      </c>
      <c r="F17">
        <f>INDEX('CBECS_Table B5'!$C$6:$K$6,1,MATCH('County Climates'!E17,'CBECS_Table B5'!$C$1:$K$1,0))</f>
        <v>4904</v>
      </c>
      <c r="K17" t="s">
        <v>2279</v>
      </c>
      <c r="L17" s="52">
        <f t="shared" ref="L17:S17" si="1">L4*$U4*10^6</f>
        <v>0</v>
      </c>
      <c r="M17" s="52">
        <f t="shared" si="1"/>
        <v>0</v>
      </c>
      <c r="N17" s="52">
        <f t="shared" si="1"/>
        <v>740989010.98901093</v>
      </c>
      <c r="O17" s="52">
        <f t="shared" si="1"/>
        <v>0</v>
      </c>
      <c r="P17" s="52">
        <f t="shared" si="1"/>
        <v>0</v>
      </c>
      <c r="Q17" s="52">
        <f t="shared" si="1"/>
        <v>4163010989.0109887</v>
      </c>
      <c r="R17" s="52">
        <f t="shared" si="1"/>
        <v>0</v>
      </c>
      <c r="S17" s="52">
        <f t="shared" si="1"/>
        <v>0</v>
      </c>
    </row>
    <row r="18" spans="1:19" x14ac:dyDescent="0.25">
      <c r="A18" t="s">
        <v>240</v>
      </c>
      <c r="B18" t="s">
        <v>241</v>
      </c>
      <c r="C18" t="s">
        <v>260</v>
      </c>
      <c r="D18" t="s">
        <v>247</v>
      </c>
      <c r="E18" t="str">
        <f>INDEX('State Codes'!$E$7:$E$70,MATCH(INDEX('State Codes'!$C$7:$C$70,MATCH('County Climates'!B18,'State Codes'!$D$7:$D$70,0),1),'State Codes'!$C$7:$C$70,0),1)</f>
        <v>East South Central Division</v>
      </c>
      <c r="F18">
        <f>INDEX('CBECS_Table B5'!$C$6:$K$6,1,MATCH('County Climates'!E18,'CBECS_Table B5'!$C$1:$K$1,0))</f>
        <v>4904</v>
      </c>
      <c r="K18" t="s">
        <v>2266</v>
      </c>
      <c r="L18" s="52">
        <f t="shared" ref="L18:S18" si="2">L5*$U5*10^6</f>
        <v>9210240000</v>
      </c>
      <c r="M18" s="52">
        <f t="shared" si="2"/>
        <v>0</v>
      </c>
      <c r="N18" s="52">
        <f t="shared" si="2"/>
        <v>0</v>
      </c>
      <c r="O18" s="52">
        <f t="shared" si="2"/>
        <v>0</v>
      </c>
      <c r="P18" s="52">
        <f t="shared" si="2"/>
        <v>0</v>
      </c>
      <c r="Q18" s="52">
        <f t="shared" si="2"/>
        <v>2021760000</v>
      </c>
      <c r="R18" s="52">
        <f t="shared" si="2"/>
        <v>0</v>
      </c>
      <c r="S18" s="52">
        <f t="shared" si="2"/>
        <v>0</v>
      </c>
    </row>
    <row r="19" spans="1:19" x14ac:dyDescent="0.25">
      <c r="A19" t="s">
        <v>240</v>
      </c>
      <c r="B19" t="s">
        <v>241</v>
      </c>
      <c r="C19" t="s">
        <v>261</v>
      </c>
      <c r="D19" t="s">
        <v>243</v>
      </c>
      <c r="E19" t="str">
        <f>INDEX('State Codes'!$E$7:$E$70,MATCH(INDEX('State Codes'!$C$7:$C$70,MATCH('County Climates'!B19,'State Codes'!$D$7:$D$70,0),1),'State Codes'!$C$7:$C$70,0),1)</f>
        <v>East South Central Division</v>
      </c>
      <c r="F19">
        <f>INDEX('CBECS_Table B5'!$C$6:$K$6,1,MATCH('County Climates'!E19,'CBECS_Table B5'!$C$1:$K$1,0))</f>
        <v>4904</v>
      </c>
      <c r="K19" t="s">
        <v>2284</v>
      </c>
      <c r="L19" s="52">
        <f t="shared" ref="L19:S19" si="3">L6*$U6*10^6</f>
        <v>4059249110.3202853</v>
      </c>
      <c r="M19" s="52">
        <f t="shared" si="3"/>
        <v>336793594.30604982</v>
      </c>
      <c r="N19" s="52">
        <f t="shared" si="3"/>
        <v>0</v>
      </c>
      <c r="O19" s="52">
        <f t="shared" si="3"/>
        <v>0</v>
      </c>
      <c r="P19" s="52">
        <f t="shared" si="3"/>
        <v>301341637.01067615</v>
      </c>
      <c r="Q19" s="52">
        <f t="shared" si="3"/>
        <v>0</v>
      </c>
      <c r="R19" s="52">
        <f t="shared" si="3"/>
        <v>0</v>
      </c>
      <c r="S19" s="52">
        <f t="shared" si="3"/>
        <v>283615658.36298931</v>
      </c>
    </row>
    <row r="20" spans="1:19" x14ac:dyDescent="0.25">
      <c r="A20" t="s">
        <v>240</v>
      </c>
      <c r="B20" t="s">
        <v>241</v>
      </c>
      <c r="C20" t="s">
        <v>262</v>
      </c>
      <c r="D20" t="s">
        <v>247</v>
      </c>
      <c r="E20" t="str">
        <f>INDEX('State Codes'!$E$7:$E$70,MATCH(INDEX('State Codes'!$C$7:$C$70,MATCH('County Climates'!B20,'State Codes'!$D$7:$D$70,0),1),'State Codes'!$C$7:$C$70,0),1)</f>
        <v>East South Central Division</v>
      </c>
      <c r="F20">
        <f>INDEX('CBECS_Table B5'!$C$6:$K$6,1,MATCH('County Climates'!E20,'CBECS_Table B5'!$C$1:$K$1,0))</f>
        <v>4904</v>
      </c>
      <c r="K20" t="s">
        <v>2261</v>
      </c>
      <c r="L20" s="52">
        <f t="shared" ref="L20:S20" si="4">L7*$U7*10^6</f>
        <v>4237791044.7761197</v>
      </c>
      <c r="M20" s="52">
        <f t="shared" si="4"/>
        <v>0</v>
      </c>
      <c r="N20" s="52">
        <f t="shared" si="4"/>
        <v>0</v>
      </c>
      <c r="O20" s="52">
        <f t="shared" si="4"/>
        <v>0</v>
      </c>
      <c r="P20" s="52">
        <f t="shared" si="4"/>
        <v>0</v>
      </c>
      <c r="Q20" s="52">
        <f t="shared" si="4"/>
        <v>0</v>
      </c>
      <c r="R20" s="52">
        <f t="shared" si="4"/>
        <v>0</v>
      </c>
      <c r="S20" s="52">
        <f t="shared" si="4"/>
        <v>64208955.223880596</v>
      </c>
    </row>
    <row r="21" spans="1:19" x14ac:dyDescent="0.25">
      <c r="A21" t="s">
        <v>240</v>
      </c>
      <c r="B21" t="s">
        <v>241</v>
      </c>
      <c r="C21" t="s">
        <v>263</v>
      </c>
      <c r="D21" t="s">
        <v>243</v>
      </c>
      <c r="E21" t="str">
        <f>INDEX('State Codes'!$E$7:$E$70,MATCH(INDEX('State Codes'!$C$7:$C$70,MATCH('County Climates'!B21,'State Codes'!$D$7:$D$70,0),1),'State Codes'!$C$7:$C$70,0),1)</f>
        <v>East South Central Division</v>
      </c>
      <c r="F21">
        <f>INDEX('CBECS_Table B5'!$C$6:$K$6,1,MATCH('County Climates'!E21,'CBECS_Table B5'!$C$1:$K$1,0))</f>
        <v>4904</v>
      </c>
      <c r="K21" t="s">
        <v>2286</v>
      </c>
      <c r="L21" s="52">
        <f t="shared" ref="L21:S21" si="5">L8*$U8*10^6</f>
        <v>3997384146.3414631</v>
      </c>
      <c r="M21" s="52">
        <f t="shared" si="5"/>
        <v>2121060975.609756</v>
      </c>
      <c r="N21" s="52">
        <f t="shared" si="5"/>
        <v>407896341.46341461</v>
      </c>
      <c r="O21" s="52">
        <f t="shared" si="5"/>
        <v>4078963414.6341462</v>
      </c>
      <c r="P21" s="52">
        <f t="shared" si="5"/>
        <v>652634146.34146345</v>
      </c>
      <c r="Q21" s="52">
        <f t="shared" si="5"/>
        <v>0</v>
      </c>
      <c r="R21" s="52">
        <f t="shared" si="5"/>
        <v>734213414.63414633</v>
      </c>
      <c r="S21" s="52">
        <f t="shared" si="5"/>
        <v>1386847560.9756098</v>
      </c>
    </row>
    <row r="22" spans="1:19" x14ac:dyDescent="0.25">
      <c r="A22" t="s">
        <v>240</v>
      </c>
      <c r="B22" t="s">
        <v>241</v>
      </c>
      <c r="C22" t="s">
        <v>264</v>
      </c>
      <c r="D22" t="s">
        <v>243</v>
      </c>
      <c r="E22" t="str">
        <f>INDEX('State Codes'!$E$7:$E$70,MATCH(INDEX('State Codes'!$C$7:$C$70,MATCH('County Climates'!B22,'State Codes'!$D$7:$D$70,0),1),'State Codes'!$C$7:$C$70,0),1)</f>
        <v>East South Central Division</v>
      </c>
      <c r="F22">
        <f>INDEX('CBECS_Table B5'!$C$6:$K$6,1,MATCH('County Climates'!E22,'CBECS_Table B5'!$C$1:$K$1,0))</f>
        <v>4904</v>
      </c>
      <c r="K22" t="s">
        <v>2275</v>
      </c>
      <c r="L22" s="52">
        <f t="shared" ref="L22:S22" si="6">L9*$U9*10^6</f>
        <v>1068480475.3820033</v>
      </c>
      <c r="M22" s="52">
        <f t="shared" si="6"/>
        <v>0</v>
      </c>
      <c r="N22" s="52">
        <f t="shared" si="6"/>
        <v>4945538200.3395576</v>
      </c>
      <c r="O22" s="52">
        <f t="shared" si="6"/>
        <v>0</v>
      </c>
      <c r="P22" s="52">
        <f t="shared" si="6"/>
        <v>0</v>
      </c>
      <c r="Q22" s="52">
        <f t="shared" si="6"/>
        <v>11966981324.278437</v>
      </c>
      <c r="R22" s="52">
        <f t="shared" si="6"/>
        <v>0</v>
      </c>
      <c r="S22" s="52">
        <f t="shared" si="6"/>
        <v>0</v>
      </c>
    </row>
    <row r="23" spans="1:19" x14ac:dyDescent="0.25">
      <c r="A23" t="s">
        <v>240</v>
      </c>
      <c r="B23" t="s">
        <v>241</v>
      </c>
      <c r="C23" t="s">
        <v>265</v>
      </c>
      <c r="D23" t="s">
        <v>247</v>
      </c>
      <c r="E23" t="str">
        <f>INDEX('State Codes'!$E$7:$E$70,MATCH(INDEX('State Codes'!$C$7:$C$70,MATCH('County Climates'!B23,'State Codes'!$D$7:$D$70,0),1),'State Codes'!$C$7:$C$70,0),1)</f>
        <v>East South Central Division</v>
      </c>
      <c r="F23">
        <f>INDEX('CBECS_Table B5'!$C$6:$K$6,1,MATCH('County Climates'!E23,'CBECS_Table B5'!$C$1:$K$1,0))</f>
        <v>4904</v>
      </c>
      <c r="K23" t="s">
        <v>2272</v>
      </c>
      <c r="L23" s="52">
        <f t="shared" ref="L23:S23" si="7">L10*$U10*10^6</f>
        <v>3948721682.8478961</v>
      </c>
      <c r="M23" s="52">
        <f t="shared" si="7"/>
        <v>0</v>
      </c>
      <c r="N23" s="52">
        <f t="shared" si="7"/>
        <v>0</v>
      </c>
      <c r="O23" s="52">
        <f t="shared" si="7"/>
        <v>0</v>
      </c>
      <c r="P23" s="52">
        <f t="shared" si="7"/>
        <v>0</v>
      </c>
      <c r="Q23" s="52">
        <f t="shared" si="7"/>
        <v>1629472491.909385</v>
      </c>
      <c r="R23" s="52">
        <f t="shared" si="7"/>
        <v>0</v>
      </c>
      <c r="S23" s="52">
        <f t="shared" si="7"/>
        <v>599805825.24271846</v>
      </c>
    </row>
    <row r="24" spans="1:19" x14ac:dyDescent="0.25">
      <c r="A24" t="s">
        <v>240</v>
      </c>
      <c r="B24" t="s">
        <v>241</v>
      </c>
      <c r="C24" t="s">
        <v>266</v>
      </c>
      <c r="D24" t="s">
        <v>243</v>
      </c>
      <c r="E24" t="str">
        <f>INDEX('State Codes'!$E$7:$E$70,MATCH(INDEX('State Codes'!$C$7:$C$70,MATCH('County Climates'!B24,'State Codes'!$D$7:$D$70,0),1),'State Codes'!$C$7:$C$70,0),1)</f>
        <v>East South Central Division</v>
      </c>
      <c r="F24">
        <f>INDEX('CBECS_Table B5'!$C$6:$K$6,1,MATCH('County Climates'!E24,'CBECS_Table B5'!$C$1:$K$1,0))</f>
        <v>4904</v>
      </c>
      <c r="K24" t="s">
        <v>2281</v>
      </c>
      <c r="L24" s="52">
        <f t="shared" ref="L24:S24" si="8">L11*$U11*10^6</f>
        <v>0</v>
      </c>
      <c r="M24" s="52">
        <f t="shared" si="8"/>
        <v>1696978723.4042554</v>
      </c>
      <c r="N24" s="52">
        <f t="shared" si="8"/>
        <v>5066693617.0212765</v>
      </c>
      <c r="O24" s="52">
        <f t="shared" si="8"/>
        <v>0</v>
      </c>
      <c r="P24" s="52">
        <f t="shared" si="8"/>
        <v>751519148.9361701</v>
      </c>
      <c r="Q24" s="52">
        <f t="shared" si="8"/>
        <v>3878808510.6382976</v>
      </c>
      <c r="R24" s="52">
        <f t="shared" si="8"/>
        <v>0</v>
      </c>
      <c r="S24" s="52">
        <f t="shared" si="8"/>
        <v>0</v>
      </c>
    </row>
    <row r="25" spans="1:19" x14ac:dyDescent="0.25">
      <c r="A25" t="s">
        <v>240</v>
      </c>
      <c r="B25" t="s">
        <v>241</v>
      </c>
      <c r="C25" t="s">
        <v>267</v>
      </c>
      <c r="D25" t="s">
        <v>243</v>
      </c>
      <c r="E25" t="str">
        <f>INDEX('State Codes'!$E$7:$E$70,MATCH(INDEX('State Codes'!$C$7:$C$70,MATCH('County Climates'!B25,'State Codes'!$D$7:$D$70,0),1),'State Codes'!$C$7:$C$70,0),1)</f>
        <v>East South Central Division</v>
      </c>
      <c r="F25">
        <f>INDEX('CBECS_Table B5'!$C$6:$K$6,1,MATCH('County Climates'!E25,'CBECS_Table B5'!$C$1:$K$1,0))</f>
        <v>4904</v>
      </c>
      <c r="K25" t="s">
        <v>2566</v>
      </c>
      <c r="L25" s="52">
        <f>SUM(L16:L24)</f>
        <v>36289761196.509872</v>
      </c>
      <c r="M25" s="52">
        <f t="shared" ref="M25:S25" si="9">SUM(M16:M24)</f>
        <v>4154833293.3200612</v>
      </c>
      <c r="N25" s="52">
        <f t="shared" si="9"/>
        <v>11161117169.813259</v>
      </c>
      <c r="O25" s="52">
        <f t="shared" si="9"/>
        <v>4078963414.6341462</v>
      </c>
      <c r="P25" s="52">
        <f t="shared" si="9"/>
        <v>1705494932.2883096</v>
      </c>
      <c r="Q25" s="52">
        <f t="shared" si="9"/>
        <v>25905191210.573952</v>
      </c>
      <c r="R25" s="52">
        <f t="shared" si="9"/>
        <v>734213414.63414633</v>
      </c>
      <c r="S25" s="52">
        <f t="shared" si="9"/>
        <v>3063425368.2262506</v>
      </c>
    </row>
    <row r="26" spans="1:19" x14ac:dyDescent="0.25">
      <c r="A26" t="s">
        <v>240</v>
      </c>
      <c r="B26" t="s">
        <v>241</v>
      </c>
      <c r="C26" t="s">
        <v>268</v>
      </c>
      <c r="D26" t="s">
        <v>247</v>
      </c>
      <c r="E26" t="str">
        <f>INDEX('State Codes'!$E$7:$E$70,MATCH(INDEX('State Codes'!$C$7:$C$70,MATCH('County Climates'!B26,'State Codes'!$D$7:$D$70,0),1),'State Codes'!$C$7:$C$70,0),1)</f>
        <v>East South Central Division</v>
      </c>
      <c r="F26">
        <f>INDEX('CBECS_Table B5'!$C$6:$K$6,1,MATCH('County Climates'!E26,'CBECS_Table B5'!$C$1:$K$1,0))</f>
        <v>4904</v>
      </c>
    </row>
    <row r="27" spans="1:19" x14ac:dyDescent="0.25">
      <c r="A27" t="s">
        <v>240</v>
      </c>
      <c r="B27" t="s">
        <v>241</v>
      </c>
      <c r="C27" t="s">
        <v>269</v>
      </c>
      <c r="D27" t="s">
        <v>243</v>
      </c>
      <c r="E27" t="str">
        <f>INDEX('State Codes'!$E$7:$E$70,MATCH(INDEX('State Codes'!$C$7:$C$70,MATCH('County Climates'!B27,'State Codes'!$D$7:$D$70,0),1),'State Codes'!$C$7:$C$70,0),1)</f>
        <v>East South Central Division</v>
      </c>
      <c r="F27">
        <f>INDEX('CBECS_Table B5'!$C$6:$K$6,1,MATCH('County Climates'!E27,'CBECS_Table B5'!$C$1:$K$1,0))</f>
        <v>4904</v>
      </c>
      <c r="L27" t="s">
        <v>2565</v>
      </c>
    </row>
    <row r="28" spans="1:19" x14ac:dyDescent="0.25">
      <c r="A28" t="s">
        <v>240</v>
      </c>
      <c r="B28" t="s">
        <v>241</v>
      </c>
      <c r="C28" t="s">
        <v>270</v>
      </c>
      <c r="D28" t="s">
        <v>243</v>
      </c>
      <c r="E28" t="str">
        <f>INDEX('State Codes'!$E$7:$E$70,MATCH(INDEX('State Codes'!$C$7:$C$70,MATCH('County Climates'!B28,'State Codes'!$D$7:$D$70,0),1),'State Codes'!$C$7:$C$70,0),1)</f>
        <v>East South Central Division</v>
      </c>
      <c r="F28">
        <f>INDEX('CBECS_Table B5'!$C$6:$K$6,1,MATCH('County Climates'!E28,'CBECS_Table B5'!$C$1:$K$1,0))</f>
        <v>4904</v>
      </c>
      <c r="K28" t="s">
        <v>228</v>
      </c>
      <c r="L28" s="10">
        <f>SUMIF($L$15:$S$15,K28,$L$25:$S$25)/SUM($L$25:$S$25)</f>
        <v>0.41667827720379225</v>
      </c>
    </row>
    <row r="29" spans="1:19" x14ac:dyDescent="0.25">
      <c r="A29" t="s">
        <v>240</v>
      </c>
      <c r="B29" t="s">
        <v>241</v>
      </c>
      <c r="C29" t="s">
        <v>271</v>
      </c>
      <c r="D29" t="s">
        <v>247</v>
      </c>
      <c r="E29" t="str">
        <f>INDEX('State Codes'!$E$7:$E$70,MATCH(INDEX('State Codes'!$C$7:$C$70,MATCH('County Climates'!B29,'State Codes'!$D$7:$D$70,0),1),'State Codes'!$C$7:$C$70,0),1)</f>
        <v>East South Central Division</v>
      </c>
      <c r="F29">
        <f>INDEX('CBECS_Table B5'!$C$6:$K$6,1,MATCH('County Climates'!E29,'CBECS_Table B5'!$C$1:$K$1,0))</f>
        <v>4904</v>
      </c>
      <c r="K29" t="s">
        <v>359</v>
      </c>
      <c r="L29" s="10">
        <f t="shared" ref="L29:L35" si="10">SUMIF($L$15:$S$15,K29,$L$25:$S$25)/SUM($L$25:$S$25)</f>
        <v>4.7705708763276747E-2</v>
      </c>
    </row>
    <row r="30" spans="1:19" x14ac:dyDescent="0.25">
      <c r="A30" t="s">
        <v>240</v>
      </c>
      <c r="B30" t="s">
        <v>241</v>
      </c>
      <c r="C30" t="s">
        <v>272</v>
      </c>
      <c r="D30" t="s">
        <v>247</v>
      </c>
      <c r="E30" t="str">
        <f>INDEX('State Codes'!$E$7:$E$70,MATCH(INDEX('State Codes'!$C$7:$C$70,MATCH('County Climates'!B30,'State Codes'!$D$7:$D$70,0),1),'State Codes'!$C$7:$C$70,0),1)</f>
        <v>East South Central Division</v>
      </c>
      <c r="F30">
        <f>INDEX('CBECS_Table B5'!$C$6:$K$6,1,MATCH('County Climates'!E30,'CBECS_Table B5'!$C$1:$K$1,0))</f>
        <v>4904</v>
      </c>
      <c r="K30" t="s">
        <v>243</v>
      </c>
      <c r="L30" s="10">
        <f t="shared" si="10"/>
        <v>0.12815171333876732</v>
      </c>
    </row>
    <row r="31" spans="1:19" x14ac:dyDescent="0.25">
      <c r="A31" t="s">
        <v>240</v>
      </c>
      <c r="B31" t="s">
        <v>241</v>
      </c>
      <c r="C31" t="s">
        <v>273</v>
      </c>
      <c r="D31" t="s">
        <v>247</v>
      </c>
      <c r="E31" t="str">
        <f>INDEX('State Codes'!$E$7:$E$70,MATCH(INDEX('State Codes'!$C$7:$C$70,MATCH('County Climates'!B31,'State Codes'!$D$7:$D$70,0),1),'State Codes'!$C$7:$C$70,0),1)</f>
        <v>East South Central Division</v>
      </c>
      <c r="F31">
        <f>INDEX('CBECS_Table B5'!$C$6:$K$6,1,MATCH('County Climates'!E31,'CBECS_Table B5'!$C$1:$K$1,0))</f>
        <v>4904</v>
      </c>
      <c r="K31" t="s">
        <v>227</v>
      </c>
      <c r="L31" s="10">
        <f t="shared" si="10"/>
        <v>4.683457240690006E-2</v>
      </c>
    </row>
    <row r="32" spans="1:19" x14ac:dyDescent="0.25">
      <c r="A32" t="s">
        <v>240</v>
      </c>
      <c r="B32" t="s">
        <v>241</v>
      </c>
      <c r="C32" t="s">
        <v>274</v>
      </c>
      <c r="D32" t="s">
        <v>243</v>
      </c>
      <c r="E32" t="str">
        <f>INDEX('State Codes'!$E$7:$E$70,MATCH(INDEX('State Codes'!$C$7:$C$70,MATCH('County Climates'!B32,'State Codes'!$D$7:$D$70,0),1),'State Codes'!$C$7:$C$70,0),1)</f>
        <v>East South Central Division</v>
      </c>
      <c r="F32">
        <f>INDEX('CBECS_Table B5'!$C$6:$K$6,1,MATCH('County Climates'!E32,'CBECS_Table B5'!$C$1:$K$1,0))</f>
        <v>4904</v>
      </c>
      <c r="K32" t="s">
        <v>357</v>
      </c>
      <c r="L32" s="10">
        <f t="shared" si="10"/>
        <v>1.9582457054967792E-2</v>
      </c>
    </row>
    <row r="33" spans="1:12" x14ac:dyDescent="0.25">
      <c r="A33" t="s">
        <v>240</v>
      </c>
      <c r="B33" t="s">
        <v>241</v>
      </c>
      <c r="C33" t="s">
        <v>275</v>
      </c>
      <c r="D33" t="s">
        <v>247</v>
      </c>
      <c r="E33" t="str">
        <f>INDEX('State Codes'!$E$7:$E$70,MATCH(INDEX('State Codes'!$C$7:$C$70,MATCH('County Climates'!B33,'State Codes'!$D$7:$D$70,0),1),'State Codes'!$C$7:$C$70,0),1)</f>
        <v>East South Central Division</v>
      </c>
      <c r="F33">
        <f>INDEX('CBECS_Table B5'!$C$6:$K$6,1,MATCH('County Climates'!E33,'CBECS_Table B5'!$C$1:$K$1,0))</f>
        <v>4904</v>
      </c>
      <c r="K33" t="s">
        <v>247</v>
      </c>
      <c r="L33" s="10">
        <f t="shared" si="10"/>
        <v>0.29744286234914352</v>
      </c>
    </row>
    <row r="34" spans="1:12" x14ac:dyDescent="0.25">
      <c r="A34" t="s">
        <v>240</v>
      </c>
      <c r="B34" t="s">
        <v>241</v>
      </c>
      <c r="C34" t="s">
        <v>276</v>
      </c>
      <c r="D34" t="s">
        <v>247</v>
      </c>
      <c r="E34" t="str">
        <f>INDEX('State Codes'!$E$7:$E$70,MATCH(INDEX('State Codes'!$C$7:$C$70,MATCH('County Climates'!B34,'State Codes'!$D$7:$D$70,0),1),'State Codes'!$C$7:$C$70,0),1)</f>
        <v>East South Central Division</v>
      </c>
      <c r="F34">
        <f>INDEX('CBECS_Table B5'!$C$6:$K$6,1,MATCH('County Climates'!E34,'CBECS_Table B5'!$C$1:$K$1,0))</f>
        <v>4904</v>
      </c>
      <c r="K34" t="s">
        <v>1386</v>
      </c>
      <c r="L34" s="10">
        <f t="shared" si="10"/>
        <v>8.4302230332420104E-3</v>
      </c>
    </row>
    <row r="35" spans="1:12" x14ac:dyDescent="0.25">
      <c r="A35" t="s">
        <v>240</v>
      </c>
      <c r="B35" t="s">
        <v>241</v>
      </c>
      <c r="C35" t="s">
        <v>277</v>
      </c>
      <c r="D35" t="s">
        <v>243</v>
      </c>
      <c r="E35" t="str">
        <f>INDEX('State Codes'!$E$7:$E$70,MATCH(INDEX('State Codes'!$C$7:$C$70,MATCH('County Climates'!B35,'State Codes'!$D$7:$D$70,0),1),'State Codes'!$C$7:$C$70,0),1)</f>
        <v>East South Central Division</v>
      </c>
      <c r="F35">
        <f>INDEX('CBECS_Table B5'!$C$6:$K$6,1,MATCH('County Climates'!E35,'CBECS_Table B5'!$C$1:$K$1,0))</f>
        <v>4904</v>
      </c>
      <c r="K35" t="s">
        <v>229</v>
      </c>
      <c r="L35" s="10">
        <f t="shared" si="10"/>
        <v>3.5174185849910451E-2</v>
      </c>
    </row>
    <row r="36" spans="1:12" x14ac:dyDescent="0.25">
      <c r="A36" t="s">
        <v>240</v>
      </c>
      <c r="B36" t="s">
        <v>241</v>
      </c>
      <c r="C36" t="s">
        <v>278</v>
      </c>
      <c r="D36" t="s">
        <v>243</v>
      </c>
      <c r="E36" t="str">
        <f>INDEX('State Codes'!$E$7:$E$70,MATCH(INDEX('State Codes'!$C$7:$C$70,MATCH('County Climates'!B36,'State Codes'!$D$7:$D$70,0),1),'State Codes'!$C$7:$C$70,0),1)</f>
        <v>East South Central Division</v>
      </c>
      <c r="F36">
        <f>INDEX('CBECS_Table B5'!$C$6:$K$6,1,MATCH('County Climates'!E36,'CBECS_Table B5'!$C$1:$K$1,0))</f>
        <v>4904</v>
      </c>
    </row>
    <row r="37" spans="1:12" x14ac:dyDescent="0.25">
      <c r="A37" t="s">
        <v>240</v>
      </c>
      <c r="B37" t="s">
        <v>241</v>
      </c>
      <c r="C37" t="s">
        <v>279</v>
      </c>
      <c r="D37" t="s">
        <v>247</v>
      </c>
      <c r="E37" t="str">
        <f>INDEX('State Codes'!$E$7:$E$70,MATCH(INDEX('State Codes'!$C$7:$C$70,MATCH('County Climates'!B37,'State Codes'!$D$7:$D$70,0),1),'State Codes'!$C$7:$C$70,0),1)</f>
        <v>East South Central Division</v>
      </c>
      <c r="F37">
        <f>INDEX('CBECS_Table B5'!$C$6:$K$6,1,MATCH('County Climates'!E37,'CBECS_Table B5'!$C$1:$K$1,0))</f>
        <v>4904</v>
      </c>
    </row>
    <row r="38" spans="1:12" x14ac:dyDescent="0.25">
      <c r="A38" t="s">
        <v>240</v>
      </c>
      <c r="B38" t="s">
        <v>241</v>
      </c>
      <c r="C38" t="s">
        <v>280</v>
      </c>
      <c r="D38" t="s">
        <v>247</v>
      </c>
      <c r="E38" t="str">
        <f>INDEX('State Codes'!$E$7:$E$70,MATCH(INDEX('State Codes'!$C$7:$C$70,MATCH('County Climates'!B38,'State Codes'!$D$7:$D$70,0),1),'State Codes'!$C$7:$C$70,0),1)</f>
        <v>East South Central Division</v>
      </c>
      <c r="F38">
        <f>INDEX('CBECS_Table B5'!$C$6:$K$6,1,MATCH('County Climates'!E38,'CBECS_Table B5'!$C$1:$K$1,0))</f>
        <v>4904</v>
      </c>
    </row>
    <row r="39" spans="1:12" x14ac:dyDescent="0.25">
      <c r="A39" t="s">
        <v>240</v>
      </c>
      <c r="B39" t="s">
        <v>241</v>
      </c>
      <c r="C39" t="s">
        <v>281</v>
      </c>
      <c r="D39" t="s">
        <v>247</v>
      </c>
      <c r="E39" t="str">
        <f>INDEX('State Codes'!$E$7:$E$70,MATCH(INDEX('State Codes'!$C$7:$C$70,MATCH('County Climates'!B39,'State Codes'!$D$7:$D$70,0),1),'State Codes'!$C$7:$C$70,0),1)</f>
        <v>East South Central Division</v>
      </c>
      <c r="F39">
        <f>INDEX('CBECS_Table B5'!$C$6:$K$6,1,MATCH('County Climates'!E39,'CBECS_Table B5'!$C$1:$K$1,0))</f>
        <v>4904</v>
      </c>
    </row>
    <row r="40" spans="1:12" x14ac:dyDescent="0.25">
      <c r="A40" t="s">
        <v>240</v>
      </c>
      <c r="B40" t="s">
        <v>241</v>
      </c>
      <c r="C40" t="s">
        <v>282</v>
      </c>
      <c r="D40" t="s">
        <v>247</v>
      </c>
      <c r="E40" t="str">
        <f>INDEX('State Codes'!$E$7:$E$70,MATCH(INDEX('State Codes'!$C$7:$C$70,MATCH('County Climates'!B40,'State Codes'!$D$7:$D$70,0),1),'State Codes'!$C$7:$C$70,0),1)</f>
        <v>East South Central Division</v>
      </c>
      <c r="F40">
        <f>INDEX('CBECS_Table B5'!$C$6:$K$6,1,MATCH('County Climates'!E40,'CBECS_Table B5'!$C$1:$K$1,0))</f>
        <v>4904</v>
      </c>
    </row>
    <row r="41" spans="1:12" x14ac:dyDescent="0.25">
      <c r="A41" t="s">
        <v>240</v>
      </c>
      <c r="B41" t="s">
        <v>241</v>
      </c>
      <c r="C41" t="s">
        <v>283</v>
      </c>
      <c r="D41" t="s">
        <v>247</v>
      </c>
      <c r="E41" t="str">
        <f>INDEX('State Codes'!$E$7:$E$70,MATCH(INDEX('State Codes'!$C$7:$C$70,MATCH('County Climates'!B41,'State Codes'!$D$7:$D$70,0),1),'State Codes'!$C$7:$C$70,0),1)</f>
        <v>East South Central Division</v>
      </c>
      <c r="F41">
        <f>INDEX('CBECS_Table B5'!$C$6:$K$6,1,MATCH('County Climates'!E41,'CBECS_Table B5'!$C$1:$K$1,0))</f>
        <v>4904</v>
      </c>
    </row>
    <row r="42" spans="1:12" x14ac:dyDescent="0.25">
      <c r="A42" t="s">
        <v>240</v>
      </c>
      <c r="B42" t="s">
        <v>241</v>
      </c>
      <c r="C42" t="s">
        <v>284</v>
      </c>
      <c r="D42" t="s">
        <v>247</v>
      </c>
      <c r="E42" t="str">
        <f>INDEX('State Codes'!$E$7:$E$70,MATCH(INDEX('State Codes'!$C$7:$C$70,MATCH('County Climates'!B42,'State Codes'!$D$7:$D$70,0),1),'State Codes'!$C$7:$C$70,0),1)</f>
        <v>East South Central Division</v>
      </c>
      <c r="F42">
        <f>INDEX('CBECS_Table B5'!$C$6:$K$6,1,MATCH('County Climates'!E42,'CBECS_Table B5'!$C$1:$K$1,0))</f>
        <v>4904</v>
      </c>
    </row>
    <row r="43" spans="1:12" x14ac:dyDescent="0.25">
      <c r="A43" t="s">
        <v>240</v>
      </c>
      <c r="B43" t="s">
        <v>241</v>
      </c>
      <c r="C43" t="s">
        <v>285</v>
      </c>
      <c r="D43" t="s">
        <v>247</v>
      </c>
      <c r="E43" t="str">
        <f>INDEX('State Codes'!$E$7:$E$70,MATCH(INDEX('State Codes'!$C$7:$C$70,MATCH('County Climates'!B43,'State Codes'!$D$7:$D$70,0),1),'State Codes'!$C$7:$C$70,0),1)</f>
        <v>East South Central Division</v>
      </c>
      <c r="F43">
        <f>INDEX('CBECS_Table B5'!$C$6:$K$6,1,MATCH('County Climates'!E43,'CBECS_Table B5'!$C$1:$K$1,0))</f>
        <v>4904</v>
      </c>
    </row>
    <row r="44" spans="1:12" x14ac:dyDescent="0.25">
      <c r="A44" t="s">
        <v>240</v>
      </c>
      <c r="B44" t="s">
        <v>241</v>
      </c>
      <c r="C44" t="s">
        <v>286</v>
      </c>
      <c r="D44" t="s">
        <v>243</v>
      </c>
      <c r="E44" t="str">
        <f>INDEX('State Codes'!$E$7:$E$70,MATCH(INDEX('State Codes'!$C$7:$C$70,MATCH('County Climates'!B44,'State Codes'!$D$7:$D$70,0),1),'State Codes'!$C$7:$C$70,0),1)</f>
        <v>East South Central Division</v>
      </c>
      <c r="F44">
        <f>INDEX('CBECS_Table B5'!$C$6:$K$6,1,MATCH('County Climates'!E44,'CBECS_Table B5'!$C$1:$K$1,0))</f>
        <v>4904</v>
      </c>
    </row>
    <row r="45" spans="1:12" x14ac:dyDescent="0.25">
      <c r="A45" t="s">
        <v>240</v>
      </c>
      <c r="B45" t="s">
        <v>241</v>
      </c>
      <c r="C45" t="s">
        <v>287</v>
      </c>
      <c r="D45" t="s">
        <v>243</v>
      </c>
      <c r="E45" t="str">
        <f>INDEX('State Codes'!$E$7:$E$70,MATCH(INDEX('State Codes'!$C$7:$C$70,MATCH('County Climates'!B45,'State Codes'!$D$7:$D$70,0),1),'State Codes'!$C$7:$C$70,0),1)</f>
        <v>East South Central Division</v>
      </c>
      <c r="F45">
        <f>INDEX('CBECS_Table B5'!$C$6:$K$6,1,MATCH('County Climates'!E45,'CBECS_Table B5'!$C$1:$K$1,0))</f>
        <v>4904</v>
      </c>
    </row>
    <row r="46" spans="1:12" x14ac:dyDescent="0.25">
      <c r="A46" t="s">
        <v>240</v>
      </c>
      <c r="B46" t="s">
        <v>241</v>
      </c>
      <c r="C46" t="s">
        <v>288</v>
      </c>
      <c r="D46" t="s">
        <v>247</v>
      </c>
      <c r="E46" t="str">
        <f>INDEX('State Codes'!$E$7:$E$70,MATCH(INDEX('State Codes'!$C$7:$C$70,MATCH('County Climates'!B46,'State Codes'!$D$7:$D$70,0),1),'State Codes'!$C$7:$C$70,0),1)</f>
        <v>East South Central Division</v>
      </c>
      <c r="F46">
        <f>INDEX('CBECS_Table B5'!$C$6:$K$6,1,MATCH('County Climates'!E46,'CBECS_Table B5'!$C$1:$K$1,0))</f>
        <v>4904</v>
      </c>
    </row>
    <row r="47" spans="1:12" x14ac:dyDescent="0.25">
      <c r="A47" t="s">
        <v>240</v>
      </c>
      <c r="B47" t="s">
        <v>241</v>
      </c>
      <c r="C47" t="s">
        <v>289</v>
      </c>
      <c r="D47" t="s">
        <v>243</v>
      </c>
      <c r="E47" t="str">
        <f>INDEX('State Codes'!$E$7:$E$70,MATCH(INDEX('State Codes'!$C$7:$C$70,MATCH('County Climates'!B47,'State Codes'!$D$7:$D$70,0),1),'State Codes'!$C$7:$C$70,0),1)</f>
        <v>East South Central Division</v>
      </c>
      <c r="F47">
        <f>INDEX('CBECS_Table B5'!$C$6:$K$6,1,MATCH('County Climates'!E47,'CBECS_Table B5'!$C$1:$K$1,0))</f>
        <v>4904</v>
      </c>
    </row>
    <row r="48" spans="1:12" x14ac:dyDescent="0.25">
      <c r="A48" t="s">
        <v>240</v>
      </c>
      <c r="B48" t="s">
        <v>241</v>
      </c>
      <c r="C48" t="s">
        <v>290</v>
      </c>
      <c r="D48" t="s">
        <v>247</v>
      </c>
      <c r="E48" t="str">
        <f>INDEX('State Codes'!$E$7:$E$70,MATCH(INDEX('State Codes'!$C$7:$C$70,MATCH('County Climates'!B48,'State Codes'!$D$7:$D$70,0),1),'State Codes'!$C$7:$C$70,0),1)</f>
        <v>East South Central Division</v>
      </c>
      <c r="F48">
        <f>INDEX('CBECS_Table B5'!$C$6:$K$6,1,MATCH('County Climates'!E48,'CBECS_Table B5'!$C$1:$K$1,0))</f>
        <v>4904</v>
      </c>
    </row>
    <row r="49" spans="1:6" x14ac:dyDescent="0.25">
      <c r="A49" t="s">
        <v>240</v>
      </c>
      <c r="B49" t="s">
        <v>241</v>
      </c>
      <c r="C49" t="s">
        <v>291</v>
      </c>
      <c r="D49" t="s">
        <v>247</v>
      </c>
      <c r="E49" t="str">
        <f>INDEX('State Codes'!$E$7:$E$70,MATCH(INDEX('State Codes'!$C$7:$C$70,MATCH('County Climates'!B49,'State Codes'!$D$7:$D$70,0),1),'State Codes'!$C$7:$C$70,0),1)</f>
        <v>East South Central Division</v>
      </c>
      <c r="F49">
        <f>INDEX('CBECS_Table B5'!$C$6:$K$6,1,MATCH('County Climates'!E49,'CBECS_Table B5'!$C$1:$K$1,0))</f>
        <v>4904</v>
      </c>
    </row>
    <row r="50" spans="1:6" x14ac:dyDescent="0.25">
      <c r="A50" t="s">
        <v>240</v>
      </c>
      <c r="B50" t="s">
        <v>241</v>
      </c>
      <c r="C50" t="s">
        <v>292</v>
      </c>
      <c r="D50" t="s">
        <v>243</v>
      </c>
      <c r="E50" t="str">
        <f>INDEX('State Codes'!$E$7:$E$70,MATCH(INDEX('State Codes'!$C$7:$C$70,MATCH('County Climates'!B50,'State Codes'!$D$7:$D$70,0),1),'State Codes'!$C$7:$C$70,0),1)</f>
        <v>East South Central Division</v>
      </c>
      <c r="F50">
        <f>INDEX('CBECS_Table B5'!$C$6:$K$6,1,MATCH('County Climates'!E50,'CBECS_Table B5'!$C$1:$K$1,0))</f>
        <v>4904</v>
      </c>
    </row>
    <row r="51" spans="1:6" x14ac:dyDescent="0.25">
      <c r="A51" t="s">
        <v>240</v>
      </c>
      <c r="B51" t="s">
        <v>241</v>
      </c>
      <c r="C51" t="s">
        <v>293</v>
      </c>
      <c r="D51" t="s">
        <v>243</v>
      </c>
      <c r="E51" t="str">
        <f>INDEX('State Codes'!$E$7:$E$70,MATCH(INDEX('State Codes'!$C$7:$C$70,MATCH('County Climates'!B51,'State Codes'!$D$7:$D$70,0),1),'State Codes'!$C$7:$C$70,0),1)</f>
        <v>East South Central Division</v>
      </c>
      <c r="F51">
        <f>INDEX('CBECS_Table B5'!$C$6:$K$6,1,MATCH('County Climates'!E51,'CBECS_Table B5'!$C$1:$K$1,0))</f>
        <v>4904</v>
      </c>
    </row>
    <row r="52" spans="1:6" x14ac:dyDescent="0.25">
      <c r="A52" t="s">
        <v>240</v>
      </c>
      <c r="B52" t="s">
        <v>241</v>
      </c>
      <c r="C52" t="s">
        <v>294</v>
      </c>
      <c r="D52" t="s">
        <v>243</v>
      </c>
      <c r="E52" t="str">
        <f>INDEX('State Codes'!$E$7:$E$70,MATCH(INDEX('State Codes'!$C$7:$C$70,MATCH('County Climates'!B52,'State Codes'!$D$7:$D$70,0),1),'State Codes'!$C$7:$C$70,0),1)</f>
        <v>East South Central Division</v>
      </c>
      <c r="F52">
        <f>INDEX('CBECS_Table B5'!$C$6:$K$6,1,MATCH('County Climates'!E52,'CBECS_Table B5'!$C$1:$K$1,0))</f>
        <v>4904</v>
      </c>
    </row>
    <row r="53" spans="1:6" x14ac:dyDescent="0.25">
      <c r="A53" t="s">
        <v>240</v>
      </c>
      <c r="B53" t="s">
        <v>241</v>
      </c>
      <c r="C53" t="s">
        <v>295</v>
      </c>
      <c r="D53" t="s">
        <v>247</v>
      </c>
      <c r="E53" t="str">
        <f>INDEX('State Codes'!$E$7:$E$70,MATCH(INDEX('State Codes'!$C$7:$C$70,MATCH('County Climates'!B53,'State Codes'!$D$7:$D$70,0),1),'State Codes'!$C$7:$C$70,0),1)</f>
        <v>East South Central Division</v>
      </c>
      <c r="F53">
        <f>INDEX('CBECS_Table B5'!$C$6:$K$6,1,MATCH('County Climates'!E53,'CBECS_Table B5'!$C$1:$K$1,0))</f>
        <v>4904</v>
      </c>
    </row>
    <row r="54" spans="1:6" x14ac:dyDescent="0.25">
      <c r="A54" t="s">
        <v>240</v>
      </c>
      <c r="B54" t="s">
        <v>241</v>
      </c>
      <c r="C54" t="s">
        <v>296</v>
      </c>
      <c r="D54" t="s">
        <v>243</v>
      </c>
      <c r="E54" t="str">
        <f>INDEX('State Codes'!$E$7:$E$70,MATCH(INDEX('State Codes'!$C$7:$C$70,MATCH('County Climates'!B54,'State Codes'!$D$7:$D$70,0),1),'State Codes'!$C$7:$C$70,0),1)</f>
        <v>East South Central Division</v>
      </c>
      <c r="F54">
        <f>INDEX('CBECS_Table B5'!$C$6:$K$6,1,MATCH('County Climates'!E54,'CBECS_Table B5'!$C$1:$K$1,0))</f>
        <v>4904</v>
      </c>
    </row>
    <row r="55" spans="1:6" x14ac:dyDescent="0.25">
      <c r="A55" t="s">
        <v>240</v>
      </c>
      <c r="B55" t="s">
        <v>241</v>
      </c>
      <c r="C55" t="s">
        <v>297</v>
      </c>
      <c r="D55" t="s">
        <v>247</v>
      </c>
      <c r="E55" t="str">
        <f>INDEX('State Codes'!$E$7:$E$70,MATCH(INDEX('State Codes'!$C$7:$C$70,MATCH('County Climates'!B55,'State Codes'!$D$7:$D$70,0),1),'State Codes'!$C$7:$C$70,0),1)</f>
        <v>East South Central Division</v>
      </c>
      <c r="F55">
        <f>INDEX('CBECS_Table B5'!$C$6:$K$6,1,MATCH('County Climates'!E55,'CBECS_Table B5'!$C$1:$K$1,0))</f>
        <v>4904</v>
      </c>
    </row>
    <row r="56" spans="1:6" x14ac:dyDescent="0.25">
      <c r="A56" t="s">
        <v>240</v>
      </c>
      <c r="B56" t="s">
        <v>241</v>
      </c>
      <c r="C56" t="s">
        <v>298</v>
      </c>
      <c r="D56" t="s">
        <v>243</v>
      </c>
      <c r="E56" t="str">
        <f>INDEX('State Codes'!$E$7:$E$70,MATCH(INDEX('State Codes'!$C$7:$C$70,MATCH('County Climates'!B56,'State Codes'!$D$7:$D$70,0),1),'State Codes'!$C$7:$C$70,0),1)</f>
        <v>East South Central Division</v>
      </c>
      <c r="F56">
        <f>INDEX('CBECS_Table B5'!$C$6:$K$6,1,MATCH('County Climates'!E56,'CBECS_Table B5'!$C$1:$K$1,0))</f>
        <v>4904</v>
      </c>
    </row>
    <row r="57" spans="1:6" x14ac:dyDescent="0.25">
      <c r="A57" t="s">
        <v>240</v>
      </c>
      <c r="B57" t="s">
        <v>241</v>
      </c>
      <c r="C57" t="s">
        <v>299</v>
      </c>
      <c r="D57" t="s">
        <v>247</v>
      </c>
      <c r="E57" t="str">
        <f>INDEX('State Codes'!$E$7:$E$70,MATCH(INDEX('State Codes'!$C$7:$C$70,MATCH('County Climates'!B57,'State Codes'!$D$7:$D$70,0),1),'State Codes'!$C$7:$C$70,0),1)</f>
        <v>East South Central Division</v>
      </c>
      <c r="F57">
        <f>INDEX('CBECS_Table B5'!$C$6:$K$6,1,MATCH('County Climates'!E57,'CBECS_Table B5'!$C$1:$K$1,0))</f>
        <v>4904</v>
      </c>
    </row>
    <row r="58" spans="1:6" x14ac:dyDescent="0.25">
      <c r="A58" t="s">
        <v>240</v>
      </c>
      <c r="B58" t="s">
        <v>241</v>
      </c>
      <c r="C58" t="s">
        <v>300</v>
      </c>
      <c r="D58" t="s">
        <v>243</v>
      </c>
      <c r="E58" t="str">
        <f>INDEX('State Codes'!$E$7:$E$70,MATCH(INDEX('State Codes'!$C$7:$C$70,MATCH('County Climates'!B58,'State Codes'!$D$7:$D$70,0),1),'State Codes'!$C$7:$C$70,0),1)</f>
        <v>East South Central Division</v>
      </c>
      <c r="F58">
        <f>INDEX('CBECS_Table B5'!$C$6:$K$6,1,MATCH('County Climates'!E58,'CBECS_Table B5'!$C$1:$K$1,0))</f>
        <v>4904</v>
      </c>
    </row>
    <row r="59" spans="1:6" x14ac:dyDescent="0.25">
      <c r="A59" t="s">
        <v>240</v>
      </c>
      <c r="B59" t="s">
        <v>241</v>
      </c>
      <c r="C59" t="s">
        <v>301</v>
      </c>
      <c r="D59" t="s">
        <v>247</v>
      </c>
      <c r="E59" t="str">
        <f>INDEX('State Codes'!$E$7:$E$70,MATCH(INDEX('State Codes'!$C$7:$C$70,MATCH('County Climates'!B59,'State Codes'!$D$7:$D$70,0),1),'State Codes'!$C$7:$C$70,0),1)</f>
        <v>East South Central Division</v>
      </c>
      <c r="F59">
        <f>INDEX('CBECS_Table B5'!$C$6:$K$6,1,MATCH('County Climates'!E59,'CBECS_Table B5'!$C$1:$K$1,0))</f>
        <v>4904</v>
      </c>
    </row>
    <row r="60" spans="1:6" x14ac:dyDescent="0.25">
      <c r="A60" t="s">
        <v>240</v>
      </c>
      <c r="B60" t="s">
        <v>241</v>
      </c>
      <c r="C60" t="s">
        <v>302</v>
      </c>
      <c r="D60" t="s">
        <v>247</v>
      </c>
      <c r="E60" t="str">
        <f>INDEX('State Codes'!$E$7:$E$70,MATCH(INDEX('State Codes'!$C$7:$C$70,MATCH('County Climates'!B60,'State Codes'!$D$7:$D$70,0),1),'State Codes'!$C$7:$C$70,0),1)</f>
        <v>East South Central Division</v>
      </c>
      <c r="F60">
        <f>INDEX('CBECS_Table B5'!$C$6:$K$6,1,MATCH('County Climates'!E60,'CBECS_Table B5'!$C$1:$K$1,0))</f>
        <v>4904</v>
      </c>
    </row>
    <row r="61" spans="1:6" x14ac:dyDescent="0.25">
      <c r="A61" t="s">
        <v>240</v>
      </c>
      <c r="B61" t="s">
        <v>241</v>
      </c>
      <c r="C61" t="s">
        <v>303</v>
      </c>
      <c r="D61" t="s">
        <v>247</v>
      </c>
      <c r="E61" t="str">
        <f>INDEX('State Codes'!$E$7:$E$70,MATCH(INDEX('State Codes'!$C$7:$C$70,MATCH('County Climates'!B61,'State Codes'!$D$7:$D$70,0),1),'State Codes'!$C$7:$C$70,0),1)</f>
        <v>East South Central Division</v>
      </c>
      <c r="F61">
        <f>INDEX('CBECS_Table B5'!$C$6:$K$6,1,MATCH('County Climates'!E61,'CBECS_Table B5'!$C$1:$K$1,0))</f>
        <v>4904</v>
      </c>
    </row>
    <row r="62" spans="1:6" x14ac:dyDescent="0.25">
      <c r="A62" t="s">
        <v>240</v>
      </c>
      <c r="B62" t="s">
        <v>241</v>
      </c>
      <c r="C62" t="s">
        <v>304</v>
      </c>
      <c r="D62" t="s">
        <v>247</v>
      </c>
      <c r="E62" t="str">
        <f>INDEX('State Codes'!$E$7:$E$70,MATCH(INDEX('State Codes'!$C$7:$C$70,MATCH('County Climates'!B62,'State Codes'!$D$7:$D$70,0),1),'State Codes'!$C$7:$C$70,0),1)</f>
        <v>East South Central Division</v>
      </c>
      <c r="F62">
        <f>INDEX('CBECS_Table B5'!$C$6:$K$6,1,MATCH('County Climates'!E62,'CBECS_Table B5'!$C$1:$K$1,0))</f>
        <v>4904</v>
      </c>
    </row>
    <row r="63" spans="1:6" x14ac:dyDescent="0.25">
      <c r="A63" t="s">
        <v>240</v>
      </c>
      <c r="B63" t="s">
        <v>241</v>
      </c>
      <c r="C63" t="s">
        <v>305</v>
      </c>
      <c r="D63" t="s">
        <v>247</v>
      </c>
      <c r="E63" t="str">
        <f>INDEX('State Codes'!$E$7:$E$70,MATCH(INDEX('State Codes'!$C$7:$C$70,MATCH('County Climates'!B63,'State Codes'!$D$7:$D$70,0),1),'State Codes'!$C$7:$C$70,0),1)</f>
        <v>East South Central Division</v>
      </c>
      <c r="F63">
        <f>INDEX('CBECS_Table B5'!$C$6:$K$6,1,MATCH('County Climates'!E63,'CBECS_Table B5'!$C$1:$K$1,0))</f>
        <v>4904</v>
      </c>
    </row>
    <row r="64" spans="1:6" x14ac:dyDescent="0.25">
      <c r="A64" t="s">
        <v>240</v>
      </c>
      <c r="B64" t="s">
        <v>241</v>
      </c>
      <c r="C64" t="s">
        <v>306</v>
      </c>
      <c r="D64" t="s">
        <v>247</v>
      </c>
      <c r="E64" t="str">
        <f>INDEX('State Codes'!$E$7:$E$70,MATCH(INDEX('State Codes'!$C$7:$C$70,MATCH('County Climates'!B64,'State Codes'!$D$7:$D$70,0),1),'State Codes'!$C$7:$C$70,0),1)</f>
        <v>East South Central Division</v>
      </c>
      <c r="F64">
        <f>INDEX('CBECS_Table B5'!$C$6:$K$6,1,MATCH('County Climates'!E64,'CBECS_Table B5'!$C$1:$K$1,0))</f>
        <v>4904</v>
      </c>
    </row>
    <row r="65" spans="1:6" x14ac:dyDescent="0.25">
      <c r="A65" t="s">
        <v>240</v>
      </c>
      <c r="B65" t="s">
        <v>241</v>
      </c>
      <c r="C65" t="s">
        <v>307</v>
      </c>
      <c r="D65" t="s">
        <v>247</v>
      </c>
      <c r="E65" t="str">
        <f>INDEX('State Codes'!$E$7:$E$70,MATCH(INDEX('State Codes'!$C$7:$C$70,MATCH('County Climates'!B65,'State Codes'!$D$7:$D$70,0),1),'State Codes'!$C$7:$C$70,0),1)</f>
        <v>East South Central Division</v>
      </c>
      <c r="F65">
        <f>INDEX('CBECS_Table B5'!$C$6:$K$6,1,MATCH('County Climates'!E65,'CBECS_Table B5'!$C$1:$K$1,0))</f>
        <v>4904</v>
      </c>
    </row>
    <row r="66" spans="1:6" x14ac:dyDescent="0.25">
      <c r="A66" t="s">
        <v>240</v>
      </c>
      <c r="B66" t="s">
        <v>241</v>
      </c>
      <c r="C66" t="s">
        <v>308</v>
      </c>
      <c r="D66" t="s">
        <v>243</v>
      </c>
      <c r="E66" t="str">
        <f>INDEX('State Codes'!$E$7:$E$70,MATCH(INDEX('State Codes'!$C$7:$C$70,MATCH('County Climates'!B66,'State Codes'!$D$7:$D$70,0),1),'State Codes'!$C$7:$C$70,0),1)</f>
        <v>East South Central Division</v>
      </c>
      <c r="F66">
        <f>INDEX('CBECS_Table B5'!$C$6:$K$6,1,MATCH('County Climates'!E66,'CBECS_Table B5'!$C$1:$K$1,0))</f>
        <v>4904</v>
      </c>
    </row>
    <row r="67" spans="1:6" x14ac:dyDescent="0.25">
      <c r="A67" t="s">
        <v>309</v>
      </c>
      <c r="B67" t="s">
        <v>310</v>
      </c>
      <c r="C67" t="s">
        <v>311</v>
      </c>
      <c r="D67" t="s">
        <v>247</v>
      </c>
      <c r="E67" t="str">
        <f>INDEX('State Codes'!$E$7:$E$70,MATCH(INDEX('State Codes'!$C$7:$C$70,MATCH('County Climates'!B67,'State Codes'!$D$7:$D$70,0),1),'State Codes'!$C$7:$C$70,0),1)</f>
        <v>West South Central Division</v>
      </c>
      <c r="F67">
        <f>INDEX('CBECS_Table B5'!$C$6:$K$6,1,MATCH('County Climates'!E67,'CBECS_Table B5'!$C$1:$K$1,0))</f>
        <v>11394</v>
      </c>
    </row>
    <row r="68" spans="1:6" x14ac:dyDescent="0.25">
      <c r="A68" t="s">
        <v>309</v>
      </c>
      <c r="B68" t="s">
        <v>310</v>
      </c>
      <c r="C68" t="s">
        <v>312</v>
      </c>
      <c r="D68" t="s">
        <v>247</v>
      </c>
      <c r="E68" t="str">
        <f>INDEX('State Codes'!$E$7:$E$70,MATCH(INDEX('State Codes'!$C$7:$C$70,MATCH('County Climates'!B68,'State Codes'!$D$7:$D$70,0),1),'State Codes'!$C$7:$C$70,0),1)</f>
        <v>West South Central Division</v>
      </c>
      <c r="F68">
        <f>INDEX('CBECS_Table B5'!$C$6:$K$6,1,MATCH('County Climates'!E68,'CBECS_Table B5'!$C$1:$K$1,0))</f>
        <v>11394</v>
      </c>
    </row>
    <row r="69" spans="1:6" x14ac:dyDescent="0.25">
      <c r="A69" t="s">
        <v>309</v>
      </c>
      <c r="B69" t="s">
        <v>310</v>
      </c>
      <c r="C69" t="s">
        <v>313</v>
      </c>
      <c r="D69" t="s">
        <v>247</v>
      </c>
      <c r="E69" t="str">
        <f>INDEX('State Codes'!$E$7:$E$70,MATCH(INDEX('State Codes'!$C$7:$C$70,MATCH('County Climates'!B69,'State Codes'!$D$7:$D$70,0),1),'State Codes'!$C$7:$C$70,0),1)</f>
        <v>West South Central Division</v>
      </c>
      <c r="F69">
        <f>INDEX('CBECS_Table B5'!$C$6:$K$6,1,MATCH('County Climates'!E69,'CBECS_Table B5'!$C$1:$K$1,0))</f>
        <v>11394</v>
      </c>
    </row>
    <row r="70" spans="1:6" x14ac:dyDescent="0.25">
      <c r="A70" t="s">
        <v>309</v>
      </c>
      <c r="B70" t="s">
        <v>310</v>
      </c>
      <c r="C70" t="s">
        <v>273</v>
      </c>
      <c r="D70" t="s">
        <v>247</v>
      </c>
      <c r="E70" t="str">
        <f>INDEX('State Codes'!$E$7:$E$70,MATCH(INDEX('State Codes'!$C$7:$C$70,MATCH('County Climates'!B70,'State Codes'!$D$7:$D$70,0),1),'State Codes'!$C$7:$C$70,0),1)</f>
        <v>West South Central Division</v>
      </c>
      <c r="F70">
        <f>INDEX('CBECS_Table B5'!$C$6:$K$6,1,MATCH('County Climates'!E70,'CBECS_Table B5'!$C$1:$K$1,0))</f>
        <v>11394</v>
      </c>
    </row>
    <row r="71" spans="1:6" x14ac:dyDescent="0.25">
      <c r="A71" t="s">
        <v>309</v>
      </c>
      <c r="B71" t="s">
        <v>310</v>
      </c>
      <c r="C71" t="s">
        <v>314</v>
      </c>
      <c r="D71" t="s">
        <v>247</v>
      </c>
      <c r="E71" t="str">
        <f>INDEX('State Codes'!$E$7:$E$70,MATCH(INDEX('State Codes'!$C$7:$C$70,MATCH('County Climates'!B71,'State Codes'!$D$7:$D$70,0),1),'State Codes'!$C$7:$C$70,0),1)</f>
        <v>West South Central Division</v>
      </c>
      <c r="F71">
        <f>INDEX('CBECS_Table B5'!$C$6:$K$6,1,MATCH('County Climates'!E71,'CBECS_Table B5'!$C$1:$K$1,0))</f>
        <v>11394</v>
      </c>
    </row>
    <row r="72" spans="1:6" x14ac:dyDescent="0.25">
      <c r="A72" t="s">
        <v>309</v>
      </c>
      <c r="B72" t="s">
        <v>310</v>
      </c>
      <c r="C72" t="s">
        <v>315</v>
      </c>
      <c r="D72" t="s">
        <v>247</v>
      </c>
      <c r="E72" t="str">
        <f>INDEX('State Codes'!$E$7:$E$70,MATCH(INDEX('State Codes'!$C$7:$C$70,MATCH('County Climates'!B72,'State Codes'!$D$7:$D$70,0),1),'State Codes'!$C$7:$C$70,0),1)</f>
        <v>West South Central Division</v>
      </c>
      <c r="F72">
        <f>INDEX('CBECS_Table B5'!$C$6:$K$6,1,MATCH('County Climates'!E72,'CBECS_Table B5'!$C$1:$K$1,0))</f>
        <v>11394</v>
      </c>
    </row>
    <row r="73" spans="1:6" x14ac:dyDescent="0.25">
      <c r="A73" t="s">
        <v>309</v>
      </c>
      <c r="B73" t="s">
        <v>310</v>
      </c>
      <c r="C73" t="s">
        <v>316</v>
      </c>
      <c r="D73" t="s">
        <v>247</v>
      </c>
      <c r="E73" t="str">
        <f>INDEX('State Codes'!$E$7:$E$70,MATCH(INDEX('State Codes'!$C$7:$C$70,MATCH('County Climates'!B73,'State Codes'!$D$7:$D$70,0),1),'State Codes'!$C$7:$C$70,0),1)</f>
        <v>West South Central Division</v>
      </c>
      <c r="F73">
        <f>INDEX('CBECS_Table B5'!$C$6:$K$6,1,MATCH('County Climates'!E73,'CBECS_Table B5'!$C$1:$K$1,0))</f>
        <v>11394</v>
      </c>
    </row>
    <row r="74" spans="1:6" x14ac:dyDescent="0.25">
      <c r="A74" t="s">
        <v>309</v>
      </c>
      <c r="B74" t="s">
        <v>310</v>
      </c>
      <c r="C74" t="s">
        <v>275</v>
      </c>
      <c r="D74" t="s">
        <v>247</v>
      </c>
      <c r="E74" t="str">
        <f>INDEX('State Codes'!$E$7:$E$70,MATCH(INDEX('State Codes'!$C$7:$C$70,MATCH('County Climates'!B74,'State Codes'!$D$7:$D$70,0),1),'State Codes'!$C$7:$C$70,0),1)</f>
        <v>West South Central Division</v>
      </c>
      <c r="F74">
        <f>INDEX('CBECS_Table B5'!$C$6:$K$6,1,MATCH('County Climates'!E74,'CBECS_Table B5'!$C$1:$K$1,0))</f>
        <v>11394</v>
      </c>
    </row>
    <row r="75" spans="1:6" x14ac:dyDescent="0.25">
      <c r="A75" t="s">
        <v>309</v>
      </c>
      <c r="B75" t="s">
        <v>310</v>
      </c>
      <c r="C75" t="s">
        <v>317</v>
      </c>
      <c r="D75" t="s">
        <v>247</v>
      </c>
      <c r="E75" t="str">
        <f>INDEX('State Codes'!$E$7:$E$70,MATCH(INDEX('State Codes'!$C$7:$C$70,MATCH('County Climates'!B75,'State Codes'!$D$7:$D$70,0),1),'State Codes'!$C$7:$C$70,0),1)</f>
        <v>West South Central Division</v>
      </c>
      <c r="F75">
        <f>INDEX('CBECS_Table B5'!$C$6:$K$6,1,MATCH('County Climates'!E75,'CBECS_Table B5'!$C$1:$K$1,0))</f>
        <v>11394</v>
      </c>
    </row>
    <row r="76" spans="1:6" x14ac:dyDescent="0.25">
      <c r="A76" t="s">
        <v>309</v>
      </c>
      <c r="B76" t="s">
        <v>310</v>
      </c>
      <c r="C76" t="s">
        <v>318</v>
      </c>
      <c r="D76" t="s">
        <v>247</v>
      </c>
      <c r="E76" t="str">
        <f>INDEX('State Codes'!$E$7:$E$70,MATCH(INDEX('State Codes'!$C$7:$C$70,MATCH('County Climates'!B76,'State Codes'!$D$7:$D$70,0),1),'State Codes'!$C$7:$C$70,0),1)</f>
        <v>West South Central Division</v>
      </c>
      <c r="F76">
        <f>INDEX('CBECS_Table B5'!$C$6:$K$6,1,MATCH('County Climates'!E76,'CBECS_Table B5'!$C$1:$K$1,0))</f>
        <v>11394</v>
      </c>
    </row>
    <row r="77" spans="1:6" x14ac:dyDescent="0.25">
      <c r="A77" t="s">
        <v>309</v>
      </c>
      <c r="B77" t="s">
        <v>310</v>
      </c>
      <c r="C77" t="s">
        <v>319</v>
      </c>
      <c r="D77" t="s">
        <v>247</v>
      </c>
      <c r="E77" t="str">
        <f>INDEX('State Codes'!$E$7:$E$70,MATCH(INDEX('State Codes'!$C$7:$C$70,MATCH('County Climates'!B77,'State Codes'!$D$7:$D$70,0),1),'State Codes'!$C$7:$C$70,0),1)</f>
        <v>West South Central Division</v>
      </c>
      <c r="F77">
        <f>INDEX('CBECS_Table B5'!$C$6:$K$6,1,MATCH('County Climates'!E77,'CBECS_Table B5'!$C$1:$K$1,0))</f>
        <v>11394</v>
      </c>
    </row>
    <row r="78" spans="1:6" x14ac:dyDescent="0.25">
      <c r="A78" t="s">
        <v>309</v>
      </c>
      <c r="B78" t="s">
        <v>310</v>
      </c>
      <c r="C78" t="s">
        <v>320</v>
      </c>
      <c r="D78" t="s">
        <v>247</v>
      </c>
      <c r="E78" t="str">
        <f>INDEX('State Codes'!$E$7:$E$70,MATCH(INDEX('State Codes'!$C$7:$C$70,MATCH('County Climates'!B78,'State Codes'!$D$7:$D$70,0),1),'State Codes'!$C$7:$C$70,0),1)</f>
        <v>West South Central Division</v>
      </c>
      <c r="F78">
        <f>INDEX('CBECS_Table B5'!$C$6:$K$6,1,MATCH('County Climates'!E78,'CBECS_Table B5'!$C$1:$K$1,0))</f>
        <v>11394</v>
      </c>
    </row>
    <row r="79" spans="1:6" x14ac:dyDescent="0.25">
      <c r="A79" t="s">
        <v>309</v>
      </c>
      <c r="B79" t="s">
        <v>310</v>
      </c>
      <c r="C79" t="s">
        <v>321</v>
      </c>
      <c r="D79" t="s">
        <v>247</v>
      </c>
      <c r="E79" t="str">
        <f>INDEX('State Codes'!$E$7:$E$70,MATCH(INDEX('State Codes'!$C$7:$C$70,MATCH('County Climates'!B79,'State Codes'!$D$7:$D$70,0),1),'State Codes'!$C$7:$C$70,0),1)</f>
        <v>West South Central Division</v>
      </c>
      <c r="F79">
        <f>INDEX('CBECS_Table B5'!$C$6:$K$6,1,MATCH('County Climates'!E79,'CBECS_Table B5'!$C$1:$K$1,0))</f>
        <v>11394</v>
      </c>
    </row>
    <row r="80" spans="1:6" x14ac:dyDescent="0.25">
      <c r="A80" t="s">
        <v>309</v>
      </c>
      <c r="B80" t="s">
        <v>310</v>
      </c>
      <c r="C80" t="s">
        <v>279</v>
      </c>
      <c r="D80" t="s">
        <v>247</v>
      </c>
      <c r="E80" t="str">
        <f>INDEX('State Codes'!$E$7:$E$70,MATCH(INDEX('State Codes'!$C$7:$C$70,MATCH('County Climates'!B80,'State Codes'!$D$7:$D$70,0),1),'State Codes'!$C$7:$C$70,0),1)</f>
        <v>West South Central Division</v>
      </c>
      <c r="F80">
        <f>INDEX('CBECS_Table B5'!$C$6:$K$6,1,MATCH('County Climates'!E80,'CBECS_Table B5'!$C$1:$K$1,0))</f>
        <v>11394</v>
      </c>
    </row>
    <row r="81" spans="1:6" x14ac:dyDescent="0.25">
      <c r="A81" t="s">
        <v>309</v>
      </c>
      <c r="B81" t="s">
        <v>310</v>
      </c>
      <c r="C81" t="s">
        <v>280</v>
      </c>
      <c r="D81" t="s">
        <v>247</v>
      </c>
      <c r="E81" t="str">
        <f>INDEX('State Codes'!$E$7:$E$70,MATCH(INDEX('State Codes'!$C$7:$C$70,MATCH('County Climates'!B81,'State Codes'!$D$7:$D$70,0),1),'State Codes'!$C$7:$C$70,0),1)</f>
        <v>West South Central Division</v>
      </c>
      <c r="F81">
        <f>INDEX('CBECS_Table B5'!$C$6:$K$6,1,MATCH('County Climates'!E81,'CBECS_Table B5'!$C$1:$K$1,0))</f>
        <v>11394</v>
      </c>
    </row>
    <row r="82" spans="1:6" x14ac:dyDescent="0.25">
      <c r="A82" t="s">
        <v>309</v>
      </c>
      <c r="B82" t="s">
        <v>310</v>
      </c>
      <c r="C82" t="s">
        <v>322</v>
      </c>
      <c r="D82" t="s">
        <v>247</v>
      </c>
      <c r="E82" t="str">
        <f>INDEX('State Codes'!$E$7:$E$70,MATCH(INDEX('State Codes'!$C$7:$C$70,MATCH('County Climates'!B82,'State Codes'!$D$7:$D$70,0),1),'State Codes'!$C$7:$C$70,0),1)</f>
        <v>West South Central Division</v>
      </c>
      <c r="F82">
        <f>INDEX('CBECS_Table B5'!$C$6:$K$6,1,MATCH('County Climates'!E82,'CBECS_Table B5'!$C$1:$K$1,0))</f>
        <v>11394</v>
      </c>
    </row>
    <row r="83" spans="1:6" x14ac:dyDescent="0.25">
      <c r="A83" t="s">
        <v>309</v>
      </c>
      <c r="B83" t="s">
        <v>310</v>
      </c>
      <c r="C83" t="s">
        <v>323</v>
      </c>
      <c r="D83" t="s">
        <v>243</v>
      </c>
      <c r="E83" t="str">
        <f>INDEX('State Codes'!$E$7:$E$70,MATCH(INDEX('State Codes'!$C$7:$C$70,MATCH('County Climates'!B83,'State Codes'!$D$7:$D$70,0),1),'State Codes'!$C$7:$C$70,0),1)</f>
        <v>West South Central Division</v>
      </c>
      <c r="F83">
        <f>INDEX('CBECS_Table B5'!$C$6:$K$6,1,MATCH('County Climates'!E83,'CBECS_Table B5'!$C$1:$K$1,0))</f>
        <v>11394</v>
      </c>
    </row>
    <row r="84" spans="1:6" x14ac:dyDescent="0.25">
      <c r="A84" t="s">
        <v>309</v>
      </c>
      <c r="B84" t="s">
        <v>310</v>
      </c>
      <c r="C84" t="s">
        <v>283</v>
      </c>
      <c r="D84" t="s">
        <v>247</v>
      </c>
      <c r="E84" t="str">
        <f>INDEX('State Codes'!$E$7:$E$70,MATCH(INDEX('State Codes'!$C$7:$C$70,MATCH('County Climates'!B84,'State Codes'!$D$7:$D$70,0),1),'State Codes'!$C$7:$C$70,0),1)</f>
        <v>West South Central Division</v>
      </c>
      <c r="F84">
        <f>INDEX('CBECS_Table B5'!$C$6:$K$6,1,MATCH('County Climates'!E84,'CBECS_Table B5'!$C$1:$K$1,0))</f>
        <v>11394</v>
      </c>
    </row>
    <row r="85" spans="1:6" x14ac:dyDescent="0.25">
      <c r="A85" t="s">
        <v>309</v>
      </c>
      <c r="B85" t="s">
        <v>310</v>
      </c>
      <c r="C85" t="s">
        <v>284</v>
      </c>
      <c r="D85" t="s">
        <v>247</v>
      </c>
      <c r="E85" t="str">
        <f>INDEX('State Codes'!$E$7:$E$70,MATCH(INDEX('State Codes'!$C$7:$C$70,MATCH('County Climates'!B85,'State Codes'!$D$7:$D$70,0),1),'State Codes'!$C$7:$C$70,0),1)</f>
        <v>West South Central Division</v>
      </c>
      <c r="F85">
        <f>INDEX('CBECS_Table B5'!$C$6:$K$6,1,MATCH('County Climates'!E85,'CBECS_Table B5'!$C$1:$K$1,0))</f>
        <v>11394</v>
      </c>
    </row>
    <row r="86" spans="1:6" x14ac:dyDescent="0.25">
      <c r="A86" t="s">
        <v>309</v>
      </c>
      <c r="B86" t="s">
        <v>310</v>
      </c>
      <c r="C86" t="s">
        <v>324</v>
      </c>
      <c r="D86" t="s">
        <v>247</v>
      </c>
      <c r="E86" t="str">
        <f>INDEX('State Codes'!$E$7:$E$70,MATCH(INDEX('State Codes'!$C$7:$C$70,MATCH('County Climates'!B86,'State Codes'!$D$7:$D$70,0),1),'State Codes'!$C$7:$C$70,0),1)</f>
        <v>West South Central Division</v>
      </c>
      <c r="F86">
        <f>INDEX('CBECS_Table B5'!$C$6:$K$6,1,MATCH('County Climates'!E86,'CBECS_Table B5'!$C$1:$K$1,0))</f>
        <v>11394</v>
      </c>
    </row>
    <row r="87" spans="1:6" x14ac:dyDescent="0.25">
      <c r="A87" t="s">
        <v>309</v>
      </c>
      <c r="B87" t="s">
        <v>310</v>
      </c>
      <c r="C87" t="s">
        <v>325</v>
      </c>
      <c r="D87" t="s">
        <v>243</v>
      </c>
      <c r="E87" t="str">
        <f>INDEX('State Codes'!$E$7:$E$70,MATCH(INDEX('State Codes'!$C$7:$C$70,MATCH('County Climates'!B87,'State Codes'!$D$7:$D$70,0),1),'State Codes'!$C$7:$C$70,0),1)</f>
        <v>West South Central Division</v>
      </c>
      <c r="F87">
        <f>INDEX('CBECS_Table B5'!$C$6:$K$6,1,MATCH('County Climates'!E87,'CBECS_Table B5'!$C$1:$K$1,0))</f>
        <v>11394</v>
      </c>
    </row>
    <row r="88" spans="1:6" x14ac:dyDescent="0.25">
      <c r="A88" t="s">
        <v>309</v>
      </c>
      <c r="B88" t="s">
        <v>310</v>
      </c>
      <c r="C88" t="s">
        <v>326</v>
      </c>
      <c r="D88" t="s">
        <v>247</v>
      </c>
      <c r="E88" t="str">
        <f>INDEX('State Codes'!$E$7:$E$70,MATCH(INDEX('State Codes'!$C$7:$C$70,MATCH('County Climates'!B88,'State Codes'!$D$7:$D$70,0),1),'State Codes'!$C$7:$C$70,0),1)</f>
        <v>West South Central Division</v>
      </c>
      <c r="F88">
        <f>INDEX('CBECS_Table B5'!$C$6:$K$6,1,MATCH('County Climates'!E88,'CBECS_Table B5'!$C$1:$K$1,0))</f>
        <v>11394</v>
      </c>
    </row>
    <row r="89" spans="1:6" x14ac:dyDescent="0.25">
      <c r="A89" t="s">
        <v>309</v>
      </c>
      <c r="B89" t="s">
        <v>310</v>
      </c>
      <c r="C89" t="s">
        <v>327</v>
      </c>
      <c r="D89" t="s">
        <v>247</v>
      </c>
      <c r="E89" t="str">
        <f>INDEX('State Codes'!$E$7:$E$70,MATCH(INDEX('State Codes'!$C$7:$C$70,MATCH('County Climates'!B89,'State Codes'!$D$7:$D$70,0),1),'State Codes'!$C$7:$C$70,0),1)</f>
        <v>West South Central Division</v>
      </c>
      <c r="F89">
        <f>INDEX('CBECS_Table B5'!$C$6:$K$6,1,MATCH('County Climates'!E89,'CBECS_Table B5'!$C$1:$K$1,0))</f>
        <v>11394</v>
      </c>
    </row>
    <row r="90" spans="1:6" x14ac:dyDescent="0.25">
      <c r="A90" t="s">
        <v>309</v>
      </c>
      <c r="B90" t="s">
        <v>310</v>
      </c>
      <c r="C90" t="s">
        <v>288</v>
      </c>
      <c r="D90" t="s">
        <v>247</v>
      </c>
      <c r="E90" t="str">
        <f>INDEX('State Codes'!$E$7:$E$70,MATCH(INDEX('State Codes'!$C$7:$C$70,MATCH('County Climates'!B90,'State Codes'!$D$7:$D$70,0),1),'State Codes'!$C$7:$C$70,0),1)</f>
        <v>West South Central Division</v>
      </c>
      <c r="F90">
        <f>INDEX('CBECS_Table B5'!$C$6:$K$6,1,MATCH('County Climates'!E90,'CBECS_Table B5'!$C$1:$K$1,0))</f>
        <v>11394</v>
      </c>
    </row>
    <row r="91" spans="1:6" x14ac:dyDescent="0.25">
      <c r="A91" t="s">
        <v>309</v>
      </c>
      <c r="B91" t="s">
        <v>310</v>
      </c>
      <c r="C91" t="s">
        <v>290</v>
      </c>
      <c r="D91" t="s">
        <v>247</v>
      </c>
      <c r="E91" t="str">
        <f>INDEX('State Codes'!$E$7:$E$70,MATCH(INDEX('State Codes'!$C$7:$C$70,MATCH('County Climates'!B91,'State Codes'!$D$7:$D$70,0),1),'State Codes'!$C$7:$C$70,0),1)</f>
        <v>West South Central Division</v>
      </c>
      <c r="F91">
        <f>INDEX('CBECS_Table B5'!$C$6:$K$6,1,MATCH('County Climates'!E91,'CBECS_Table B5'!$C$1:$K$1,0))</f>
        <v>11394</v>
      </c>
    </row>
    <row r="92" spans="1:6" x14ac:dyDescent="0.25">
      <c r="A92" t="s">
        <v>309</v>
      </c>
      <c r="B92" t="s">
        <v>310</v>
      </c>
      <c r="C92" t="s">
        <v>328</v>
      </c>
      <c r="D92" t="s">
        <v>243</v>
      </c>
      <c r="E92" t="str">
        <f>INDEX('State Codes'!$E$7:$E$70,MATCH(INDEX('State Codes'!$C$7:$C$70,MATCH('County Climates'!B92,'State Codes'!$D$7:$D$70,0),1),'State Codes'!$C$7:$C$70,0),1)</f>
        <v>West South Central Division</v>
      </c>
      <c r="F92">
        <f>INDEX('CBECS_Table B5'!$C$6:$K$6,1,MATCH('County Climates'!E92,'CBECS_Table B5'!$C$1:$K$1,0))</f>
        <v>11394</v>
      </c>
    </row>
    <row r="93" spans="1:6" x14ac:dyDescent="0.25">
      <c r="A93" t="s">
        <v>309</v>
      </c>
      <c r="B93" t="s">
        <v>310</v>
      </c>
      <c r="C93" t="s">
        <v>329</v>
      </c>
      <c r="D93" t="s">
        <v>247</v>
      </c>
      <c r="E93" t="str">
        <f>INDEX('State Codes'!$E$7:$E$70,MATCH(INDEX('State Codes'!$C$7:$C$70,MATCH('County Climates'!B93,'State Codes'!$D$7:$D$70,0),1),'State Codes'!$C$7:$C$70,0),1)</f>
        <v>West South Central Division</v>
      </c>
      <c r="F93">
        <f>INDEX('CBECS_Table B5'!$C$6:$K$6,1,MATCH('County Climates'!E93,'CBECS_Table B5'!$C$1:$K$1,0))</f>
        <v>11394</v>
      </c>
    </row>
    <row r="94" spans="1:6" x14ac:dyDescent="0.25">
      <c r="A94" t="s">
        <v>309</v>
      </c>
      <c r="B94" t="s">
        <v>310</v>
      </c>
      <c r="C94" t="s">
        <v>293</v>
      </c>
      <c r="D94" t="s">
        <v>247</v>
      </c>
      <c r="E94" t="str">
        <f>INDEX('State Codes'!$E$7:$E$70,MATCH(INDEX('State Codes'!$C$7:$C$70,MATCH('County Climates'!B94,'State Codes'!$D$7:$D$70,0),1),'State Codes'!$C$7:$C$70,0),1)</f>
        <v>West South Central Division</v>
      </c>
      <c r="F94">
        <f>INDEX('CBECS_Table B5'!$C$6:$K$6,1,MATCH('County Climates'!E94,'CBECS_Table B5'!$C$1:$K$1,0))</f>
        <v>11394</v>
      </c>
    </row>
    <row r="95" spans="1:6" x14ac:dyDescent="0.25">
      <c r="A95" t="s">
        <v>309</v>
      </c>
      <c r="B95" t="s">
        <v>310</v>
      </c>
      <c r="C95" t="s">
        <v>294</v>
      </c>
      <c r="D95" t="s">
        <v>247</v>
      </c>
      <c r="E95" t="str">
        <f>INDEX('State Codes'!$E$7:$E$70,MATCH(INDEX('State Codes'!$C$7:$C$70,MATCH('County Climates'!B95,'State Codes'!$D$7:$D$70,0),1),'State Codes'!$C$7:$C$70,0),1)</f>
        <v>West South Central Division</v>
      </c>
      <c r="F95">
        <f>INDEX('CBECS_Table B5'!$C$6:$K$6,1,MATCH('County Climates'!E95,'CBECS_Table B5'!$C$1:$K$1,0))</f>
        <v>11394</v>
      </c>
    </row>
    <row r="96" spans="1:6" x14ac:dyDescent="0.25">
      <c r="A96" t="s">
        <v>309</v>
      </c>
      <c r="B96" t="s">
        <v>310</v>
      </c>
      <c r="C96" t="s">
        <v>330</v>
      </c>
      <c r="D96" t="s">
        <v>247</v>
      </c>
      <c r="E96" t="str">
        <f>INDEX('State Codes'!$E$7:$E$70,MATCH(INDEX('State Codes'!$C$7:$C$70,MATCH('County Climates'!B96,'State Codes'!$D$7:$D$70,0),1),'State Codes'!$C$7:$C$70,0),1)</f>
        <v>West South Central Division</v>
      </c>
      <c r="F96">
        <f>INDEX('CBECS_Table B5'!$C$6:$K$6,1,MATCH('County Climates'!E96,'CBECS_Table B5'!$C$1:$K$1,0))</f>
        <v>11394</v>
      </c>
    </row>
    <row r="97" spans="1:6" x14ac:dyDescent="0.25">
      <c r="A97" t="s">
        <v>309</v>
      </c>
      <c r="B97" t="s">
        <v>310</v>
      </c>
      <c r="C97" t="s">
        <v>331</v>
      </c>
      <c r="D97" t="s">
        <v>247</v>
      </c>
      <c r="E97" t="str">
        <f>INDEX('State Codes'!$E$7:$E$70,MATCH(INDEX('State Codes'!$C$7:$C$70,MATCH('County Climates'!B97,'State Codes'!$D$7:$D$70,0),1),'State Codes'!$C$7:$C$70,0),1)</f>
        <v>West South Central Division</v>
      </c>
      <c r="F97">
        <f>INDEX('CBECS_Table B5'!$C$6:$K$6,1,MATCH('County Climates'!E97,'CBECS_Table B5'!$C$1:$K$1,0))</f>
        <v>11394</v>
      </c>
    </row>
    <row r="98" spans="1:6" x14ac:dyDescent="0.25">
      <c r="A98" t="s">
        <v>309</v>
      </c>
      <c r="B98" t="s">
        <v>310</v>
      </c>
      <c r="C98" t="s">
        <v>332</v>
      </c>
      <c r="D98" t="s">
        <v>247</v>
      </c>
      <c r="E98" t="str">
        <f>INDEX('State Codes'!$E$7:$E$70,MATCH(INDEX('State Codes'!$C$7:$C$70,MATCH('County Climates'!B98,'State Codes'!$D$7:$D$70,0),1),'State Codes'!$C$7:$C$70,0),1)</f>
        <v>West South Central Division</v>
      </c>
      <c r="F98">
        <f>INDEX('CBECS_Table B5'!$C$6:$K$6,1,MATCH('County Climates'!E98,'CBECS_Table B5'!$C$1:$K$1,0))</f>
        <v>11394</v>
      </c>
    </row>
    <row r="99" spans="1:6" x14ac:dyDescent="0.25">
      <c r="A99" t="s">
        <v>309</v>
      </c>
      <c r="B99" t="s">
        <v>310</v>
      </c>
      <c r="C99" t="s">
        <v>296</v>
      </c>
      <c r="D99" t="s">
        <v>247</v>
      </c>
      <c r="E99" t="str">
        <f>INDEX('State Codes'!$E$7:$E$70,MATCH(INDEX('State Codes'!$C$7:$C$70,MATCH('County Climates'!B99,'State Codes'!$D$7:$D$70,0),1),'State Codes'!$C$7:$C$70,0),1)</f>
        <v>West South Central Division</v>
      </c>
      <c r="F99">
        <f>INDEX('CBECS_Table B5'!$C$6:$K$6,1,MATCH('County Climates'!E99,'CBECS_Table B5'!$C$1:$K$1,0))</f>
        <v>11394</v>
      </c>
    </row>
    <row r="100" spans="1:6" x14ac:dyDescent="0.25">
      <c r="A100" t="s">
        <v>309</v>
      </c>
      <c r="B100" t="s">
        <v>310</v>
      </c>
      <c r="C100" t="s">
        <v>333</v>
      </c>
      <c r="D100" t="s">
        <v>247</v>
      </c>
      <c r="E100" t="str">
        <f>INDEX('State Codes'!$E$7:$E$70,MATCH(INDEX('State Codes'!$C$7:$C$70,MATCH('County Climates'!B100,'State Codes'!$D$7:$D$70,0),1),'State Codes'!$C$7:$C$70,0),1)</f>
        <v>West South Central Division</v>
      </c>
      <c r="F100">
        <f>INDEX('CBECS_Table B5'!$C$6:$K$6,1,MATCH('County Climates'!E100,'CBECS_Table B5'!$C$1:$K$1,0))</f>
        <v>11394</v>
      </c>
    </row>
    <row r="101" spans="1:6" x14ac:dyDescent="0.25">
      <c r="A101" t="s">
        <v>309</v>
      </c>
      <c r="B101" t="s">
        <v>310</v>
      </c>
      <c r="C101" t="s">
        <v>298</v>
      </c>
      <c r="D101" t="s">
        <v>247</v>
      </c>
      <c r="E101" t="str">
        <f>INDEX('State Codes'!$E$7:$E$70,MATCH(INDEX('State Codes'!$C$7:$C$70,MATCH('County Climates'!B101,'State Codes'!$D$7:$D$70,0),1),'State Codes'!$C$7:$C$70,0),1)</f>
        <v>West South Central Division</v>
      </c>
      <c r="F101">
        <f>INDEX('CBECS_Table B5'!$C$6:$K$6,1,MATCH('County Climates'!E101,'CBECS_Table B5'!$C$1:$K$1,0))</f>
        <v>11394</v>
      </c>
    </row>
    <row r="102" spans="1:6" x14ac:dyDescent="0.25">
      <c r="A102" t="s">
        <v>309</v>
      </c>
      <c r="B102" t="s">
        <v>310</v>
      </c>
      <c r="C102" t="s">
        <v>334</v>
      </c>
      <c r="D102" t="s">
        <v>247</v>
      </c>
      <c r="E102" t="str">
        <f>INDEX('State Codes'!$E$7:$E$70,MATCH(INDEX('State Codes'!$C$7:$C$70,MATCH('County Climates'!B102,'State Codes'!$D$7:$D$70,0),1),'State Codes'!$C$7:$C$70,0),1)</f>
        <v>West South Central Division</v>
      </c>
      <c r="F102">
        <f>INDEX('CBECS_Table B5'!$C$6:$K$6,1,MATCH('County Climates'!E102,'CBECS_Table B5'!$C$1:$K$1,0))</f>
        <v>11394</v>
      </c>
    </row>
    <row r="103" spans="1:6" x14ac:dyDescent="0.25">
      <c r="A103" t="s">
        <v>309</v>
      </c>
      <c r="B103" t="s">
        <v>310</v>
      </c>
      <c r="C103" t="s">
        <v>335</v>
      </c>
      <c r="D103" t="s">
        <v>247</v>
      </c>
      <c r="E103" t="str">
        <f>INDEX('State Codes'!$E$7:$E$70,MATCH(INDEX('State Codes'!$C$7:$C$70,MATCH('County Climates'!B103,'State Codes'!$D$7:$D$70,0),1),'State Codes'!$C$7:$C$70,0),1)</f>
        <v>West South Central Division</v>
      </c>
      <c r="F103">
        <f>INDEX('CBECS_Table B5'!$C$6:$K$6,1,MATCH('County Climates'!E103,'CBECS_Table B5'!$C$1:$K$1,0))</f>
        <v>11394</v>
      </c>
    </row>
    <row r="104" spans="1:6" x14ac:dyDescent="0.25">
      <c r="A104" t="s">
        <v>309</v>
      </c>
      <c r="B104" t="s">
        <v>310</v>
      </c>
      <c r="C104" t="s">
        <v>336</v>
      </c>
      <c r="D104" t="s">
        <v>247</v>
      </c>
      <c r="E104" t="str">
        <f>INDEX('State Codes'!$E$7:$E$70,MATCH(INDEX('State Codes'!$C$7:$C$70,MATCH('County Climates'!B104,'State Codes'!$D$7:$D$70,0),1),'State Codes'!$C$7:$C$70,0),1)</f>
        <v>West South Central Division</v>
      </c>
      <c r="F104">
        <f>INDEX('CBECS_Table B5'!$C$6:$K$6,1,MATCH('County Climates'!E104,'CBECS_Table B5'!$C$1:$K$1,0))</f>
        <v>11394</v>
      </c>
    </row>
    <row r="105" spans="1:6" x14ac:dyDescent="0.25">
      <c r="A105" t="s">
        <v>309</v>
      </c>
      <c r="B105" t="s">
        <v>310</v>
      </c>
      <c r="C105" t="s">
        <v>337</v>
      </c>
      <c r="D105" t="s">
        <v>247</v>
      </c>
      <c r="E105" t="str">
        <f>INDEX('State Codes'!$E$7:$E$70,MATCH(INDEX('State Codes'!$C$7:$C$70,MATCH('County Climates'!B105,'State Codes'!$D$7:$D$70,0),1),'State Codes'!$C$7:$C$70,0),1)</f>
        <v>West South Central Division</v>
      </c>
      <c r="F105">
        <f>INDEX('CBECS_Table B5'!$C$6:$K$6,1,MATCH('County Climates'!E105,'CBECS_Table B5'!$C$1:$K$1,0))</f>
        <v>11394</v>
      </c>
    </row>
    <row r="106" spans="1:6" x14ac:dyDescent="0.25">
      <c r="A106" t="s">
        <v>309</v>
      </c>
      <c r="B106" t="s">
        <v>310</v>
      </c>
      <c r="C106" t="s">
        <v>338</v>
      </c>
      <c r="D106" t="s">
        <v>247</v>
      </c>
      <c r="E106" t="str">
        <f>INDEX('State Codes'!$E$7:$E$70,MATCH(INDEX('State Codes'!$C$7:$C$70,MATCH('County Climates'!B106,'State Codes'!$D$7:$D$70,0),1),'State Codes'!$C$7:$C$70,0),1)</f>
        <v>West South Central Division</v>
      </c>
      <c r="F106">
        <f>INDEX('CBECS_Table B5'!$C$6:$K$6,1,MATCH('County Climates'!E106,'CBECS_Table B5'!$C$1:$K$1,0))</f>
        <v>11394</v>
      </c>
    </row>
    <row r="107" spans="1:6" x14ac:dyDescent="0.25">
      <c r="A107" t="s">
        <v>309</v>
      </c>
      <c r="B107" t="s">
        <v>310</v>
      </c>
      <c r="C107" t="s">
        <v>299</v>
      </c>
      <c r="D107" t="s">
        <v>247</v>
      </c>
      <c r="E107" t="str">
        <f>INDEX('State Codes'!$E$7:$E$70,MATCH(INDEX('State Codes'!$C$7:$C$70,MATCH('County Climates'!B107,'State Codes'!$D$7:$D$70,0),1),'State Codes'!$C$7:$C$70,0),1)</f>
        <v>West South Central Division</v>
      </c>
      <c r="F107">
        <f>INDEX('CBECS_Table B5'!$C$6:$K$6,1,MATCH('County Climates'!E107,'CBECS_Table B5'!$C$1:$K$1,0))</f>
        <v>11394</v>
      </c>
    </row>
    <row r="108" spans="1:6" x14ac:dyDescent="0.25">
      <c r="A108" t="s">
        <v>309</v>
      </c>
      <c r="B108" t="s">
        <v>310</v>
      </c>
      <c r="C108" t="s">
        <v>339</v>
      </c>
      <c r="D108" t="s">
        <v>247</v>
      </c>
      <c r="E108" t="str">
        <f>INDEX('State Codes'!$E$7:$E$70,MATCH(INDEX('State Codes'!$C$7:$C$70,MATCH('County Climates'!B108,'State Codes'!$D$7:$D$70,0),1),'State Codes'!$C$7:$C$70,0),1)</f>
        <v>West South Central Division</v>
      </c>
      <c r="F108">
        <f>INDEX('CBECS_Table B5'!$C$6:$K$6,1,MATCH('County Climates'!E108,'CBECS_Table B5'!$C$1:$K$1,0))</f>
        <v>11394</v>
      </c>
    </row>
    <row r="109" spans="1:6" x14ac:dyDescent="0.25">
      <c r="A109" t="s">
        <v>309</v>
      </c>
      <c r="B109" t="s">
        <v>310</v>
      </c>
      <c r="C109" t="s">
        <v>340</v>
      </c>
      <c r="D109" t="s">
        <v>247</v>
      </c>
      <c r="E109" t="str">
        <f>INDEX('State Codes'!$E$7:$E$70,MATCH(INDEX('State Codes'!$C$7:$C$70,MATCH('County Climates'!B109,'State Codes'!$D$7:$D$70,0),1),'State Codes'!$C$7:$C$70,0),1)</f>
        <v>West South Central Division</v>
      </c>
      <c r="F109">
        <f>INDEX('CBECS_Table B5'!$C$6:$K$6,1,MATCH('County Climates'!E109,'CBECS_Table B5'!$C$1:$K$1,0))</f>
        <v>11394</v>
      </c>
    </row>
    <row r="110" spans="1:6" x14ac:dyDescent="0.25">
      <c r="A110" t="s">
        <v>309</v>
      </c>
      <c r="B110" t="s">
        <v>310</v>
      </c>
      <c r="C110" t="s">
        <v>341</v>
      </c>
      <c r="D110" t="s">
        <v>247</v>
      </c>
      <c r="E110" t="str">
        <f>INDEX('State Codes'!$E$7:$E$70,MATCH(INDEX('State Codes'!$C$7:$C$70,MATCH('County Climates'!B110,'State Codes'!$D$7:$D$70,0),1),'State Codes'!$C$7:$C$70,0),1)</f>
        <v>West South Central Division</v>
      </c>
      <c r="F110">
        <f>INDEX('CBECS_Table B5'!$C$6:$K$6,1,MATCH('County Climates'!E110,'CBECS_Table B5'!$C$1:$K$1,0))</f>
        <v>11394</v>
      </c>
    </row>
    <row r="111" spans="1:6" x14ac:dyDescent="0.25">
      <c r="A111" t="s">
        <v>309</v>
      </c>
      <c r="B111" t="s">
        <v>310</v>
      </c>
      <c r="C111" t="s">
        <v>342</v>
      </c>
      <c r="D111" t="s">
        <v>247</v>
      </c>
      <c r="E111" t="str">
        <f>INDEX('State Codes'!$E$7:$E$70,MATCH(INDEX('State Codes'!$C$7:$C$70,MATCH('County Climates'!B111,'State Codes'!$D$7:$D$70,0),1),'State Codes'!$C$7:$C$70,0),1)</f>
        <v>West South Central Division</v>
      </c>
      <c r="F111">
        <f>INDEX('CBECS_Table B5'!$C$6:$K$6,1,MATCH('County Climates'!E111,'CBECS_Table B5'!$C$1:$K$1,0))</f>
        <v>11394</v>
      </c>
    </row>
    <row r="112" spans="1:6" x14ac:dyDescent="0.25">
      <c r="A112" t="s">
        <v>309</v>
      </c>
      <c r="B112" t="s">
        <v>310</v>
      </c>
      <c r="C112" t="s">
        <v>343</v>
      </c>
      <c r="D112" t="s">
        <v>247</v>
      </c>
      <c r="E112" t="str">
        <f>INDEX('State Codes'!$E$7:$E$70,MATCH(INDEX('State Codes'!$C$7:$C$70,MATCH('County Climates'!B112,'State Codes'!$D$7:$D$70,0),1),'State Codes'!$C$7:$C$70,0),1)</f>
        <v>West South Central Division</v>
      </c>
      <c r="F112">
        <f>INDEX('CBECS_Table B5'!$C$6:$K$6,1,MATCH('County Climates'!E112,'CBECS_Table B5'!$C$1:$K$1,0))</f>
        <v>11394</v>
      </c>
    </row>
    <row r="113" spans="1:6" x14ac:dyDescent="0.25">
      <c r="A113" t="s">
        <v>309</v>
      </c>
      <c r="B113" t="s">
        <v>310</v>
      </c>
      <c r="C113" t="s">
        <v>344</v>
      </c>
      <c r="D113" t="s">
        <v>247</v>
      </c>
      <c r="E113" t="str">
        <f>INDEX('State Codes'!$E$7:$E$70,MATCH(INDEX('State Codes'!$C$7:$C$70,MATCH('County Climates'!B113,'State Codes'!$D$7:$D$70,0),1),'State Codes'!$C$7:$C$70,0),1)</f>
        <v>West South Central Division</v>
      </c>
      <c r="F113">
        <f>INDEX('CBECS_Table B5'!$C$6:$K$6,1,MATCH('County Climates'!E113,'CBECS_Table B5'!$C$1:$K$1,0))</f>
        <v>11394</v>
      </c>
    </row>
    <row r="114" spans="1:6" x14ac:dyDescent="0.25">
      <c r="A114" t="s">
        <v>309</v>
      </c>
      <c r="B114" t="s">
        <v>310</v>
      </c>
      <c r="C114" t="s">
        <v>345</v>
      </c>
      <c r="D114" t="s">
        <v>247</v>
      </c>
      <c r="E114" t="str">
        <f>INDEX('State Codes'!$E$7:$E$70,MATCH(INDEX('State Codes'!$C$7:$C$70,MATCH('County Climates'!B114,'State Codes'!$D$7:$D$70,0),1),'State Codes'!$C$7:$C$70,0),1)</f>
        <v>West South Central Division</v>
      </c>
      <c r="F114">
        <f>INDEX('CBECS_Table B5'!$C$6:$K$6,1,MATCH('County Climates'!E114,'CBECS_Table B5'!$C$1:$K$1,0))</f>
        <v>11394</v>
      </c>
    </row>
    <row r="115" spans="1:6" x14ac:dyDescent="0.25">
      <c r="A115" t="s">
        <v>309</v>
      </c>
      <c r="B115" t="s">
        <v>310</v>
      </c>
      <c r="C115" t="s">
        <v>346</v>
      </c>
      <c r="D115" t="s">
        <v>247</v>
      </c>
      <c r="E115" t="str">
        <f>INDEX('State Codes'!$E$7:$E$70,MATCH(INDEX('State Codes'!$C$7:$C$70,MATCH('County Climates'!B115,'State Codes'!$D$7:$D$70,0),1),'State Codes'!$C$7:$C$70,0),1)</f>
        <v>West South Central Division</v>
      </c>
      <c r="F115">
        <f>INDEX('CBECS_Table B5'!$C$6:$K$6,1,MATCH('County Climates'!E115,'CBECS_Table B5'!$C$1:$K$1,0))</f>
        <v>11394</v>
      </c>
    </row>
    <row r="116" spans="1:6" x14ac:dyDescent="0.25">
      <c r="A116" t="s">
        <v>309</v>
      </c>
      <c r="B116" t="s">
        <v>310</v>
      </c>
      <c r="C116" t="s">
        <v>347</v>
      </c>
      <c r="D116" t="s">
        <v>243</v>
      </c>
      <c r="E116" t="str">
        <f>INDEX('State Codes'!$E$7:$E$70,MATCH(INDEX('State Codes'!$C$7:$C$70,MATCH('County Climates'!B116,'State Codes'!$D$7:$D$70,0),1),'State Codes'!$C$7:$C$70,0),1)</f>
        <v>West South Central Division</v>
      </c>
      <c r="F116">
        <f>INDEX('CBECS_Table B5'!$C$6:$K$6,1,MATCH('County Climates'!E116,'CBECS_Table B5'!$C$1:$K$1,0))</f>
        <v>11394</v>
      </c>
    </row>
    <row r="117" spans="1:6" x14ac:dyDescent="0.25">
      <c r="A117" t="s">
        <v>309</v>
      </c>
      <c r="B117" t="s">
        <v>310</v>
      </c>
      <c r="C117" t="s">
        <v>348</v>
      </c>
      <c r="D117" t="s">
        <v>247</v>
      </c>
      <c r="E117" t="str">
        <f>INDEX('State Codes'!$E$7:$E$70,MATCH(INDEX('State Codes'!$C$7:$C$70,MATCH('County Climates'!B117,'State Codes'!$D$7:$D$70,0),1),'State Codes'!$C$7:$C$70,0),1)</f>
        <v>West South Central Division</v>
      </c>
      <c r="F117">
        <f>INDEX('CBECS_Table B5'!$C$6:$K$6,1,MATCH('County Climates'!E117,'CBECS_Table B5'!$C$1:$K$1,0))</f>
        <v>11394</v>
      </c>
    </row>
    <row r="118" spans="1:6" x14ac:dyDescent="0.25">
      <c r="A118" t="s">
        <v>309</v>
      </c>
      <c r="B118" t="s">
        <v>310</v>
      </c>
      <c r="C118" t="s">
        <v>308</v>
      </c>
      <c r="D118" t="s">
        <v>247</v>
      </c>
      <c r="E118" t="str">
        <f>INDEX('State Codes'!$E$7:$E$70,MATCH(INDEX('State Codes'!$C$7:$C$70,MATCH('County Climates'!B118,'State Codes'!$D$7:$D$70,0),1),'State Codes'!$C$7:$C$70,0),1)</f>
        <v>West South Central Division</v>
      </c>
      <c r="F118">
        <f>INDEX('CBECS_Table B5'!$C$6:$K$6,1,MATCH('County Climates'!E118,'CBECS_Table B5'!$C$1:$K$1,0))</f>
        <v>11394</v>
      </c>
    </row>
    <row r="119" spans="1:6" x14ac:dyDescent="0.25">
      <c r="A119" t="s">
        <v>309</v>
      </c>
      <c r="B119" t="s">
        <v>310</v>
      </c>
      <c r="C119" t="s">
        <v>349</v>
      </c>
      <c r="D119" t="s">
        <v>247</v>
      </c>
      <c r="E119" t="str">
        <f>INDEX('State Codes'!$E$7:$E$70,MATCH(INDEX('State Codes'!$C$7:$C$70,MATCH('County Climates'!B119,'State Codes'!$D$7:$D$70,0),1),'State Codes'!$C$7:$C$70,0),1)</f>
        <v>West South Central Division</v>
      </c>
      <c r="F119">
        <f>INDEX('CBECS_Table B5'!$C$6:$K$6,1,MATCH('County Climates'!E119,'CBECS_Table B5'!$C$1:$K$1,0))</f>
        <v>11394</v>
      </c>
    </row>
    <row r="120" spans="1:6" x14ac:dyDescent="0.25">
      <c r="A120" t="s">
        <v>309</v>
      </c>
      <c r="B120" t="s">
        <v>310</v>
      </c>
      <c r="C120" t="s">
        <v>350</v>
      </c>
      <c r="D120" t="s">
        <v>247</v>
      </c>
      <c r="E120" t="str">
        <f>INDEX('State Codes'!$E$7:$E$70,MATCH(INDEX('State Codes'!$C$7:$C$70,MATCH('County Climates'!B120,'State Codes'!$D$7:$D$70,0),1),'State Codes'!$C$7:$C$70,0),1)</f>
        <v>West South Central Division</v>
      </c>
      <c r="F120">
        <f>INDEX('CBECS_Table B5'!$C$6:$K$6,1,MATCH('County Climates'!E120,'CBECS_Table B5'!$C$1:$K$1,0))</f>
        <v>11394</v>
      </c>
    </row>
    <row r="121" spans="1:6" x14ac:dyDescent="0.25">
      <c r="A121" t="s">
        <v>309</v>
      </c>
      <c r="B121" t="s">
        <v>310</v>
      </c>
      <c r="C121" t="s">
        <v>351</v>
      </c>
      <c r="D121" t="s">
        <v>247</v>
      </c>
      <c r="E121" t="str">
        <f>INDEX('State Codes'!$E$7:$E$70,MATCH(INDEX('State Codes'!$C$7:$C$70,MATCH('County Climates'!B121,'State Codes'!$D$7:$D$70,0),1),'State Codes'!$C$7:$C$70,0),1)</f>
        <v>West South Central Division</v>
      </c>
      <c r="F121">
        <f>INDEX('CBECS_Table B5'!$C$6:$K$6,1,MATCH('County Climates'!E121,'CBECS_Table B5'!$C$1:$K$1,0))</f>
        <v>11394</v>
      </c>
    </row>
    <row r="122" spans="1:6" x14ac:dyDescent="0.25">
      <c r="A122" t="s">
        <v>352</v>
      </c>
      <c r="B122" t="s">
        <v>353</v>
      </c>
      <c r="C122" t="s">
        <v>354</v>
      </c>
      <c r="D122" t="s">
        <v>227</v>
      </c>
      <c r="E122" t="str">
        <f>INDEX('State Codes'!$E$7:$E$70,MATCH(INDEX('State Codes'!$C$7:$C$70,MATCH('County Climates'!B122,'State Codes'!$D$7:$D$70,0),1),'State Codes'!$C$7:$C$70,0),1)</f>
        <v>Pacific Division</v>
      </c>
      <c r="F122">
        <f>INDEX('CBECS_Table B5'!$C$6:$K$6,1,MATCH('County Climates'!E122,'CBECS_Table B5'!$C$1:$K$1,0))</f>
        <v>13379</v>
      </c>
    </row>
    <row r="123" spans="1:6" x14ac:dyDescent="0.25">
      <c r="A123" t="s">
        <v>352</v>
      </c>
      <c r="B123" t="s">
        <v>353</v>
      </c>
      <c r="C123" t="s">
        <v>355</v>
      </c>
      <c r="D123" t="s">
        <v>228</v>
      </c>
      <c r="E123" t="str">
        <f>INDEX('State Codes'!$E$7:$E$70,MATCH(INDEX('State Codes'!$C$7:$C$70,MATCH('County Climates'!B123,'State Codes'!$D$7:$D$70,0),1),'State Codes'!$C$7:$C$70,0),1)</f>
        <v>Pacific Division</v>
      </c>
      <c r="F123">
        <f>INDEX('CBECS_Table B5'!$C$6:$K$6,1,MATCH('County Climates'!E123,'CBECS_Table B5'!$C$1:$K$1,0))</f>
        <v>13379</v>
      </c>
    </row>
    <row r="124" spans="1:6" x14ac:dyDescent="0.25">
      <c r="A124" t="s">
        <v>352</v>
      </c>
      <c r="B124" t="s">
        <v>353</v>
      </c>
      <c r="C124" t="s">
        <v>356</v>
      </c>
      <c r="D124" t="s">
        <v>357</v>
      </c>
      <c r="E124" t="str">
        <f>INDEX('State Codes'!$E$7:$E$70,MATCH(INDEX('State Codes'!$C$7:$C$70,MATCH('County Climates'!B124,'State Codes'!$D$7:$D$70,0),1),'State Codes'!$C$7:$C$70,0),1)</f>
        <v>Pacific Division</v>
      </c>
      <c r="F124">
        <f>INDEX('CBECS_Table B5'!$C$6:$K$6,1,MATCH('County Climates'!E124,'CBECS_Table B5'!$C$1:$K$1,0))</f>
        <v>13379</v>
      </c>
    </row>
    <row r="125" spans="1:6" x14ac:dyDescent="0.25">
      <c r="A125" t="s">
        <v>352</v>
      </c>
      <c r="B125" t="s">
        <v>353</v>
      </c>
      <c r="C125" t="s">
        <v>358</v>
      </c>
      <c r="D125" t="s">
        <v>359</v>
      </c>
      <c r="E125" t="str">
        <f>INDEX('State Codes'!$E$7:$E$70,MATCH(INDEX('State Codes'!$C$7:$C$70,MATCH('County Climates'!B125,'State Codes'!$D$7:$D$70,0),1),'State Codes'!$C$7:$C$70,0),1)</f>
        <v>Pacific Division</v>
      </c>
      <c r="F125">
        <f>INDEX('CBECS_Table B5'!$C$6:$K$6,1,MATCH('County Climates'!E125,'CBECS_Table B5'!$C$1:$K$1,0))</f>
        <v>13379</v>
      </c>
    </row>
    <row r="126" spans="1:6" x14ac:dyDescent="0.25">
      <c r="A126" t="s">
        <v>352</v>
      </c>
      <c r="B126" t="s">
        <v>353</v>
      </c>
      <c r="C126" t="s">
        <v>360</v>
      </c>
      <c r="D126" t="s">
        <v>357</v>
      </c>
      <c r="E126" t="str">
        <f>INDEX('State Codes'!$E$7:$E$70,MATCH(INDEX('State Codes'!$C$7:$C$70,MATCH('County Climates'!B126,'State Codes'!$D$7:$D$70,0),1),'State Codes'!$C$7:$C$70,0),1)</f>
        <v>Pacific Division</v>
      </c>
      <c r="F126">
        <f>INDEX('CBECS_Table B5'!$C$6:$K$6,1,MATCH('County Climates'!E126,'CBECS_Table B5'!$C$1:$K$1,0))</f>
        <v>13379</v>
      </c>
    </row>
    <row r="127" spans="1:6" x14ac:dyDescent="0.25">
      <c r="A127" t="s">
        <v>352</v>
      </c>
      <c r="B127" t="s">
        <v>353</v>
      </c>
      <c r="C127" t="s">
        <v>361</v>
      </c>
      <c r="D127" t="s">
        <v>359</v>
      </c>
      <c r="E127" t="str">
        <f>INDEX('State Codes'!$E$7:$E$70,MATCH(INDEX('State Codes'!$C$7:$C$70,MATCH('County Climates'!B127,'State Codes'!$D$7:$D$70,0),1),'State Codes'!$C$7:$C$70,0),1)</f>
        <v>Pacific Division</v>
      </c>
      <c r="F127">
        <f>INDEX('CBECS_Table B5'!$C$6:$K$6,1,MATCH('County Climates'!E127,'CBECS_Table B5'!$C$1:$K$1,0))</f>
        <v>13379</v>
      </c>
    </row>
    <row r="128" spans="1:6" x14ac:dyDescent="0.25">
      <c r="A128" t="s">
        <v>352</v>
      </c>
      <c r="B128" t="s">
        <v>353</v>
      </c>
      <c r="C128" t="s">
        <v>362</v>
      </c>
      <c r="D128" t="s">
        <v>359</v>
      </c>
      <c r="E128" t="str">
        <f>INDEX('State Codes'!$E$7:$E$70,MATCH(INDEX('State Codes'!$C$7:$C$70,MATCH('County Climates'!B128,'State Codes'!$D$7:$D$70,0),1),'State Codes'!$C$7:$C$70,0),1)</f>
        <v>Pacific Division</v>
      </c>
      <c r="F128">
        <f>INDEX('CBECS_Table B5'!$C$6:$K$6,1,MATCH('County Climates'!E128,'CBECS_Table B5'!$C$1:$K$1,0))</f>
        <v>13379</v>
      </c>
    </row>
    <row r="129" spans="1:6" x14ac:dyDescent="0.25">
      <c r="A129" t="s">
        <v>352</v>
      </c>
      <c r="B129" t="s">
        <v>353</v>
      </c>
      <c r="C129" t="s">
        <v>363</v>
      </c>
      <c r="D129" t="s">
        <v>227</v>
      </c>
      <c r="E129" t="str">
        <f>INDEX('State Codes'!$E$7:$E$70,MATCH(INDEX('State Codes'!$C$7:$C$70,MATCH('County Climates'!B129,'State Codes'!$D$7:$D$70,0),1),'State Codes'!$C$7:$C$70,0),1)</f>
        <v>Pacific Division</v>
      </c>
      <c r="F129">
        <f>INDEX('CBECS_Table B5'!$C$6:$K$6,1,MATCH('County Climates'!E129,'CBECS_Table B5'!$C$1:$K$1,0))</f>
        <v>13379</v>
      </c>
    </row>
    <row r="130" spans="1:6" x14ac:dyDescent="0.25">
      <c r="A130" t="s">
        <v>352</v>
      </c>
      <c r="B130" t="s">
        <v>353</v>
      </c>
      <c r="C130" t="s">
        <v>364</v>
      </c>
      <c r="D130" t="s">
        <v>357</v>
      </c>
      <c r="E130" t="str">
        <f>INDEX('State Codes'!$E$7:$E$70,MATCH(INDEX('State Codes'!$C$7:$C$70,MATCH('County Climates'!B130,'State Codes'!$D$7:$D$70,0),1),'State Codes'!$C$7:$C$70,0),1)</f>
        <v>Pacific Division</v>
      </c>
      <c r="F130">
        <f>INDEX('CBECS_Table B5'!$C$6:$K$6,1,MATCH('County Climates'!E130,'CBECS_Table B5'!$C$1:$K$1,0))</f>
        <v>13379</v>
      </c>
    </row>
    <row r="131" spans="1:6" x14ac:dyDescent="0.25">
      <c r="A131" t="s">
        <v>352</v>
      </c>
      <c r="B131" t="s">
        <v>353</v>
      </c>
      <c r="C131" t="s">
        <v>365</v>
      </c>
      <c r="D131" t="s">
        <v>359</v>
      </c>
      <c r="E131" t="str">
        <f>INDEX('State Codes'!$E$7:$E$70,MATCH(INDEX('State Codes'!$C$7:$C$70,MATCH('County Climates'!B131,'State Codes'!$D$7:$D$70,0),1),'State Codes'!$C$7:$C$70,0),1)</f>
        <v>Pacific Division</v>
      </c>
      <c r="F131">
        <f>INDEX('CBECS_Table B5'!$C$6:$K$6,1,MATCH('County Climates'!E131,'CBECS_Table B5'!$C$1:$K$1,0))</f>
        <v>13379</v>
      </c>
    </row>
    <row r="132" spans="1:6" x14ac:dyDescent="0.25">
      <c r="A132" t="s">
        <v>366</v>
      </c>
      <c r="B132" t="s">
        <v>367</v>
      </c>
      <c r="C132" t="s">
        <v>368</v>
      </c>
      <c r="D132" t="s">
        <v>228</v>
      </c>
      <c r="E132" t="str">
        <f>INDEX('State Codes'!$E$7:$E$70,MATCH(INDEX('State Codes'!$C$7:$C$70,MATCH('County Climates'!B132,'State Codes'!$D$7:$D$70,0),1),'State Codes'!$C$7:$C$70,0),1)</f>
        <v>Mountain Division</v>
      </c>
      <c r="F132">
        <f>INDEX('CBECS_Table B5'!$C$6:$K$6,1,MATCH('County Climates'!E132,'CBECS_Table B5'!$C$1:$K$1,0))</f>
        <v>4981</v>
      </c>
    </row>
    <row r="133" spans="1:6" x14ac:dyDescent="0.25">
      <c r="A133" t="s">
        <v>366</v>
      </c>
      <c r="B133" t="s">
        <v>367</v>
      </c>
      <c r="C133" t="s">
        <v>369</v>
      </c>
      <c r="D133" t="s">
        <v>228</v>
      </c>
      <c r="E133" t="str">
        <f>INDEX('State Codes'!$E$7:$E$70,MATCH(INDEX('State Codes'!$C$7:$C$70,MATCH('County Climates'!B133,'State Codes'!$D$7:$D$70,0),1),'State Codes'!$C$7:$C$70,0),1)</f>
        <v>Mountain Division</v>
      </c>
      <c r="F133">
        <f>INDEX('CBECS_Table B5'!$C$6:$K$6,1,MATCH('County Climates'!E133,'CBECS_Table B5'!$C$1:$K$1,0))</f>
        <v>4981</v>
      </c>
    </row>
    <row r="134" spans="1:6" x14ac:dyDescent="0.25">
      <c r="A134" t="s">
        <v>366</v>
      </c>
      <c r="B134" t="s">
        <v>367</v>
      </c>
      <c r="C134" t="s">
        <v>370</v>
      </c>
      <c r="D134" t="s">
        <v>228</v>
      </c>
      <c r="E134" t="str">
        <f>INDEX('State Codes'!$E$7:$E$70,MATCH(INDEX('State Codes'!$C$7:$C$70,MATCH('County Climates'!B134,'State Codes'!$D$7:$D$70,0),1),'State Codes'!$C$7:$C$70,0),1)</f>
        <v>Mountain Division</v>
      </c>
      <c r="F134">
        <f>INDEX('CBECS_Table B5'!$C$6:$K$6,1,MATCH('County Climates'!E134,'CBECS_Table B5'!$C$1:$K$1,0))</f>
        <v>4981</v>
      </c>
    </row>
    <row r="135" spans="1:6" x14ac:dyDescent="0.25">
      <c r="A135" t="s">
        <v>366</v>
      </c>
      <c r="B135" t="s">
        <v>367</v>
      </c>
      <c r="C135" t="s">
        <v>371</v>
      </c>
      <c r="D135" t="s">
        <v>228</v>
      </c>
      <c r="E135" t="str">
        <f>INDEX('State Codes'!$E$7:$E$70,MATCH(INDEX('State Codes'!$C$7:$C$70,MATCH('County Climates'!B135,'State Codes'!$D$7:$D$70,0),1),'State Codes'!$C$7:$C$70,0),1)</f>
        <v>Mountain Division</v>
      </c>
      <c r="F135">
        <f>INDEX('CBECS_Table B5'!$C$6:$K$6,1,MATCH('County Climates'!E135,'CBECS_Table B5'!$C$1:$K$1,0))</f>
        <v>4981</v>
      </c>
    </row>
    <row r="136" spans="1:6" x14ac:dyDescent="0.25">
      <c r="A136" t="s">
        <v>366</v>
      </c>
      <c r="B136" t="s">
        <v>367</v>
      </c>
      <c r="C136" t="s">
        <v>372</v>
      </c>
      <c r="D136" t="s">
        <v>228</v>
      </c>
      <c r="E136" t="str">
        <f>INDEX('State Codes'!$E$7:$E$70,MATCH(INDEX('State Codes'!$C$7:$C$70,MATCH('County Climates'!B136,'State Codes'!$D$7:$D$70,0),1),'State Codes'!$C$7:$C$70,0),1)</f>
        <v>Mountain Division</v>
      </c>
      <c r="F136">
        <f>INDEX('CBECS_Table B5'!$C$6:$K$6,1,MATCH('County Climates'!E136,'CBECS_Table B5'!$C$1:$K$1,0))</f>
        <v>4981</v>
      </c>
    </row>
    <row r="137" spans="1:6" x14ac:dyDescent="0.25">
      <c r="A137" t="s">
        <v>366</v>
      </c>
      <c r="B137" t="s">
        <v>367</v>
      </c>
      <c r="C137" t="s">
        <v>373</v>
      </c>
      <c r="D137" t="s">
        <v>228</v>
      </c>
      <c r="E137" t="str">
        <f>INDEX('State Codes'!$E$7:$E$70,MATCH(INDEX('State Codes'!$C$7:$C$70,MATCH('County Climates'!B137,'State Codes'!$D$7:$D$70,0),1),'State Codes'!$C$7:$C$70,0),1)</f>
        <v>Mountain Division</v>
      </c>
      <c r="F137">
        <f>INDEX('CBECS_Table B5'!$C$6:$K$6,1,MATCH('County Climates'!E137,'CBECS_Table B5'!$C$1:$K$1,0))</f>
        <v>4981</v>
      </c>
    </row>
    <row r="138" spans="1:6" x14ac:dyDescent="0.25">
      <c r="A138" t="s">
        <v>366</v>
      </c>
      <c r="B138" t="s">
        <v>367</v>
      </c>
      <c r="C138" t="s">
        <v>374</v>
      </c>
      <c r="D138" t="s">
        <v>228</v>
      </c>
      <c r="E138" t="str">
        <f>INDEX('State Codes'!$E$7:$E$70,MATCH(INDEX('State Codes'!$C$7:$C$70,MATCH('County Climates'!B138,'State Codes'!$D$7:$D$70,0),1),'State Codes'!$C$7:$C$70,0),1)</f>
        <v>Mountain Division</v>
      </c>
      <c r="F138">
        <f>INDEX('CBECS_Table B5'!$C$6:$K$6,1,MATCH('County Climates'!E138,'CBECS_Table B5'!$C$1:$K$1,0))</f>
        <v>4981</v>
      </c>
    </row>
    <row r="139" spans="1:6" x14ac:dyDescent="0.25">
      <c r="A139" t="s">
        <v>366</v>
      </c>
      <c r="B139" t="s">
        <v>367</v>
      </c>
      <c r="C139" t="s">
        <v>375</v>
      </c>
      <c r="D139" t="s">
        <v>228</v>
      </c>
      <c r="E139" t="str">
        <f>INDEX('State Codes'!$E$7:$E$70,MATCH(INDEX('State Codes'!$C$7:$C$70,MATCH('County Climates'!B139,'State Codes'!$D$7:$D$70,0),1),'State Codes'!$C$7:$C$70,0),1)</f>
        <v>Mountain Division</v>
      </c>
      <c r="F139">
        <f>INDEX('CBECS_Table B5'!$C$6:$K$6,1,MATCH('County Climates'!E139,'CBECS_Table B5'!$C$1:$K$1,0))</f>
        <v>4981</v>
      </c>
    </row>
    <row r="140" spans="1:6" x14ac:dyDescent="0.25">
      <c r="A140" t="s">
        <v>366</v>
      </c>
      <c r="B140" t="s">
        <v>367</v>
      </c>
      <c r="C140" t="s">
        <v>376</v>
      </c>
      <c r="D140" t="s">
        <v>229</v>
      </c>
      <c r="E140" t="str">
        <f>INDEX('State Codes'!$E$7:$E$70,MATCH(INDEX('State Codes'!$C$7:$C$70,MATCH('County Climates'!B140,'State Codes'!$D$7:$D$70,0),1),'State Codes'!$C$7:$C$70,0),1)</f>
        <v>Mountain Division</v>
      </c>
      <c r="F140">
        <f>INDEX('CBECS_Table B5'!$C$6:$K$6,1,MATCH('County Climates'!E140,'CBECS_Table B5'!$C$1:$K$1,0))</f>
        <v>4981</v>
      </c>
    </row>
    <row r="141" spans="1:6" x14ac:dyDescent="0.25">
      <c r="A141" t="s">
        <v>366</v>
      </c>
      <c r="B141" t="s">
        <v>367</v>
      </c>
      <c r="C141" t="s">
        <v>377</v>
      </c>
      <c r="D141" t="s">
        <v>229</v>
      </c>
      <c r="E141" t="str">
        <f>INDEX('State Codes'!$E$7:$E$70,MATCH(INDEX('State Codes'!$C$7:$C$70,MATCH('County Climates'!B141,'State Codes'!$D$7:$D$70,0),1),'State Codes'!$C$7:$C$70,0),1)</f>
        <v>Mountain Division</v>
      </c>
      <c r="F141">
        <f>INDEX('CBECS_Table B5'!$C$6:$K$6,1,MATCH('County Climates'!E141,'CBECS_Table B5'!$C$1:$K$1,0))</f>
        <v>4981</v>
      </c>
    </row>
    <row r="142" spans="1:6" x14ac:dyDescent="0.25">
      <c r="A142" t="s">
        <v>366</v>
      </c>
      <c r="B142" t="s">
        <v>367</v>
      </c>
      <c r="C142" t="s">
        <v>378</v>
      </c>
      <c r="D142" t="s">
        <v>229</v>
      </c>
      <c r="E142" t="str">
        <f>INDEX('State Codes'!$E$7:$E$70,MATCH(INDEX('State Codes'!$C$7:$C$70,MATCH('County Climates'!B142,'State Codes'!$D$7:$D$70,0),1),'State Codes'!$C$7:$C$70,0),1)</f>
        <v>Mountain Division</v>
      </c>
      <c r="F142">
        <f>INDEX('CBECS_Table B5'!$C$6:$K$6,1,MATCH('County Climates'!E142,'CBECS_Table B5'!$C$1:$K$1,0))</f>
        <v>4981</v>
      </c>
    </row>
    <row r="143" spans="1:6" x14ac:dyDescent="0.25">
      <c r="A143" t="s">
        <v>366</v>
      </c>
      <c r="B143" t="s">
        <v>367</v>
      </c>
      <c r="C143" t="s">
        <v>379</v>
      </c>
      <c r="D143" t="s">
        <v>228</v>
      </c>
      <c r="E143" t="str">
        <f>INDEX('State Codes'!$E$7:$E$70,MATCH(INDEX('State Codes'!$C$7:$C$70,MATCH('County Climates'!B143,'State Codes'!$D$7:$D$70,0),1),'State Codes'!$C$7:$C$70,0),1)</f>
        <v>Mountain Division</v>
      </c>
      <c r="F143">
        <f>INDEX('CBECS_Table B5'!$C$6:$K$6,1,MATCH('County Climates'!E143,'CBECS_Table B5'!$C$1:$K$1,0))</f>
        <v>4981</v>
      </c>
    </row>
    <row r="144" spans="1:6" x14ac:dyDescent="0.25">
      <c r="A144" t="s">
        <v>366</v>
      </c>
      <c r="B144" t="s">
        <v>367</v>
      </c>
      <c r="C144" t="s">
        <v>279</v>
      </c>
      <c r="D144" t="s">
        <v>229</v>
      </c>
      <c r="E144" t="str">
        <f>INDEX('State Codes'!$E$7:$E$70,MATCH(INDEX('State Codes'!$C$7:$C$70,MATCH('County Climates'!B144,'State Codes'!$D$7:$D$70,0),1),'State Codes'!$C$7:$C$70,0),1)</f>
        <v>Mountain Division</v>
      </c>
      <c r="F144">
        <f>INDEX('CBECS_Table B5'!$C$6:$K$6,1,MATCH('County Climates'!E144,'CBECS_Table B5'!$C$1:$K$1,0))</f>
        <v>4981</v>
      </c>
    </row>
    <row r="145" spans="1:6" x14ac:dyDescent="0.25">
      <c r="A145" t="s">
        <v>366</v>
      </c>
      <c r="B145" t="s">
        <v>367</v>
      </c>
      <c r="C145" t="s">
        <v>280</v>
      </c>
      <c r="D145" t="s">
        <v>228</v>
      </c>
      <c r="E145" t="str">
        <f>INDEX('State Codes'!$E$7:$E$70,MATCH(INDEX('State Codes'!$C$7:$C$70,MATCH('County Climates'!B145,'State Codes'!$D$7:$D$70,0),1),'State Codes'!$C$7:$C$70,0),1)</f>
        <v>Mountain Division</v>
      </c>
      <c r="F145">
        <f>INDEX('CBECS_Table B5'!$C$6:$K$6,1,MATCH('County Climates'!E145,'CBECS_Table B5'!$C$1:$K$1,0))</f>
        <v>4981</v>
      </c>
    </row>
    <row r="146" spans="1:6" x14ac:dyDescent="0.25">
      <c r="A146" t="s">
        <v>366</v>
      </c>
      <c r="B146" t="s">
        <v>367</v>
      </c>
      <c r="C146" t="s">
        <v>380</v>
      </c>
      <c r="D146" t="s">
        <v>228</v>
      </c>
      <c r="E146" t="str">
        <f>INDEX('State Codes'!$E$7:$E$70,MATCH(INDEX('State Codes'!$C$7:$C$70,MATCH('County Climates'!B146,'State Codes'!$D$7:$D$70,0),1),'State Codes'!$C$7:$C$70,0),1)</f>
        <v>Mountain Division</v>
      </c>
      <c r="F146">
        <f>INDEX('CBECS_Table B5'!$C$6:$K$6,1,MATCH('County Climates'!E146,'CBECS_Table B5'!$C$1:$K$1,0))</f>
        <v>4981</v>
      </c>
    </row>
    <row r="147" spans="1:6" x14ac:dyDescent="0.25">
      <c r="A147" t="s">
        <v>366</v>
      </c>
      <c r="B147" t="s">
        <v>367</v>
      </c>
      <c r="C147" t="s">
        <v>381</v>
      </c>
      <c r="D147" t="s">
        <v>228</v>
      </c>
      <c r="E147" t="str">
        <f>INDEX('State Codes'!$E$7:$E$70,MATCH(INDEX('State Codes'!$C$7:$C$70,MATCH('County Climates'!B147,'State Codes'!$D$7:$D$70,0),1),'State Codes'!$C$7:$C$70,0),1)</f>
        <v>Mountain Division</v>
      </c>
      <c r="F147">
        <f>INDEX('CBECS_Table B5'!$C$6:$K$6,1,MATCH('County Climates'!E147,'CBECS_Table B5'!$C$1:$K$1,0))</f>
        <v>4981</v>
      </c>
    </row>
    <row r="148" spans="1:6" x14ac:dyDescent="0.25">
      <c r="A148" t="s">
        <v>366</v>
      </c>
      <c r="B148" t="s">
        <v>367</v>
      </c>
      <c r="C148" t="s">
        <v>382</v>
      </c>
      <c r="D148" t="s">
        <v>228</v>
      </c>
      <c r="E148" t="str">
        <f>INDEX('State Codes'!$E$7:$E$70,MATCH(INDEX('State Codes'!$C$7:$C$70,MATCH('County Climates'!B148,'State Codes'!$D$7:$D$70,0),1),'State Codes'!$C$7:$C$70,0),1)</f>
        <v>Mountain Division</v>
      </c>
      <c r="F148">
        <f>INDEX('CBECS_Table B5'!$C$6:$K$6,1,MATCH('County Climates'!E148,'CBECS_Table B5'!$C$1:$K$1,0))</f>
        <v>4981</v>
      </c>
    </row>
    <row r="149" spans="1:6" x14ac:dyDescent="0.25">
      <c r="A149" t="s">
        <v>366</v>
      </c>
      <c r="B149" t="s">
        <v>367</v>
      </c>
      <c r="C149" t="s">
        <v>383</v>
      </c>
      <c r="D149" t="s">
        <v>229</v>
      </c>
      <c r="E149" t="str">
        <f>INDEX('State Codes'!$E$7:$E$70,MATCH(INDEX('State Codes'!$C$7:$C$70,MATCH('County Climates'!B149,'State Codes'!$D$7:$D$70,0),1),'State Codes'!$C$7:$C$70,0),1)</f>
        <v>Mountain Division</v>
      </c>
      <c r="F149">
        <f>INDEX('CBECS_Table B5'!$C$6:$K$6,1,MATCH('County Climates'!E149,'CBECS_Table B5'!$C$1:$K$1,0))</f>
        <v>4981</v>
      </c>
    </row>
    <row r="150" spans="1:6" x14ac:dyDescent="0.25">
      <c r="A150" t="s">
        <v>366</v>
      </c>
      <c r="B150" t="s">
        <v>367</v>
      </c>
      <c r="C150" t="s">
        <v>384</v>
      </c>
      <c r="D150" t="s">
        <v>228</v>
      </c>
      <c r="E150" t="str">
        <f>INDEX('State Codes'!$E$7:$E$70,MATCH(INDEX('State Codes'!$C$7:$C$70,MATCH('County Climates'!B150,'State Codes'!$D$7:$D$70,0),1),'State Codes'!$C$7:$C$70,0),1)</f>
        <v>Mountain Division</v>
      </c>
      <c r="F150">
        <f>INDEX('CBECS_Table B5'!$C$6:$K$6,1,MATCH('County Climates'!E150,'CBECS_Table B5'!$C$1:$K$1,0))</f>
        <v>4981</v>
      </c>
    </row>
    <row r="151" spans="1:6" x14ac:dyDescent="0.25">
      <c r="A151" t="s">
        <v>366</v>
      </c>
      <c r="B151" t="s">
        <v>367</v>
      </c>
      <c r="C151" t="s">
        <v>385</v>
      </c>
      <c r="D151" t="s">
        <v>357</v>
      </c>
      <c r="E151" t="str">
        <f>INDEX('State Codes'!$E$7:$E$70,MATCH(INDEX('State Codes'!$C$7:$C$70,MATCH('County Climates'!B151,'State Codes'!$D$7:$D$70,0),1),'State Codes'!$C$7:$C$70,0),1)</f>
        <v>Mountain Division</v>
      </c>
      <c r="F151">
        <f>INDEX('CBECS_Table B5'!$C$6:$K$6,1,MATCH('County Climates'!E151,'CBECS_Table B5'!$C$1:$K$1,0))</f>
        <v>4981</v>
      </c>
    </row>
    <row r="152" spans="1:6" x14ac:dyDescent="0.25">
      <c r="A152" t="s">
        <v>366</v>
      </c>
      <c r="B152" t="s">
        <v>367</v>
      </c>
      <c r="C152" t="s">
        <v>324</v>
      </c>
      <c r="D152" t="s">
        <v>228</v>
      </c>
      <c r="E152" t="str">
        <f>INDEX('State Codes'!$E$7:$E$70,MATCH(INDEX('State Codes'!$C$7:$C$70,MATCH('County Climates'!B152,'State Codes'!$D$7:$D$70,0),1),'State Codes'!$C$7:$C$70,0),1)</f>
        <v>Mountain Division</v>
      </c>
      <c r="F152">
        <f>INDEX('CBECS_Table B5'!$C$6:$K$6,1,MATCH('County Climates'!E152,'CBECS_Table B5'!$C$1:$K$1,0))</f>
        <v>4981</v>
      </c>
    </row>
    <row r="153" spans="1:6" x14ac:dyDescent="0.25">
      <c r="A153" t="s">
        <v>366</v>
      </c>
      <c r="B153" t="s">
        <v>367</v>
      </c>
      <c r="C153" t="s">
        <v>326</v>
      </c>
      <c r="D153" t="s">
        <v>228</v>
      </c>
      <c r="E153" t="str">
        <f>INDEX('State Codes'!$E$7:$E$70,MATCH(INDEX('State Codes'!$C$7:$C$70,MATCH('County Climates'!B153,'State Codes'!$D$7:$D$70,0),1),'State Codes'!$C$7:$C$70,0),1)</f>
        <v>Mountain Division</v>
      </c>
      <c r="F153">
        <f>INDEX('CBECS_Table B5'!$C$6:$K$6,1,MATCH('County Climates'!E153,'CBECS_Table B5'!$C$1:$K$1,0))</f>
        <v>4981</v>
      </c>
    </row>
    <row r="154" spans="1:6" x14ac:dyDescent="0.25">
      <c r="A154" t="s">
        <v>366</v>
      </c>
      <c r="B154" t="s">
        <v>367</v>
      </c>
      <c r="C154" t="s">
        <v>386</v>
      </c>
      <c r="D154" t="s">
        <v>228</v>
      </c>
      <c r="E154" t="str">
        <f>INDEX('State Codes'!$E$7:$E$70,MATCH(INDEX('State Codes'!$C$7:$C$70,MATCH('County Climates'!B154,'State Codes'!$D$7:$D$70,0),1),'State Codes'!$C$7:$C$70,0),1)</f>
        <v>Mountain Division</v>
      </c>
      <c r="F154">
        <f>INDEX('CBECS_Table B5'!$C$6:$K$6,1,MATCH('County Climates'!E154,'CBECS_Table B5'!$C$1:$K$1,0))</f>
        <v>4981</v>
      </c>
    </row>
    <row r="155" spans="1:6" x14ac:dyDescent="0.25">
      <c r="A155" t="s">
        <v>366</v>
      </c>
      <c r="B155" t="s">
        <v>367</v>
      </c>
      <c r="C155" t="s">
        <v>387</v>
      </c>
      <c r="D155" t="s">
        <v>229</v>
      </c>
      <c r="E155" t="str">
        <f>INDEX('State Codes'!$E$7:$E$70,MATCH(INDEX('State Codes'!$C$7:$C$70,MATCH('County Climates'!B155,'State Codes'!$D$7:$D$70,0),1),'State Codes'!$C$7:$C$70,0),1)</f>
        <v>Mountain Division</v>
      </c>
      <c r="F155">
        <f>INDEX('CBECS_Table B5'!$C$6:$K$6,1,MATCH('County Climates'!E155,'CBECS_Table B5'!$C$1:$K$1,0))</f>
        <v>4981</v>
      </c>
    </row>
    <row r="156" spans="1:6" x14ac:dyDescent="0.25">
      <c r="A156" t="s">
        <v>366</v>
      </c>
      <c r="B156" t="s">
        <v>367</v>
      </c>
      <c r="C156" t="s">
        <v>388</v>
      </c>
      <c r="D156" t="s">
        <v>228</v>
      </c>
      <c r="E156" t="str">
        <f>INDEX('State Codes'!$E$7:$E$70,MATCH(INDEX('State Codes'!$C$7:$C$70,MATCH('County Climates'!B156,'State Codes'!$D$7:$D$70,0),1),'State Codes'!$C$7:$C$70,0),1)</f>
        <v>Mountain Division</v>
      </c>
      <c r="F156">
        <f>INDEX('CBECS_Table B5'!$C$6:$K$6,1,MATCH('County Climates'!E156,'CBECS_Table B5'!$C$1:$K$1,0))</f>
        <v>4981</v>
      </c>
    </row>
    <row r="157" spans="1:6" x14ac:dyDescent="0.25">
      <c r="A157" t="s">
        <v>366</v>
      </c>
      <c r="B157" t="s">
        <v>367</v>
      </c>
      <c r="C157" t="s">
        <v>389</v>
      </c>
      <c r="D157" t="s">
        <v>228</v>
      </c>
      <c r="E157" t="str">
        <f>INDEX('State Codes'!$E$7:$E$70,MATCH(INDEX('State Codes'!$C$7:$C$70,MATCH('County Climates'!B157,'State Codes'!$D$7:$D$70,0),1),'State Codes'!$C$7:$C$70,0),1)</f>
        <v>Mountain Division</v>
      </c>
      <c r="F157">
        <f>INDEX('CBECS_Table B5'!$C$6:$K$6,1,MATCH('County Climates'!E157,'CBECS_Table B5'!$C$1:$K$1,0))</f>
        <v>4981</v>
      </c>
    </row>
    <row r="158" spans="1:6" x14ac:dyDescent="0.25">
      <c r="A158" t="s">
        <v>366</v>
      </c>
      <c r="B158" t="s">
        <v>367</v>
      </c>
      <c r="C158" t="s">
        <v>390</v>
      </c>
      <c r="D158" t="s">
        <v>228</v>
      </c>
      <c r="E158" t="str">
        <f>INDEX('State Codes'!$E$7:$E$70,MATCH(INDEX('State Codes'!$C$7:$C$70,MATCH('County Climates'!B158,'State Codes'!$D$7:$D$70,0),1),'State Codes'!$C$7:$C$70,0),1)</f>
        <v>Mountain Division</v>
      </c>
      <c r="F158">
        <f>INDEX('CBECS_Table B5'!$C$6:$K$6,1,MATCH('County Climates'!E158,'CBECS_Table B5'!$C$1:$K$1,0))</f>
        <v>4981</v>
      </c>
    </row>
    <row r="159" spans="1:6" x14ac:dyDescent="0.25">
      <c r="A159" t="s">
        <v>366</v>
      </c>
      <c r="B159" t="s">
        <v>367</v>
      </c>
      <c r="C159" t="s">
        <v>295</v>
      </c>
      <c r="D159" t="s">
        <v>228</v>
      </c>
      <c r="E159" t="str">
        <f>INDEX('State Codes'!$E$7:$E$70,MATCH(INDEX('State Codes'!$C$7:$C$70,MATCH('County Climates'!B159,'State Codes'!$D$7:$D$70,0),1),'State Codes'!$C$7:$C$70,0),1)</f>
        <v>Mountain Division</v>
      </c>
      <c r="F159">
        <f>INDEX('CBECS_Table B5'!$C$6:$K$6,1,MATCH('County Climates'!E159,'CBECS_Table B5'!$C$1:$K$1,0))</f>
        <v>4981</v>
      </c>
    </row>
    <row r="160" spans="1:6" x14ac:dyDescent="0.25">
      <c r="A160" t="s">
        <v>366</v>
      </c>
      <c r="B160" t="s">
        <v>367</v>
      </c>
      <c r="C160" t="s">
        <v>391</v>
      </c>
      <c r="D160" t="s">
        <v>357</v>
      </c>
      <c r="E160" t="str">
        <f>INDEX('State Codes'!$E$7:$E$70,MATCH(INDEX('State Codes'!$C$7:$C$70,MATCH('County Climates'!B160,'State Codes'!$D$7:$D$70,0),1),'State Codes'!$C$7:$C$70,0),1)</f>
        <v>Mountain Division</v>
      </c>
      <c r="F160">
        <f>INDEX('CBECS_Table B5'!$C$6:$K$6,1,MATCH('County Climates'!E160,'CBECS_Table B5'!$C$1:$K$1,0))</f>
        <v>4981</v>
      </c>
    </row>
    <row r="161" spans="1:6" x14ac:dyDescent="0.25">
      <c r="A161" t="s">
        <v>366</v>
      </c>
      <c r="B161" t="s">
        <v>367</v>
      </c>
      <c r="C161" t="s">
        <v>392</v>
      </c>
      <c r="D161" t="s">
        <v>228</v>
      </c>
      <c r="E161" t="str">
        <f>INDEX('State Codes'!$E$7:$E$70,MATCH(INDEX('State Codes'!$C$7:$C$70,MATCH('County Climates'!B161,'State Codes'!$D$7:$D$70,0),1),'State Codes'!$C$7:$C$70,0),1)</f>
        <v>Mountain Division</v>
      </c>
      <c r="F161">
        <f>INDEX('CBECS_Table B5'!$C$6:$K$6,1,MATCH('County Climates'!E161,'CBECS_Table B5'!$C$1:$K$1,0))</f>
        <v>4981</v>
      </c>
    </row>
    <row r="162" spans="1:6" x14ac:dyDescent="0.25">
      <c r="A162" t="s">
        <v>366</v>
      </c>
      <c r="B162" t="s">
        <v>367</v>
      </c>
      <c r="C162" t="s">
        <v>393</v>
      </c>
      <c r="D162" t="s">
        <v>229</v>
      </c>
      <c r="E162" t="str">
        <f>INDEX('State Codes'!$E$7:$E$70,MATCH(INDEX('State Codes'!$C$7:$C$70,MATCH('County Climates'!B162,'State Codes'!$D$7:$D$70,0),1),'State Codes'!$C$7:$C$70,0),1)</f>
        <v>Mountain Division</v>
      </c>
      <c r="F162">
        <f>INDEX('CBECS_Table B5'!$C$6:$K$6,1,MATCH('County Climates'!E162,'CBECS_Table B5'!$C$1:$K$1,0))</f>
        <v>4981</v>
      </c>
    </row>
    <row r="163" spans="1:6" x14ac:dyDescent="0.25">
      <c r="A163" t="s">
        <v>366</v>
      </c>
      <c r="B163" t="s">
        <v>367</v>
      </c>
      <c r="C163" t="s">
        <v>333</v>
      </c>
      <c r="D163" t="s">
        <v>228</v>
      </c>
      <c r="E163" t="str">
        <f>INDEX('State Codes'!$E$7:$E$70,MATCH(INDEX('State Codes'!$C$7:$C$70,MATCH('County Climates'!B163,'State Codes'!$D$7:$D$70,0),1),'State Codes'!$C$7:$C$70,0),1)</f>
        <v>Mountain Division</v>
      </c>
      <c r="F163">
        <f>INDEX('CBECS_Table B5'!$C$6:$K$6,1,MATCH('County Climates'!E163,'CBECS_Table B5'!$C$1:$K$1,0))</f>
        <v>4981</v>
      </c>
    </row>
    <row r="164" spans="1:6" x14ac:dyDescent="0.25">
      <c r="A164" t="s">
        <v>366</v>
      </c>
      <c r="B164" t="s">
        <v>367</v>
      </c>
      <c r="C164" t="s">
        <v>394</v>
      </c>
      <c r="D164" t="s">
        <v>229</v>
      </c>
      <c r="E164" t="str">
        <f>INDEX('State Codes'!$E$7:$E$70,MATCH(INDEX('State Codes'!$C$7:$C$70,MATCH('County Climates'!B164,'State Codes'!$D$7:$D$70,0),1),'State Codes'!$C$7:$C$70,0),1)</f>
        <v>Mountain Division</v>
      </c>
      <c r="F164">
        <f>INDEX('CBECS_Table B5'!$C$6:$K$6,1,MATCH('County Climates'!E164,'CBECS_Table B5'!$C$1:$K$1,0))</f>
        <v>4981</v>
      </c>
    </row>
    <row r="165" spans="1:6" x14ac:dyDescent="0.25">
      <c r="A165" t="s">
        <v>366</v>
      </c>
      <c r="B165" t="s">
        <v>367</v>
      </c>
      <c r="C165" t="s">
        <v>395</v>
      </c>
      <c r="D165" t="s">
        <v>228</v>
      </c>
      <c r="E165" t="str">
        <f>INDEX('State Codes'!$E$7:$E$70,MATCH(INDEX('State Codes'!$C$7:$C$70,MATCH('County Climates'!B165,'State Codes'!$D$7:$D$70,0),1),'State Codes'!$C$7:$C$70,0),1)</f>
        <v>Mountain Division</v>
      </c>
      <c r="F165">
        <f>INDEX('CBECS_Table B5'!$C$6:$K$6,1,MATCH('County Climates'!E165,'CBECS_Table B5'!$C$1:$K$1,0))</f>
        <v>4981</v>
      </c>
    </row>
    <row r="166" spans="1:6" x14ac:dyDescent="0.25">
      <c r="A166" t="s">
        <v>366</v>
      </c>
      <c r="B166" t="s">
        <v>367</v>
      </c>
      <c r="C166" t="s">
        <v>396</v>
      </c>
      <c r="D166" t="s">
        <v>228</v>
      </c>
      <c r="E166" t="str">
        <f>INDEX('State Codes'!$E$7:$E$70,MATCH(INDEX('State Codes'!$C$7:$C$70,MATCH('County Climates'!B166,'State Codes'!$D$7:$D$70,0),1),'State Codes'!$C$7:$C$70,0),1)</f>
        <v>Mountain Division</v>
      </c>
      <c r="F166">
        <f>INDEX('CBECS_Table B5'!$C$6:$K$6,1,MATCH('County Climates'!E166,'CBECS_Table B5'!$C$1:$K$1,0))</f>
        <v>4981</v>
      </c>
    </row>
    <row r="167" spans="1:6" x14ac:dyDescent="0.25">
      <c r="A167" t="s">
        <v>366</v>
      </c>
      <c r="B167" t="s">
        <v>367</v>
      </c>
      <c r="C167" t="s">
        <v>397</v>
      </c>
      <c r="D167" t="s">
        <v>228</v>
      </c>
      <c r="E167" t="str">
        <f>INDEX('State Codes'!$E$7:$E$70,MATCH(INDEX('State Codes'!$C$7:$C$70,MATCH('County Climates'!B167,'State Codes'!$D$7:$D$70,0),1),'State Codes'!$C$7:$C$70,0),1)</f>
        <v>Mountain Division</v>
      </c>
      <c r="F167">
        <f>INDEX('CBECS_Table B5'!$C$6:$K$6,1,MATCH('County Climates'!E167,'CBECS_Table B5'!$C$1:$K$1,0))</f>
        <v>4981</v>
      </c>
    </row>
    <row r="168" spans="1:6" x14ac:dyDescent="0.25">
      <c r="A168" t="s">
        <v>366</v>
      </c>
      <c r="B168" t="s">
        <v>367</v>
      </c>
      <c r="C168" t="s">
        <v>398</v>
      </c>
      <c r="D168" t="s">
        <v>229</v>
      </c>
      <c r="E168" t="str">
        <f>INDEX('State Codes'!$E$7:$E$70,MATCH(INDEX('State Codes'!$C$7:$C$70,MATCH('County Climates'!B168,'State Codes'!$D$7:$D$70,0),1),'State Codes'!$C$7:$C$70,0),1)</f>
        <v>Mountain Division</v>
      </c>
      <c r="F168">
        <f>INDEX('CBECS_Table B5'!$C$6:$K$6,1,MATCH('County Climates'!E168,'CBECS_Table B5'!$C$1:$K$1,0))</f>
        <v>4981</v>
      </c>
    </row>
    <row r="169" spans="1:6" x14ac:dyDescent="0.25">
      <c r="A169" t="s">
        <v>366</v>
      </c>
      <c r="B169" t="s">
        <v>367</v>
      </c>
      <c r="C169" t="s">
        <v>399</v>
      </c>
      <c r="D169" t="s">
        <v>229</v>
      </c>
      <c r="E169" t="str">
        <f>INDEX('State Codes'!$E$7:$E$70,MATCH(INDEX('State Codes'!$C$7:$C$70,MATCH('County Climates'!B169,'State Codes'!$D$7:$D$70,0),1),'State Codes'!$C$7:$C$70,0),1)</f>
        <v>Mountain Division</v>
      </c>
      <c r="F169">
        <f>INDEX('CBECS_Table B5'!$C$6:$K$6,1,MATCH('County Climates'!E169,'CBECS_Table B5'!$C$1:$K$1,0))</f>
        <v>4981</v>
      </c>
    </row>
    <row r="170" spans="1:6" x14ac:dyDescent="0.25">
      <c r="A170" t="s">
        <v>366</v>
      </c>
      <c r="B170" t="s">
        <v>367</v>
      </c>
      <c r="C170" t="s">
        <v>400</v>
      </c>
      <c r="D170" t="s">
        <v>228</v>
      </c>
      <c r="E170" t="str">
        <f>INDEX('State Codes'!$E$7:$E$70,MATCH(INDEX('State Codes'!$C$7:$C$70,MATCH('County Climates'!B170,'State Codes'!$D$7:$D$70,0),1),'State Codes'!$C$7:$C$70,0),1)</f>
        <v>Mountain Division</v>
      </c>
      <c r="F170">
        <f>INDEX('CBECS_Table B5'!$C$6:$K$6,1,MATCH('County Climates'!E170,'CBECS_Table B5'!$C$1:$K$1,0))</f>
        <v>4981</v>
      </c>
    </row>
    <row r="171" spans="1:6" x14ac:dyDescent="0.25">
      <c r="A171" t="s">
        <v>366</v>
      </c>
      <c r="B171" t="s">
        <v>367</v>
      </c>
      <c r="C171" t="s">
        <v>401</v>
      </c>
      <c r="D171" t="s">
        <v>229</v>
      </c>
      <c r="E171" t="str">
        <f>INDEX('State Codes'!$E$7:$E$70,MATCH(INDEX('State Codes'!$C$7:$C$70,MATCH('County Climates'!B171,'State Codes'!$D$7:$D$70,0),1),'State Codes'!$C$7:$C$70,0),1)</f>
        <v>Mountain Division</v>
      </c>
      <c r="F171">
        <f>INDEX('CBECS_Table B5'!$C$6:$K$6,1,MATCH('County Climates'!E171,'CBECS_Table B5'!$C$1:$K$1,0))</f>
        <v>4981</v>
      </c>
    </row>
    <row r="172" spans="1:6" x14ac:dyDescent="0.25">
      <c r="A172" t="s">
        <v>366</v>
      </c>
      <c r="B172" t="s">
        <v>367</v>
      </c>
      <c r="C172" t="s">
        <v>402</v>
      </c>
      <c r="D172" t="s">
        <v>228</v>
      </c>
      <c r="E172" t="str">
        <f>INDEX('State Codes'!$E$7:$E$70,MATCH(INDEX('State Codes'!$C$7:$C$70,MATCH('County Climates'!B172,'State Codes'!$D$7:$D$70,0),1),'State Codes'!$C$7:$C$70,0),1)</f>
        <v>Mountain Division</v>
      </c>
      <c r="F172">
        <f>INDEX('CBECS_Table B5'!$C$6:$K$6,1,MATCH('County Climates'!E172,'CBECS_Table B5'!$C$1:$K$1,0))</f>
        <v>4981</v>
      </c>
    </row>
    <row r="173" spans="1:6" x14ac:dyDescent="0.25">
      <c r="A173" t="s">
        <v>366</v>
      </c>
      <c r="B173" t="s">
        <v>367</v>
      </c>
      <c r="C173" t="s">
        <v>403</v>
      </c>
      <c r="D173" t="s">
        <v>228</v>
      </c>
      <c r="E173" t="str">
        <f>INDEX('State Codes'!$E$7:$E$70,MATCH(INDEX('State Codes'!$C$7:$C$70,MATCH('County Climates'!B173,'State Codes'!$D$7:$D$70,0),1),'State Codes'!$C$7:$C$70,0),1)</f>
        <v>Mountain Division</v>
      </c>
      <c r="F173">
        <f>INDEX('CBECS_Table B5'!$C$6:$K$6,1,MATCH('County Climates'!E173,'CBECS_Table B5'!$C$1:$K$1,0))</f>
        <v>4981</v>
      </c>
    </row>
    <row r="174" spans="1:6" x14ac:dyDescent="0.25">
      <c r="A174" t="s">
        <v>366</v>
      </c>
      <c r="B174" t="s">
        <v>367</v>
      </c>
      <c r="C174" t="s">
        <v>404</v>
      </c>
      <c r="D174" t="s">
        <v>229</v>
      </c>
      <c r="E174" t="str">
        <f>INDEX('State Codes'!$E$7:$E$70,MATCH(INDEX('State Codes'!$C$7:$C$70,MATCH('County Climates'!B174,'State Codes'!$D$7:$D$70,0),1),'State Codes'!$C$7:$C$70,0),1)</f>
        <v>Mountain Division</v>
      </c>
      <c r="F174">
        <f>INDEX('CBECS_Table B5'!$C$6:$K$6,1,MATCH('County Climates'!E174,'CBECS_Table B5'!$C$1:$K$1,0))</f>
        <v>4981</v>
      </c>
    </row>
    <row r="175" spans="1:6" x14ac:dyDescent="0.25">
      <c r="A175" t="s">
        <v>366</v>
      </c>
      <c r="B175" t="s">
        <v>367</v>
      </c>
      <c r="C175" t="s">
        <v>405</v>
      </c>
      <c r="D175" t="s">
        <v>228</v>
      </c>
      <c r="E175" t="str">
        <f>INDEX('State Codes'!$E$7:$E$70,MATCH(INDEX('State Codes'!$C$7:$C$70,MATCH('County Climates'!B175,'State Codes'!$D$7:$D$70,0),1),'State Codes'!$C$7:$C$70,0),1)</f>
        <v>Mountain Division</v>
      </c>
      <c r="F175">
        <f>INDEX('CBECS_Table B5'!$C$6:$K$6,1,MATCH('County Climates'!E175,'CBECS_Table B5'!$C$1:$K$1,0))</f>
        <v>4981</v>
      </c>
    </row>
    <row r="176" spans="1:6" x14ac:dyDescent="0.25">
      <c r="A176" t="s">
        <v>366</v>
      </c>
      <c r="B176" t="s">
        <v>367</v>
      </c>
      <c r="C176" t="s">
        <v>308</v>
      </c>
      <c r="D176" t="s">
        <v>228</v>
      </c>
      <c r="E176" t="str">
        <f>INDEX('State Codes'!$E$7:$E$70,MATCH(INDEX('State Codes'!$C$7:$C$70,MATCH('County Climates'!B176,'State Codes'!$D$7:$D$70,0),1),'State Codes'!$C$7:$C$70,0),1)</f>
        <v>Mountain Division</v>
      </c>
      <c r="F176">
        <f>INDEX('CBECS_Table B5'!$C$6:$K$6,1,MATCH('County Climates'!E176,'CBECS_Table B5'!$C$1:$K$1,0))</f>
        <v>4981</v>
      </c>
    </row>
    <row r="177" spans="1:6" x14ac:dyDescent="0.25">
      <c r="A177" t="s">
        <v>366</v>
      </c>
      <c r="B177" t="s">
        <v>367</v>
      </c>
      <c r="C177" t="s">
        <v>406</v>
      </c>
      <c r="D177" t="s">
        <v>228</v>
      </c>
      <c r="E177" t="str">
        <f>INDEX('State Codes'!$E$7:$E$70,MATCH(INDEX('State Codes'!$C$7:$C$70,MATCH('County Climates'!B177,'State Codes'!$D$7:$D$70,0),1),'State Codes'!$C$7:$C$70,0),1)</f>
        <v>Mountain Division</v>
      </c>
      <c r="F177">
        <f>INDEX('CBECS_Table B5'!$C$6:$K$6,1,MATCH('County Climates'!E177,'CBECS_Table B5'!$C$1:$K$1,0))</f>
        <v>4981</v>
      </c>
    </row>
    <row r="178" spans="1:6" x14ac:dyDescent="0.25">
      <c r="A178" t="s">
        <v>366</v>
      </c>
      <c r="B178" t="s">
        <v>367</v>
      </c>
      <c r="C178" t="s">
        <v>407</v>
      </c>
      <c r="D178" t="s">
        <v>228</v>
      </c>
      <c r="E178" t="str">
        <f>INDEX('State Codes'!$E$7:$E$70,MATCH(INDEX('State Codes'!$C$7:$C$70,MATCH('County Climates'!B178,'State Codes'!$D$7:$D$70,0),1),'State Codes'!$C$7:$C$70,0),1)</f>
        <v>Mountain Division</v>
      </c>
      <c r="F178">
        <f>INDEX('CBECS_Table B5'!$C$6:$K$6,1,MATCH('County Climates'!E178,'CBECS_Table B5'!$C$1:$K$1,0))</f>
        <v>4981</v>
      </c>
    </row>
    <row r="179" spans="1:6" x14ac:dyDescent="0.25">
      <c r="A179" t="s">
        <v>408</v>
      </c>
      <c r="B179" t="s">
        <v>409</v>
      </c>
      <c r="C179" t="s">
        <v>410</v>
      </c>
      <c r="D179" t="s">
        <v>228</v>
      </c>
      <c r="E179" t="str">
        <f>INDEX('State Codes'!$E$7:$E$70,MATCH(INDEX('State Codes'!$C$7:$C$70,MATCH('County Climates'!B179,'State Codes'!$D$7:$D$70,0),1),'State Codes'!$C$7:$C$70,0),1)</f>
        <v>New England Division</v>
      </c>
      <c r="F179">
        <f>INDEX('CBECS_Table B5'!$C$6:$K$6,1,MATCH('County Climates'!E179,'CBECS_Table B5'!$C$1:$K$1,0))</f>
        <v>4302</v>
      </c>
    </row>
    <row r="180" spans="1:6" x14ac:dyDescent="0.25">
      <c r="A180" t="s">
        <v>408</v>
      </c>
      <c r="B180" t="s">
        <v>409</v>
      </c>
      <c r="C180" t="s">
        <v>411</v>
      </c>
      <c r="D180" t="s">
        <v>228</v>
      </c>
      <c r="E180" t="str">
        <f>INDEX('State Codes'!$E$7:$E$70,MATCH(INDEX('State Codes'!$C$7:$C$70,MATCH('County Climates'!B180,'State Codes'!$D$7:$D$70,0),1),'State Codes'!$C$7:$C$70,0),1)</f>
        <v>New England Division</v>
      </c>
      <c r="F180">
        <f>INDEX('CBECS_Table B5'!$C$6:$K$6,1,MATCH('County Climates'!E180,'CBECS_Table B5'!$C$1:$K$1,0))</f>
        <v>4302</v>
      </c>
    </row>
    <row r="181" spans="1:6" x14ac:dyDescent="0.25">
      <c r="A181" t="s">
        <v>408</v>
      </c>
      <c r="B181" t="s">
        <v>409</v>
      </c>
      <c r="C181" t="s">
        <v>412</v>
      </c>
      <c r="D181" t="s">
        <v>228</v>
      </c>
      <c r="E181" t="str">
        <f>INDEX('State Codes'!$E$7:$E$70,MATCH(INDEX('State Codes'!$C$7:$C$70,MATCH('County Climates'!B181,'State Codes'!$D$7:$D$70,0),1),'State Codes'!$C$7:$C$70,0),1)</f>
        <v>New England Division</v>
      </c>
      <c r="F181">
        <f>INDEX('CBECS_Table B5'!$C$6:$K$6,1,MATCH('County Climates'!E181,'CBECS_Table B5'!$C$1:$K$1,0))</f>
        <v>4302</v>
      </c>
    </row>
    <row r="182" spans="1:6" x14ac:dyDescent="0.25">
      <c r="A182" t="s">
        <v>408</v>
      </c>
      <c r="B182" t="s">
        <v>409</v>
      </c>
      <c r="C182" t="s">
        <v>413</v>
      </c>
      <c r="D182" t="s">
        <v>228</v>
      </c>
      <c r="E182" t="str">
        <f>INDEX('State Codes'!$E$7:$E$70,MATCH(INDEX('State Codes'!$C$7:$C$70,MATCH('County Climates'!B182,'State Codes'!$D$7:$D$70,0),1),'State Codes'!$C$7:$C$70,0),1)</f>
        <v>New England Division</v>
      </c>
      <c r="F182">
        <f>INDEX('CBECS_Table B5'!$C$6:$K$6,1,MATCH('County Climates'!E182,'CBECS_Table B5'!$C$1:$K$1,0))</f>
        <v>4302</v>
      </c>
    </row>
    <row r="183" spans="1:6" x14ac:dyDescent="0.25">
      <c r="A183" t="s">
        <v>408</v>
      </c>
      <c r="B183" t="s">
        <v>409</v>
      </c>
      <c r="C183" t="s">
        <v>414</v>
      </c>
      <c r="D183" t="s">
        <v>228</v>
      </c>
      <c r="E183" t="str">
        <f>INDEX('State Codes'!$E$7:$E$70,MATCH(INDEX('State Codes'!$C$7:$C$70,MATCH('County Climates'!B183,'State Codes'!$D$7:$D$70,0),1),'State Codes'!$C$7:$C$70,0),1)</f>
        <v>New England Division</v>
      </c>
      <c r="F183">
        <f>INDEX('CBECS_Table B5'!$C$6:$K$6,1,MATCH('County Climates'!E183,'CBECS_Table B5'!$C$1:$K$1,0))</f>
        <v>4302</v>
      </c>
    </row>
    <row r="184" spans="1:6" x14ac:dyDescent="0.25">
      <c r="A184" t="s">
        <v>408</v>
      </c>
      <c r="B184" t="s">
        <v>409</v>
      </c>
      <c r="C184" t="s">
        <v>415</v>
      </c>
      <c r="D184" t="s">
        <v>228</v>
      </c>
      <c r="E184" t="str">
        <f>INDEX('State Codes'!$E$7:$E$70,MATCH(INDEX('State Codes'!$C$7:$C$70,MATCH('County Climates'!B184,'State Codes'!$D$7:$D$70,0),1),'State Codes'!$C$7:$C$70,0),1)</f>
        <v>New England Division</v>
      </c>
      <c r="F184">
        <f>INDEX('CBECS_Table B5'!$C$6:$K$6,1,MATCH('County Climates'!E184,'CBECS_Table B5'!$C$1:$K$1,0))</f>
        <v>4302</v>
      </c>
    </row>
    <row r="185" spans="1:6" x14ac:dyDescent="0.25">
      <c r="A185" t="s">
        <v>408</v>
      </c>
      <c r="B185" t="s">
        <v>409</v>
      </c>
      <c r="C185" t="s">
        <v>416</v>
      </c>
      <c r="D185" t="s">
        <v>228</v>
      </c>
      <c r="E185" t="str">
        <f>INDEX('State Codes'!$E$7:$E$70,MATCH(INDEX('State Codes'!$C$7:$C$70,MATCH('County Climates'!B185,'State Codes'!$D$7:$D$70,0),1),'State Codes'!$C$7:$C$70,0),1)</f>
        <v>New England Division</v>
      </c>
      <c r="F185">
        <f>INDEX('CBECS_Table B5'!$C$6:$K$6,1,MATCH('County Climates'!E185,'CBECS_Table B5'!$C$1:$K$1,0))</f>
        <v>4302</v>
      </c>
    </row>
    <row r="186" spans="1:6" x14ac:dyDescent="0.25">
      <c r="A186" t="s">
        <v>408</v>
      </c>
      <c r="B186" t="s">
        <v>409</v>
      </c>
      <c r="C186" t="s">
        <v>417</v>
      </c>
      <c r="D186" t="s">
        <v>228</v>
      </c>
      <c r="E186" t="str">
        <f>INDEX('State Codes'!$E$7:$E$70,MATCH(INDEX('State Codes'!$C$7:$C$70,MATCH('County Climates'!B186,'State Codes'!$D$7:$D$70,0),1),'State Codes'!$C$7:$C$70,0),1)</f>
        <v>New England Division</v>
      </c>
      <c r="F186">
        <f>INDEX('CBECS_Table B5'!$C$6:$K$6,1,MATCH('County Climates'!E186,'CBECS_Table B5'!$C$1:$K$1,0))</f>
        <v>4302</v>
      </c>
    </row>
    <row r="187" spans="1:6" x14ac:dyDescent="0.25">
      <c r="A187" t="s">
        <v>418</v>
      </c>
      <c r="B187" t="s">
        <v>419</v>
      </c>
      <c r="C187" t="s">
        <v>420</v>
      </c>
      <c r="D187" t="s">
        <v>247</v>
      </c>
      <c r="E187" t="str">
        <f>INDEX('State Codes'!$E$7:$E$70,MATCH(INDEX('State Codes'!$C$7:$C$70,MATCH('County Climates'!B187,'State Codes'!$D$7:$D$70,0),1),'State Codes'!$C$7:$C$70,0),1)</f>
        <v>South Atlantic Division</v>
      </c>
      <c r="F187">
        <f>INDEX('CBECS_Table B5'!$C$6:$K$6,1,MATCH('County Climates'!E187,'CBECS_Table B5'!$C$1:$K$1,0))</f>
        <v>17981</v>
      </c>
    </row>
    <row r="188" spans="1:6" x14ac:dyDescent="0.25">
      <c r="A188" t="s">
        <v>418</v>
      </c>
      <c r="B188" t="s">
        <v>419</v>
      </c>
      <c r="C188" t="s">
        <v>421</v>
      </c>
      <c r="D188" t="s">
        <v>247</v>
      </c>
      <c r="E188" t="str">
        <f>INDEX('State Codes'!$E$7:$E$70,MATCH(INDEX('State Codes'!$C$7:$C$70,MATCH('County Climates'!B188,'State Codes'!$D$7:$D$70,0),1),'State Codes'!$C$7:$C$70,0),1)</f>
        <v>South Atlantic Division</v>
      </c>
      <c r="F188">
        <f>INDEX('CBECS_Table B5'!$C$6:$K$6,1,MATCH('County Climates'!E188,'CBECS_Table B5'!$C$1:$K$1,0))</f>
        <v>17981</v>
      </c>
    </row>
    <row r="189" spans="1:6" x14ac:dyDescent="0.25">
      <c r="A189" t="s">
        <v>418</v>
      </c>
      <c r="B189" t="s">
        <v>419</v>
      </c>
      <c r="C189" t="s">
        <v>422</v>
      </c>
      <c r="D189" t="s">
        <v>247</v>
      </c>
      <c r="E189" t="str">
        <f>INDEX('State Codes'!$E$7:$E$70,MATCH(INDEX('State Codes'!$C$7:$C$70,MATCH('County Climates'!B189,'State Codes'!$D$7:$D$70,0),1),'State Codes'!$C$7:$C$70,0),1)</f>
        <v>South Atlantic Division</v>
      </c>
      <c r="F189">
        <f>INDEX('CBECS_Table B5'!$C$6:$K$6,1,MATCH('County Climates'!E189,'CBECS_Table B5'!$C$1:$K$1,0))</f>
        <v>17981</v>
      </c>
    </row>
    <row r="190" spans="1:6" x14ac:dyDescent="0.25">
      <c r="A190" t="s">
        <v>424</v>
      </c>
      <c r="B190" t="s">
        <v>425</v>
      </c>
      <c r="C190" t="s">
        <v>426</v>
      </c>
      <c r="D190" t="s">
        <v>243</v>
      </c>
      <c r="E190" t="str">
        <f>INDEX('State Codes'!$E$7:$E$70,MATCH(INDEX('State Codes'!$C$7:$C$70,MATCH('County Climates'!B190,'State Codes'!$D$7:$D$70,0),1),'State Codes'!$C$7:$C$70,0),1)</f>
        <v>South Atlantic Division</v>
      </c>
      <c r="F190">
        <f>INDEX('CBECS_Table B5'!$C$6:$K$6,1,MATCH('County Climates'!E190,'CBECS_Table B5'!$C$1:$K$1,0))</f>
        <v>17981</v>
      </c>
    </row>
    <row r="191" spans="1:6" x14ac:dyDescent="0.25">
      <c r="A191" t="s">
        <v>424</v>
      </c>
      <c r="B191" t="s">
        <v>425</v>
      </c>
      <c r="C191" t="s">
        <v>427</v>
      </c>
      <c r="D191" t="s">
        <v>243</v>
      </c>
      <c r="E191" t="str">
        <f>INDEX('State Codes'!$E$7:$E$70,MATCH(INDEX('State Codes'!$C$7:$C$70,MATCH('County Climates'!B191,'State Codes'!$D$7:$D$70,0),1),'State Codes'!$C$7:$C$70,0),1)</f>
        <v>South Atlantic Division</v>
      </c>
      <c r="F191">
        <f>INDEX('CBECS_Table B5'!$C$6:$K$6,1,MATCH('County Climates'!E191,'CBECS_Table B5'!$C$1:$K$1,0))</f>
        <v>17981</v>
      </c>
    </row>
    <row r="192" spans="1:6" x14ac:dyDescent="0.25">
      <c r="A192" t="s">
        <v>424</v>
      </c>
      <c r="B192" t="s">
        <v>425</v>
      </c>
      <c r="C192" t="s">
        <v>428</v>
      </c>
      <c r="D192" t="s">
        <v>243</v>
      </c>
      <c r="E192" t="str">
        <f>INDEX('State Codes'!$E$7:$E$70,MATCH(INDEX('State Codes'!$C$7:$C$70,MATCH('County Climates'!B192,'State Codes'!$D$7:$D$70,0),1),'State Codes'!$C$7:$C$70,0),1)</f>
        <v>South Atlantic Division</v>
      </c>
      <c r="F192">
        <f>INDEX('CBECS_Table B5'!$C$6:$K$6,1,MATCH('County Climates'!E192,'CBECS_Table B5'!$C$1:$K$1,0))</f>
        <v>17981</v>
      </c>
    </row>
    <row r="193" spans="1:6" x14ac:dyDescent="0.25">
      <c r="A193" t="s">
        <v>424</v>
      </c>
      <c r="B193" t="s">
        <v>425</v>
      </c>
      <c r="C193" t="s">
        <v>429</v>
      </c>
      <c r="D193" t="s">
        <v>243</v>
      </c>
      <c r="E193" t="str">
        <f>INDEX('State Codes'!$E$7:$E$70,MATCH(INDEX('State Codes'!$C$7:$C$70,MATCH('County Climates'!B193,'State Codes'!$D$7:$D$70,0),1),'State Codes'!$C$7:$C$70,0),1)</f>
        <v>South Atlantic Division</v>
      </c>
      <c r="F193">
        <f>INDEX('CBECS_Table B5'!$C$6:$K$6,1,MATCH('County Climates'!E193,'CBECS_Table B5'!$C$1:$K$1,0))</f>
        <v>17981</v>
      </c>
    </row>
    <row r="194" spans="1:6" x14ac:dyDescent="0.25">
      <c r="A194" t="s">
        <v>424</v>
      </c>
      <c r="B194" t="s">
        <v>425</v>
      </c>
      <c r="C194" t="s">
        <v>430</v>
      </c>
      <c r="D194" t="s">
        <v>243</v>
      </c>
      <c r="E194" t="str">
        <f>INDEX('State Codes'!$E$7:$E$70,MATCH(INDEX('State Codes'!$C$7:$C$70,MATCH('County Climates'!B194,'State Codes'!$D$7:$D$70,0),1),'State Codes'!$C$7:$C$70,0),1)</f>
        <v>South Atlantic Division</v>
      </c>
      <c r="F194">
        <f>INDEX('CBECS_Table B5'!$C$6:$K$6,1,MATCH('County Climates'!E194,'CBECS_Table B5'!$C$1:$K$1,0))</f>
        <v>17981</v>
      </c>
    </row>
    <row r="195" spans="1:6" x14ac:dyDescent="0.25">
      <c r="A195" t="s">
        <v>431</v>
      </c>
      <c r="B195" t="s">
        <v>432</v>
      </c>
      <c r="C195" t="s">
        <v>427</v>
      </c>
      <c r="D195" t="s">
        <v>243</v>
      </c>
      <c r="E195" t="str">
        <f>INDEX('State Codes'!$E$7:$E$70,MATCH(INDEX('State Codes'!$C$7:$C$70,MATCH('County Climates'!B195,'State Codes'!$D$7:$D$70,0),1),'State Codes'!$C$7:$C$70,0),1)</f>
        <v>South Atlantic Division</v>
      </c>
      <c r="F195">
        <f>INDEX('CBECS_Table B5'!$C$6:$K$6,1,MATCH('County Climates'!E195,'CBECS_Table B5'!$C$1:$K$1,0))</f>
        <v>17981</v>
      </c>
    </row>
    <row r="196" spans="1:6" x14ac:dyDescent="0.25">
      <c r="A196" t="s">
        <v>431</v>
      </c>
      <c r="B196" t="s">
        <v>432</v>
      </c>
      <c r="C196" t="s">
        <v>244</v>
      </c>
      <c r="D196" t="s">
        <v>247</v>
      </c>
      <c r="E196" t="str">
        <f>INDEX('State Codes'!$E$7:$E$70,MATCH(INDEX('State Codes'!$C$7:$C$70,MATCH('County Climates'!B196,'State Codes'!$D$7:$D$70,0),1),'State Codes'!$C$7:$C$70,0),1)</f>
        <v>South Atlantic Division</v>
      </c>
      <c r="F196">
        <f>INDEX('CBECS_Table B5'!$C$6:$K$6,1,MATCH('County Climates'!E196,'CBECS_Table B5'!$C$1:$K$1,0))</f>
        <v>17981</v>
      </c>
    </row>
    <row r="197" spans="1:6" x14ac:dyDescent="0.25">
      <c r="A197" t="s">
        <v>431</v>
      </c>
      <c r="B197" t="s">
        <v>432</v>
      </c>
      <c r="C197" t="s">
        <v>433</v>
      </c>
      <c r="D197" t="s">
        <v>247</v>
      </c>
      <c r="E197" t="str">
        <f>INDEX('State Codes'!$E$7:$E$70,MATCH(INDEX('State Codes'!$C$7:$C$70,MATCH('County Climates'!B197,'State Codes'!$D$7:$D$70,0),1),'State Codes'!$C$7:$C$70,0),1)</f>
        <v>South Atlantic Division</v>
      </c>
      <c r="F197">
        <f>INDEX('CBECS_Table B5'!$C$6:$K$6,1,MATCH('County Climates'!E197,'CBECS_Table B5'!$C$1:$K$1,0))</f>
        <v>17981</v>
      </c>
    </row>
    <row r="198" spans="1:6" x14ac:dyDescent="0.25">
      <c r="A198" t="s">
        <v>431</v>
      </c>
      <c r="B198" t="s">
        <v>432</v>
      </c>
      <c r="C198" t="s">
        <v>434</v>
      </c>
      <c r="D198" t="s">
        <v>247</v>
      </c>
      <c r="E198" t="str">
        <f>INDEX('State Codes'!$E$7:$E$70,MATCH(INDEX('State Codes'!$C$7:$C$70,MATCH('County Climates'!B198,'State Codes'!$D$7:$D$70,0),1),'State Codes'!$C$7:$C$70,0),1)</f>
        <v>South Atlantic Division</v>
      </c>
      <c r="F198">
        <f>INDEX('CBECS_Table B5'!$C$6:$K$6,1,MATCH('County Climates'!E198,'CBECS_Table B5'!$C$1:$K$1,0))</f>
        <v>17981</v>
      </c>
    </row>
    <row r="199" spans="1:6" x14ac:dyDescent="0.25">
      <c r="A199" t="s">
        <v>431</v>
      </c>
      <c r="B199" t="s">
        <v>432</v>
      </c>
      <c r="C199" t="s">
        <v>435</v>
      </c>
      <c r="D199" t="s">
        <v>247</v>
      </c>
      <c r="E199" t="str">
        <f>INDEX('State Codes'!$E$7:$E$70,MATCH(INDEX('State Codes'!$C$7:$C$70,MATCH('County Climates'!B199,'State Codes'!$D$7:$D$70,0),1),'State Codes'!$C$7:$C$70,0),1)</f>
        <v>South Atlantic Division</v>
      </c>
      <c r="F199">
        <f>INDEX('CBECS_Table B5'!$C$6:$K$6,1,MATCH('County Climates'!E199,'CBECS_Table B5'!$C$1:$K$1,0))</f>
        <v>17981</v>
      </c>
    </row>
    <row r="200" spans="1:6" x14ac:dyDescent="0.25">
      <c r="A200" t="s">
        <v>431</v>
      </c>
      <c r="B200" t="s">
        <v>432</v>
      </c>
      <c r="C200" t="s">
        <v>436</v>
      </c>
      <c r="D200" t="s">
        <v>243</v>
      </c>
      <c r="E200" t="str">
        <f>INDEX('State Codes'!$E$7:$E$70,MATCH(INDEX('State Codes'!$C$7:$C$70,MATCH('County Climates'!B200,'State Codes'!$D$7:$D$70,0),1),'State Codes'!$C$7:$C$70,0),1)</f>
        <v>South Atlantic Division</v>
      </c>
      <c r="F200">
        <f>INDEX('CBECS_Table B5'!$C$6:$K$6,1,MATCH('County Climates'!E200,'CBECS_Table B5'!$C$1:$K$1,0))</f>
        <v>17981</v>
      </c>
    </row>
    <row r="201" spans="1:6" x14ac:dyDescent="0.25">
      <c r="A201" t="s">
        <v>431</v>
      </c>
      <c r="B201" t="s">
        <v>432</v>
      </c>
      <c r="C201" t="s">
        <v>437</v>
      </c>
      <c r="D201" t="s">
        <v>243</v>
      </c>
      <c r="E201" t="str">
        <f>INDEX('State Codes'!$E$7:$E$70,MATCH(INDEX('State Codes'!$C$7:$C$70,MATCH('County Climates'!B201,'State Codes'!$D$7:$D$70,0),1),'State Codes'!$C$7:$C$70,0),1)</f>
        <v>South Atlantic Division</v>
      </c>
      <c r="F201">
        <f>INDEX('CBECS_Table B5'!$C$6:$K$6,1,MATCH('County Climates'!E201,'CBECS_Table B5'!$C$1:$K$1,0))</f>
        <v>17981</v>
      </c>
    </row>
    <row r="202" spans="1:6" x14ac:dyDescent="0.25">
      <c r="A202" t="s">
        <v>431</v>
      </c>
      <c r="B202" t="s">
        <v>432</v>
      </c>
      <c r="C202" t="s">
        <v>246</v>
      </c>
      <c r="D202" t="s">
        <v>247</v>
      </c>
      <c r="E202" t="str">
        <f>INDEX('State Codes'!$E$7:$E$70,MATCH(INDEX('State Codes'!$C$7:$C$70,MATCH('County Climates'!B202,'State Codes'!$D$7:$D$70,0),1),'State Codes'!$C$7:$C$70,0),1)</f>
        <v>South Atlantic Division</v>
      </c>
      <c r="F202">
        <f>INDEX('CBECS_Table B5'!$C$6:$K$6,1,MATCH('County Climates'!E202,'CBECS_Table B5'!$C$1:$K$1,0))</f>
        <v>17981</v>
      </c>
    </row>
    <row r="203" spans="1:6" x14ac:dyDescent="0.25">
      <c r="A203" t="s">
        <v>431</v>
      </c>
      <c r="B203" t="s">
        <v>432</v>
      </c>
      <c r="C203" t="s">
        <v>438</v>
      </c>
      <c r="D203" t="s">
        <v>243</v>
      </c>
      <c r="E203" t="str">
        <f>INDEX('State Codes'!$E$7:$E$70,MATCH(INDEX('State Codes'!$C$7:$C$70,MATCH('County Climates'!B203,'State Codes'!$D$7:$D$70,0),1),'State Codes'!$C$7:$C$70,0),1)</f>
        <v>South Atlantic Division</v>
      </c>
      <c r="F203">
        <f>INDEX('CBECS_Table B5'!$C$6:$K$6,1,MATCH('County Climates'!E203,'CBECS_Table B5'!$C$1:$K$1,0))</f>
        <v>17981</v>
      </c>
    </row>
    <row r="204" spans="1:6" x14ac:dyDescent="0.25">
      <c r="A204" t="s">
        <v>431</v>
      </c>
      <c r="B204" t="s">
        <v>432</v>
      </c>
      <c r="C204" t="s">
        <v>439</v>
      </c>
      <c r="D204" t="s">
        <v>243</v>
      </c>
      <c r="E204" t="str">
        <f>INDEX('State Codes'!$E$7:$E$70,MATCH(INDEX('State Codes'!$C$7:$C$70,MATCH('County Climates'!B204,'State Codes'!$D$7:$D$70,0),1),'State Codes'!$C$7:$C$70,0),1)</f>
        <v>South Atlantic Division</v>
      </c>
      <c r="F204">
        <f>INDEX('CBECS_Table B5'!$C$6:$K$6,1,MATCH('County Climates'!E204,'CBECS_Table B5'!$C$1:$K$1,0))</f>
        <v>17981</v>
      </c>
    </row>
    <row r="205" spans="1:6" x14ac:dyDescent="0.25">
      <c r="A205" t="s">
        <v>431</v>
      </c>
      <c r="B205" t="s">
        <v>432</v>
      </c>
      <c r="C205" t="s">
        <v>440</v>
      </c>
      <c r="D205" t="s">
        <v>243</v>
      </c>
      <c r="E205" t="str">
        <f>INDEX('State Codes'!$E$7:$E$70,MATCH(INDEX('State Codes'!$C$7:$C$70,MATCH('County Climates'!B205,'State Codes'!$D$7:$D$70,0),1),'State Codes'!$C$7:$C$70,0),1)</f>
        <v>South Atlantic Division</v>
      </c>
      <c r="F205">
        <f>INDEX('CBECS_Table B5'!$C$6:$K$6,1,MATCH('County Climates'!E205,'CBECS_Table B5'!$C$1:$K$1,0))</f>
        <v>17981</v>
      </c>
    </row>
    <row r="206" spans="1:6" x14ac:dyDescent="0.25">
      <c r="A206" t="s">
        <v>431</v>
      </c>
      <c r="B206" t="s">
        <v>432</v>
      </c>
      <c r="C206" t="s">
        <v>441</v>
      </c>
      <c r="D206" t="s">
        <v>243</v>
      </c>
      <c r="E206" t="str">
        <f>INDEX('State Codes'!$E$7:$E$70,MATCH(INDEX('State Codes'!$C$7:$C$70,MATCH('County Climates'!B206,'State Codes'!$D$7:$D$70,0),1),'State Codes'!$C$7:$C$70,0),1)</f>
        <v>South Atlantic Division</v>
      </c>
      <c r="F206">
        <f>INDEX('CBECS_Table B5'!$C$6:$K$6,1,MATCH('County Climates'!E206,'CBECS_Table B5'!$C$1:$K$1,0))</f>
        <v>17981</v>
      </c>
    </row>
    <row r="207" spans="1:6" x14ac:dyDescent="0.25">
      <c r="A207" t="s">
        <v>431</v>
      </c>
      <c r="B207" t="s">
        <v>432</v>
      </c>
      <c r="C207" t="s">
        <v>442</v>
      </c>
      <c r="D207" t="s">
        <v>243</v>
      </c>
      <c r="E207" t="str">
        <f>INDEX('State Codes'!$E$7:$E$70,MATCH(INDEX('State Codes'!$C$7:$C$70,MATCH('County Climates'!B207,'State Codes'!$D$7:$D$70,0),1),'State Codes'!$C$7:$C$70,0),1)</f>
        <v>South Atlantic Division</v>
      </c>
      <c r="F207">
        <f>INDEX('CBECS_Table B5'!$C$6:$K$6,1,MATCH('County Climates'!E207,'CBECS_Table B5'!$C$1:$K$1,0))</f>
        <v>17981</v>
      </c>
    </row>
    <row r="208" spans="1:6" x14ac:dyDescent="0.25">
      <c r="A208" t="s">
        <v>431</v>
      </c>
      <c r="B208" t="s">
        <v>432</v>
      </c>
      <c r="C208" t="s">
        <v>443</v>
      </c>
      <c r="D208" t="s">
        <v>247</v>
      </c>
      <c r="E208" t="str">
        <f>INDEX('State Codes'!$E$7:$E$70,MATCH(INDEX('State Codes'!$C$7:$C$70,MATCH('County Climates'!B208,'State Codes'!$D$7:$D$70,0),1),'State Codes'!$C$7:$C$70,0),1)</f>
        <v>South Atlantic Division</v>
      </c>
      <c r="F208">
        <f>INDEX('CBECS_Table B5'!$C$6:$K$6,1,MATCH('County Climates'!E208,'CBECS_Table B5'!$C$1:$K$1,0))</f>
        <v>17981</v>
      </c>
    </row>
    <row r="209" spans="1:6" x14ac:dyDescent="0.25">
      <c r="A209" t="s">
        <v>431</v>
      </c>
      <c r="B209" t="s">
        <v>432</v>
      </c>
      <c r="C209" t="s">
        <v>444</v>
      </c>
      <c r="D209" t="s">
        <v>247</v>
      </c>
      <c r="E209" t="str">
        <f>INDEX('State Codes'!$E$7:$E$70,MATCH(INDEX('State Codes'!$C$7:$C$70,MATCH('County Climates'!B209,'State Codes'!$D$7:$D$70,0),1),'State Codes'!$C$7:$C$70,0),1)</f>
        <v>South Atlantic Division</v>
      </c>
      <c r="F209">
        <f>INDEX('CBECS_Table B5'!$C$6:$K$6,1,MATCH('County Climates'!E209,'CBECS_Table B5'!$C$1:$K$1,0))</f>
        <v>17981</v>
      </c>
    </row>
    <row r="210" spans="1:6" x14ac:dyDescent="0.25">
      <c r="A210" t="s">
        <v>431</v>
      </c>
      <c r="B210" t="s">
        <v>432</v>
      </c>
      <c r="C210" t="s">
        <v>251</v>
      </c>
      <c r="D210" t="s">
        <v>243</v>
      </c>
      <c r="E210" t="str">
        <f>INDEX('State Codes'!$E$7:$E$70,MATCH(INDEX('State Codes'!$C$7:$C$70,MATCH('County Climates'!B210,'State Codes'!$D$7:$D$70,0),1),'State Codes'!$C$7:$C$70,0),1)</f>
        <v>South Atlantic Division</v>
      </c>
      <c r="F210">
        <f>INDEX('CBECS_Table B5'!$C$6:$K$6,1,MATCH('County Climates'!E210,'CBECS_Table B5'!$C$1:$K$1,0))</f>
        <v>17981</v>
      </c>
    </row>
    <row r="211" spans="1:6" x14ac:dyDescent="0.25">
      <c r="A211" t="s">
        <v>431</v>
      </c>
      <c r="B211" t="s">
        <v>432</v>
      </c>
      <c r="C211" t="s">
        <v>445</v>
      </c>
      <c r="D211" t="s">
        <v>243</v>
      </c>
      <c r="E211" t="str">
        <f>INDEX('State Codes'!$E$7:$E$70,MATCH(INDEX('State Codes'!$C$7:$C$70,MATCH('County Climates'!B211,'State Codes'!$D$7:$D$70,0),1),'State Codes'!$C$7:$C$70,0),1)</f>
        <v>South Atlantic Division</v>
      </c>
      <c r="F211">
        <f>INDEX('CBECS_Table B5'!$C$6:$K$6,1,MATCH('County Climates'!E211,'CBECS_Table B5'!$C$1:$K$1,0))</f>
        <v>17981</v>
      </c>
    </row>
    <row r="212" spans="1:6" x14ac:dyDescent="0.25">
      <c r="A212" t="s">
        <v>431</v>
      </c>
      <c r="B212" t="s">
        <v>432</v>
      </c>
      <c r="C212" t="s">
        <v>446</v>
      </c>
      <c r="D212" t="s">
        <v>243</v>
      </c>
      <c r="E212" t="str">
        <f>INDEX('State Codes'!$E$7:$E$70,MATCH(INDEX('State Codes'!$C$7:$C$70,MATCH('County Climates'!B212,'State Codes'!$D$7:$D$70,0),1),'State Codes'!$C$7:$C$70,0),1)</f>
        <v>South Atlantic Division</v>
      </c>
      <c r="F212">
        <f>INDEX('CBECS_Table B5'!$C$6:$K$6,1,MATCH('County Climates'!E212,'CBECS_Table B5'!$C$1:$K$1,0))</f>
        <v>17981</v>
      </c>
    </row>
    <row r="213" spans="1:6" x14ac:dyDescent="0.25">
      <c r="A213" t="s">
        <v>431</v>
      </c>
      <c r="B213" t="s">
        <v>432</v>
      </c>
      <c r="C213" t="s">
        <v>447</v>
      </c>
      <c r="D213" t="s">
        <v>247</v>
      </c>
      <c r="E213" t="str">
        <f>INDEX('State Codes'!$E$7:$E$70,MATCH(INDEX('State Codes'!$C$7:$C$70,MATCH('County Climates'!B213,'State Codes'!$D$7:$D$70,0),1),'State Codes'!$C$7:$C$70,0),1)</f>
        <v>South Atlantic Division</v>
      </c>
      <c r="F213">
        <f>INDEX('CBECS_Table B5'!$C$6:$K$6,1,MATCH('County Climates'!E213,'CBECS_Table B5'!$C$1:$K$1,0))</f>
        <v>17981</v>
      </c>
    </row>
    <row r="214" spans="1:6" x14ac:dyDescent="0.25">
      <c r="A214" t="s">
        <v>431</v>
      </c>
      <c r="B214" t="s">
        <v>432</v>
      </c>
      <c r="C214" t="s">
        <v>448</v>
      </c>
      <c r="D214" t="s">
        <v>247</v>
      </c>
      <c r="E214" t="str">
        <f>INDEX('State Codes'!$E$7:$E$70,MATCH(INDEX('State Codes'!$C$7:$C$70,MATCH('County Climates'!B214,'State Codes'!$D$7:$D$70,0),1),'State Codes'!$C$7:$C$70,0),1)</f>
        <v>South Atlantic Division</v>
      </c>
      <c r="F214">
        <f>INDEX('CBECS_Table B5'!$C$6:$K$6,1,MATCH('County Climates'!E214,'CBECS_Table B5'!$C$1:$K$1,0))</f>
        <v>17981</v>
      </c>
    </row>
    <row r="215" spans="1:6" x14ac:dyDescent="0.25">
      <c r="A215" t="s">
        <v>431</v>
      </c>
      <c r="B215" t="s">
        <v>432</v>
      </c>
      <c r="C215" t="s">
        <v>449</v>
      </c>
      <c r="D215" t="s">
        <v>243</v>
      </c>
      <c r="E215" t="str">
        <f>INDEX('State Codes'!$E$7:$E$70,MATCH(INDEX('State Codes'!$C$7:$C$70,MATCH('County Climates'!B215,'State Codes'!$D$7:$D$70,0),1),'State Codes'!$C$7:$C$70,0),1)</f>
        <v>South Atlantic Division</v>
      </c>
      <c r="F215">
        <f>INDEX('CBECS_Table B5'!$C$6:$K$6,1,MATCH('County Climates'!E215,'CBECS_Table B5'!$C$1:$K$1,0))</f>
        <v>17981</v>
      </c>
    </row>
    <row r="216" spans="1:6" x14ac:dyDescent="0.25">
      <c r="A216" t="s">
        <v>431</v>
      </c>
      <c r="B216" t="s">
        <v>432</v>
      </c>
      <c r="C216" t="s">
        <v>450</v>
      </c>
      <c r="D216" t="s">
        <v>243</v>
      </c>
      <c r="E216" t="str">
        <f>INDEX('State Codes'!$E$7:$E$70,MATCH(INDEX('State Codes'!$C$7:$C$70,MATCH('County Climates'!B216,'State Codes'!$D$7:$D$70,0),1),'State Codes'!$C$7:$C$70,0),1)</f>
        <v>South Atlantic Division</v>
      </c>
      <c r="F216">
        <f>INDEX('CBECS_Table B5'!$C$6:$K$6,1,MATCH('County Climates'!E216,'CBECS_Table B5'!$C$1:$K$1,0))</f>
        <v>17981</v>
      </c>
    </row>
    <row r="217" spans="1:6" x14ac:dyDescent="0.25">
      <c r="A217" t="s">
        <v>431</v>
      </c>
      <c r="B217" t="s">
        <v>432</v>
      </c>
      <c r="C217" t="s">
        <v>451</v>
      </c>
      <c r="D217" t="s">
        <v>243</v>
      </c>
      <c r="E217" t="str">
        <f>INDEX('State Codes'!$E$7:$E$70,MATCH(INDEX('State Codes'!$C$7:$C$70,MATCH('County Climates'!B217,'State Codes'!$D$7:$D$70,0),1),'State Codes'!$C$7:$C$70,0),1)</f>
        <v>South Atlantic Division</v>
      </c>
      <c r="F217">
        <f>INDEX('CBECS_Table B5'!$C$6:$K$6,1,MATCH('County Climates'!E217,'CBECS_Table B5'!$C$1:$K$1,0))</f>
        <v>17981</v>
      </c>
    </row>
    <row r="218" spans="1:6" x14ac:dyDescent="0.25">
      <c r="A218" t="s">
        <v>431</v>
      </c>
      <c r="B218" t="s">
        <v>432</v>
      </c>
      <c r="C218" t="s">
        <v>452</v>
      </c>
      <c r="D218" t="s">
        <v>247</v>
      </c>
      <c r="E218" t="str">
        <f>INDEX('State Codes'!$E$7:$E$70,MATCH(INDEX('State Codes'!$C$7:$C$70,MATCH('County Climates'!B218,'State Codes'!$D$7:$D$70,0),1),'State Codes'!$C$7:$C$70,0),1)</f>
        <v>South Atlantic Division</v>
      </c>
      <c r="F218">
        <f>INDEX('CBECS_Table B5'!$C$6:$K$6,1,MATCH('County Climates'!E218,'CBECS_Table B5'!$C$1:$K$1,0))</f>
        <v>17981</v>
      </c>
    </row>
    <row r="219" spans="1:6" x14ac:dyDescent="0.25">
      <c r="A219" t="s">
        <v>431</v>
      </c>
      <c r="B219" t="s">
        <v>432</v>
      </c>
      <c r="C219" t="s">
        <v>253</v>
      </c>
      <c r="D219" t="s">
        <v>247</v>
      </c>
      <c r="E219" t="str">
        <f>INDEX('State Codes'!$E$7:$E$70,MATCH(INDEX('State Codes'!$C$7:$C$70,MATCH('County Climates'!B219,'State Codes'!$D$7:$D$70,0),1),'State Codes'!$C$7:$C$70,0),1)</f>
        <v>South Atlantic Division</v>
      </c>
      <c r="F219">
        <f>INDEX('CBECS_Table B5'!$C$6:$K$6,1,MATCH('County Climates'!E219,'CBECS_Table B5'!$C$1:$K$1,0))</f>
        <v>17981</v>
      </c>
    </row>
    <row r="220" spans="1:6" x14ac:dyDescent="0.25">
      <c r="A220" t="s">
        <v>431</v>
      </c>
      <c r="B220" t="s">
        <v>432</v>
      </c>
      <c r="C220" t="s">
        <v>256</v>
      </c>
      <c r="D220" t="s">
        <v>247</v>
      </c>
      <c r="E220" t="str">
        <f>INDEX('State Codes'!$E$7:$E$70,MATCH(INDEX('State Codes'!$C$7:$C$70,MATCH('County Climates'!B220,'State Codes'!$D$7:$D$70,0),1),'State Codes'!$C$7:$C$70,0),1)</f>
        <v>South Atlantic Division</v>
      </c>
      <c r="F220">
        <f>INDEX('CBECS_Table B5'!$C$6:$K$6,1,MATCH('County Climates'!E220,'CBECS_Table B5'!$C$1:$K$1,0))</f>
        <v>17981</v>
      </c>
    </row>
    <row r="221" spans="1:6" x14ac:dyDescent="0.25">
      <c r="A221" t="s">
        <v>431</v>
      </c>
      <c r="B221" t="s">
        <v>432</v>
      </c>
      <c r="C221" t="s">
        <v>257</v>
      </c>
      <c r="D221" t="s">
        <v>243</v>
      </c>
      <c r="E221" t="str">
        <f>INDEX('State Codes'!$E$7:$E$70,MATCH(INDEX('State Codes'!$C$7:$C$70,MATCH('County Climates'!B221,'State Codes'!$D$7:$D$70,0),1),'State Codes'!$C$7:$C$70,0),1)</f>
        <v>South Atlantic Division</v>
      </c>
      <c r="F221">
        <f>INDEX('CBECS_Table B5'!$C$6:$K$6,1,MATCH('County Climates'!E221,'CBECS_Table B5'!$C$1:$K$1,0))</f>
        <v>17981</v>
      </c>
    </row>
    <row r="222" spans="1:6" x14ac:dyDescent="0.25">
      <c r="A222" t="s">
        <v>431</v>
      </c>
      <c r="B222" t="s">
        <v>432</v>
      </c>
      <c r="C222" t="s">
        <v>453</v>
      </c>
      <c r="D222" t="s">
        <v>247</v>
      </c>
      <c r="E222" t="str">
        <f>INDEX('State Codes'!$E$7:$E$70,MATCH(INDEX('State Codes'!$C$7:$C$70,MATCH('County Climates'!B222,'State Codes'!$D$7:$D$70,0),1),'State Codes'!$C$7:$C$70,0),1)</f>
        <v>South Atlantic Division</v>
      </c>
      <c r="F222">
        <f>INDEX('CBECS_Table B5'!$C$6:$K$6,1,MATCH('County Climates'!E222,'CBECS_Table B5'!$C$1:$K$1,0))</f>
        <v>17981</v>
      </c>
    </row>
    <row r="223" spans="1:6" x14ac:dyDescent="0.25">
      <c r="A223" t="s">
        <v>431</v>
      </c>
      <c r="B223" t="s">
        <v>432</v>
      </c>
      <c r="C223" t="s">
        <v>454</v>
      </c>
      <c r="D223" t="s">
        <v>243</v>
      </c>
      <c r="E223" t="str">
        <f>INDEX('State Codes'!$E$7:$E$70,MATCH(INDEX('State Codes'!$C$7:$C$70,MATCH('County Climates'!B223,'State Codes'!$D$7:$D$70,0),1),'State Codes'!$C$7:$C$70,0),1)</f>
        <v>South Atlantic Division</v>
      </c>
      <c r="F223">
        <f>INDEX('CBECS_Table B5'!$C$6:$K$6,1,MATCH('County Climates'!E223,'CBECS_Table B5'!$C$1:$K$1,0))</f>
        <v>17981</v>
      </c>
    </row>
    <row r="224" spans="1:6" x14ac:dyDescent="0.25">
      <c r="A224" t="s">
        <v>431</v>
      </c>
      <c r="B224" t="s">
        <v>432</v>
      </c>
      <c r="C224" t="s">
        <v>455</v>
      </c>
      <c r="D224" t="s">
        <v>247</v>
      </c>
      <c r="E224" t="str">
        <f>INDEX('State Codes'!$E$7:$E$70,MATCH(INDEX('State Codes'!$C$7:$C$70,MATCH('County Climates'!B224,'State Codes'!$D$7:$D$70,0),1),'State Codes'!$C$7:$C$70,0),1)</f>
        <v>South Atlantic Division</v>
      </c>
      <c r="F224">
        <f>INDEX('CBECS_Table B5'!$C$6:$K$6,1,MATCH('County Climates'!E224,'CBECS_Table B5'!$C$1:$K$1,0))</f>
        <v>17981</v>
      </c>
    </row>
    <row r="225" spans="1:6" x14ac:dyDescent="0.25">
      <c r="A225" t="s">
        <v>431</v>
      </c>
      <c r="B225" t="s">
        <v>432</v>
      </c>
      <c r="C225" t="s">
        <v>259</v>
      </c>
      <c r="D225" t="s">
        <v>243</v>
      </c>
      <c r="E225" t="str">
        <f>INDEX('State Codes'!$E$7:$E$70,MATCH(INDEX('State Codes'!$C$7:$C$70,MATCH('County Climates'!B225,'State Codes'!$D$7:$D$70,0),1),'State Codes'!$C$7:$C$70,0),1)</f>
        <v>South Atlantic Division</v>
      </c>
      <c r="F225">
        <f>INDEX('CBECS_Table B5'!$C$6:$K$6,1,MATCH('County Climates'!E225,'CBECS_Table B5'!$C$1:$K$1,0))</f>
        <v>17981</v>
      </c>
    </row>
    <row r="226" spans="1:6" x14ac:dyDescent="0.25">
      <c r="A226" t="s">
        <v>431</v>
      </c>
      <c r="B226" t="s">
        <v>432</v>
      </c>
      <c r="C226" t="s">
        <v>456</v>
      </c>
      <c r="D226" t="s">
        <v>243</v>
      </c>
      <c r="E226" t="str">
        <f>INDEX('State Codes'!$E$7:$E$70,MATCH(INDEX('State Codes'!$C$7:$C$70,MATCH('County Climates'!B226,'State Codes'!$D$7:$D$70,0),1),'State Codes'!$C$7:$C$70,0),1)</f>
        <v>South Atlantic Division</v>
      </c>
      <c r="F226">
        <f>INDEX('CBECS_Table B5'!$C$6:$K$6,1,MATCH('County Climates'!E226,'CBECS_Table B5'!$C$1:$K$1,0))</f>
        <v>17981</v>
      </c>
    </row>
    <row r="227" spans="1:6" x14ac:dyDescent="0.25">
      <c r="A227" t="s">
        <v>431</v>
      </c>
      <c r="B227" t="s">
        <v>432</v>
      </c>
      <c r="C227" t="s">
        <v>457</v>
      </c>
      <c r="D227" t="s">
        <v>247</v>
      </c>
      <c r="E227" t="str">
        <f>INDEX('State Codes'!$E$7:$E$70,MATCH(INDEX('State Codes'!$C$7:$C$70,MATCH('County Climates'!B227,'State Codes'!$D$7:$D$70,0),1),'State Codes'!$C$7:$C$70,0),1)</f>
        <v>South Atlantic Division</v>
      </c>
      <c r="F227">
        <f>INDEX('CBECS_Table B5'!$C$6:$K$6,1,MATCH('County Climates'!E227,'CBECS_Table B5'!$C$1:$K$1,0))</f>
        <v>17981</v>
      </c>
    </row>
    <row r="228" spans="1:6" x14ac:dyDescent="0.25">
      <c r="A228" t="s">
        <v>431</v>
      </c>
      <c r="B228" t="s">
        <v>432</v>
      </c>
      <c r="C228" t="s">
        <v>458</v>
      </c>
      <c r="D228" t="s">
        <v>243</v>
      </c>
      <c r="E228" t="str">
        <f>INDEX('State Codes'!$E$7:$E$70,MATCH(INDEX('State Codes'!$C$7:$C$70,MATCH('County Climates'!B228,'State Codes'!$D$7:$D$70,0),1),'State Codes'!$C$7:$C$70,0),1)</f>
        <v>South Atlantic Division</v>
      </c>
      <c r="F228">
        <f>INDEX('CBECS_Table B5'!$C$6:$K$6,1,MATCH('County Climates'!E228,'CBECS_Table B5'!$C$1:$K$1,0))</f>
        <v>17981</v>
      </c>
    </row>
    <row r="229" spans="1:6" x14ac:dyDescent="0.25">
      <c r="A229" t="s">
        <v>431</v>
      </c>
      <c r="B229" t="s">
        <v>432</v>
      </c>
      <c r="C229" t="s">
        <v>459</v>
      </c>
      <c r="D229" t="s">
        <v>247</v>
      </c>
      <c r="E229" t="str">
        <f>INDEX('State Codes'!$E$7:$E$70,MATCH(INDEX('State Codes'!$C$7:$C$70,MATCH('County Climates'!B229,'State Codes'!$D$7:$D$70,0),1),'State Codes'!$C$7:$C$70,0),1)</f>
        <v>South Atlantic Division</v>
      </c>
      <c r="F229">
        <f>INDEX('CBECS_Table B5'!$C$6:$K$6,1,MATCH('County Climates'!E229,'CBECS_Table B5'!$C$1:$K$1,0))</f>
        <v>17981</v>
      </c>
    </row>
    <row r="230" spans="1:6" x14ac:dyDescent="0.25">
      <c r="A230" t="s">
        <v>431</v>
      </c>
      <c r="B230" t="s">
        <v>432</v>
      </c>
      <c r="C230" t="s">
        <v>460</v>
      </c>
      <c r="D230" t="s">
        <v>247</v>
      </c>
      <c r="E230" t="str">
        <f>INDEX('State Codes'!$E$7:$E$70,MATCH(INDEX('State Codes'!$C$7:$C$70,MATCH('County Climates'!B230,'State Codes'!$D$7:$D$70,0),1),'State Codes'!$C$7:$C$70,0),1)</f>
        <v>South Atlantic Division</v>
      </c>
      <c r="F230">
        <f>INDEX('CBECS_Table B5'!$C$6:$K$6,1,MATCH('County Climates'!E230,'CBECS_Table B5'!$C$1:$K$1,0))</f>
        <v>17981</v>
      </c>
    </row>
    <row r="231" spans="1:6" x14ac:dyDescent="0.25">
      <c r="A231" t="s">
        <v>431</v>
      </c>
      <c r="B231" t="s">
        <v>432</v>
      </c>
      <c r="C231" t="s">
        <v>461</v>
      </c>
      <c r="D231" t="s">
        <v>243</v>
      </c>
      <c r="E231" t="str">
        <f>INDEX('State Codes'!$E$7:$E$70,MATCH(INDEX('State Codes'!$C$7:$C$70,MATCH('County Climates'!B231,'State Codes'!$D$7:$D$70,0),1),'State Codes'!$C$7:$C$70,0),1)</f>
        <v>South Atlantic Division</v>
      </c>
      <c r="F231">
        <f>INDEX('CBECS_Table B5'!$C$6:$K$6,1,MATCH('County Climates'!E231,'CBECS_Table B5'!$C$1:$K$1,0))</f>
        <v>17981</v>
      </c>
    </row>
    <row r="232" spans="1:6" x14ac:dyDescent="0.25">
      <c r="A232" t="s">
        <v>431</v>
      </c>
      <c r="B232" t="s">
        <v>432</v>
      </c>
      <c r="C232" t="s">
        <v>462</v>
      </c>
      <c r="D232" t="s">
        <v>247</v>
      </c>
      <c r="E232" t="str">
        <f>INDEX('State Codes'!$E$7:$E$70,MATCH(INDEX('State Codes'!$C$7:$C$70,MATCH('County Climates'!B232,'State Codes'!$D$7:$D$70,0),1),'State Codes'!$C$7:$C$70,0),1)</f>
        <v>South Atlantic Division</v>
      </c>
      <c r="F232">
        <f>INDEX('CBECS_Table B5'!$C$6:$K$6,1,MATCH('County Climates'!E232,'CBECS_Table B5'!$C$1:$K$1,0))</f>
        <v>17981</v>
      </c>
    </row>
    <row r="233" spans="1:6" x14ac:dyDescent="0.25">
      <c r="A233" t="s">
        <v>431</v>
      </c>
      <c r="B233" t="s">
        <v>432</v>
      </c>
      <c r="C233" t="s">
        <v>463</v>
      </c>
      <c r="D233" t="s">
        <v>247</v>
      </c>
      <c r="E233" t="str">
        <f>INDEX('State Codes'!$E$7:$E$70,MATCH(INDEX('State Codes'!$C$7:$C$70,MATCH('County Climates'!B233,'State Codes'!$D$7:$D$70,0),1),'State Codes'!$C$7:$C$70,0),1)</f>
        <v>South Atlantic Division</v>
      </c>
      <c r="F233">
        <f>INDEX('CBECS_Table B5'!$C$6:$K$6,1,MATCH('County Climates'!E233,'CBECS_Table B5'!$C$1:$K$1,0))</f>
        <v>17981</v>
      </c>
    </row>
    <row r="234" spans="1:6" x14ac:dyDescent="0.25">
      <c r="A234" t="s">
        <v>431</v>
      </c>
      <c r="B234" t="s">
        <v>432</v>
      </c>
      <c r="C234" t="s">
        <v>464</v>
      </c>
      <c r="D234" t="s">
        <v>243</v>
      </c>
      <c r="E234" t="str">
        <f>INDEX('State Codes'!$E$7:$E$70,MATCH(INDEX('State Codes'!$C$7:$C$70,MATCH('County Climates'!B234,'State Codes'!$D$7:$D$70,0),1),'State Codes'!$C$7:$C$70,0),1)</f>
        <v>South Atlantic Division</v>
      </c>
      <c r="F234">
        <f>INDEX('CBECS_Table B5'!$C$6:$K$6,1,MATCH('County Climates'!E234,'CBECS_Table B5'!$C$1:$K$1,0))</f>
        <v>17981</v>
      </c>
    </row>
    <row r="235" spans="1:6" x14ac:dyDescent="0.25">
      <c r="A235" t="s">
        <v>431</v>
      </c>
      <c r="B235" t="s">
        <v>432</v>
      </c>
      <c r="C235" t="s">
        <v>268</v>
      </c>
      <c r="D235" t="s">
        <v>247</v>
      </c>
      <c r="E235" t="str">
        <f>INDEX('State Codes'!$E$7:$E$70,MATCH(INDEX('State Codes'!$C$7:$C$70,MATCH('County Climates'!B235,'State Codes'!$D$7:$D$70,0),1),'State Codes'!$C$7:$C$70,0),1)</f>
        <v>South Atlantic Division</v>
      </c>
      <c r="F235">
        <f>INDEX('CBECS_Table B5'!$C$6:$K$6,1,MATCH('County Climates'!E235,'CBECS_Table B5'!$C$1:$K$1,0))</f>
        <v>17981</v>
      </c>
    </row>
    <row r="236" spans="1:6" x14ac:dyDescent="0.25">
      <c r="A236" t="s">
        <v>431</v>
      </c>
      <c r="B236" t="s">
        <v>432</v>
      </c>
      <c r="C236" t="s">
        <v>465</v>
      </c>
      <c r="D236" t="s">
        <v>243</v>
      </c>
      <c r="E236" t="str">
        <f>INDEX('State Codes'!$E$7:$E$70,MATCH(INDEX('State Codes'!$C$7:$C$70,MATCH('County Climates'!B236,'State Codes'!$D$7:$D$70,0),1),'State Codes'!$C$7:$C$70,0),1)</f>
        <v>South Atlantic Division</v>
      </c>
      <c r="F236">
        <f>INDEX('CBECS_Table B5'!$C$6:$K$6,1,MATCH('County Climates'!E236,'CBECS_Table B5'!$C$1:$K$1,0))</f>
        <v>17981</v>
      </c>
    </row>
    <row r="237" spans="1:6" x14ac:dyDescent="0.25">
      <c r="A237" t="s">
        <v>431</v>
      </c>
      <c r="B237" t="s">
        <v>432</v>
      </c>
      <c r="C237" t="s">
        <v>466</v>
      </c>
      <c r="D237" t="s">
        <v>243</v>
      </c>
      <c r="E237" t="str">
        <f>INDEX('State Codes'!$E$7:$E$70,MATCH(INDEX('State Codes'!$C$7:$C$70,MATCH('County Climates'!B237,'State Codes'!$D$7:$D$70,0),1),'State Codes'!$C$7:$C$70,0),1)</f>
        <v>South Atlantic Division</v>
      </c>
      <c r="F237">
        <f>INDEX('CBECS_Table B5'!$C$6:$K$6,1,MATCH('County Climates'!E237,'CBECS_Table B5'!$C$1:$K$1,0))</f>
        <v>17981</v>
      </c>
    </row>
    <row r="238" spans="1:6" x14ac:dyDescent="0.25">
      <c r="A238" t="s">
        <v>431</v>
      </c>
      <c r="B238" t="s">
        <v>432</v>
      </c>
      <c r="C238" t="s">
        <v>467</v>
      </c>
      <c r="D238" t="s">
        <v>243</v>
      </c>
      <c r="E238" t="str">
        <f>INDEX('State Codes'!$E$7:$E$70,MATCH(INDEX('State Codes'!$C$7:$C$70,MATCH('County Climates'!B238,'State Codes'!$D$7:$D$70,0),1),'State Codes'!$C$7:$C$70,0),1)</f>
        <v>South Atlantic Division</v>
      </c>
      <c r="F238">
        <f>INDEX('CBECS_Table B5'!$C$6:$K$6,1,MATCH('County Climates'!E238,'CBECS_Table B5'!$C$1:$K$1,0))</f>
        <v>17981</v>
      </c>
    </row>
    <row r="239" spans="1:6" x14ac:dyDescent="0.25">
      <c r="A239" t="s">
        <v>431</v>
      </c>
      <c r="B239" t="s">
        <v>432</v>
      </c>
      <c r="C239" t="s">
        <v>369</v>
      </c>
      <c r="D239" t="s">
        <v>247</v>
      </c>
      <c r="E239" t="str">
        <f>INDEX('State Codes'!$E$7:$E$70,MATCH(INDEX('State Codes'!$C$7:$C$70,MATCH('County Climates'!B239,'State Codes'!$D$7:$D$70,0),1),'State Codes'!$C$7:$C$70,0),1)</f>
        <v>South Atlantic Division</v>
      </c>
      <c r="F239">
        <f>INDEX('CBECS_Table B5'!$C$6:$K$6,1,MATCH('County Climates'!E239,'CBECS_Table B5'!$C$1:$K$1,0))</f>
        <v>17981</v>
      </c>
    </row>
    <row r="240" spans="1:6" x14ac:dyDescent="0.25">
      <c r="A240" t="s">
        <v>431</v>
      </c>
      <c r="B240" t="s">
        <v>432</v>
      </c>
      <c r="C240" t="s">
        <v>468</v>
      </c>
      <c r="D240" t="s">
        <v>243</v>
      </c>
      <c r="E240" t="str">
        <f>INDEX('State Codes'!$E$7:$E$70,MATCH(INDEX('State Codes'!$C$7:$C$70,MATCH('County Climates'!B240,'State Codes'!$D$7:$D$70,0),1),'State Codes'!$C$7:$C$70,0),1)</f>
        <v>South Atlantic Division</v>
      </c>
      <c r="F240">
        <f>INDEX('CBECS_Table B5'!$C$6:$K$6,1,MATCH('County Climates'!E240,'CBECS_Table B5'!$C$1:$K$1,0))</f>
        <v>17981</v>
      </c>
    </row>
    <row r="241" spans="1:6" x14ac:dyDescent="0.25">
      <c r="A241" t="s">
        <v>431</v>
      </c>
      <c r="B241" t="s">
        <v>432</v>
      </c>
      <c r="C241" t="s">
        <v>469</v>
      </c>
      <c r="D241" t="s">
        <v>243</v>
      </c>
      <c r="E241" t="str">
        <f>INDEX('State Codes'!$E$7:$E$70,MATCH(INDEX('State Codes'!$C$7:$C$70,MATCH('County Climates'!B241,'State Codes'!$D$7:$D$70,0),1),'State Codes'!$C$7:$C$70,0),1)</f>
        <v>South Atlantic Division</v>
      </c>
      <c r="F241">
        <f>INDEX('CBECS_Table B5'!$C$6:$K$6,1,MATCH('County Climates'!E241,'CBECS_Table B5'!$C$1:$K$1,0))</f>
        <v>17981</v>
      </c>
    </row>
    <row r="242" spans="1:6" x14ac:dyDescent="0.25">
      <c r="A242" t="s">
        <v>431</v>
      </c>
      <c r="B242" t="s">
        <v>432</v>
      </c>
      <c r="C242" t="s">
        <v>470</v>
      </c>
      <c r="D242" t="s">
        <v>243</v>
      </c>
      <c r="E242" t="str">
        <f>INDEX('State Codes'!$E$7:$E$70,MATCH(INDEX('State Codes'!$C$7:$C$70,MATCH('County Climates'!B242,'State Codes'!$D$7:$D$70,0),1),'State Codes'!$C$7:$C$70,0),1)</f>
        <v>South Atlantic Division</v>
      </c>
      <c r="F242">
        <f>INDEX('CBECS_Table B5'!$C$6:$K$6,1,MATCH('County Climates'!E242,'CBECS_Table B5'!$C$1:$K$1,0))</f>
        <v>17981</v>
      </c>
    </row>
    <row r="243" spans="1:6" x14ac:dyDescent="0.25">
      <c r="A243" t="s">
        <v>431</v>
      </c>
      <c r="B243" t="s">
        <v>432</v>
      </c>
      <c r="C243" t="s">
        <v>372</v>
      </c>
      <c r="D243" t="s">
        <v>247</v>
      </c>
      <c r="E243" t="str">
        <f>INDEX('State Codes'!$E$7:$E$70,MATCH(INDEX('State Codes'!$C$7:$C$70,MATCH('County Climates'!B243,'State Codes'!$D$7:$D$70,0),1),'State Codes'!$C$7:$C$70,0),1)</f>
        <v>South Atlantic Division</v>
      </c>
      <c r="F243">
        <f>INDEX('CBECS_Table B5'!$C$6:$K$6,1,MATCH('County Climates'!E243,'CBECS_Table B5'!$C$1:$K$1,0))</f>
        <v>17981</v>
      </c>
    </row>
    <row r="244" spans="1:6" x14ac:dyDescent="0.25">
      <c r="A244" t="s">
        <v>431</v>
      </c>
      <c r="B244" t="s">
        <v>432</v>
      </c>
      <c r="C244" t="s">
        <v>471</v>
      </c>
      <c r="D244" t="s">
        <v>243</v>
      </c>
      <c r="E244" t="str">
        <f>INDEX('State Codes'!$E$7:$E$70,MATCH(INDEX('State Codes'!$C$7:$C$70,MATCH('County Climates'!B244,'State Codes'!$D$7:$D$70,0),1),'State Codes'!$C$7:$C$70,0),1)</f>
        <v>South Atlantic Division</v>
      </c>
      <c r="F244">
        <f>INDEX('CBECS_Table B5'!$C$6:$K$6,1,MATCH('County Climates'!E244,'CBECS_Table B5'!$C$1:$K$1,0))</f>
        <v>17981</v>
      </c>
    </row>
    <row r="245" spans="1:6" x14ac:dyDescent="0.25">
      <c r="A245" t="s">
        <v>431</v>
      </c>
      <c r="B245" t="s">
        <v>432</v>
      </c>
      <c r="C245" t="s">
        <v>472</v>
      </c>
      <c r="D245" t="s">
        <v>243</v>
      </c>
      <c r="E245" t="str">
        <f>INDEX('State Codes'!$E$7:$E$70,MATCH(INDEX('State Codes'!$C$7:$C$70,MATCH('County Climates'!B245,'State Codes'!$D$7:$D$70,0),1),'State Codes'!$C$7:$C$70,0),1)</f>
        <v>South Atlantic Division</v>
      </c>
      <c r="F245">
        <f>INDEX('CBECS_Table B5'!$C$6:$K$6,1,MATCH('County Climates'!E245,'CBECS_Table B5'!$C$1:$K$1,0))</f>
        <v>17981</v>
      </c>
    </row>
    <row r="246" spans="1:6" x14ac:dyDescent="0.25">
      <c r="A246" t="s">
        <v>431</v>
      </c>
      <c r="B246" t="s">
        <v>432</v>
      </c>
      <c r="C246" t="s">
        <v>473</v>
      </c>
      <c r="D246" t="s">
        <v>247</v>
      </c>
      <c r="E246" t="str">
        <f>INDEX('State Codes'!$E$7:$E$70,MATCH(INDEX('State Codes'!$C$7:$C$70,MATCH('County Climates'!B246,'State Codes'!$D$7:$D$70,0),1),'State Codes'!$C$7:$C$70,0),1)</f>
        <v>South Atlantic Division</v>
      </c>
      <c r="F246">
        <f>INDEX('CBECS_Table B5'!$C$6:$K$6,1,MATCH('County Climates'!E246,'CBECS_Table B5'!$C$1:$K$1,0))</f>
        <v>17981</v>
      </c>
    </row>
    <row r="247" spans="1:6" x14ac:dyDescent="0.25">
      <c r="A247" t="s">
        <v>431</v>
      </c>
      <c r="B247" t="s">
        <v>432</v>
      </c>
      <c r="C247" t="s">
        <v>272</v>
      </c>
      <c r="D247" t="s">
        <v>247</v>
      </c>
      <c r="E247" t="str">
        <f>INDEX('State Codes'!$E$7:$E$70,MATCH(INDEX('State Codes'!$C$7:$C$70,MATCH('County Climates'!B247,'State Codes'!$D$7:$D$70,0),1),'State Codes'!$C$7:$C$70,0),1)</f>
        <v>South Atlantic Division</v>
      </c>
      <c r="F247">
        <f>INDEX('CBECS_Table B5'!$C$6:$K$6,1,MATCH('County Climates'!E247,'CBECS_Table B5'!$C$1:$K$1,0))</f>
        <v>17981</v>
      </c>
    </row>
    <row r="248" spans="1:6" x14ac:dyDescent="0.25">
      <c r="A248" t="s">
        <v>431</v>
      </c>
      <c r="B248" t="s">
        <v>432</v>
      </c>
      <c r="C248" t="s">
        <v>474</v>
      </c>
      <c r="D248" t="s">
        <v>247</v>
      </c>
      <c r="E248" t="str">
        <f>INDEX('State Codes'!$E$7:$E$70,MATCH(INDEX('State Codes'!$C$7:$C$70,MATCH('County Climates'!B248,'State Codes'!$D$7:$D$70,0),1),'State Codes'!$C$7:$C$70,0),1)</f>
        <v>South Atlantic Division</v>
      </c>
      <c r="F248">
        <f>INDEX('CBECS_Table B5'!$C$6:$K$6,1,MATCH('County Climates'!E248,'CBECS_Table B5'!$C$1:$K$1,0))</f>
        <v>17981</v>
      </c>
    </row>
    <row r="249" spans="1:6" x14ac:dyDescent="0.25">
      <c r="A249" t="s">
        <v>431</v>
      </c>
      <c r="B249" t="s">
        <v>432</v>
      </c>
      <c r="C249" t="s">
        <v>475</v>
      </c>
      <c r="D249" t="s">
        <v>247</v>
      </c>
      <c r="E249" t="str">
        <f>INDEX('State Codes'!$E$7:$E$70,MATCH(INDEX('State Codes'!$C$7:$C$70,MATCH('County Climates'!B249,'State Codes'!$D$7:$D$70,0),1),'State Codes'!$C$7:$C$70,0),1)</f>
        <v>South Atlantic Division</v>
      </c>
      <c r="F249">
        <f>INDEX('CBECS_Table B5'!$C$6:$K$6,1,MATCH('County Climates'!E249,'CBECS_Table B5'!$C$1:$K$1,0))</f>
        <v>17981</v>
      </c>
    </row>
    <row r="250" spans="1:6" x14ac:dyDescent="0.25">
      <c r="A250" t="s">
        <v>431</v>
      </c>
      <c r="B250" t="s">
        <v>432</v>
      </c>
      <c r="C250" t="s">
        <v>273</v>
      </c>
      <c r="D250" t="s">
        <v>247</v>
      </c>
      <c r="E250" t="str">
        <f>INDEX('State Codes'!$E$7:$E$70,MATCH(INDEX('State Codes'!$C$7:$C$70,MATCH('County Climates'!B250,'State Codes'!$D$7:$D$70,0),1),'State Codes'!$C$7:$C$70,0),1)</f>
        <v>South Atlantic Division</v>
      </c>
      <c r="F250">
        <f>INDEX('CBECS_Table B5'!$C$6:$K$6,1,MATCH('County Climates'!E250,'CBECS_Table B5'!$C$1:$K$1,0))</f>
        <v>17981</v>
      </c>
    </row>
    <row r="251" spans="1:6" x14ac:dyDescent="0.25">
      <c r="A251" t="s">
        <v>431</v>
      </c>
      <c r="B251" t="s">
        <v>432</v>
      </c>
      <c r="C251" t="s">
        <v>314</v>
      </c>
      <c r="D251" t="s">
        <v>247</v>
      </c>
      <c r="E251" t="str">
        <f>INDEX('State Codes'!$E$7:$E$70,MATCH(INDEX('State Codes'!$C$7:$C$70,MATCH('County Climates'!B251,'State Codes'!$D$7:$D$70,0),1),'State Codes'!$C$7:$C$70,0),1)</f>
        <v>South Atlantic Division</v>
      </c>
      <c r="F251">
        <f>INDEX('CBECS_Table B5'!$C$6:$K$6,1,MATCH('County Climates'!E251,'CBECS_Table B5'!$C$1:$K$1,0))</f>
        <v>17981</v>
      </c>
    </row>
    <row r="252" spans="1:6" x14ac:dyDescent="0.25">
      <c r="A252" t="s">
        <v>431</v>
      </c>
      <c r="B252" t="s">
        <v>432</v>
      </c>
      <c r="C252" t="s">
        <v>476</v>
      </c>
      <c r="D252" t="s">
        <v>247</v>
      </c>
      <c r="E252" t="str">
        <f>INDEX('State Codes'!$E$7:$E$70,MATCH(INDEX('State Codes'!$C$7:$C$70,MATCH('County Climates'!B252,'State Codes'!$D$7:$D$70,0),1),'State Codes'!$C$7:$C$70,0),1)</f>
        <v>South Atlantic Division</v>
      </c>
      <c r="F252">
        <f>INDEX('CBECS_Table B5'!$C$6:$K$6,1,MATCH('County Climates'!E252,'CBECS_Table B5'!$C$1:$K$1,0))</f>
        <v>17981</v>
      </c>
    </row>
    <row r="253" spans="1:6" x14ac:dyDescent="0.25">
      <c r="A253" t="s">
        <v>431</v>
      </c>
      <c r="B253" t="s">
        <v>432</v>
      </c>
      <c r="C253" t="s">
        <v>477</v>
      </c>
      <c r="D253" t="s">
        <v>247</v>
      </c>
      <c r="E253" t="str">
        <f>INDEX('State Codes'!$E$7:$E$70,MATCH(INDEX('State Codes'!$C$7:$C$70,MATCH('County Climates'!B253,'State Codes'!$D$7:$D$70,0),1),'State Codes'!$C$7:$C$70,0),1)</f>
        <v>South Atlantic Division</v>
      </c>
      <c r="F253">
        <f>INDEX('CBECS_Table B5'!$C$6:$K$6,1,MATCH('County Climates'!E253,'CBECS_Table B5'!$C$1:$K$1,0))</f>
        <v>17981</v>
      </c>
    </row>
    <row r="254" spans="1:6" x14ac:dyDescent="0.25">
      <c r="A254" t="s">
        <v>431</v>
      </c>
      <c r="B254" t="s">
        <v>432</v>
      </c>
      <c r="C254" t="s">
        <v>478</v>
      </c>
      <c r="D254" t="s">
        <v>243</v>
      </c>
      <c r="E254" t="str">
        <f>INDEX('State Codes'!$E$7:$E$70,MATCH(INDEX('State Codes'!$C$7:$C$70,MATCH('County Climates'!B254,'State Codes'!$D$7:$D$70,0),1),'State Codes'!$C$7:$C$70,0),1)</f>
        <v>South Atlantic Division</v>
      </c>
      <c r="F254">
        <f>INDEX('CBECS_Table B5'!$C$6:$K$6,1,MATCH('County Climates'!E254,'CBECS_Table B5'!$C$1:$K$1,0))</f>
        <v>17981</v>
      </c>
    </row>
    <row r="255" spans="1:6" x14ac:dyDescent="0.25">
      <c r="A255" t="s">
        <v>431</v>
      </c>
      <c r="B255" t="s">
        <v>432</v>
      </c>
      <c r="C255" t="s">
        <v>479</v>
      </c>
      <c r="D255" t="s">
        <v>247</v>
      </c>
      <c r="E255" t="str">
        <f>INDEX('State Codes'!$E$7:$E$70,MATCH(INDEX('State Codes'!$C$7:$C$70,MATCH('County Climates'!B255,'State Codes'!$D$7:$D$70,0),1),'State Codes'!$C$7:$C$70,0),1)</f>
        <v>South Atlantic Division</v>
      </c>
      <c r="F255">
        <f>INDEX('CBECS_Table B5'!$C$6:$K$6,1,MATCH('County Climates'!E255,'CBECS_Table B5'!$C$1:$K$1,0))</f>
        <v>17981</v>
      </c>
    </row>
    <row r="256" spans="1:6" x14ac:dyDescent="0.25">
      <c r="A256" t="s">
        <v>431</v>
      </c>
      <c r="B256" t="s">
        <v>432</v>
      </c>
      <c r="C256" t="s">
        <v>480</v>
      </c>
      <c r="D256" t="s">
        <v>243</v>
      </c>
      <c r="E256" t="str">
        <f>INDEX('State Codes'!$E$7:$E$70,MATCH(INDEX('State Codes'!$C$7:$C$70,MATCH('County Climates'!B256,'State Codes'!$D$7:$D$70,0),1),'State Codes'!$C$7:$C$70,0),1)</f>
        <v>South Atlantic Division</v>
      </c>
      <c r="F256">
        <f>INDEX('CBECS_Table B5'!$C$6:$K$6,1,MATCH('County Climates'!E256,'CBECS_Table B5'!$C$1:$K$1,0))</f>
        <v>17981</v>
      </c>
    </row>
    <row r="257" spans="1:6" x14ac:dyDescent="0.25">
      <c r="A257" t="s">
        <v>431</v>
      </c>
      <c r="B257" t="s">
        <v>432</v>
      </c>
      <c r="C257" t="s">
        <v>275</v>
      </c>
      <c r="D257" t="s">
        <v>247</v>
      </c>
      <c r="E257" t="str">
        <f>INDEX('State Codes'!$E$7:$E$70,MATCH(INDEX('State Codes'!$C$7:$C$70,MATCH('County Climates'!B257,'State Codes'!$D$7:$D$70,0),1),'State Codes'!$C$7:$C$70,0),1)</f>
        <v>South Atlantic Division</v>
      </c>
      <c r="F257">
        <f>INDEX('CBECS_Table B5'!$C$6:$K$6,1,MATCH('County Climates'!E257,'CBECS_Table B5'!$C$1:$K$1,0))</f>
        <v>17981</v>
      </c>
    </row>
    <row r="258" spans="1:6" x14ac:dyDescent="0.25">
      <c r="A258" t="s">
        <v>431</v>
      </c>
      <c r="B258" t="s">
        <v>432</v>
      </c>
      <c r="C258" t="s">
        <v>481</v>
      </c>
      <c r="D258" t="s">
        <v>247</v>
      </c>
      <c r="E258" t="str">
        <f>INDEX('State Codes'!$E$7:$E$70,MATCH(INDEX('State Codes'!$C$7:$C$70,MATCH('County Climates'!B258,'State Codes'!$D$7:$D$70,0),1),'State Codes'!$C$7:$C$70,0),1)</f>
        <v>South Atlantic Division</v>
      </c>
      <c r="F258">
        <f>INDEX('CBECS_Table B5'!$C$6:$K$6,1,MATCH('County Climates'!E258,'CBECS_Table B5'!$C$1:$K$1,0))</f>
        <v>17981</v>
      </c>
    </row>
    <row r="259" spans="1:6" x14ac:dyDescent="0.25">
      <c r="A259" t="s">
        <v>431</v>
      </c>
      <c r="B259" t="s">
        <v>432</v>
      </c>
      <c r="C259" t="s">
        <v>482</v>
      </c>
      <c r="D259" t="s">
        <v>247</v>
      </c>
      <c r="E259" t="str">
        <f>INDEX('State Codes'!$E$7:$E$70,MATCH(INDEX('State Codes'!$C$7:$C$70,MATCH('County Climates'!B259,'State Codes'!$D$7:$D$70,0),1),'State Codes'!$C$7:$C$70,0),1)</f>
        <v>South Atlantic Division</v>
      </c>
      <c r="F259">
        <f>INDEX('CBECS_Table B5'!$C$6:$K$6,1,MATCH('County Climates'!E259,'CBECS_Table B5'!$C$1:$K$1,0))</f>
        <v>17981</v>
      </c>
    </row>
    <row r="260" spans="1:6" x14ac:dyDescent="0.25">
      <c r="A260" t="s">
        <v>431</v>
      </c>
      <c r="B260" t="s">
        <v>432</v>
      </c>
      <c r="C260" t="s">
        <v>483</v>
      </c>
      <c r="D260" t="s">
        <v>484</v>
      </c>
      <c r="E260" t="str">
        <f>INDEX('State Codes'!$E$7:$E$70,MATCH(INDEX('State Codes'!$C$7:$C$70,MATCH('County Climates'!B260,'State Codes'!$D$7:$D$70,0),1),'State Codes'!$C$7:$C$70,0),1)</f>
        <v>South Atlantic Division</v>
      </c>
      <c r="F260">
        <f>INDEX('CBECS_Table B5'!$C$6:$K$6,1,MATCH('County Climates'!E260,'CBECS_Table B5'!$C$1:$K$1,0))</f>
        <v>17981</v>
      </c>
    </row>
    <row r="261" spans="1:6" x14ac:dyDescent="0.25">
      <c r="A261" t="s">
        <v>431</v>
      </c>
      <c r="B261" t="s">
        <v>432</v>
      </c>
      <c r="C261" t="s">
        <v>485</v>
      </c>
      <c r="D261" t="s">
        <v>484</v>
      </c>
      <c r="E261" t="str">
        <f>INDEX('State Codes'!$E$7:$E$70,MATCH(INDEX('State Codes'!$C$7:$C$70,MATCH('County Climates'!B261,'State Codes'!$D$7:$D$70,0),1),'State Codes'!$C$7:$C$70,0),1)</f>
        <v>South Atlantic Division</v>
      </c>
      <c r="F261">
        <f>INDEX('CBECS_Table B5'!$C$6:$K$6,1,MATCH('County Climates'!E261,'CBECS_Table B5'!$C$1:$K$1,0))</f>
        <v>17981</v>
      </c>
    </row>
    <row r="262" spans="1:6" x14ac:dyDescent="0.25">
      <c r="A262" t="s">
        <v>431</v>
      </c>
      <c r="B262" t="s">
        <v>432</v>
      </c>
      <c r="C262" t="s">
        <v>486</v>
      </c>
      <c r="D262" t="s">
        <v>243</v>
      </c>
      <c r="E262" t="str">
        <f>INDEX('State Codes'!$E$7:$E$70,MATCH(INDEX('State Codes'!$C$7:$C$70,MATCH('County Climates'!B262,'State Codes'!$D$7:$D$70,0),1),'State Codes'!$C$7:$C$70,0),1)</f>
        <v>South Atlantic Division</v>
      </c>
      <c r="F262">
        <f>INDEX('CBECS_Table B5'!$C$6:$K$6,1,MATCH('County Climates'!E262,'CBECS_Table B5'!$C$1:$K$1,0))</f>
        <v>17981</v>
      </c>
    </row>
    <row r="263" spans="1:6" x14ac:dyDescent="0.25">
      <c r="A263" t="s">
        <v>431</v>
      </c>
      <c r="B263" t="s">
        <v>432</v>
      </c>
      <c r="C263" t="s">
        <v>487</v>
      </c>
      <c r="D263" t="s">
        <v>484</v>
      </c>
      <c r="E263" t="str">
        <f>INDEX('State Codes'!$E$7:$E$70,MATCH(INDEX('State Codes'!$C$7:$C$70,MATCH('County Climates'!B263,'State Codes'!$D$7:$D$70,0),1),'State Codes'!$C$7:$C$70,0),1)</f>
        <v>South Atlantic Division</v>
      </c>
      <c r="F263">
        <f>INDEX('CBECS_Table B5'!$C$6:$K$6,1,MATCH('County Climates'!E263,'CBECS_Table B5'!$C$1:$K$1,0))</f>
        <v>17981</v>
      </c>
    </row>
    <row r="264" spans="1:6" x14ac:dyDescent="0.25">
      <c r="A264" t="s">
        <v>431</v>
      </c>
      <c r="B264" t="s">
        <v>432</v>
      </c>
      <c r="C264" t="s">
        <v>488</v>
      </c>
      <c r="D264" t="s">
        <v>243</v>
      </c>
      <c r="E264" t="str">
        <f>INDEX('State Codes'!$E$7:$E$70,MATCH(INDEX('State Codes'!$C$7:$C$70,MATCH('County Climates'!B264,'State Codes'!$D$7:$D$70,0),1),'State Codes'!$C$7:$C$70,0),1)</f>
        <v>South Atlantic Division</v>
      </c>
      <c r="F264">
        <f>INDEX('CBECS_Table B5'!$C$6:$K$6,1,MATCH('County Climates'!E264,'CBECS_Table B5'!$C$1:$K$1,0))</f>
        <v>17981</v>
      </c>
    </row>
    <row r="265" spans="1:6" x14ac:dyDescent="0.25">
      <c r="A265" t="s">
        <v>431</v>
      </c>
      <c r="B265" t="s">
        <v>432</v>
      </c>
      <c r="C265" t="s">
        <v>489</v>
      </c>
      <c r="D265" t="s">
        <v>247</v>
      </c>
      <c r="E265" t="str">
        <f>INDEX('State Codes'!$E$7:$E$70,MATCH(INDEX('State Codes'!$C$7:$C$70,MATCH('County Climates'!B265,'State Codes'!$D$7:$D$70,0),1),'State Codes'!$C$7:$C$70,0),1)</f>
        <v>South Atlantic Division</v>
      </c>
      <c r="F265">
        <f>INDEX('CBECS_Table B5'!$C$6:$K$6,1,MATCH('County Climates'!E265,'CBECS_Table B5'!$C$1:$K$1,0))</f>
        <v>17981</v>
      </c>
    </row>
    <row r="266" spans="1:6" x14ac:dyDescent="0.25">
      <c r="A266" t="s">
        <v>431</v>
      </c>
      <c r="B266" t="s">
        <v>432</v>
      </c>
      <c r="C266" t="s">
        <v>490</v>
      </c>
      <c r="D266" t="s">
        <v>484</v>
      </c>
      <c r="E266" t="str">
        <f>INDEX('State Codes'!$E$7:$E$70,MATCH(INDEX('State Codes'!$C$7:$C$70,MATCH('County Climates'!B266,'State Codes'!$D$7:$D$70,0),1),'State Codes'!$C$7:$C$70,0),1)</f>
        <v>South Atlantic Division</v>
      </c>
      <c r="F266">
        <f>INDEX('CBECS_Table B5'!$C$6:$K$6,1,MATCH('County Climates'!E266,'CBECS_Table B5'!$C$1:$K$1,0))</f>
        <v>17981</v>
      </c>
    </row>
    <row r="267" spans="1:6" x14ac:dyDescent="0.25">
      <c r="A267" t="s">
        <v>431</v>
      </c>
      <c r="B267" t="s">
        <v>432</v>
      </c>
      <c r="C267" t="s">
        <v>491</v>
      </c>
      <c r="D267" t="s">
        <v>247</v>
      </c>
      <c r="E267" t="str">
        <f>INDEX('State Codes'!$E$7:$E$70,MATCH(INDEX('State Codes'!$C$7:$C$70,MATCH('County Climates'!B267,'State Codes'!$D$7:$D$70,0),1),'State Codes'!$C$7:$C$70,0),1)</f>
        <v>South Atlantic Division</v>
      </c>
      <c r="F267">
        <f>INDEX('CBECS_Table B5'!$C$6:$K$6,1,MATCH('County Climates'!E267,'CBECS_Table B5'!$C$1:$K$1,0))</f>
        <v>17981</v>
      </c>
    </row>
    <row r="268" spans="1:6" x14ac:dyDescent="0.25">
      <c r="A268" t="s">
        <v>431</v>
      </c>
      <c r="B268" t="s">
        <v>432</v>
      </c>
      <c r="C268" t="s">
        <v>492</v>
      </c>
      <c r="D268" t="s">
        <v>484</v>
      </c>
      <c r="E268" t="str">
        <f>INDEX('State Codes'!$E$7:$E$70,MATCH(INDEX('State Codes'!$C$7:$C$70,MATCH('County Climates'!B268,'State Codes'!$D$7:$D$70,0),1),'State Codes'!$C$7:$C$70,0),1)</f>
        <v>South Atlantic Division</v>
      </c>
      <c r="F268">
        <f>INDEX('CBECS_Table B5'!$C$6:$K$6,1,MATCH('County Climates'!E268,'CBECS_Table B5'!$C$1:$K$1,0))</f>
        <v>17981</v>
      </c>
    </row>
    <row r="269" spans="1:6" x14ac:dyDescent="0.25">
      <c r="A269" t="s">
        <v>431</v>
      </c>
      <c r="B269" t="s">
        <v>432</v>
      </c>
      <c r="C269" t="s">
        <v>493</v>
      </c>
      <c r="D269" t="s">
        <v>484</v>
      </c>
      <c r="E269" t="str">
        <f>INDEX('State Codes'!$E$7:$E$70,MATCH(INDEX('State Codes'!$C$7:$C$70,MATCH('County Climates'!B269,'State Codes'!$D$7:$D$70,0),1),'State Codes'!$C$7:$C$70,0),1)</f>
        <v>South Atlantic Division</v>
      </c>
      <c r="F269">
        <f>INDEX('CBECS_Table B5'!$C$6:$K$6,1,MATCH('County Climates'!E269,'CBECS_Table B5'!$C$1:$K$1,0))</f>
        <v>17981</v>
      </c>
    </row>
    <row r="270" spans="1:6" x14ac:dyDescent="0.25">
      <c r="A270" t="s">
        <v>431</v>
      </c>
      <c r="B270" t="s">
        <v>432</v>
      </c>
      <c r="C270" t="s">
        <v>347</v>
      </c>
      <c r="D270" t="s">
        <v>247</v>
      </c>
      <c r="E270" t="str">
        <f>INDEX('State Codes'!$E$7:$E$70,MATCH(INDEX('State Codes'!$C$7:$C$70,MATCH('County Climates'!B270,'State Codes'!$D$7:$D$70,0),1),'State Codes'!$C$7:$C$70,0),1)</f>
        <v>South Atlantic Division</v>
      </c>
      <c r="F270">
        <f>INDEX('CBECS_Table B5'!$C$6:$K$6,1,MATCH('County Climates'!E270,'CBECS_Table B5'!$C$1:$K$1,0))</f>
        <v>17981</v>
      </c>
    </row>
    <row r="271" spans="1:6" x14ac:dyDescent="0.25">
      <c r="A271" t="s">
        <v>431</v>
      </c>
      <c r="B271" t="s">
        <v>432</v>
      </c>
      <c r="C271" t="s">
        <v>494</v>
      </c>
      <c r="D271" t="s">
        <v>247</v>
      </c>
      <c r="E271" t="str">
        <f>INDEX('State Codes'!$E$7:$E$70,MATCH(INDEX('State Codes'!$C$7:$C$70,MATCH('County Climates'!B271,'State Codes'!$D$7:$D$70,0),1),'State Codes'!$C$7:$C$70,0),1)</f>
        <v>South Atlantic Division</v>
      </c>
      <c r="F271">
        <f>INDEX('CBECS_Table B5'!$C$6:$K$6,1,MATCH('County Climates'!E271,'CBECS_Table B5'!$C$1:$K$1,0))</f>
        <v>17981</v>
      </c>
    </row>
    <row r="272" spans="1:6" x14ac:dyDescent="0.25">
      <c r="A272" t="s">
        <v>431</v>
      </c>
      <c r="B272" t="s">
        <v>432</v>
      </c>
      <c r="C272" t="s">
        <v>307</v>
      </c>
      <c r="D272" t="s">
        <v>247</v>
      </c>
      <c r="E272" t="str">
        <f>INDEX('State Codes'!$E$7:$E$70,MATCH(INDEX('State Codes'!$C$7:$C$70,MATCH('County Climates'!B272,'State Codes'!$D$7:$D$70,0),1),'State Codes'!$C$7:$C$70,0),1)</f>
        <v>South Atlantic Division</v>
      </c>
      <c r="F272">
        <f>INDEX('CBECS_Table B5'!$C$6:$K$6,1,MATCH('County Climates'!E272,'CBECS_Table B5'!$C$1:$K$1,0))</f>
        <v>17981</v>
      </c>
    </row>
    <row r="273" spans="1:6" x14ac:dyDescent="0.25">
      <c r="A273" t="s">
        <v>431</v>
      </c>
      <c r="B273" t="s">
        <v>432</v>
      </c>
      <c r="C273" t="s">
        <v>495</v>
      </c>
      <c r="D273" t="s">
        <v>247</v>
      </c>
      <c r="E273" t="str">
        <f>INDEX('State Codes'!$E$7:$E$70,MATCH(INDEX('State Codes'!$C$7:$C$70,MATCH('County Climates'!B273,'State Codes'!$D$7:$D$70,0),1),'State Codes'!$C$7:$C$70,0),1)</f>
        <v>South Atlantic Division</v>
      </c>
      <c r="F273">
        <f>INDEX('CBECS_Table B5'!$C$6:$K$6,1,MATCH('County Climates'!E273,'CBECS_Table B5'!$C$1:$K$1,0))</f>
        <v>17981</v>
      </c>
    </row>
    <row r="274" spans="1:6" x14ac:dyDescent="0.25">
      <c r="A274" t="s">
        <v>431</v>
      </c>
      <c r="B274" t="s">
        <v>432</v>
      </c>
      <c r="C274" t="s">
        <v>496</v>
      </c>
      <c r="D274" t="s">
        <v>243</v>
      </c>
      <c r="E274" t="str">
        <f>INDEX('State Codes'!$E$7:$E$70,MATCH(INDEX('State Codes'!$C$7:$C$70,MATCH('County Climates'!B274,'State Codes'!$D$7:$D$70,0),1),'State Codes'!$C$7:$C$70,0),1)</f>
        <v>South Atlantic Division</v>
      </c>
      <c r="F274">
        <f>INDEX('CBECS_Table B5'!$C$6:$K$6,1,MATCH('County Climates'!E274,'CBECS_Table B5'!$C$1:$K$1,0))</f>
        <v>17981</v>
      </c>
    </row>
    <row r="275" spans="1:6" x14ac:dyDescent="0.25">
      <c r="A275" t="s">
        <v>431</v>
      </c>
      <c r="B275" t="s">
        <v>432</v>
      </c>
      <c r="C275" t="s">
        <v>497</v>
      </c>
      <c r="D275" t="s">
        <v>247</v>
      </c>
      <c r="E275" t="str">
        <f>INDEX('State Codes'!$E$7:$E$70,MATCH(INDEX('State Codes'!$C$7:$C$70,MATCH('County Climates'!B275,'State Codes'!$D$7:$D$70,0),1),'State Codes'!$C$7:$C$70,0),1)</f>
        <v>South Atlantic Division</v>
      </c>
      <c r="F275">
        <f>INDEX('CBECS_Table B5'!$C$6:$K$6,1,MATCH('County Climates'!E275,'CBECS_Table B5'!$C$1:$K$1,0))</f>
        <v>17981</v>
      </c>
    </row>
    <row r="276" spans="1:6" x14ac:dyDescent="0.25">
      <c r="A276" t="s">
        <v>431</v>
      </c>
      <c r="B276" t="s">
        <v>432</v>
      </c>
      <c r="C276" t="s">
        <v>308</v>
      </c>
      <c r="D276" t="s">
        <v>247</v>
      </c>
      <c r="E276" t="str">
        <f>INDEX('State Codes'!$E$7:$E$70,MATCH(INDEX('State Codes'!$C$7:$C$70,MATCH('County Climates'!B276,'State Codes'!$D$7:$D$70,0),1),'State Codes'!$C$7:$C$70,0),1)</f>
        <v>South Atlantic Division</v>
      </c>
      <c r="F276">
        <f>INDEX('CBECS_Table B5'!$C$6:$K$6,1,MATCH('County Climates'!E276,'CBECS_Table B5'!$C$1:$K$1,0))</f>
        <v>17981</v>
      </c>
    </row>
    <row r="277" spans="1:6" x14ac:dyDescent="0.25">
      <c r="A277" t="s">
        <v>431</v>
      </c>
      <c r="B277" t="s">
        <v>432</v>
      </c>
      <c r="C277" t="s">
        <v>498</v>
      </c>
      <c r="D277" t="s">
        <v>243</v>
      </c>
      <c r="E277" t="str">
        <f>INDEX('State Codes'!$E$7:$E$70,MATCH(INDEX('State Codes'!$C$7:$C$70,MATCH('County Climates'!B277,'State Codes'!$D$7:$D$70,0),1),'State Codes'!$C$7:$C$70,0),1)</f>
        <v>South Atlantic Division</v>
      </c>
      <c r="F277">
        <f>INDEX('CBECS_Table B5'!$C$6:$K$6,1,MATCH('County Climates'!E277,'CBECS_Table B5'!$C$1:$K$1,0))</f>
        <v>17981</v>
      </c>
    </row>
    <row r="278" spans="1:6" x14ac:dyDescent="0.25">
      <c r="A278" t="s">
        <v>431</v>
      </c>
      <c r="B278" t="s">
        <v>432</v>
      </c>
      <c r="C278" t="s">
        <v>499</v>
      </c>
      <c r="D278" t="s">
        <v>484</v>
      </c>
      <c r="E278" t="str">
        <f>INDEX('State Codes'!$E$7:$E$70,MATCH(INDEX('State Codes'!$C$7:$C$70,MATCH('County Climates'!B278,'State Codes'!$D$7:$D$70,0),1),'State Codes'!$C$7:$C$70,0),1)</f>
        <v>South Atlantic Division</v>
      </c>
      <c r="F278">
        <f>INDEX('CBECS_Table B5'!$C$6:$K$6,1,MATCH('County Climates'!E278,'CBECS_Table B5'!$C$1:$K$1,0))</f>
        <v>17981</v>
      </c>
    </row>
    <row r="279" spans="1:6" x14ac:dyDescent="0.25">
      <c r="A279" t="s">
        <v>431</v>
      </c>
      <c r="B279" t="s">
        <v>432</v>
      </c>
      <c r="C279" t="s">
        <v>500</v>
      </c>
      <c r="D279" t="s">
        <v>484</v>
      </c>
      <c r="E279" t="str">
        <f>INDEX('State Codes'!$E$7:$E$70,MATCH(INDEX('State Codes'!$C$7:$C$70,MATCH('County Climates'!B279,'State Codes'!$D$7:$D$70,0),1),'State Codes'!$C$7:$C$70,0),1)</f>
        <v>South Atlantic Division</v>
      </c>
      <c r="F279">
        <f>INDEX('CBECS_Table B5'!$C$6:$K$6,1,MATCH('County Climates'!E279,'CBECS_Table B5'!$C$1:$K$1,0))</f>
        <v>17981</v>
      </c>
    </row>
    <row r="280" spans="1:6" x14ac:dyDescent="0.25">
      <c r="A280" t="s">
        <v>431</v>
      </c>
      <c r="B280" t="s">
        <v>432</v>
      </c>
      <c r="C280" t="s">
        <v>349</v>
      </c>
      <c r="D280" t="s">
        <v>247</v>
      </c>
      <c r="E280" t="str">
        <f>INDEX('State Codes'!$E$7:$E$70,MATCH(INDEX('State Codes'!$C$7:$C$70,MATCH('County Climates'!B280,'State Codes'!$D$7:$D$70,0),1),'State Codes'!$C$7:$C$70,0),1)</f>
        <v>South Atlantic Division</v>
      </c>
      <c r="F280">
        <f>INDEX('CBECS_Table B5'!$C$6:$K$6,1,MATCH('County Climates'!E280,'CBECS_Table B5'!$C$1:$K$1,0))</f>
        <v>17981</v>
      </c>
    </row>
    <row r="281" spans="1:6" x14ac:dyDescent="0.25">
      <c r="A281" t="s">
        <v>431</v>
      </c>
      <c r="B281" t="s">
        <v>432</v>
      </c>
      <c r="C281" t="s">
        <v>501</v>
      </c>
      <c r="D281" t="s">
        <v>247</v>
      </c>
      <c r="E281" t="str">
        <f>INDEX('State Codes'!$E$7:$E$70,MATCH(INDEX('State Codes'!$C$7:$C$70,MATCH('County Climates'!B281,'State Codes'!$D$7:$D$70,0),1),'State Codes'!$C$7:$C$70,0),1)</f>
        <v>South Atlantic Division</v>
      </c>
      <c r="F281">
        <f>INDEX('CBECS_Table B5'!$C$6:$K$6,1,MATCH('County Climates'!E281,'CBECS_Table B5'!$C$1:$K$1,0))</f>
        <v>17981</v>
      </c>
    </row>
    <row r="282" spans="1:6" x14ac:dyDescent="0.25">
      <c r="A282" t="s">
        <v>431</v>
      </c>
      <c r="B282" t="s">
        <v>432</v>
      </c>
      <c r="C282" t="s">
        <v>502</v>
      </c>
      <c r="D282" t="s">
        <v>484</v>
      </c>
      <c r="E282" t="str">
        <f>INDEX('State Codes'!$E$7:$E$70,MATCH(INDEX('State Codes'!$C$7:$C$70,MATCH('County Climates'!B282,'State Codes'!$D$7:$D$70,0),1),'State Codes'!$C$7:$C$70,0),1)</f>
        <v>South Atlantic Division</v>
      </c>
      <c r="F282">
        <f>INDEX('CBECS_Table B5'!$C$6:$K$6,1,MATCH('County Climates'!E282,'CBECS_Table B5'!$C$1:$K$1,0))</f>
        <v>17981</v>
      </c>
    </row>
    <row r="283" spans="1:6" x14ac:dyDescent="0.25">
      <c r="A283" t="s">
        <v>431</v>
      </c>
      <c r="B283" t="s">
        <v>432</v>
      </c>
      <c r="C283" t="s">
        <v>503</v>
      </c>
      <c r="D283" t="s">
        <v>247</v>
      </c>
      <c r="E283" t="str">
        <f>INDEX('State Codes'!$E$7:$E$70,MATCH(INDEX('State Codes'!$C$7:$C$70,MATCH('County Climates'!B283,'State Codes'!$D$7:$D$70,0),1),'State Codes'!$C$7:$C$70,0),1)</f>
        <v>South Atlantic Division</v>
      </c>
      <c r="F283">
        <f>INDEX('CBECS_Table B5'!$C$6:$K$6,1,MATCH('County Climates'!E283,'CBECS_Table B5'!$C$1:$K$1,0))</f>
        <v>17981</v>
      </c>
    </row>
    <row r="284" spans="1:6" x14ac:dyDescent="0.25">
      <c r="A284" t="s">
        <v>431</v>
      </c>
      <c r="B284" t="s">
        <v>432</v>
      </c>
      <c r="C284" t="s">
        <v>504</v>
      </c>
      <c r="D284" t="s">
        <v>247</v>
      </c>
      <c r="E284" t="str">
        <f>INDEX('State Codes'!$E$7:$E$70,MATCH(INDEX('State Codes'!$C$7:$C$70,MATCH('County Climates'!B284,'State Codes'!$D$7:$D$70,0),1),'State Codes'!$C$7:$C$70,0),1)</f>
        <v>South Atlantic Division</v>
      </c>
      <c r="F284">
        <f>INDEX('CBECS_Table B5'!$C$6:$K$6,1,MATCH('County Climates'!E284,'CBECS_Table B5'!$C$1:$K$1,0))</f>
        <v>17981</v>
      </c>
    </row>
    <row r="285" spans="1:6" x14ac:dyDescent="0.25">
      <c r="A285" t="s">
        <v>431</v>
      </c>
      <c r="B285" t="s">
        <v>432</v>
      </c>
      <c r="C285" t="s">
        <v>505</v>
      </c>
      <c r="D285" t="s">
        <v>484</v>
      </c>
      <c r="E285" t="str">
        <f>INDEX('State Codes'!$E$7:$E$70,MATCH(INDEX('State Codes'!$C$7:$C$70,MATCH('County Climates'!B285,'State Codes'!$D$7:$D$70,0),1),'State Codes'!$C$7:$C$70,0),1)</f>
        <v>South Atlantic Division</v>
      </c>
      <c r="F285">
        <f>INDEX('CBECS_Table B5'!$C$6:$K$6,1,MATCH('County Climates'!E285,'CBECS_Table B5'!$C$1:$K$1,0))</f>
        <v>17981</v>
      </c>
    </row>
    <row r="286" spans="1:6" x14ac:dyDescent="0.25">
      <c r="A286" t="s">
        <v>506</v>
      </c>
      <c r="B286" t="s">
        <v>507</v>
      </c>
      <c r="C286" t="s">
        <v>508</v>
      </c>
      <c r="D286" t="s">
        <v>243</v>
      </c>
      <c r="E286" t="str">
        <f>INDEX('State Codes'!$E$7:$E$70,MATCH(INDEX('State Codes'!$C$7:$C$70,MATCH('County Climates'!B286,'State Codes'!$D$7:$D$70,0),1),'State Codes'!$C$7:$C$70,0),1)</f>
        <v>Pacific Division</v>
      </c>
      <c r="F286">
        <f>INDEX('CBECS_Table B5'!$C$6:$K$6,1,MATCH('County Climates'!E286,'CBECS_Table B5'!$C$1:$K$1,0))</f>
        <v>13379</v>
      </c>
    </row>
    <row r="287" spans="1:6" x14ac:dyDescent="0.25">
      <c r="A287" t="s">
        <v>506</v>
      </c>
      <c r="B287" t="s">
        <v>507</v>
      </c>
      <c r="C287" t="s">
        <v>509</v>
      </c>
      <c r="D287" t="s">
        <v>243</v>
      </c>
      <c r="E287" t="str">
        <f>INDEX('State Codes'!$E$7:$E$70,MATCH(INDEX('State Codes'!$C$7:$C$70,MATCH('County Climates'!B287,'State Codes'!$D$7:$D$70,0),1),'State Codes'!$C$7:$C$70,0),1)</f>
        <v>Pacific Division</v>
      </c>
      <c r="F287">
        <f>INDEX('CBECS_Table B5'!$C$6:$K$6,1,MATCH('County Climates'!E287,'CBECS_Table B5'!$C$1:$K$1,0))</f>
        <v>13379</v>
      </c>
    </row>
    <row r="288" spans="1:6" x14ac:dyDescent="0.25">
      <c r="A288" t="s">
        <v>506</v>
      </c>
      <c r="B288" t="s">
        <v>507</v>
      </c>
      <c r="C288" t="s">
        <v>510</v>
      </c>
      <c r="D288" t="s">
        <v>243</v>
      </c>
      <c r="E288" t="str">
        <f>INDEX('State Codes'!$E$7:$E$70,MATCH(INDEX('State Codes'!$C$7:$C$70,MATCH('County Climates'!B288,'State Codes'!$D$7:$D$70,0),1),'State Codes'!$C$7:$C$70,0),1)</f>
        <v>Pacific Division</v>
      </c>
      <c r="F288">
        <f>INDEX('CBECS_Table B5'!$C$6:$K$6,1,MATCH('County Climates'!E288,'CBECS_Table B5'!$C$1:$K$1,0))</f>
        <v>13379</v>
      </c>
    </row>
    <row r="289" spans="1:6" x14ac:dyDescent="0.25">
      <c r="A289" t="s">
        <v>506</v>
      </c>
      <c r="B289" t="s">
        <v>507</v>
      </c>
      <c r="C289" t="s">
        <v>511</v>
      </c>
      <c r="D289" t="s">
        <v>243</v>
      </c>
      <c r="E289" t="str">
        <f>INDEX('State Codes'!$E$7:$E$70,MATCH(INDEX('State Codes'!$C$7:$C$70,MATCH('County Climates'!B289,'State Codes'!$D$7:$D$70,0),1),'State Codes'!$C$7:$C$70,0),1)</f>
        <v>Pacific Division</v>
      </c>
      <c r="F289">
        <f>INDEX('CBECS_Table B5'!$C$6:$K$6,1,MATCH('County Climates'!E289,'CBECS_Table B5'!$C$1:$K$1,0))</f>
        <v>13379</v>
      </c>
    </row>
    <row r="290" spans="1:6" x14ac:dyDescent="0.25">
      <c r="A290" t="s">
        <v>506</v>
      </c>
      <c r="B290" t="s">
        <v>507</v>
      </c>
      <c r="C290" t="s">
        <v>512</v>
      </c>
      <c r="D290" t="s">
        <v>243</v>
      </c>
      <c r="E290" t="str">
        <f>INDEX('State Codes'!$E$7:$E$70,MATCH(INDEX('State Codes'!$C$7:$C$70,MATCH('County Climates'!B290,'State Codes'!$D$7:$D$70,0),1),'State Codes'!$C$7:$C$70,0),1)</f>
        <v>Pacific Division</v>
      </c>
      <c r="F290">
        <f>INDEX('CBECS_Table B5'!$C$6:$K$6,1,MATCH('County Climates'!E290,'CBECS_Table B5'!$C$1:$K$1,0))</f>
        <v>13379</v>
      </c>
    </row>
    <row r="291" spans="1:6" x14ac:dyDescent="0.25">
      <c r="A291" t="s">
        <v>513</v>
      </c>
      <c r="B291" t="s">
        <v>514</v>
      </c>
      <c r="C291" t="s">
        <v>515</v>
      </c>
      <c r="D291" t="s">
        <v>228</v>
      </c>
      <c r="E291" t="str">
        <f>INDEX('State Codes'!$E$7:$E$70,MATCH(INDEX('State Codes'!$C$7:$C$70,MATCH('County Climates'!B291,'State Codes'!$D$7:$D$70,0),1),'State Codes'!$C$7:$C$70,0),1)</f>
        <v>Mountain Division</v>
      </c>
      <c r="F291">
        <f>INDEX('CBECS_Table B5'!$C$6:$K$6,1,MATCH('County Climates'!E291,'CBECS_Table B5'!$C$1:$K$1,0))</f>
        <v>4981</v>
      </c>
    </row>
    <row r="292" spans="1:6" x14ac:dyDescent="0.25">
      <c r="A292" t="s">
        <v>513</v>
      </c>
      <c r="B292" t="s">
        <v>514</v>
      </c>
      <c r="C292" t="s">
        <v>516</v>
      </c>
      <c r="D292" t="s">
        <v>228</v>
      </c>
      <c r="E292" t="str">
        <f>INDEX('State Codes'!$E$7:$E$70,MATCH(INDEX('State Codes'!$C$7:$C$70,MATCH('County Climates'!B292,'State Codes'!$D$7:$D$70,0),1),'State Codes'!$C$7:$C$70,0),1)</f>
        <v>Mountain Division</v>
      </c>
      <c r="F292">
        <f>INDEX('CBECS_Table B5'!$C$6:$K$6,1,MATCH('County Climates'!E292,'CBECS_Table B5'!$C$1:$K$1,0))</f>
        <v>4981</v>
      </c>
    </row>
    <row r="293" spans="1:6" x14ac:dyDescent="0.25">
      <c r="A293" t="s">
        <v>513</v>
      </c>
      <c r="B293" t="s">
        <v>514</v>
      </c>
      <c r="C293" t="s">
        <v>517</v>
      </c>
      <c r="D293" t="s">
        <v>228</v>
      </c>
      <c r="E293" t="str">
        <f>INDEX('State Codes'!$E$7:$E$70,MATCH(INDEX('State Codes'!$C$7:$C$70,MATCH('County Climates'!B293,'State Codes'!$D$7:$D$70,0),1),'State Codes'!$C$7:$C$70,0),1)</f>
        <v>Mountain Division</v>
      </c>
      <c r="F293">
        <f>INDEX('CBECS_Table B5'!$C$6:$K$6,1,MATCH('County Climates'!E293,'CBECS_Table B5'!$C$1:$K$1,0))</f>
        <v>4981</v>
      </c>
    </row>
    <row r="294" spans="1:6" x14ac:dyDescent="0.25">
      <c r="A294" t="s">
        <v>513</v>
      </c>
      <c r="B294" t="s">
        <v>514</v>
      </c>
      <c r="C294" t="s">
        <v>518</v>
      </c>
      <c r="D294" t="s">
        <v>228</v>
      </c>
      <c r="E294" t="str">
        <f>INDEX('State Codes'!$E$7:$E$70,MATCH(INDEX('State Codes'!$C$7:$C$70,MATCH('County Climates'!B294,'State Codes'!$D$7:$D$70,0),1),'State Codes'!$C$7:$C$70,0),1)</f>
        <v>Mountain Division</v>
      </c>
      <c r="F294">
        <f>INDEX('CBECS_Table B5'!$C$6:$K$6,1,MATCH('County Climates'!E294,'CBECS_Table B5'!$C$1:$K$1,0))</f>
        <v>4981</v>
      </c>
    </row>
    <row r="295" spans="1:6" x14ac:dyDescent="0.25">
      <c r="A295" t="s">
        <v>513</v>
      </c>
      <c r="B295" t="s">
        <v>514</v>
      </c>
      <c r="C295" t="s">
        <v>519</v>
      </c>
      <c r="D295" t="s">
        <v>228</v>
      </c>
      <c r="E295" t="str">
        <f>INDEX('State Codes'!$E$7:$E$70,MATCH(INDEX('State Codes'!$C$7:$C$70,MATCH('County Climates'!B295,'State Codes'!$D$7:$D$70,0),1),'State Codes'!$C$7:$C$70,0),1)</f>
        <v>Mountain Division</v>
      </c>
      <c r="F295">
        <f>INDEX('CBECS_Table B5'!$C$6:$K$6,1,MATCH('County Climates'!E295,'CBECS_Table B5'!$C$1:$K$1,0))</f>
        <v>4981</v>
      </c>
    </row>
    <row r="296" spans="1:6" x14ac:dyDescent="0.25">
      <c r="A296" t="s">
        <v>513</v>
      </c>
      <c r="B296" t="s">
        <v>514</v>
      </c>
      <c r="C296" t="s">
        <v>520</v>
      </c>
      <c r="D296" t="s">
        <v>228</v>
      </c>
      <c r="E296" t="str">
        <f>INDEX('State Codes'!$E$7:$E$70,MATCH(INDEX('State Codes'!$C$7:$C$70,MATCH('County Climates'!B296,'State Codes'!$D$7:$D$70,0),1),'State Codes'!$C$7:$C$70,0),1)</f>
        <v>Mountain Division</v>
      </c>
      <c r="F296">
        <f>INDEX('CBECS_Table B5'!$C$6:$K$6,1,MATCH('County Climates'!E296,'CBECS_Table B5'!$C$1:$K$1,0))</f>
        <v>4981</v>
      </c>
    </row>
    <row r="297" spans="1:6" x14ac:dyDescent="0.25">
      <c r="A297" t="s">
        <v>513</v>
      </c>
      <c r="B297" t="s">
        <v>514</v>
      </c>
      <c r="C297" t="s">
        <v>521</v>
      </c>
      <c r="D297" t="s">
        <v>228</v>
      </c>
      <c r="E297" t="str">
        <f>INDEX('State Codes'!$E$7:$E$70,MATCH(INDEX('State Codes'!$C$7:$C$70,MATCH('County Climates'!B297,'State Codes'!$D$7:$D$70,0),1),'State Codes'!$C$7:$C$70,0),1)</f>
        <v>Mountain Division</v>
      </c>
      <c r="F297">
        <f>INDEX('CBECS_Table B5'!$C$6:$K$6,1,MATCH('County Climates'!E297,'CBECS_Table B5'!$C$1:$K$1,0))</f>
        <v>4981</v>
      </c>
    </row>
    <row r="298" spans="1:6" x14ac:dyDescent="0.25">
      <c r="A298" t="s">
        <v>513</v>
      </c>
      <c r="B298" t="s">
        <v>514</v>
      </c>
      <c r="C298" t="s">
        <v>522</v>
      </c>
      <c r="D298" t="s">
        <v>228</v>
      </c>
      <c r="E298" t="str">
        <f>INDEX('State Codes'!$E$7:$E$70,MATCH(INDEX('State Codes'!$C$7:$C$70,MATCH('County Climates'!B298,'State Codes'!$D$7:$D$70,0),1),'State Codes'!$C$7:$C$70,0),1)</f>
        <v>Mountain Division</v>
      </c>
      <c r="F298">
        <f>INDEX('CBECS_Table B5'!$C$6:$K$6,1,MATCH('County Climates'!E298,'CBECS_Table B5'!$C$1:$K$1,0))</f>
        <v>4981</v>
      </c>
    </row>
    <row r="299" spans="1:6" x14ac:dyDescent="0.25">
      <c r="A299" t="s">
        <v>513</v>
      </c>
      <c r="B299" t="s">
        <v>514</v>
      </c>
      <c r="C299" t="s">
        <v>523</v>
      </c>
      <c r="D299" t="s">
        <v>228</v>
      </c>
      <c r="E299" t="str">
        <f>INDEX('State Codes'!$E$7:$E$70,MATCH(INDEX('State Codes'!$C$7:$C$70,MATCH('County Climates'!B299,'State Codes'!$D$7:$D$70,0),1),'State Codes'!$C$7:$C$70,0),1)</f>
        <v>Mountain Division</v>
      </c>
      <c r="F299">
        <f>INDEX('CBECS_Table B5'!$C$6:$K$6,1,MATCH('County Climates'!E299,'CBECS_Table B5'!$C$1:$K$1,0))</f>
        <v>4981</v>
      </c>
    </row>
    <row r="300" spans="1:6" x14ac:dyDescent="0.25">
      <c r="A300" t="s">
        <v>513</v>
      </c>
      <c r="B300" t="s">
        <v>514</v>
      </c>
      <c r="C300" t="s">
        <v>524</v>
      </c>
      <c r="D300" t="s">
        <v>228</v>
      </c>
      <c r="E300" t="str">
        <f>INDEX('State Codes'!$E$7:$E$70,MATCH(INDEX('State Codes'!$C$7:$C$70,MATCH('County Climates'!B300,'State Codes'!$D$7:$D$70,0),1),'State Codes'!$C$7:$C$70,0),1)</f>
        <v>Mountain Division</v>
      </c>
      <c r="F300">
        <f>INDEX('CBECS_Table B5'!$C$6:$K$6,1,MATCH('County Climates'!E300,'CBECS_Table B5'!$C$1:$K$1,0))</f>
        <v>4981</v>
      </c>
    </row>
    <row r="301" spans="1:6" x14ac:dyDescent="0.25">
      <c r="A301" t="s">
        <v>513</v>
      </c>
      <c r="B301" t="s">
        <v>514</v>
      </c>
      <c r="C301" t="s">
        <v>525</v>
      </c>
      <c r="D301" t="s">
        <v>228</v>
      </c>
      <c r="E301" t="str">
        <f>INDEX('State Codes'!$E$7:$E$70,MATCH(INDEX('State Codes'!$C$7:$C$70,MATCH('County Climates'!B301,'State Codes'!$D$7:$D$70,0),1),'State Codes'!$C$7:$C$70,0),1)</f>
        <v>Mountain Division</v>
      </c>
      <c r="F301">
        <f>INDEX('CBECS_Table B5'!$C$6:$K$6,1,MATCH('County Climates'!E301,'CBECS_Table B5'!$C$1:$K$1,0))</f>
        <v>4981</v>
      </c>
    </row>
    <row r="302" spans="1:6" x14ac:dyDescent="0.25">
      <c r="A302" t="s">
        <v>513</v>
      </c>
      <c r="B302" t="s">
        <v>514</v>
      </c>
      <c r="C302" t="s">
        <v>358</v>
      </c>
      <c r="D302" t="s">
        <v>228</v>
      </c>
      <c r="E302" t="str">
        <f>INDEX('State Codes'!$E$7:$E$70,MATCH(INDEX('State Codes'!$C$7:$C$70,MATCH('County Climates'!B302,'State Codes'!$D$7:$D$70,0),1),'State Codes'!$C$7:$C$70,0),1)</f>
        <v>Mountain Division</v>
      </c>
      <c r="F302">
        <f>INDEX('CBECS_Table B5'!$C$6:$K$6,1,MATCH('County Climates'!E302,'CBECS_Table B5'!$C$1:$K$1,0))</f>
        <v>4981</v>
      </c>
    </row>
    <row r="303" spans="1:6" x14ac:dyDescent="0.25">
      <c r="A303" t="s">
        <v>513</v>
      </c>
      <c r="B303" t="s">
        <v>514</v>
      </c>
      <c r="C303" t="s">
        <v>526</v>
      </c>
      <c r="D303" t="s">
        <v>228</v>
      </c>
      <c r="E303" t="str">
        <f>INDEX('State Codes'!$E$7:$E$70,MATCH(INDEX('State Codes'!$C$7:$C$70,MATCH('County Climates'!B303,'State Codes'!$D$7:$D$70,0),1),'State Codes'!$C$7:$C$70,0),1)</f>
        <v>Mountain Division</v>
      </c>
      <c r="F303">
        <f>INDEX('CBECS_Table B5'!$C$6:$K$6,1,MATCH('County Climates'!E303,'CBECS_Table B5'!$C$1:$K$1,0))</f>
        <v>4981</v>
      </c>
    </row>
    <row r="304" spans="1:6" x14ac:dyDescent="0.25">
      <c r="A304" t="s">
        <v>513</v>
      </c>
      <c r="B304" t="s">
        <v>514</v>
      </c>
      <c r="C304" t="s">
        <v>527</v>
      </c>
      <c r="D304" t="s">
        <v>228</v>
      </c>
      <c r="E304" t="str">
        <f>INDEX('State Codes'!$E$7:$E$70,MATCH(INDEX('State Codes'!$C$7:$C$70,MATCH('County Climates'!B304,'State Codes'!$D$7:$D$70,0),1),'State Codes'!$C$7:$C$70,0),1)</f>
        <v>Mountain Division</v>
      </c>
      <c r="F304">
        <f>INDEX('CBECS_Table B5'!$C$6:$K$6,1,MATCH('County Climates'!E304,'CBECS_Table B5'!$C$1:$K$1,0))</f>
        <v>4981</v>
      </c>
    </row>
    <row r="305" spans="1:6" x14ac:dyDescent="0.25">
      <c r="A305" t="s">
        <v>513</v>
      </c>
      <c r="B305" t="s">
        <v>514</v>
      </c>
      <c r="C305" t="s">
        <v>528</v>
      </c>
      <c r="D305" t="s">
        <v>228</v>
      </c>
      <c r="E305" t="str">
        <f>INDEX('State Codes'!$E$7:$E$70,MATCH(INDEX('State Codes'!$C$7:$C$70,MATCH('County Climates'!B305,'State Codes'!$D$7:$D$70,0),1),'State Codes'!$C$7:$C$70,0),1)</f>
        <v>Mountain Division</v>
      </c>
      <c r="F305">
        <f>INDEX('CBECS_Table B5'!$C$6:$K$6,1,MATCH('County Climates'!E305,'CBECS_Table B5'!$C$1:$K$1,0))</f>
        <v>4981</v>
      </c>
    </row>
    <row r="306" spans="1:6" x14ac:dyDescent="0.25">
      <c r="A306" t="s">
        <v>513</v>
      </c>
      <c r="B306" t="s">
        <v>514</v>
      </c>
      <c r="C306" t="s">
        <v>529</v>
      </c>
      <c r="D306" t="s">
        <v>228</v>
      </c>
      <c r="E306" t="str">
        <f>INDEX('State Codes'!$E$7:$E$70,MATCH(INDEX('State Codes'!$C$7:$C$70,MATCH('County Climates'!B306,'State Codes'!$D$7:$D$70,0),1),'State Codes'!$C$7:$C$70,0),1)</f>
        <v>Mountain Division</v>
      </c>
      <c r="F306">
        <f>INDEX('CBECS_Table B5'!$C$6:$K$6,1,MATCH('County Climates'!E306,'CBECS_Table B5'!$C$1:$K$1,0))</f>
        <v>4981</v>
      </c>
    </row>
    <row r="307" spans="1:6" x14ac:dyDescent="0.25">
      <c r="A307" t="s">
        <v>513</v>
      </c>
      <c r="B307" t="s">
        <v>514</v>
      </c>
      <c r="C307" t="s">
        <v>530</v>
      </c>
      <c r="D307" t="s">
        <v>228</v>
      </c>
      <c r="E307" t="str">
        <f>INDEX('State Codes'!$E$7:$E$70,MATCH(INDEX('State Codes'!$C$7:$C$70,MATCH('County Climates'!B307,'State Codes'!$D$7:$D$70,0),1),'State Codes'!$C$7:$C$70,0),1)</f>
        <v>Mountain Division</v>
      </c>
      <c r="F307">
        <f>INDEX('CBECS_Table B5'!$C$6:$K$6,1,MATCH('County Climates'!E307,'CBECS_Table B5'!$C$1:$K$1,0))</f>
        <v>4981</v>
      </c>
    </row>
    <row r="308" spans="1:6" x14ac:dyDescent="0.25">
      <c r="A308" t="s">
        <v>513</v>
      </c>
      <c r="B308" t="s">
        <v>514</v>
      </c>
      <c r="C308" t="s">
        <v>531</v>
      </c>
      <c r="D308" t="s">
        <v>228</v>
      </c>
      <c r="E308" t="str">
        <f>INDEX('State Codes'!$E$7:$E$70,MATCH(INDEX('State Codes'!$C$7:$C$70,MATCH('County Climates'!B308,'State Codes'!$D$7:$D$70,0),1),'State Codes'!$C$7:$C$70,0),1)</f>
        <v>Mountain Division</v>
      </c>
      <c r="F308">
        <f>INDEX('CBECS_Table B5'!$C$6:$K$6,1,MATCH('County Climates'!E308,'CBECS_Table B5'!$C$1:$K$1,0))</f>
        <v>4981</v>
      </c>
    </row>
    <row r="309" spans="1:6" x14ac:dyDescent="0.25">
      <c r="A309" t="s">
        <v>513</v>
      </c>
      <c r="B309" t="s">
        <v>514</v>
      </c>
      <c r="C309" t="s">
        <v>532</v>
      </c>
      <c r="D309" t="s">
        <v>228</v>
      </c>
      <c r="E309" t="str">
        <f>INDEX('State Codes'!$E$7:$E$70,MATCH(INDEX('State Codes'!$C$7:$C$70,MATCH('County Climates'!B309,'State Codes'!$D$7:$D$70,0),1),'State Codes'!$C$7:$C$70,0),1)</f>
        <v>Mountain Division</v>
      </c>
      <c r="F309">
        <f>INDEX('CBECS_Table B5'!$C$6:$K$6,1,MATCH('County Climates'!E309,'CBECS_Table B5'!$C$1:$K$1,0))</f>
        <v>4981</v>
      </c>
    </row>
    <row r="310" spans="1:6" x14ac:dyDescent="0.25">
      <c r="A310" t="s">
        <v>513</v>
      </c>
      <c r="B310" t="s">
        <v>514</v>
      </c>
      <c r="C310" t="s">
        <v>269</v>
      </c>
      <c r="D310" t="s">
        <v>228</v>
      </c>
      <c r="E310" t="str">
        <f>INDEX('State Codes'!$E$7:$E$70,MATCH(INDEX('State Codes'!$C$7:$C$70,MATCH('County Climates'!B310,'State Codes'!$D$7:$D$70,0),1),'State Codes'!$C$7:$C$70,0),1)</f>
        <v>Mountain Division</v>
      </c>
      <c r="F310">
        <f>INDEX('CBECS_Table B5'!$C$6:$K$6,1,MATCH('County Climates'!E310,'CBECS_Table B5'!$C$1:$K$1,0))</f>
        <v>4981</v>
      </c>
    </row>
    <row r="311" spans="1:6" x14ac:dyDescent="0.25">
      <c r="A311" t="s">
        <v>513</v>
      </c>
      <c r="B311" t="s">
        <v>514</v>
      </c>
      <c r="C311" t="s">
        <v>273</v>
      </c>
      <c r="D311" t="s">
        <v>228</v>
      </c>
      <c r="E311" t="str">
        <f>INDEX('State Codes'!$E$7:$E$70,MATCH(INDEX('State Codes'!$C$7:$C$70,MATCH('County Climates'!B311,'State Codes'!$D$7:$D$70,0),1),'State Codes'!$C$7:$C$70,0),1)</f>
        <v>Mountain Division</v>
      </c>
      <c r="F311">
        <f>INDEX('CBECS_Table B5'!$C$6:$K$6,1,MATCH('County Climates'!E311,'CBECS_Table B5'!$C$1:$K$1,0))</f>
        <v>4981</v>
      </c>
    </row>
    <row r="312" spans="1:6" x14ac:dyDescent="0.25">
      <c r="A312" t="s">
        <v>513</v>
      </c>
      <c r="B312" t="s">
        <v>514</v>
      </c>
      <c r="C312" t="s">
        <v>373</v>
      </c>
      <c r="D312" t="s">
        <v>228</v>
      </c>
      <c r="E312" t="str">
        <f>INDEX('State Codes'!$E$7:$E$70,MATCH(INDEX('State Codes'!$C$7:$C$70,MATCH('County Climates'!B312,'State Codes'!$D$7:$D$70,0),1),'State Codes'!$C$7:$C$70,0),1)</f>
        <v>Mountain Division</v>
      </c>
      <c r="F312">
        <f>INDEX('CBECS_Table B5'!$C$6:$K$6,1,MATCH('County Climates'!E312,'CBECS_Table B5'!$C$1:$K$1,0))</f>
        <v>4981</v>
      </c>
    </row>
    <row r="313" spans="1:6" x14ac:dyDescent="0.25">
      <c r="A313" t="s">
        <v>513</v>
      </c>
      <c r="B313" t="s">
        <v>514</v>
      </c>
      <c r="C313" t="s">
        <v>533</v>
      </c>
      <c r="D313" t="s">
        <v>228</v>
      </c>
      <c r="E313" t="str">
        <f>INDEX('State Codes'!$E$7:$E$70,MATCH(INDEX('State Codes'!$C$7:$C$70,MATCH('County Climates'!B313,'State Codes'!$D$7:$D$70,0),1),'State Codes'!$C$7:$C$70,0),1)</f>
        <v>Mountain Division</v>
      </c>
      <c r="F313">
        <f>INDEX('CBECS_Table B5'!$C$6:$K$6,1,MATCH('County Climates'!E313,'CBECS_Table B5'!$C$1:$K$1,0))</f>
        <v>4981</v>
      </c>
    </row>
    <row r="314" spans="1:6" x14ac:dyDescent="0.25">
      <c r="A314" t="s">
        <v>513</v>
      </c>
      <c r="B314" t="s">
        <v>514</v>
      </c>
      <c r="C314" t="s">
        <v>534</v>
      </c>
      <c r="D314" t="s">
        <v>228</v>
      </c>
      <c r="E314" t="str">
        <f>INDEX('State Codes'!$E$7:$E$70,MATCH(INDEX('State Codes'!$C$7:$C$70,MATCH('County Climates'!B314,'State Codes'!$D$7:$D$70,0),1),'State Codes'!$C$7:$C$70,0),1)</f>
        <v>Mountain Division</v>
      </c>
      <c r="F314">
        <f>INDEX('CBECS_Table B5'!$C$6:$K$6,1,MATCH('County Climates'!E314,'CBECS_Table B5'!$C$1:$K$1,0))</f>
        <v>4981</v>
      </c>
    </row>
    <row r="315" spans="1:6" x14ac:dyDescent="0.25">
      <c r="A315" t="s">
        <v>513</v>
      </c>
      <c r="B315" t="s">
        <v>514</v>
      </c>
      <c r="C315" t="s">
        <v>535</v>
      </c>
      <c r="D315" t="s">
        <v>228</v>
      </c>
      <c r="E315" t="str">
        <f>INDEX('State Codes'!$E$7:$E$70,MATCH(INDEX('State Codes'!$C$7:$C$70,MATCH('County Climates'!B315,'State Codes'!$D$7:$D$70,0),1),'State Codes'!$C$7:$C$70,0),1)</f>
        <v>Mountain Division</v>
      </c>
      <c r="F315">
        <f>INDEX('CBECS_Table B5'!$C$6:$K$6,1,MATCH('County Climates'!E315,'CBECS_Table B5'!$C$1:$K$1,0))</f>
        <v>4981</v>
      </c>
    </row>
    <row r="316" spans="1:6" x14ac:dyDescent="0.25">
      <c r="A316" t="s">
        <v>513</v>
      </c>
      <c r="B316" t="s">
        <v>514</v>
      </c>
      <c r="C316" t="s">
        <v>280</v>
      </c>
      <c r="D316" t="s">
        <v>228</v>
      </c>
      <c r="E316" t="str">
        <f>INDEX('State Codes'!$E$7:$E$70,MATCH(INDEX('State Codes'!$C$7:$C$70,MATCH('County Climates'!B316,'State Codes'!$D$7:$D$70,0),1),'State Codes'!$C$7:$C$70,0),1)</f>
        <v>Mountain Division</v>
      </c>
      <c r="F316">
        <f>INDEX('CBECS_Table B5'!$C$6:$K$6,1,MATCH('County Climates'!E316,'CBECS_Table B5'!$C$1:$K$1,0))</f>
        <v>4981</v>
      </c>
    </row>
    <row r="317" spans="1:6" x14ac:dyDescent="0.25">
      <c r="A317" t="s">
        <v>513</v>
      </c>
      <c r="B317" t="s">
        <v>514</v>
      </c>
      <c r="C317" t="s">
        <v>536</v>
      </c>
      <c r="D317" t="s">
        <v>228</v>
      </c>
      <c r="E317" t="str">
        <f>INDEX('State Codes'!$E$7:$E$70,MATCH(INDEX('State Codes'!$C$7:$C$70,MATCH('County Climates'!B317,'State Codes'!$D$7:$D$70,0),1),'State Codes'!$C$7:$C$70,0),1)</f>
        <v>Mountain Division</v>
      </c>
      <c r="F317">
        <f>INDEX('CBECS_Table B5'!$C$6:$K$6,1,MATCH('County Climates'!E317,'CBECS_Table B5'!$C$1:$K$1,0))</f>
        <v>4981</v>
      </c>
    </row>
    <row r="318" spans="1:6" x14ac:dyDescent="0.25">
      <c r="A318" t="s">
        <v>513</v>
      </c>
      <c r="B318" t="s">
        <v>514</v>
      </c>
      <c r="C318" t="s">
        <v>537</v>
      </c>
      <c r="D318" t="s">
        <v>228</v>
      </c>
      <c r="E318" t="str">
        <f>INDEX('State Codes'!$E$7:$E$70,MATCH(INDEX('State Codes'!$C$7:$C$70,MATCH('County Climates'!B318,'State Codes'!$D$7:$D$70,0),1),'State Codes'!$C$7:$C$70,0),1)</f>
        <v>Mountain Division</v>
      </c>
      <c r="F318">
        <f>INDEX('CBECS_Table B5'!$C$6:$K$6,1,MATCH('County Climates'!E318,'CBECS_Table B5'!$C$1:$K$1,0))</f>
        <v>4981</v>
      </c>
    </row>
    <row r="319" spans="1:6" x14ac:dyDescent="0.25">
      <c r="A319" t="s">
        <v>513</v>
      </c>
      <c r="B319" t="s">
        <v>514</v>
      </c>
      <c r="C319" t="s">
        <v>538</v>
      </c>
      <c r="D319" t="s">
        <v>228</v>
      </c>
      <c r="E319" t="str">
        <f>INDEX('State Codes'!$E$7:$E$70,MATCH(INDEX('State Codes'!$C$7:$C$70,MATCH('County Climates'!B319,'State Codes'!$D$7:$D$70,0),1),'State Codes'!$C$7:$C$70,0),1)</f>
        <v>Mountain Division</v>
      </c>
      <c r="F319">
        <f>INDEX('CBECS_Table B5'!$C$6:$K$6,1,MATCH('County Climates'!E319,'CBECS_Table B5'!$C$1:$K$1,0))</f>
        <v>4981</v>
      </c>
    </row>
    <row r="320" spans="1:6" x14ac:dyDescent="0.25">
      <c r="A320" t="s">
        <v>513</v>
      </c>
      <c r="B320" t="s">
        <v>514</v>
      </c>
      <c r="C320" t="s">
        <v>539</v>
      </c>
      <c r="D320" t="s">
        <v>228</v>
      </c>
      <c r="E320" t="str">
        <f>INDEX('State Codes'!$E$7:$E$70,MATCH(INDEX('State Codes'!$C$7:$C$70,MATCH('County Climates'!B320,'State Codes'!$D$7:$D$70,0),1),'State Codes'!$C$7:$C$70,0),1)</f>
        <v>Mountain Division</v>
      </c>
      <c r="F320">
        <f>INDEX('CBECS_Table B5'!$C$6:$K$6,1,MATCH('County Climates'!E320,'CBECS_Table B5'!$C$1:$K$1,0))</f>
        <v>4981</v>
      </c>
    </row>
    <row r="321" spans="1:6" x14ac:dyDescent="0.25">
      <c r="A321" t="s">
        <v>513</v>
      </c>
      <c r="B321" t="s">
        <v>514</v>
      </c>
      <c r="C321" t="s">
        <v>540</v>
      </c>
      <c r="D321" t="s">
        <v>228</v>
      </c>
      <c r="E321" t="str">
        <f>INDEX('State Codes'!$E$7:$E$70,MATCH(INDEX('State Codes'!$C$7:$C$70,MATCH('County Climates'!B321,'State Codes'!$D$7:$D$70,0),1),'State Codes'!$C$7:$C$70,0),1)</f>
        <v>Mountain Division</v>
      </c>
      <c r="F321">
        <f>INDEX('CBECS_Table B5'!$C$6:$K$6,1,MATCH('County Climates'!E321,'CBECS_Table B5'!$C$1:$K$1,0))</f>
        <v>4981</v>
      </c>
    </row>
    <row r="322" spans="1:6" x14ac:dyDescent="0.25">
      <c r="A322" t="s">
        <v>513</v>
      </c>
      <c r="B322" t="s">
        <v>514</v>
      </c>
      <c r="C322" t="s">
        <v>324</v>
      </c>
      <c r="D322" t="s">
        <v>228</v>
      </c>
      <c r="E322" t="str">
        <f>INDEX('State Codes'!$E$7:$E$70,MATCH(INDEX('State Codes'!$C$7:$C$70,MATCH('County Climates'!B322,'State Codes'!$D$7:$D$70,0),1),'State Codes'!$C$7:$C$70,0),1)</f>
        <v>Mountain Division</v>
      </c>
      <c r="F322">
        <f>INDEX('CBECS_Table B5'!$C$6:$K$6,1,MATCH('County Climates'!E322,'CBECS_Table B5'!$C$1:$K$1,0))</f>
        <v>4981</v>
      </c>
    </row>
    <row r="323" spans="1:6" x14ac:dyDescent="0.25">
      <c r="A323" t="s">
        <v>513</v>
      </c>
      <c r="B323" t="s">
        <v>514</v>
      </c>
      <c r="C323" t="s">
        <v>288</v>
      </c>
      <c r="D323" t="s">
        <v>228</v>
      </c>
      <c r="E323" t="str">
        <f>INDEX('State Codes'!$E$7:$E$70,MATCH(INDEX('State Codes'!$C$7:$C$70,MATCH('County Climates'!B323,'State Codes'!$D$7:$D$70,0),1),'State Codes'!$C$7:$C$70,0),1)</f>
        <v>Mountain Division</v>
      </c>
      <c r="F323">
        <f>INDEX('CBECS_Table B5'!$C$6:$K$6,1,MATCH('County Climates'!E323,'CBECS_Table B5'!$C$1:$K$1,0))</f>
        <v>4981</v>
      </c>
    </row>
    <row r="324" spans="1:6" x14ac:dyDescent="0.25">
      <c r="A324" t="s">
        <v>513</v>
      </c>
      <c r="B324" t="s">
        <v>514</v>
      </c>
      <c r="C324" t="s">
        <v>541</v>
      </c>
      <c r="D324" t="s">
        <v>228</v>
      </c>
      <c r="E324" t="str">
        <f>INDEX('State Codes'!$E$7:$E$70,MATCH(INDEX('State Codes'!$C$7:$C$70,MATCH('County Climates'!B324,'State Codes'!$D$7:$D$70,0),1),'State Codes'!$C$7:$C$70,0),1)</f>
        <v>Mountain Division</v>
      </c>
      <c r="F324">
        <f>INDEX('CBECS_Table B5'!$C$6:$K$6,1,MATCH('County Climates'!E324,'CBECS_Table B5'!$C$1:$K$1,0))</f>
        <v>4981</v>
      </c>
    </row>
    <row r="325" spans="1:6" x14ac:dyDescent="0.25">
      <c r="A325" t="s">
        <v>542</v>
      </c>
      <c r="B325" t="s">
        <v>543</v>
      </c>
      <c r="C325" t="s">
        <v>544</v>
      </c>
      <c r="D325" t="s">
        <v>247</v>
      </c>
      <c r="E325" t="str">
        <f>INDEX('State Codes'!$E$7:$E$70,MATCH(INDEX('State Codes'!$C$7:$C$70,MATCH('County Climates'!B325,'State Codes'!$D$7:$D$70,0),1),'State Codes'!$C$7:$C$70,0),1)</f>
        <v>East North Central Division</v>
      </c>
      <c r="F325">
        <f>INDEX('CBECS_Table B5'!$C$6:$K$6,1,MATCH('County Climates'!E325,'CBECS_Table B5'!$C$1:$K$1,0))</f>
        <v>12742</v>
      </c>
    </row>
    <row r="326" spans="1:6" x14ac:dyDescent="0.25">
      <c r="A326" t="s">
        <v>542</v>
      </c>
      <c r="B326" t="s">
        <v>543</v>
      </c>
      <c r="C326" t="s">
        <v>288</v>
      </c>
      <c r="D326" t="s">
        <v>247</v>
      </c>
      <c r="E326" t="str">
        <f>INDEX('State Codes'!$E$7:$E$70,MATCH(INDEX('State Codes'!$C$7:$C$70,MATCH('County Climates'!B326,'State Codes'!$D$7:$D$70,0),1),'State Codes'!$C$7:$C$70,0),1)</f>
        <v>East North Central Division</v>
      </c>
      <c r="F326">
        <f>INDEX('CBECS_Table B5'!$C$6:$K$6,1,MATCH('County Climates'!E326,'CBECS_Table B5'!$C$1:$K$1,0))</f>
        <v>12742</v>
      </c>
    </row>
    <row r="327" spans="1:6" x14ac:dyDescent="0.25">
      <c r="A327" t="s">
        <v>542</v>
      </c>
      <c r="B327" t="s">
        <v>543</v>
      </c>
      <c r="C327" t="s">
        <v>290</v>
      </c>
      <c r="D327" t="s">
        <v>247</v>
      </c>
      <c r="E327" t="str">
        <f>INDEX('State Codes'!$E$7:$E$70,MATCH(INDEX('State Codes'!$C$7:$C$70,MATCH('County Climates'!B327,'State Codes'!$D$7:$D$70,0),1),'State Codes'!$C$7:$C$70,0),1)</f>
        <v>East North Central Division</v>
      </c>
      <c r="F327">
        <f>INDEX('CBECS_Table B5'!$C$6:$K$6,1,MATCH('County Climates'!E327,'CBECS_Table B5'!$C$1:$K$1,0))</f>
        <v>12742</v>
      </c>
    </row>
    <row r="328" spans="1:6" x14ac:dyDescent="0.25">
      <c r="A328" t="s">
        <v>542</v>
      </c>
      <c r="B328" t="s">
        <v>543</v>
      </c>
      <c r="C328" t="s">
        <v>291</v>
      </c>
      <c r="D328" t="s">
        <v>228</v>
      </c>
      <c r="E328" t="str">
        <f>INDEX('State Codes'!$E$7:$E$70,MATCH(INDEX('State Codes'!$C$7:$C$70,MATCH('County Climates'!B328,'State Codes'!$D$7:$D$70,0),1),'State Codes'!$C$7:$C$70,0),1)</f>
        <v>East North Central Division</v>
      </c>
      <c r="F328">
        <f>INDEX('CBECS_Table B5'!$C$6:$K$6,1,MATCH('County Climates'!E328,'CBECS_Table B5'!$C$1:$K$1,0))</f>
        <v>12742</v>
      </c>
    </row>
    <row r="329" spans="1:6" x14ac:dyDescent="0.25">
      <c r="A329" t="s">
        <v>542</v>
      </c>
      <c r="B329" t="s">
        <v>543</v>
      </c>
      <c r="C329" t="s">
        <v>545</v>
      </c>
      <c r="D329" t="s">
        <v>228</v>
      </c>
      <c r="E329" t="str">
        <f>INDEX('State Codes'!$E$7:$E$70,MATCH(INDEX('State Codes'!$C$7:$C$70,MATCH('County Climates'!B329,'State Codes'!$D$7:$D$70,0),1),'State Codes'!$C$7:$C$70,0),1)</f>
        <v>East North Central Division</v>
      </c>
      <c r="F329">
        <f>INDEX('CBECS_Table B5'!$C$6:$K$6,1,MATCH('County Climates'!E329,'CBECS_Table B5'!$C$1:$K$1,0))</f>
        <v>12742</v>
      </c>
    </row>
    <row r="330" spans="1:6" x14ac:dyDescent="0.25">
      <c r="A330" t="s">
        <v>542</v>
      </c>
      <c r="B330" t="s">
        <v>543</v>
      </c>
      <c r="C330" t="s">
        <v>546</v>
      </c>
      <c r="D330" t="s">
        <v>247</v>
      </c>
      <c r="E330" t="str">
        <f>INDEX('State Codes'!$E$7:$E$70,MATCH(INDEX('State Codes'!$C$7:$C$70,MATCH('County Climates'!B330,'State Codes'!$D$7:$D$70,0),1),'State Codes'!$C$7:$C$70,0),1)</f>
        <v>East North Central Division</v>
      </c>
      <c r="F330">
        <f>INDEX('CBECS_Table B5'!$C$6:$K$6,1,MATCH('County Climates'!E330,'CBECS_Table B5'!$C$1:$K$1,0))</f>
        <v>12742</v>
      </c>
    </row>
    <row r="331" spans="1:6" x14ac:dyDescent="0.25">
      <c r="A331" t="s">
        <v>542</v>
      </c>
      <c r="B331" t="s">
        <v>543</v>
      </c>
      <c r="C331" t="s">
        <v>547</v>
      </c>
      <c r="D331" t="s">
        <v>228</v>
      </c>
      <c r="E331" t="str">
        <f>INDEX('State Codes'!$E$7:$E$70,MATCH(INDEX('State Codes'!$C$7:$C$70,MATCH('County Climates'!B331,'State Codes'!$D$7:$D$70,0),1),'State Codes'!$C$7:$C$70,0),1)</f>
        <v>East North Central Division</v>
      </c>
      <c r="F331">
        <f>INDEX('CBECS_Table B5'!$C$6:$K$6,1,MATCH('County Climates'!E331,'CBECS_Table B5'!$C$1:$K$1,0))</f>
        <v>12742</v>
      </c>
    </row>
    <row r="332" spans="1:6" x14ac:dyDescent="0.25">
      <c r="A332" t="s">
        <v>542</v>
      </c>
      <c r="B332" t="s">
        <v>543</v>
      </c>
      <c r="C332" t="s">
        <v>548</v>
      </c>
      <c r="D332" t="s">
        <v>228</v>
      </c>
      <c r="E332" t="str">
        <f>INDEX('State Codes'!$E$7:$E$70,MATCH(INDEX('State Codes'!$C$7:$C$70,MATCH('County Climates'!B332,'State Codes'!$D$7:$D$70,0),1),'State Codes'!$C$7:$C$70,0),1)</f>
        <v>East North Central Division</v>
      </c>
      <c r="F332">
        <f>INDEX('CBECS_Table B5'!$C$6:$K$6,1,MATCH('County Climates'!E332,'CBECS_Table B5'!$C$1:$K$1,0))</f>
        <v>12742</v>
      </c>
    </row>
    <row r="333" spans="1:6" x14ac:dyDescent="0.25">
      <c r="A333" t="s">
        <v>542</v>
      </c>
      <c r="B333" t="s">
        <v>543</v>
      </c>
      <c r="C333" t="s">
        <v>549</v>
      </c>
      <c r="D333" t="s">
        <v>228</v>
      </c>
      <c r="E333" t="str">
        <f>INDEX('State Codes'!$E$7:$E$70,MATCH(INDEX('State Codes'!$C$7:$C$70,MATCH('County Climates'!B333,'State Codes'!$D$7:$D$70,0),1),'State Codes'!$C$7:$C$70,0),1)</f>
        <v>East North Central Division</v>
      </c>
      <c r="F333">
        <f>INDEX('CBECS_Table B5'!$C$6:$K$6,1,MATCH('County Climates'!E333,'CBECS_Table B5'!$C$1:$K$1,0))</f>
        <v>12742</v>
      </c>
    </row>
    <row r="334" spans="1:6" x14ac:dyDescent="0.25">
      <c r="A334" t="s">
        <v>542</v>
      </c>
      <c r="B334" t="s">
        <v>543</v>
      </c>
      <c r="C334" t="s">
        <v>550</v>
      </c>
      <c r="D334" t="s">
        <v>228</v>
      </c>
      <c r="E334" t="str">
        <f>INDEX('State Codes'!$E$7:$E$70,MATCH(INDEX('State Codes'!$C$7:$C$70,MATCH('County Climates'!B334,'State Codes'!$D$7:$D$70,0),1),'State Codes'!$C$7:$C$70,0),1)</f>
        <v>East North Central Division</v>
      </c>
      <c r="F334">
        <f>INDEX('CBECS_Table B5'!$C$6:$K$6,1,MATCH('County Climates'!E334,'CBECS_Table B5'!$C$1:$K$1,0))</f>
        <v>12742</v>
      </c>
    </row>
    <row r="335" spans="1:6" x14ac:dyDescent="0.25">
      <c r="A335" t="s">
        <v>542</v>
      </c>
      <c r="B335" t="s">
        <v>543</v>
      </c>
      <c r="C335" t="s">
        <v>551</v>
      </c>
      <c r="D335" t="s">
        <v>228</v>
      </c>
      <c r="E335" t="str">
        <f>INDEX('State Codes'!$E$7:$E$70,MATCH(INDEX('State Codes'!$C$7:$C$70,MATCH('County Climates'!B335,'State Codes'!$D$7:$D$70,0),1),'State Codes'!$C$7:$C$70,0),1)</f>
        <v>East North Central Division</v>
      </c>
      <c r="F335">
        <f>INDEX('CBECS_Table B5'!$C$6:$K$6,1,MATCH('County Climates'!E335,'CBECS_Table B5'!$C$1:$K$1,0))</f>
        <v>12742</v>
      </c>
    </row>
    <row r="336" spans="1:6" x14ac:dyDescent="0.25">
      <c r="A336" t="s">
        <v>542</v>
      </c>
      <c r="B336" t="s">
        <v>543</v>
      </c>
      <c r="C336" t="s">
        <v>293</v>
      </c>
      <c r="D336" t="s">
        <v>247</v>
      </c>
      <c r="E336" t="str">
        <f>INDEX('State Codes'!$E$7:$E$70,MATCH(INDEX('State Codes'!$C$7:$C$70,MATCH('County Climates'!B336,'State Codes'!$D$7:$D$70,0),1),'State Codes'!$C$7:$C$70,0),1)</f>
        <v>East North Central Division</v>
      </c>
      <c r="F336">
        <f>INDEX('CBECS_Table B5'!$C$6:$K$6,1,MATCH('County Climates'!E336,'CBECS_Table B5'!$C$1:$K$1,0))</f>
        <v>12742</v>
      </c>
    </row>
    <row r="337" spans="1:6" x14ac:dyDescent="0.25">
      <c r="A337" t="s">
        <v>542</v>
      </c>
      <c r="B337" t="s">
        <v>543</v>
      </c>
      <c r="C337" t="s">
        <v>294</v>
      </c>
      <c r="D337" t="s">
        <v>247</v>
      </c>
      <c r="E337" t="str">
        <f>INDEX('State Codes'!$E$7:$E$70,MATCH(INDEX('State Codes'!$C$7:$C$70,MATCH('County Climates'!B337,'State Codes'!$D$7:$D$70,0),1),'State Codes'!$C$7:$C$70,0),1)</f>
        <v>East North Central Division</v>
      </c>
      <c r="F337">
        <f>INDEX('CBECS_Table B5'!$C$6:$K$6,1,MATCH('County Climates'!E337,'CBECS_Table B5'!$C$1:$K$1,0))</f>
        <v>12742</v>
      </c>
    </row>
    <row r="338" spans="1:6" x14ac:dyDescent="0.25">
      <c r="A338" t="s">
        <v>542</v>
      </c>
      <c r="B338" t="s">
        <v>543</v>
      </c>
      <c r="C338" t="s">
        <v>295</v>
      </c>
      <c r="D338" t="s">
        <v>228</v>
      </c>
      <c r="E338" t="str">
        <f>INDEX('State Codes'!$E$7:$E$70,MATCH(INDEX('State Codes'!$C$7:$C$70,MATCH('County Climates'!B338,'State Codes'!$D$7:$D$70,0),1),'State Codes'!$C$7:$C$70,0),1)</f>
        <v>East North Central Division</v>
      </c>
      <c r="F338">
        <f>INDEX('CBECS_Table B5'!$C$6:$K$6,1,MATCH('County Climates'!E338,'CBECS_Table B5'!$C$1:$K$1,0))</f>
        <v>12742</v>
      </c>
    </row>
    <row r="339" spans="1:6" x14ac:dyDescent="0.25">
      <c r="A339" t="s">
        <v>542</v>
      </c>
      <c r="B339" t="s">
        <v>543</v>
      </c>
      <c r="C339" t="s">
        <v>552</v>
      </c>
      <c r="D339" t="s">
        <v>228</v>
      </c>
      <c r="E339" t="str">
        <f>INDEX('State Codes'!$E$7:$E$70,MATCH(INDEX('State Codes'!$C$7:$C$70,MATCH('County Climates'!B339,'State Codes'!$D$7:$D$70,0),1),'State Codes'!$C$7:$C$70,0),1)</f>
        <v>East North Central Division</v>
      </c>
      <c r="F339">
        <f>INDEX('CBECS_Table B5'!$C$6:$K$6,1,MATCH('County Climates'!E339,'CBECS_Table B5'!$C$1:$K$1,0))</f>
        <v>12742</v>
      </c>
    </row>
    <row r="340" spans="1:6" x14ac:dyDescent="0.25">
      <c r="A340" t="s">
        <v>542</v>
      </c>
      <c r="B340" t="s">
        <v>543</v>
      </c>
      <c r="C340" t="s">
        <v>553</v>
      </c>
      <c r="D340" t="s">
        <v>228</v>
      </c>
      <c r="E340" t="str">
        <f>INDEX('State Codes'!$E$7:$E$70,MATCH(INDEX('State Codes'!$C$7:$C$70,MATCH('County Climates'!B340,'State Codes'!$D$7:$D$70,0),1),'State Codes'!$C$7:$C$70,0),1)</f>
        <v>East North Central Division</v>
      </c>
      <c r="F340">
        <f>INDEX('CBECS_Table B5'!$C$6:$K$6,1,MATCH('County Climates'!E340,'CBECS_Table B5'!$C$1:$K$1,0))</f>
        <v>12742</v>
      </c>
    </row>
    <row r="341" spans="1:6" x14ac:dyDescent="0.25">
      <c r="A341" t="s">
        <v>542</v>
      </c>
      <c r="B341" t="s">
        <v>543</v>
      </c>
      <c r="C341" t="s">
        <v>554</v>
      </c>
      <c r="D341" t="s">
        <v>228</v>
      </c>
      <c r="E341" t="str">
        <f>INDEX('State Codes'!$E$7:$E$70,MATCH(INDEX('State Codes'!$C$7:$C$70,MATCH('County Climates'!B341,'State Codes'!$D$7:$D$70,0),1),'State Codes'!$C$7:$C$70,0),1)</f>
        <v>East North Central Division</v>
      </c>
      <c r="F341">
        <f>INDEX('CBECS_Table B5'!$C$6:$K$6,1,MATCH('County Climates'!E341,'CBECS_Table B5'!$C$1:$K$1,0))</f>
        <v>12742</v>
      </c>
    </row>
    <row r="342" spans="1:6" x14ac:dyDescent="0.25">
      <c r="A342" t="s">
        <v>542</v>
      </c>
      <c r="B342" t="s">
        <v>543</v>
      </c>
      <c r="C342" t="s">
        <v>296</v>
      </c>
      <c r="D342" t="s">
        <v>247</v>
      </c>
      <c r="E342" t="str">
        <f>INDEX('State Codes'!$E$7:$E$70,MATCH(INDEX('State Codes'!$C$7:$C$70,MATCH('County Climates'!B342,'State Codes'!$D$7:$D$70,0),1),'State Codes'!$C$7:$C$70,0),1)</f>
        <v>East North Central Division</v>
      </c>
      <c r="F342">
        <f>INDEX('CBECS_Table B5'!$C$6:$K$6,1,MATCH('County Climates'!E342,'CBECS_Table B5'!$C$1:$K$1,0))</f>
        <v>12742</v>
      </c>
    </row>
    <row r="343" spans="1:6" x14ac:dyDescent="0.25">
      <c r="A343" t="s">
        <v>542</v>
      </c>
      <c r="B343" t="s">
        <v>543</v>
      </c>
      <c r="C343" t="s">
        <v>555</v>
      </c>
      <c r="D343" t="s">
        <v>228</v>
      </c>
      <c r="E343" t="str">
        <f>INDEX('State Codes'!$E$7:$E$70,MATCH(INDEX('State Codes'!$C$7:$C$70,MATCH('County Climates'!B343,'State Codes'!$D$7:$D$70,0),1),'State Codes'!$C$7:$C$70,0),1)</f>
        <v>East North Central Division</v>
      </c>
      <c r="F343">
        <f>INDEX('CBECS_Table B5'!$C$6:$K$6,1,MATCH('County Climates'!E343,'CBECS_Table B5'!$C$1:$K$1,0))</f>
        <v>12742</v>
      </c>
    </row>
    <row r="344" spans="1:6" x14ac:dyDescent="0.25">
      <c r="A344" t="s">
        <v>542</v>
      </c>
      <c r="B344" t="s">
        <v>543</v>
      </c>
      <c r="C344" t="s">
        <v>298</v>
      </c>
      <c r="D344" t="s">
        <v>228</v>
      </c>
      <c r="E344" t="str">
        <f>INDEX('State Codes'!$E$7:$E$70,MATCH(INDEX('State Codes'!$C$7:$C$70,MATCH('County Climates'!B344,'State Codes'!$D$7:$D$70,0),1),'State Codes'!$C$7:$C$70,0),1)</f>
        <v>East North Central Division</v>
      </c>
      <c r="F344">
        <f>INDEX('CBECS_Table B5'!$C$6:$K$6,1,MATCH('County Climates'!E344,'CBECS_Table B5'!$C$1:$K$1,0))</f>
        <v>12742</v>
      </c>
    </row>
    <row r="345" spans="1:6" x14ac:dyDescent="0.25">
      <c r="A345" t="s">
        <v>542</v>
      </c>
      <c r="B345" t="s">
        <v>543</v>
      </c>
      <c r="C345" t="s">
        <v>336</v>
      </c>
      <c r="D345" t="s">
        <v>247</v>
      </c>
      <c r="E345" t="str">
        <f>INDEX('State Codes'!$E$7:$E$70,MATCH(INDEX('State Codes'!$C$7:$C$70,MATCH('County Climates'!B345,'State Codes'!$D$7:$D$70,0),1),'State Codes'!$C$7:$C$70,0),1)</f>
        <v>East North Central Division</v>
      </c>
      <c r="F345">
        <f>INDEX('CBECS_Table B5'!$C$6:$K$6,1,MATCH('County Climates'!E345,'CBECS_Table B5'!$C$1:$K$1,0))</f>
        <v>12742</v>
      </c>
    </row>
    <row r="346" spans="1:6" x14ac:dyDescent="0.25">
      <c r="A346" t="s">
        <v>542</v>
      </c>
      <c r="B346" t="s">
        <v>543</v>
      </c>
      <c r="C346" t="s">
        <v>338</v>
      </c>
      <c r="D346" t="s">
        <v>247</v>
      </c>
      <c r="E346" t="str">
        <f>INDEX('State Codes'!$E$7:$E$70,MATCH(INDEX('State Codes'!$C$7:$C$70,MATCH('County Climates'!B346,'State Codes'!$D$7:$D$70,0),1),'State Codes'!$C$7:$C$70,0),1)</f>
        <v>East North Central Division</v>
      </c>
      <c r="F346">
        <f>INDEX('CBECS_Table B5'!$C$6:$K$6,1,MATCH('County Climates'!E346,'CBECS_Table B5'!$C$1:$K$1,0))</f>
        <v>12742</v>
      </c>
    </row>
    <row r="347" spans="1:6" x14ac:dyDescent="0.25">
      <c r="A347" t="s">
        <v>542</v>
      </c>
      <c r="B347" t="s">
        <v>543</v>
      </c>
      <c r="C347" t="s">
        <v>556</v>
      </c>
      <c r="D347" t="s">
        <v>228</v>
      </c>
      <c r="E347" t="str">
        <f>INDEX('State Codes'!$E$7:$E$70,MATCH(INDEX('State Codes'!$C$7:$C$70,MATCH('County Climates'!B347,'State Codes'!$D$7:$D$70,0),1),'State Codes'!$C$7:$C$70,0),1)</f>
        <v>East North Central Division</v>
      </c>
      <c r="F347">
        <f>INDEX('CBECS_Table B5'!$C$6:$K$6,1,MATCH('County Climates'!E347,'CBECS_Table B5'!$C$1:$K$1,0))</f>
        <v>12742</v>
      </c>
    </row>
    <row r="348" spans="1:6" x14ac:dyDescent="0.25">
      <c r="A348" t="s">
        <v>542</v>
      </c>
      <c r="B348" t="s">
        <v>543</v>
      </c>
      <c r="C348" t="s">
        <v>299</v>
      </c>
      <c r="D348" t="s">
        <v>247</v>
      </c>
      <c r="E348" t="str">
        <f>INDEX('State Codes'!$E$7:$E$70,MATCH(INDEX('State Codes'!$C$7:$C$70,MATCH('County Climates'!B348,'State Codes'!$D$7:$D$70,0),1),'State Codes'!$C$7:$C$70,0),1)</f>
        <v>East North Central Division</v>
      </c>
      <c r="F348">
        <f>INDEX('CBECS_Table B5'!$C$6:$K$6,1,MATCH('County Climates'!E348,'CBECS_Table B5'!$C$1:$K$1,0))</f>
        <v>12742</v>
      </c>
    </row>
    <row r="349" spans="1:6" x14ac:dyDescent="0.25">
      <c r="A349" t="s">
        <v>542</v>
      </c>
      <c r="B349" t="s">
        <v>543</v>
      </c>
      <c r="C349" t="s">
        <v>557</v>
      </c>
      <c r="D349" t="s">
        <v>247</v>
      </c>
      <c r="E349" t="str">
        <f>INDEX('State Codes'!$E$7:$E$70,MATCH(INDEX('State Codes'!$C$7:$C$70,MATCH('County Climates'!B349,'State Codes'!$D$7:$D$70,0),1),'State Codes'!$C$7:$C$70,0),1)</f>
        <v>East North Central Division</v>
      </c>
      <c r="F349">
        <f>INDEX('CBECS_Table B5'!$C$6:$K$6,1,MATCH('County Climates'!E349,'CBECS_Table B5'!$C$1:$K$1,0))</f>
        <v>12742</v>
      </c>
    </row>
    <row r="350" spans="1:6" x14ac:dyDescent="0.25">
      <c r="A350" t="s">
        <v>542</v>
      </c>
      <c r="B350" t="s">
        <v>543</v>
      </c>
      <c r="C350" t="s">
        <v>558</v>
      </c>
      <c r="D350" t="s">
        <v>228</v>
      </c>
      <c r="E350" t="str">
        <f>INDEX('State Codes'!$E$7:$E$70,MATCH(INDEX('State Codes'!$C$7:$C$70,MATCH('County Climates'!B350,'State Codes'!$D$7:$D$70,0),1),'State Codes'!$C$7:$C$70,0),1)</f>
        <v>East North Central Division</v>
      </c>
      <c r="F350">
        <f>INDEX('CBECS_Table B5'!$C$6:$K$6,1,MATCH('County Climates'!E350,'CBECS_Table B5'!$C$1:$K$1,0))</f>
        <v>12742</v>
      </c>
    </row>
    <row r="351" spans="1:6" x14ac:dyDescent="0.25">
      <c r="A351" t="s">
        <v>542</v>
      </c>
      <c r="B351" t="s">
        <v>543</v>
      </c>
      <c r="C351" t="s">
        <v>339</v>
      </c>
      <c r="D351" t="s">
        <v>247</v>
      </c>
      <c r="E351" t="str">
        <f>INDEX('State Codes'!$E$7:$E$70,MATCH(INDEX('State Codes'!$C$7:$C$70,MATCH('County Climates'!B351,'State Codes'!$D$7:$D$70,0),1),'State Codes'!$C$7:$C$70,0),1)</f>
        <v>East North Central Division</v>
      </c>
      <c r="F351">
        <f>INDEX('CBECS_Table B5'!$C$6:$K$6,1,MATCH('County Climates'!E351,'CBECS_Table B5'!$C$1:$K$1,0))</f>
        <v>12742</v>
      </c>
    </row>
    <row r="352" spans="1:6" x14ac:dyDescent="0.25">
      <c r="A352" t="s">
        <v>542</v>
      </c>
      <c r="B352" t="s">
        <v>543</v>
      </c>
      <c r="C352" t="s">
        <v>559</v>
      </c>
      <c r="D352" t="s">
        <v>228</v>
      </c>
      <c r="E352" t="str">
        <f>INDEX('State Codes'!$E$7:$E$70,MATCH(INDEX('State Codes'!$C$7:$C$70,MATCH('County Climates'!B352,'State Codes'!$D$7:$D$70,0),1),'State Codes'!$C$7:$C$70,0),1)</f>
        <v>East North Central Division</v>
      </c>
      <c r="F352">
        <f>INDEX('CBECS_Table B5'!$C$6:$K$6,1,MATCH('County Climates'!E352,'CBECS_Table B5'!$C$1:$K$1,0))</f>
        <v>12742</v>
      </c>
    </row>
    <row r="353" spans="1:6" x14ac:dyDescent="0.25">
      <c r="A353" t="s">
        <v>542</v>
      </c>
      <c r="B353" t="s">
        <v>543</v>
      </c>
      <c r="C353" t="s">
        <v>560</v>
      </c>
      <c r="D353" t="s">
        <v>228</v>
      </c>
      <c r="E353" t="str">
        <f>INDEX('State Codes'!$E$7:$E$70,MATCH(INDEX('State Codes'!$C$7:$C$70,MATCH('County Climates'!B353,'State Codes'!$D$7:$D$70,0),1),'State Codes'!$C$7:$C$70,0),1)</f>
        <v>East North Central Division</v>
      </c>
      <c r="F353">
        <f>INDEX('CBECS_Table B5'!$C$6:$K$6,1,MATCH('County Climates'!E353,'CBECS_Table B5'!$C$1:$K$1,0))</f>
        <v>12742</v>
      </c>
    </row>
    <row r="354" spans="1:6" x14ac:dyDescent="0.25">
      <c r="A354" t="s">
        <v>542</v>
      </c>
      <c r="B354" t="s">
        <v>543</v>
      </c>
      <c r="C354" t="s">
        <v>340</v>
      </c>
      <c r="D354" t="s">
        <v>228</v>
      </c>
      <c r="E354" t="str">
        <f>INDEX('State Codes'!$E$7:$E$70,MATCH(INDEX('State Codes'!$C$7:$C$70,MATCH('County Climates'!B354,'State Codes'!$D$7:$D$70,0),1),'State Codes'!$C$7:$C$70,0),1)</f>
        <v>East North Central Division</v>
      </c>
      <c r="F354">
        <f>INDEX('CBECS_Table B5'!$C$6:$K$6,1,MATCH('County Climates'!E354,'CBECS_Table B5'!$C$1:$K$1,0))</f>
        <v>12742</v>
      </c>
    </row>
    <row r="355" spans="1:6" x14ac:dyDescent="0.25">
      <c r="A355" t="s">
        <v>542</v>
      </c>
      <c r="B355" t="s">
        <v>543</v>
      </c>
      <c r="C355" t="s">
        <v>301</v>
      </c>
      <c r="D355" t="s">
        <v>247</v>
      </c>
      <c r="E355" t="str">
        <f>INDEX('State Codes'!$E$7:$E$70,MATCH(INDEX('State Codes'!$C$7:$C$70,MATCH('County Climates'!B355,'State Codes'!$D$7:$D$70,0),1),'State Codes'!$C$7:$C$70,0),1)</f>
        <v>East North Central Division</v>
      </c>
      <c r="F355">
        <f>INDEX('CBECS_Table B5'!$C$6:$K$6,1,MATCH('County Climates'!E355,'CBECS_Table B5'!$C$1:$K$1,0))</f>
        <v>12742</v>
      </c>
    </row>
    <row r="356" spans="1:6" x14ac:dyDescent="0.25">
      <c r="A356" t="s">
        <v>542</v>
      </c>
      <c r="B356" t="s">
        <v>543</v>
      </c>
      <c r="C356" t="s">
        <v>302</v>
      </c>
      <c r="D356" t="s">
        <v>247</v>
      </c>
      <c r="E356" t="str">
        <f>INDEX('State Codes'!$E$7:$E$70,MATCH(INDEX('State Codes'!$C$7:$C$70,MATCH('County Climates'!B356,'State Codes'!$D$7:$D$70,0),1),'State Codes'!$C$7:$C$70,0),1)</f>
        <v>East North Central Division</v>
      </c>
      <c r="F356">
        <f>INDEX('CBECS_Table B5'!$C$6:$K$6,1,MATCH('County Climates'!E356,'CBECS_Table B5'!$C$1:$K$1,0))</f>
        <v>12742</v>
      </c>
    </row>
    <row r="357" spans="1:6" x14ac:dyDescent="0.25">
      <c r="A357" t="s">
        <v>542</v>
      </c>
      <c r="B357" t="s">
        <v>543</v>
      </c>
      <c r="C357" t="s">
        <v>561</v>
      </c>
      <c r="D357" t="s">
        <v>228</v>
      </c>
      <c r="E357" t="str">
        <f>INDEX('State Codes'!$E$7:$E$70,MATCH(INDEX('State Codes'!$C$7:$C$70,MATCH('County Climates'!B357,'State Codes'!$D$7:$D$70,0),1),'State Codes'!$C$7:$C$70,0),1)</f>
        <v>East North Central Division</v>
      </c>
      <c r="F357">
        <f>INDEX('CBECS_Table B5'!$C$6:$K$6,1,MATCH('County Climates'!E357,'CBECS_Table B5'!$C$1:$K$1,0))</f>
        <v>12742</v>
      </c>
    </row>
    <row r="358" spans="1:6" x14ac:dyDescent="0.25">
      <c r="A358" t="s">
        <v>542</v>
      </c>
      <c r="B358" t="s">
        <v>543</v>
      </c>
      <c r="C358" t="s">
        <v>562</v>
      </c>
      <c r="D358" t="s">
        <v>228</v>
      </c>
      <c r="E358" t="str">
        <f>INDEX('State Codes'!$E$7:$E$70,MATCH(INDEX('State Codes'!$C$7:$C$70,MATCH('County Climates'!B358,'State Codes'!$D$7:$D$70,0),1),'State Codes'!$C$7:$C$70,0),1)</f>
        <v>East North Central Division</v>
      </c>
      <c r="F358">
        <f>INDEX('CBECS_Table B5'!$C$6:$K$6,1,MATCH('County Climates'!E358,'CBECS_Table B5'!$C$1:$K$1,0))</f>
        <v>12742</v>
      </c>
    </row>
    <row r="359" spans="1:6" x14ac:dyDescent="0.25">
      <c r="A359" t="s">
        <v>542</v>
      </c>
      <c r="B359" t="s">
        <v>543</v>
      </c>
      <c r="C359" t="s">
        <v>563</v>
      </c>
      <c r="D359" t="s">
        <v>228</v>
      </c>
      <c r="E359" t="str">
        <f>INDEX('State Codes'!$E$7:$E$70,MATCH(INDEX('State Codes'!$C$7:$C$70,MATCH('County Climates'!B359,'State Codes'!$D$7:$D$70,0),1),'State Codes'!$C$7:$C$70,0),1)</f>
        <v>East North Central Division</v>
      </c>
      <c r="F359">
        <f>INDEX('CBECS_Table B5'!$C$6:$K$6,1,MATCH('County Climates'!E359,'CBECS_Table B5'!$C$1:$K$1,0))</f>
        <v>12742</v>
      </c>
    </row>
    <row r="360" spans="1:6" x14ac:dyDescent="0.25">
      <c r="A360" t="s">
        <v>542</v>
      </c>
      <c r="B360" t="s">
        <v>543</v>
      </c>
      <c r="C360" t="s">
        <v>347</v>
      </c>
      <c r="D360" t="s">
        <v>247</v>
      </c>
      <c r="E360" t="str">
        <f>INDEX('State Codes'!$E$7:$E$70,MATCH(INDEX('State Codes'!$C$7:$C$70,MATCH('County Climates'!B360,'State Codes'!$D$7:$D$70,0),1),'State Codes'!$C$7:$C$70,0),1)</f>
        <v>East North Central Division</v>
      </c>
      <c r="F360">
        <f>INDEX('CBECS_Table B5'!$C$6:$K$6,1,MATCH('County Climates'!E360,'CBECS_Table B5'!$C$1:$K$1,0))</f>
        <v>12742</v>
      </c>
    </row>
    <row r="361" spans="1:6" x14ac:dyDescent="0.25">
      <c r="A361" t="s">
        <v>542</v>
      </c>
      <c r="B361" t="s">
        <v>543</v>
      </c>
      <c r="C361" t="s">
        <v>564</v>
      </c>
      <c r="D361" t="s">
        <v>228</v>
      </c>
      <c r="E361" t="str">
        <f>INDEX('State Codes'!$E$7:$E$70,MATCH(INDEX('State Codes'!$C$7:$C$70,MATCH('County Climates'!B361,'State Codes'!$D$7:$D$70,0),1),'State Codes'!$C$7:$C$70,0),1)</f>
        <v>East North Central Division</v>
      </c>
      <c r="F361">
        <f>INDEX('CBECS_Table B5'!$C$6:$K$6,1,MATCH('County Climates'!E361,'CBECS_Table B5'!$C$1:$K$1,0))</f>
        <v>12742</v>
      </c>
    </row>
    <row r="362" spans="1:6" x14ac:dyDescent="0.25">
      <c r="A362" t="s">
        <v>542</v>
      </c>
      <c r="B362" t="s">
        <v>543</v>
      </c>
      <c r="C362" t="s">
        <v>565</v>
      </c>
      <c r="D362" t="s">
        <v>247</v>
      </c>
      <c r="E362" t="str">
        <f>INDEX('State Codes'!$E$7:$E$70,MATCH(INDEX('State Codes'!$C$7:$C$70,MATCH('County Climates'!B362,'State Codes'!$D$7:$D$70,0),1),'State Codes'!$C$7:$C$70,0),1)</f>
        <v>East North Central Division</v>
      </c>
      <c r="F362">
        <f>INDEX('CBECS_Table B5'!$C$6:$K$6,1,MATCH('County Climates'!E362,'CBECS_Table B5'!$C$1:$K$1,0))</f>
        <v>12742</v>
      </c>
    </row>
    <row r="363" spans="1:6" x14ac:dyDescent="0.25">
      <c r="A363" t="s">
        <v>542</v>
      </c>
      <c r="B363" t="s">
        <v>543</v>
      </c>
      <c r="C363" t="s">
        <v>497</v>
      </c>
      <c r="D363" t="s">
        <v>228</v>
      </c>
      <c r="E363" t="str">
        <f>INDEX('State Codes'!$E$7:$E$70,MATCH(INDEX('State Codes'!$C$7:$C$70,MATCH('County Climates'!B363,'State Codes'!$D$7:$D$70,0),1),'State Codes'!$C$7:$C$70,0),1)</f>
        <v>East North Central Division</v>
      </c>
      <c r="F363">
        <f>INDEX('CBECS_Table B5'!$C$6:$K$6,1,MATCH('County Climates'!E363,'CBECS_Table B5'!$C$1:$K$1,0))</f>
        <v>12742</v>
      </c>
    </row>
    <row r="364" spans="1:6" x14ac:dyDescent="0.25">
      <c r="A364" t="s">
        <v>542</v>
      </c>
      <c r="B364" t="s">
        <v>543</v>
      </c>
      <c r="C364" t="s">
        <v>308</v>
      </c>
      <c r="D364" t="s">
        <v>247</v>
      </c>
      <c r="E364" t="str">
        <f>INDEX('State Codes'!$E$7:$E$70,MATCH(INDEX('State Codes'!$C$7:$C$70,MATCH('County Climates'!B364,'State Codes'!$D$7:$D$70,0),1),'State Codes'!$C$7:$C$70,0),1)</f>
        <v>East North Central Division</v>
      </c>
      <c r="F364">
        <f>INDEX('CBECS_Table B5'!$C$6:$K$6,1,MATCH('County Climates'!E364,'CBECS_Table B5'!$C$1:$K$1,0))</f>
        <v>12742</v>
      </c>
    </row>
    <row r="365" spans="1:6" x14ac:dyDescent="0.25">
      <c r="A365" t="s">
        <v>542</v>
      </c>
      <c r="B365" t="s">
        <v>543</v>
      </c>
      <c r="C365" t="s">
        <v>498</v>
      </c>
      <c r="D365" t="s">
        <v>247</v>
      </c>
      <c r="E365" t="str">
        <f>INDEX('State Codes'!$E$7:$E$70,MATCH(INDEX('State Codes'!$C$7:$C$70,MATCH('County Climates'!B365,'State Codes'!$D$7:$D$70,0),1),'State Codes'!$C$7:$C$70,0),1)</f>
        <v>East North Central Division</v>
      </c>
      <c r="F365">
        <f>INDEX('CBECS_Table B5'!$C$6:$K$6,1,MATCH('County Climates'!E365,'CBECS_Table B5'!$C$1:$K$1,0))</f>
        <v>12742</v>
      </c>
    </row>
    <row r="366" spans="1:6" x14ac:dyDescent="0.25">
      <c r="A366" t="s">
        <v>542</v>
      </c>
      <c r="B366" t="s">
        <v>543</v>
      </c>
      <c r="C366" t="s">
        <v>349</v>
      </c>
      <c r="D366" t="s">
        <v>247</v>
      </c>
      <c r="E366" t="str">
        <f>INDEX('State Codes'!$E$7:$E$70,MATCH(INDEX('State Codes'!$C$7:$C$70,MATCH('County Climates'!B366,'State Codes'!$D$7:$D$70,0),1),'State Codes'!$C$7:$C$70,0),1)</f>
        <v>East North Central Division</v>
      </c>
      <c r="F366">
        <f>INDEX('CBECS_Table B5'!$C$6:$K$6,1,MATCH('County Climates'!E366,'CBECS_Table B5'!$C$1:$K$1,0))</f>
        <v>12742</v>
      </c>
    </row>
    <row r="367" spans="1:6" x14ac:dyDescent="0.25">
      <c r="A367" t="s">
        <v>542</v>
      </c>
      <c r="B367" t="s">
        <v>543</v>
      </c>
      <c r="C367" t="s">
        <v>566</v>
      </c>
      <c r="D367" t="s">
        <v>228</v>
      </c>
      <c r="E367" t="str">
        <f>INDEX('State Codes'!$E$7:$E$70,MATCH(INDEX('State Codes'!$C$7:$C$70,MATCH('County Climates'!B367,'State Codes'!$D$7:$D$70,0),1),'State Codes'!$C$7:$C$70,0),1)</f>
        <v>East North Central Division</v>
      </c>
      <c r="F367">
        <f>INDEX('CBECS_Table B5'!$C$6:$K$6,1,MATCH('County Climates'!E367,'CBECS_Table B5'!$C$1:$K$1,0))</f>
        <v>12742</v>
      </c>
    </row>
    <row r="368" spans="1:6" x14ac:dyDescent="0.25">
      <c r="A368" t="s">
        <v>542</v>
      </c>
      <c r="B368" t="s">
        <v>543</v>
      </c>
      <c r="C368" t="s">
        <v>567</v>
      </c>
      <c r="D368" t="s">
        <v>228</v>
      </c>
      <c r="E368" t="str">
        <f>INDEX('State Codes'!$E$7:$E$70,MATCH(INDEX('State Codes'!$C$7:$C$70,MATCH('County Climates'!B368,'State Codes'!$D$7:$D$70,0),1),'State Codes'!$C$7:$C$70,0),1)</f>
        <v>East North Central Division</v>
      </c>
      <c r="F368">
        <f>INDEX('CBECS_Table B5'!$C$6:$K$6,1,MATCH('County Climates'!E368,'CBECS_Table B5'!$C$1:$K$1,0))</f>
        <v>12742</v>
      </c>
    </row>
    <row r="369" spans="1:6" x14ac:dyDescent="0.25">
      <c r="A369" t="s">
        <v>542</v>
      </c>
      <c r="B369" t="s">
        <v>543</v>
      </c>
      <c r="C369" t="s">
        <v>568</v>
      </c>
      <c r="D369" t="s">
        <v>247</v>
      </c>
      <c r="E369" t="str">
        <f>INDEX('State Codes'!$E$7:$E$70,MATCH(INDEX('State Codes'!$C$7:$C$70,MATCH('County Climates'!B369,'State Codes'!$D$7:$D$70,0),1),'State Codes'!$C$7:$C$70,0),1)</f>
        <v>East North Central Division</v>
      </c>
      <c r="F369">
        <f>INDEX('CBECS_Table B5'!$C$6:$K$6,1,MATCH('County Climates'!E369,'CBECS_Table B5'!$C$1:$K$1,0))</f>
        <v>12742</v>
      </c>
    </row>
    <row r="370" spans="1:6" x14ac:dyDescent="0.25">
      <c r="A370" t="s">
        <v>542</v>
      </c>
      <c r="B370" t="s">
        <v>543</v>
      </c>
      <c r="C370" t="s">
        <v>569</v>
      </c>
      <c r="D370" t="s">
        <v>228</v>
      </c>
      <c r="E370" t="str">
        <f>INDEX('State Codes'!$E$7:$E$70,MATCH(INDEX('State Codes'!$C$7:$C$70,MATCH('County Climates'!B370,'State Codes'!$D$7:$D$70,0),1),'State Codes'!$C$7:$C$70,0),1)</f>
        <v>East North Central Division</v>
      </c>
      <c r="F370">
        <f>INDEX('CBECS_Table B5'!$C$6:$K$6,1,MATCH('County Climates'!E370,'CBECS_Table B5'!$C$1:$K$1,0))</f>
        <v>12742</v>
      </c>
    </row>
    <row r="371" spans="1:6" x14ac:dyDescent="0.25">
      <c r="A371" t="s">
        <v>542</v>
      </c>
      <c r="B371" t="s">
        <v>543</v>
      </c>
      <c r="C371" t="s">
        <v>570</v>
      </c>
      <c r="D371" t="s">
        <v>228</v>
      </c>
      <c r="E371" t="str">
        <f>INDEX('State Codes'!$E$7:$E$70,MATCH(INDEX('State Codes'!$C$7:$C$70,MATCH('County Climates'!B371,'State Codes'!$D$7:$D$70,0),1),'State Codes'!$C$7:$C$70,0),1)</f>
        <v>East North Central Division</v>
      </c>
      <c r="F371">
        <f>INDEX('CBECS_Table B5'!$C$6:$K$6,1,MATCH('County Climates'!E371,'CBECS_Table B5'!$C$1:$K$1,0))</f>
        <v>12742</v>
      </c>
    </row>
    <row r="372" spans="1:6" x14ac:dyDescent="0.25">
      <c r="A372" t="s">
        <v>571</v>
      </c>
      <c r="B372" t="s">
        <v>572</v>
      </c>
      <c r="C372" t="s">
        <v>516</v>
      </c>
      <c r="D372" t="s">
        <v>228</v>
      </c>
      <c r="E372" t="str">
        <f>INDEX('State Codes'!$E$7:$E$70,MATCH(INDEX('State Codes'!$C$7:$C$70,MATCH('County Climates'!B372,'State Codes'!$D$7:$D$70,0),1),'State Codes'!$C$7:$C$70,0),1)</f>
        <v>East North Central Division</v>
      </c>
      <c r="F372">
        <f>INDEX('CBECS_Table B5'!$C$6:$K$6,1,MATCH('County Climates'!E372,'CBECS_Table B5'!$C$1:$K$1,0))</f>
        <v>12742</v>
      </c>
    </row>
    <row r="373" spans="1:6" x14ac:dyDescent="0.25">
      <c r="A373" t="s">
        <v>571</v>
      </c>
      <c r="B373" t="s">
        <v>572</v>
      </c>
      <c r="C373" t="s">
        <v>573</v>
      </c>
      <c r="D373" t="s">
        <v>228</v>
      </c>
      <c r="E373" t="str">
        <f>INDEX('State Codes'!$E$7:$E$70,MATCH(INDEX('State Codes'!$C$7:$C$70,MATCH('County Climates'!B373,'State Codes'!$D$7:$D$70,0),1),'State Codes'!$C$7:$C$70,0),1)</f>
        <v>East North Central Division</v>
      </c>
      <c r="F373">
        <f>INDEX('CBECS_Table B5'!$C$6:$K$6,1,MATCH('County Climates'!E373,'CBECS_Table B5'!$C$1:$K$1,0))</f>
        <v>12742</v>
      </c>
    </row>
    <row r="374" spans="1:6" x14ac:dyDescent="0.25">
      <c r="A374" t="s">
        <v>571</v>
      </c>
      <c r="B374" t="s">
        <v>572</v>
      </c>
      <c r="C374" t="s">
        <v>574</v>
      </c>
      <c r="D374" t="s">
        <v>228</v>
      </c>
      <c r="E374" t="str">
        <f>INDEX('State Codes'!$E$7:$E$70,MATCH(INDEX('State Codes'!$C$7:$C$70,MATCH('County Climates'!B374,'State Codes'!$D$7:$D$70,0),1),'State Codes'!$C$7:$C$70,0),1)</f>
        <v>East North Central Division</v>
      </c>
      <c r="F374">
        <f>INDEX('CBECS_Table B5'!$C$6:$K$6,1,MATCH('County Climates'!E374,'CBECS_Table B5'!$C$1:$K$1,0))</f>
        <v>12742</v>
      </c>
    </row>
    <row r="375" spans="1:6" x14ac:dyDescent="0.25">
      <c r="A375" t="s">
        <v>571</v>
      </c>
      <c r="B375" t="s">
        <v>572</v>
      </c>
      <c r="C375" t="s">
        <v>575</v>
      </c>
      <c r="D375" t="s">
        <v>228</v>
      </c>
      <c r="E375" t="str">
        <f>INDEX('State Codes'!$E$7:$E$70,MATCH(INDEX('State Codes'!$C$7:$C$70,MATCH('County Climates'!B375,'State Codes'!$D$7:$D$70,0),1),'State Codes'!$C$7:$C$70,0),1)</f>
        <v>East North Central Division</v>
      </c>
      <c r="F375">
        <f>INDEX('CBECS_Table B5'!$C$6:$K$6,1,MATCH('County Climates'!E375,'CBECS_Table B5'!$C$1:$K$1,0))</f>
        <v>12742</v>
      </c>
    </row>
    <row r="376" spans="1:6" x14ac:dyDescent="0.25">
      <c r="A376" t="s">
        <v>571</v>
      </c>
      <c r="B376" t="s">
        <v>572</v>
      </c>
      <c r="C376" t="s">
        <v>576</v>
      </c>
      <c r="D376" t="s">
        <v>228</v>
      </c>
      <c r="E376" t="str">
        <f>INDEX('State Codes'!$E$7:$E$70,MATCH(INDEX('State Codes'!$C$7:$C$70,MATCH('County Climates'!B376,'State Codes'!$D$7:$D$70,0),1),'State Codes'!$C$7:$C$70,0),1)</f>
        <v>East North Central Division</v>
      </c>
      <c r="F376">
        <f>INDEX('CBECS_Table B5'!$C$6:$K$6,1,MATCH('County Climates'!E376,'CBECS_Table B5'!$C$1:$K$1,0))</f>
        <v>12742</v>
      </c>
    </row>
    <row r="377" spans="1:6" x14ac:dyDescent="0.25">
      <c r="A377" t="s">
        <v>571</v>
      </c>
      <c r="B377" t="s">
        <v>572</v>
      </c>
      <c r="C377" t="s">
        <v>577</v>
      </c>
      <c r="D377" t="s">
        <v>228</v>
      </c>
      <c r="E377" t="str">
        <f>INDEX('State Codes'!$E$7:$E$70,MATCH(INDEX('State Codes'!$C$7:$C$70,MATCH('County Climates'!B377,'State Codes'!$D$7:$D$70,0),1),'State Codes'!$C$7:$C$70,0),1)</f>
        <v>East North Central Division</v>
      </c>
      <c r="F377">
        <f>INDEX('CBECS_Table B5'!$C$6:$K$6,1,MATCH('County Climates'!E377,'CBECS_Table B5'!$C$1:$K$1,0))</f>
        <v>12742</v>
      </c>
    </row>
    <row r="378" spans="1:6" x14ac:dyDescent="0.25">
      <c r="A378" t="s">
        <v>571</v>
      </c>
      <c r="B378" t="s">
        <v>572</v>
      </c>
      <c r="C378" t="s">
        <v>578</v>
      </c>
      <c r="D378" t="s">
        <v>247</v>
      </c>
      <c r="E378" t="str">
        <f>INDEX('State Codes'!$E$7:$E$70,MATCH(INDEX('State Codes'!$C$7:$C$70,MATCH('County Climates'!B378,'State Codes'!$D$7:$D$70,0),1),'State Codes'!$C$7:$C$70,0),1)</f>
        <v>East North Central Division</v>
      </c>
      <c r="F378">
        <f>INDEX('CBECS_Table B5'!$C$6:$K$6,1,MATCH('County Climates'!E378,'CBECS_Table B5'!$C$1:$K$1,0))</f>
        <v>12742</v>
      </c>
    </row>
    <row r="379" spans="1:6" x14ac:dyDescent="0.25">
      <c r="A379" t="s">
        <v>571</v>
      </c>
      <c r="B379" t="s">
        <v>572</v>
      </c>
      <c r="C379" t="s">
        <v>447</v>
      </c>
      <c r="D379" t="s">
        <v>228</v>
      </c>
      <c r="E379" t="str">
        <f>INDEX('State Codes'!$E$7:$E$70,MATCH(INDEX('State Codes'!$C$7:$C$70,MATCH('County Climates'!B379,'State Codes'!$D$7:$D$70,0),1),'State Codes'!$C$7:$C$70,0),1)</f>
        <v>East North Central Division</v>
      </c>
      <c r="F379">
        <f>INDEX('CBECS_Table B5'!$C$6:$K$6,1,MATCH('County Climates'!E379,'CBECS_Table B5'!$C$1:$K$1,0))</f>
        <v>12742</v>
      </c>
    </row>
    <row r="380" spans="1:6" x14ac:dyDescent="0.25">
      <c r="A380" t="s">
        <v>571</v>
      </c>
      <c r="B380" t="s">
        <v>572</v>
      </c>
      <c r="C380" t="s">
        <v>579</v>
      </c>
      <c r="D380" t="s">
        <v>228</v>
      </c>
      <c r="E380" t="str">
        <f>INDEX('State Codes'!$E$7:$E$70,MATCH(INDEX('State Codes'!$C$7:$C$70,MATCH('County Climates'!B380,'State Codes'!$D$7:$D$70,0),1),'State Codes'!$C$7:$C$70,0),1)</f>
        <v>East North Central Division</v>
      </c>
      <c r="F380">
        <f>INDEX('CBECS_Table B5'!$C$6:$K$6,1,MATCH('County Climates'!E380,'CBECS_Table B5'!$C$1:$K$1,0))</f>
        <v>12742</v>
      </c>
    </row>
    <row r="381" spans="1:6" x14ac:dyDescent="0.25">
      <c r="A381" t="s">
        <v>571</v>
      </c>
      <c r="B381" t="s">
        <v>572</v>
      </c>
      <c r="C381" t="s">
        <v>530</v>
      </c>
      <c r="D381" t="s">
        <v>247</v>
      </c>
      <c r="E381" t="str">
        <f>INDEX('State Codes'!$E$7:$E$70,MATCH(INDEX('State Codes'!$C$7:$C$70,MATCH('County Climates'!B381,'State Codes'!$D$7:$D$70,0),1),'State Codes'!$C$7:$C$70,0),1)</f>
        <v>East North Central Division</v>
      </c>
      <c r="F381">
        <f>INDEX('CBECS_Table B5'!$C$6:$K$6,1,MATCH('County Climates'!E381,'CBECS_Table B5'!$C$1:$K$1,0))</f>
        <v>12742</v>
      </c>
    </row>
    <row r="382" spans="1:6" x14ac:dyDescent="0.25">
      <c r="A382" t="s">
        <v>571</v>
      </c>
      <c r="B382" t="s">
        <v>572</v>
      </c>
      <c r="C382" t="s">
        <v>257</v>
      </c>
      <c r="D382" t="s">
        <v>228</v>
      </c>
      <c r="E382" t="str">
        <f>INDEX('State Codes'!$E$7:$E$70,MATCH(INDEX('State Codes'!$C$7:$C$70,MATCH('County Climates'!B382,'State Codes'!$D$7:$D$70,0),1),'State Codes'!$C$7:$C$70,0),1)</f>
        <v>East North Central Division</v>
      </c>
      <c r="F382">
        <f>INDEX('CBECS_Table B5'!$C$6:$K$6,1,MATCH('County Climates'!E382,'CBECS_Table B5'!$C$1:$K$1,0))</f>
        <v>12742</v>
      </c>
    </row>
    <row r="383" spans="1:6" x14ac:dyDescent="0.25">
      <c r="A383" t="s">
        <v>571</v>
      </c>
      <c r="B383" t="s">
        <v>572</v>
      </c>
      <c r="C383" t="s">
        <v>580</v>
      </c>
      <c r="D383" t="s">
        <v>228</v>
      </c>
      <c r="E383" t="str">
        <f>INDEX('State Codes'!$E$7:$E$70,MATCH(INDEX('State Codes'!$C$7:$C$70,MATCH('County Climates'!B383,'State Codes'!$D$7:$D$70,0),1),'State Codes'!$C$7:$C$70,0),1)</f>
        <v>East North Central Division</v>
      </c>
      <c r="F383">
        <f>INDEX('CBECS_Table B5'!$C$6:$K$6,1,MATCH('County Climates'!E383,'CBECS_Table B5'!$C$1:$K$1,0))</f>
        <v>12742</v>
      </c>
    </row>
    <row r="384" spans="1:6" x14ac:dyDescent="0.25">
      <c r="A384" t="s">
        <v>571</v>
      </c>
      <c r="B384" t="s">
        <v>572</v>
      </c>
      <c r="C384" t="s">
        <v>460</v>
      </c>
      <c r="D384" t="s">
        <v>247</v>
      </c>
      <c r="E384" t="str">
        <f>INDEX('State Codes'!$E$7:$E$70,MATCH(INDEX('State Codes'!$C$7:$C$70,MATCH('County Climates'!B384,'State Codes'!$D$7:$D$70,0),1),'State Codes'!$C$7:$C$70,0),1)</f>
        <v>East North Central Division</v>
      </c>
      <c r="F384">
        <f>INDEX('CBECS_Table B5'!$C$6:$K$6,1,MATCH('County Climates'!E384,'CBECS_Table B5'!$C$1:$K$1,0))</f>
        <v>12742</v>
      </c>
    </row>
    <row r="385" spans="1:6" x14ac:dyDescent="0.25">
      <c r="A385" t="s">
        <v>571</v>
      </c>
      <c r="B385" t="s">
        <v>572</v>
      </c>
      <c r="C385" t="s">
        <v>581</v>
      </c>
      <c r="D385" t="s">
        <v>247</v>
      </c>
      <c r="E385" t="str">
        <f>INDEX('State Codes'!$E$7:$E$70,MATCH(INDEX('State Codes'!$C$7:$C$70,MATCH('County Climates'!B385,'State Codes'!$D$7:$D$70,0),1),'State Codes'!$C$7:$C$70,0),1)</f>
        <v>East North Central Division</v>
      </c>
      <c r="F385">
        <f>INDEX('CBECS_Table B5'!$C$6:$K$6,1,MATCH('County Climates'!E385,'CBECS_Table B5'!$C$1:$K$1,0))</f>
        <v>12742</v>
      </c>
    </row>
    <row r="386" spans="1:6" x14ac:dyDescent="0.25">
      <c r="A386" t="s">
        <v>571</v>
      </c>
      <c r="B386" t="s">
        <v>572</v>
      </c>
      <c r="C386" t="s">
        <v>582</v>
      </c>
      <c r="D386" t="s">
        <v>228</v>
      </c>
      <c r="E386" t="str">
        <f>INDEX('State Codes'!$E$7:$E$70,MATCH(INDEX('State Codes'!$C$7:$C$70,MATCH('County Climates'!B386,'State Codes'!$D$7:$D$70,0),1),'State Codes'!$C$7:$C$70,0),1)</f>
        <v>East North Central Division</v>
      </c>
      <c r="F386">
        <f>INDEX('CBECS_Table B5'!$C$6:$K$6,1,MATCH('County Climates'!E386,'CBECS_Table B5'!$C$1:$K$1,0))</f>
        <v>12742</v>
      </c>
    </row>
    <row r="387" spans="1:6" x14ac:dyDescent="0.25">
      <c r="A387" t="s">
        <v>571</v>
      </c>
      <c r="B387" t="s">
        <v>572</v>
      </c>
      <c r="C387" t="s">
        <v>583</v>
      </c>
      <c r="D387" t="s">
        <v>247</v>
      </c>
      <c r="E387" t="str">
        <f>INDEX('State Codes'!$E$7:$E$70,MATCH(INDEX('State Codes'!$C$7:$C$70,MATCH('County Climates'!B387,'State Codes'!$D$7:$D$70,0),1),'State Codes'!$C$7:$C$70,0),1)</f>
        <v>East North Central Division</v>
      </c>
      <c r="F387">
        <f>INDEX('CBECS_Table B5'!$C$6:$K$6,1,MATCH('County Climates'!E387,'CBECS_Table B5'!$C$1:$K$1,0))</f>
        <v>12742</v>
      </c>
    </row>
    <row r="388" spans="1:6" x14ac:dyDescent="0.25">
      <c r="A388" t="s">
        <v>571</v>
      </c>
      <c r="B388" t="s">
        <v>572</v>
      </c>
      <c r="C388" t="s">
        <v>464</v>
      </c>
      <c r="D388" t="s">
        <v>228</v>
      </c>
      <c r="E388" t="str">
        <f>INDEX('State Codes'!$E$7:$E$70,MATCH(INDEX('State Codes'!$C$7:$C$70,MATCH('County Climates'!B388,'State Codes'!$D$7:$D$70,0),1),'State Codes'!$C$7:$C$70,0),1)</f>
        <v>East North Central Division</v>
      </c>
      <c r="F388">
        <f>INDEX('CBECS_Table B5'!$C$6:$K$6,1,MATCH('County Climates'!E388,'CBECS_Table B5'!$C$1:$K$1,0))</f>
        <v>12742</v>
      </c>
    </row>
    <row r="389" spans="1:6" x14ac:dyDescent="0.25">
      <c r="A389" t="s">
        <v>571</v>
      </c>
      <c r="B389" t="s">
        <v>572</v>
      </c>
      <c r="C389" t="s">
        <v>584</v>
      </c>
      <c r="D389" t="s">
        <v>228</v>
      </c>
      <c r="E389" t="str">
        <f>INDEX('State Codes'!$E$7:$E$70,MATCH(INDEX('State Codes'!$C$7:$C$70,MATCH('County Climates'!B389,'State Codes'!$D$7:$D$70,0),1),'State Codes'!$C$7:$C$70,0),1)</f>
        <v>East North Central Division</v>
      </c>
      <c r="F389">
        <f>INDEX('CBECS_Table B5'!$C$6:$K$6,1,MATCH('County Climates'!E389,'CBECS_Table B5'!$C$1:$K$1,0))</f>
        <v>12742</v>
      </c>
    </row>
    <row r="390" spans="1:6" x14ac:dyDescent="0.25">
      <c r="A390" t="s">
        <v>571</v>
      </c>
      <c r="B390" t="s">
        <v>572</v>
      </c>
      <c r="C390" t="s">
        <v>585</v>
      </c>
      <c r="D390" t="s">
        <v>228</v>
      </c>
      <c r="E390" t="str">
        <f>INDEX('State Codes'!$E$7:$E$70,MATCH(INDEX('State Codes'!$C$7:$C$70,MATCH('County Climates'!B390,'State Codes'!$D$7:$D$70,0),1),'State Codes'!$C$7:$C$70,0),1)</f>
        <v>East North Central Division</v>
      </c>
      <c r="F390">
        <f>INDEX('CBECS_Table B5'!$C$6:$K$6,1,MATCH('County Climates'!E390,'CBECS_Table B5'!$C$1:$K$1,0))</f>
        <v>12742</v>
      </c>
    </row>
    <row r="391" spans="1:6" x14ac:dyDescent="0.25">
      <c r="A391" t="s">
        <v>571</v>
      </c>
      <c r="B391" t="s">
        <v>572</v>
      </c>
      <c r="C391" t="s">
        <v>565</v>
      </c>
      <c r="D391" t="s">
        <v>228</v>
      </c>
      <c r="E391" t="str">
        <f>INDEX('State Codes'!$E$7:$E$70,MATCH(INDEX('State Codes'!$C$7:$C$70,MATCH('County Climates'!B391,'State Codes'!$D$7:$D$70,0),1),'State Codes'!$C$7:$C$70,0),1)</f>
        <v>East North Central Division</v>
      </c>
      <c r="F391">
        <f>INDEX('CBECS_Table B5'!$C$6:$K$6,1,MATCH('County Climates'!E391,'CBECS_Table B5'!$C$1:$K$1,0))</f>
        <v>12742</v>
      </c>
    </row>
    <row r="392" spans="1:6" x14ac:dyDescent="0.25">
      <c r="A392" t="s">
        <v>571</v>
      </c>
      <c r="B392" t="s">
        <v>572</v>
      </c>
      <c r="C392" t="s">
        <v>497</v>
      </c>
      <c r="D392" t="s">
        <v>228</v>
      </c>
      <c r="E392" t="str">
        <f>INDEX('State Codes'!$E$7:$E$70,MATCH(INDEX('State Codes'!$C$7:$C$70,MATCH('County Climates'!B392,'State Codes'!$D$7:$D$70,0),1),'State Codes'!$C$7:$C$70,0),1)</f>
        <v>East North Central Division</v>
      </c>
      <c r="F392">
        <f>INDEX('CBECS_Table B5'!$C$6:$K$6,1,MATCH('County Climates'!E392,'CBECS_Table B5'!$C$1:$K$1,0))</f>
        <v>12742</v>
      </c>
    </row>
    <row r="393" spans="1:6" x14ac:dyDescent="0.25">
      <c r="A393" t="s">
        <v>571</v>
      </c>
      <c r="B393" t="s">
        <v>572</v>
      </c>
      <c r="C393" t="s">
        <v>586</v>
      </c>
      <c r="D393" t="s">
        <v>247</v>
      </c>
      <c r="E393" t="str">
        <f>INDEX('State Codes'!$E$7:$E$70,MATCH(INDEX('State Codes'!$C$7:$C$70,MATCH('County Climates'!B393,'State Codes'!$D$7:$D$70,0),1),'State Codes'!$C$7:$C$70,0),1)</f>
        <v>East North Central Division</v>
      </c>
      <c r="F393">
        <f>INDEX('CBECS_Table B5'!$C$6:$K$6,1,MATCH('County Climates'!E393,'CBECS_Table B5'!$C$1:$K$1,0))</f>
        <v>12742</v>
      </c>
    </row>
    <row r="394" spans="1:6" x14ac:dyDescent="0.25">
      <c r="A394" t="s">
        <v>571</v>
      </c>
      <c r="B394" t="s">
        <v>572</v>
      </c>
      <c r="C394" t="s">
        <v>308</v>
      </c>
      <c r="D394" t="s">
        <v>247</v>
      </c>
      <c r="E394" t="str">
        <f>INDEX('State Codes'!$E$7:$E$70,MATCH(INDEX('State Codes'!$C$7:$C$70,MATCH('County Climates'!B394,'State Codes'!$D$7:$D$70,0),1),'State Codes'!$C$7:$C$70,0),1)</f>
        <v>East North Central Division</v>
      </c>
      <c r="F394">
        <f>INDEX('CBECS_Table B5'!$C$6:$K$6,1,MATCH('County Climates'!E394,'CBECS_Table B5'!$C$1:$K$1,0))</f>
        <v>12742</v>
      </c>
    </row>
    <row r="395" spans="1:6" x14ac:dyDescent="0.25">
      <c r="A395" t="s">
        <v>571</v>
      </c>
      <c r="B395" t="s">
        <v>572</v>
      </c>
      <c r="C395" t="s">
        <v>498</v>
      </c>
      <c r="D395" t="s">
        <v>228</v>
      </c>
      <c r="E395" t="str">
        <f>INDEX('State Codes'!$E$7:$E$70,MATCH(INDEX('State Codes'!$C$7:$C$70,MATCH('County Climates'!B395,'State Codes'!$D$7:$D$70,0),1),'State Codes'!$C$7:$C$70,0),1)</f>
        <v>East North Central Division</v>
      </c>
      <c r="F395">
        <f>INDEX('CBECS_Table B5'!$C$6:$K$6,1,MATCH('County Climates'!E395,'CBECS_Table B5'!$C$1:$K$1,0))</f>
        <v>12742</v>
      </c>
    </row>
    <row r="396" spans="1:6" x14ac:dyDescent="0.25">
      <c r="A396" t="s">
        <v>571</v>
      </c>
      <c r="B396" t="s">
        <v>572</v>
      </c>
      <c r="C396" t="s">
        <v>587</v>
      </c>
      <c r="D396" t="s">
        <v>228</v>
      </c>
      <c r="E396" t="str">
        <f>INDEX('State Codes'!$E$7:$E$70,MATCH(INDEX('State Codes'!$C$7:$C$70,MATCH('County Climates'!B396,'State Codes'!$D$7:$D$70,0),1),'State Codes'!$C$7:$C$70,0),1)</f>
        <v>East North Central Division</v>
      </c>
      <c r="F396">
        <f>INDEX('CBECS_Table B5'!$C$6:$K$6,1,MATCH('County Climates'!E396,'CBECS_Table B5'!$C$1:$K$1,0))</f>
        <v>12742</v>
      </c>
    </row>
    <row r="397" spans="1:6" x14ac:dyDescent="0.25">
      <c r="A397" t="s">
        <v>571</v>
      </c>
      <c r="B397" t="s">
        <v>572</v>
      </c>
      <c r="C397" t="s">
        <v>349</v>
      </c>
      <c r="D397" t="s">
        <v>228</v>
      </c>
      <c r="E397" t="str">
        <f>INDEX('State Codes'!$E$7:$E$70,MATCH(INDEX('State Codes'!$C$7:$C$70,MATCH('County Climates'!B397,'State Codes'!$D$7:$D$70,0),1),'State Codes'!$C$7:$C$70,0),1)</f>
        <v>East North Central Division</v>
      </c>
      <c r="F397">
        <f>INDEX('CBECS_Table B5'!$C$6:$K$6,1,MATCH('County Climates'!E397,'CBECS_Table B5'!$C$1:$K$1,0))</f>
        <v>12742</v>
      </c>
    </row>
    <row r="398" spans="1:6" x14ac:dyDescent="0.25">
      <c r="A398" t="s">
        <v>571</v>
      </c>
      <c r="B398" t="s">
        <v>572</v>
      </c>
      <c r="C398" t="s">
        <v>588</v>
      </c>
      <c r="D398" t="s">
        <v>228</v>
      </c>
      <c r="E398" t="str">
        <f>INDEX('State Codes'!$E$7:$E$70,MATCH(INDEX('State Codes'!$C$7:$C$70,MATCH('County Climates'!B398,'State Codes'!$D$7:$D$70,0),1),'State Codes'!$C$7:$C$70,0),1)</f>
        <v>East North Central Division</v>
      </c>
      <c r="F398">
        <f>INDEX('CBECS_Table B5'!$C$6:$K$6,1,MATCH('County Climates'!E398,'CBECS_Table B5'!$C$1:$K$1,0))</f>
        <v>12742</v>
      </c>
    </row>
    <row r="399" spans="1:6" x14ac:dyDescent="0.25">
      <c r="A399" t="s">
        <v>589</v>
      </c>
      <c r="B399" t="s">
        <v>590</v>
      </c>
      <c r="C399" t="s">
        <v>591</v>
      </c>
      <c r="D399" t="s">
        <v>228</v>
      </c>
      <c r="E399" t="str">
        <f>INDEX('State Codes'!$E$7:$E$70,MATCH(INDEX('State Codes'!$C$7:$C$70,MATCH('County Climates'!B399,'State Codes'!$D$7:$D$70,0),1),'State Codes'!$C$7:$C$70,0),1)</f>
        <v>West North Central Division</v>
      </c>
      <c r="F399">
        <f>INDEX('CBECS_Table B5'!$C$6:$K$6,1,MATCH('County Climates'!E399,'CBECS_Table B5'!$C$1:$K$1,0))</f>
        <v>6178</v>
      </c>
    </row>
    <row r="400" spans="1:6" x14ac:dyDescent="0.25">
      <c r="A400" t="s">
        <v>589</v>
      </c>
      <c r="B400" t="s">
        <v>590</v>
      </c>
      <c r="C400" t="s">
        <v>516</v>
      </c>
      <c r="D400" t="s">
        <v>228</v>
      </c>
      <c r="E400" t="str">
        <f>INDEX('State Codes'!$E$7:$E$70,MATCH(INDEX('State Codes'!$C$7:$C$70,MATCH('County Climates'!B400,'State Codes'!$D$7:$D$70,0),1),'State Codes'!$C$7:$C$70,0),1)</f>
        <v>West North Central Division</v>
      </c>
      <c r="F400">
        <f>INDEX('CBECS_Table B5'!$C$6:$K$6,1,MATCH('County Climates'!E400,'CBECS_Table B5'!$C$1:$K$1,0))</f>
        <v>6178</v>
      </c>
    </row>
    <row r="401" spans="1:6" x14ac:dyDescent="0.25">
      <c r="A401" t="s">
        <v>589</v>
      </c>
      <c r="B401" t="s">
        <v>590</v>
      </c>
      <c r="C401" t="s">
        <v>592</v>
      </c>
      <c r="D401" t="s">
        <v>228</v>
      </c>
      <c r="E401" t="str">
        <f>INDEX('State Codes'!$E$7:$E$70,MATCH(INDEX('State Codes'!$C$7:$C$70,MATCH('County Climates'!B401,'State Codes'!$D$7:$D$70,0),1),'State Codes'!$C$7:$C$70,0),1)</f>
        <v>West North Central Division</v>
      </c>
      <c r="F401">
        <f>INDEX('CBECS_Table B5'!$C$6:$K$6,1,MATCH('County Climates'!E401,'CBECS_Table B5'!$C$1:$K$1,0))</f>
        <v>6178</v>
      </c>
    </row>
    <row r="402" spans="1:6" x14ac:dyDescent="0.25">
      <c r="A402" t="s">
        <v>589</v>
      </c>
      <c r="B402" t="s">
        <v>590</v>
      </c>
      <c r="C402" t="s">
        <v>593</v>
      </c>
      <c r="D402" t="s">
        <v>228</v>
      </c>
      <c r="E402" t="str">
        <f>INDEX('State Codes'!$E$7:$E$70,MATCH(INDEX('State Codes'!$C$7:$C$70,MATCH('County Climates'!B402,'State Codes'!$D$7:$D$70,0),1),'State Codes'!$C$7:$C$70,0),1)</f>
        <v>West North Central Division</v>
      </c>
      <c r="F402">
        <f>INDEX('CBECS_Table B5'!$C$6:$K$6,1,MATCH('County Climates'!E402,'CBECS_Table B5'!$C$1:$K$1,0))</f>
        <v>6178</v>
      </c>
    </row>
    <row r="403" spans="1:6" x14ac:dyDescent="0.25">
      <c r="A403" t="s">
        <v>589</v>
      </c>
      <c r="B403" t="s">
        <v>590</v>
      </c>
      <c r="C403" t="s">
        <v>594</v>
      </c>
      <c r="D403" t="s">
        <v>228</v>
      </c>
      <c r="E403" t="str">
        <f>INDEX('State Codes'!$E$7:$E$70,MATCH(INDEX('State Codes'!$C$7:$C$70,MATCH('County Climates'!B403,'State Codes'!$D$7:$D$70,0),1),'State Codes'!$C$7:$C$70,0),1)</f>
        <v>West North Central Division</v>
      </c>
      <c r="F403">
        <f>INDEX('CBECS_Table B5'!$C$6:$K$6,1,MATCH('County Climates'!E403,'CBECS_Table B5'!$C$1:$K$1,0))</f>
        <v>6178</v>
      </c>
    </row>
    <row r="404" spans="1:6" x14ac:dyDescent="0.25">
      <c r="A404" t="s">
        <v>589</v>
      </c>
      <c r="B404" t="s">
        <v>590</v>
      </c>
      <c r="C404" t="s">
        <v>575</v>
      </c>
      <c r="D404" t="s">
        <v>228</v>
      </c>
      <c r="E404" t="str">
        <f>INDEX('State Codes'!$E$7:$E$70,MATCH(INDEX('State Codes'!$C$7:$C$70,MATCH('County Climates'!B404,'State Codes'!$D$7:$D$70,0),1),'State Codes'!$C$7:$C$70,0),1)</f>
        <v>West North Central Division</v>
      </c>
      <c r="F404">
        <f>INDEX('CBECS_Table B5'!$C$6:$K$6,1,MATCH('County Climates'!E404,'CBECS_Table B5'!$C$1:$K$1,0))</f>
        <v>6178</v>
      </c>
    </row>
    <row r="405" spans="1:6" x14ac:dyDescent="0.25">
      <c r="A405" t="s">
        <v>589</v>
      </c>
      <c r="B405" t="s">
        <v>590</v>
      </c>
      <c r="C405" t="s">
        <v>595</v>
      </c>
      <c r="D405" t="s">
        <v>228</v>
      </c>
      <c r="E405" t="str">
        <f>INDEX('State Codes'!$E$7:$E$70,MATCH(INDEX('State Codes'!$C$7:$C$70,MATCH('County Climates'!B405,'State Codes'!$D$7:$D$70,0),1),'State Codes'!$C$7:$C$70,0),1)</f>
        <v>West North Central Division</v>
      </c>
      <c r="F405">
        <f>INDEX('CBECS_Table B5'!$C$6:$K$6,1,MATCH('County Climates'!E405,'CBECS_Table B5'!$C$1:$K$1,0))</f>
        <v>6178</v>
      </c>
    </row>
    <row r="406" spans="1:6" x14ac:dyDescent="0.25">
      <c r="A406" t="s">
        <v>589</v>
      </c>
      <c r="B406" t="s">
        <v>590</v>
      </c>
      <c r="C406" t="s">
        <v>577</v>
      </c>
      <c r="D406" t="s">
        <v>228</v>
      </c>
      <c r="E406" t="str">
        <f>INDEX('State Codes'!$E$7:$E$70,MATCH(INDEX('State Codes'!$C$7:$C$70,MATCH('County Climates'!B406,'State Codes'!$D$7:$D$70,0),1),'State Codes'!$C$7:$C$70,0),1)</f>
        <v>West North Central Division</v>
      </c>
      <c r="F406">
        <f>INDEX('CBECS_Table B5'!$C$6:$K$6,1,MATCH('County Climates'!E406,'CBECS_Table B5'!$C$1:$K$1,0))</f>
        <v>6178</v>
      </c>
    </row>
    <row r="407" spans="1:6" x14ac:dyDescent="0.25">
      <c r="A407" t="s">
        <v>589</v>
      </c>
      <c r="B407" t="s">
        <v>590</v>
      </c>
      <c r="C407" t="s">
        <v>596</v>
      </c>
      <c r="D407" t="s">
        <v>228</v>
      </c>
      <c r="E407" t="str">
        <f>INDEX('State Codes'!$E$7:$E$70,MATCH(INDEX('State Codes'!$C$7:$C$70,MATCH('County Climates'!B407,'State Codes'!$D$7:$D$70,0),1),'State Codes'!$C$7:$C$70,0),1)</f>
        <v>West North Central Division</v>
      </c>
      <c r="F407">
        <f>INDEX('CBECS_Table B5'!$C$6:$K$6,1,MATCH('County Climates'!E407,'CBECS_Table B5'!$C$1:$K$1,0))</f>
        <v>6178</v>
      </c>
    </row>
    <row r="408" spans="1:6" x14ac:dyDescent="0.25">
      <c r="A408" t="s">
        <v>589</v>
      </c>
      <c r="B408" t="s">
        <v>590</v>
      </c>
      <c r="C408" t="s">
        <v>597</v>
      </c>
      <c r="D408" t="s">
        <v>228</v>
      </c>
      <c r="E408" t="str">
        <f>INDEX('State Codes'!$E$7:$E$70,MATCH(INDEX('State Codes'!$C$7:$C$70,MATCH('County Climates'!B408,'State Codes'!$D$7:$D$70,0),1),'State Codes'!$C$7:$C$70,0),1)</f>
        <v>West North Central Division</v>
      </c>
      <c r="F408">
        <f>INDEX('CBECS_Table B5'!$C$6:$K$6,1,MATCH('County Climates'!E408,'CBECS_Table B5'!$C$1:$K$1,0))</f>
        <v>6178</v>
      </c>
    </row>
    <row r="409" spans="1:6" x14ac:dyDescent="0.25">
      <c r="A409" t="s">
        <v>589</v>
      </c>
      <c r="B409" t="s">
        <v>590</v>
      </c>
      <c r="C409" t="s">
        <v>598</v>
      </c>
      <c r="D409" t="s">
        <v>228</v>
      </c>
      <c r="E409" t="str">
        <f>INDEX('State Codes'!$E$7:$E$70,MATCH(INDEX('State Codes'!$C$7:$C$70,MATCH('County Climates'!B409,'State Codes'!$D$7:$D$70,0),1),'State Codes'!$C$7:$C$70,0),1)</f>
        <v>West North Central Division</v>
      </c>
      <c r="F409">
        <f>INDEX('CBECS_Table B5'!$C$6:$K$6,1,MATCH('County Climates'!E409,'CBECS_Table B5'!$C$1:$K$1,0))</f>
        <v>6178</v>
      </c>
    </row>
    <row r="410" spans="1:6" x14ac:dyDescent="0.25">
      <c r="A410" t="s">
        <v>589</v>
      </c>
      <c r="B410" t="s">
        <v>590</v>
      </c>
      <c r="C410" t="s">
        <v>250</v>
      </c>
      <c r="D410" t="s">
        <v>228</v>
      </c>
      <c r="E410" t="str">
        <f>INDEX('State Codes'!$E$7:$E$70,MATCH(INDEX('State Codes'!$C$7:$C$70,MATCH('County Climates'!B410,'State Codes'!$D$7:$D$70,0),1),'State Codes'!$C$7:$C$70,0),1)</f>
        <v>West North Central Division</v>
      </c>
      <c r="F410">
        <f>INDEX('CBECS_Table B5'!$C$6:$K$6,1,MATCH('County Climates'!E410,'CBECS_Table B5'!$C$1:$K$1,0))</f>
        <v>6178</v>
      </c>
    </row>
    <row r="411" spans="1:6" x14ac:dyDescent="0.25">
      <c r="A411" t="s">
        <v>589</v>
      </c>
      <c r="B411" t="s">
        <v>590</v>
      </c>
      <c r="C411" t="s">
        <v>251</v>
      </c>
      <c r="D411" t="s">
        <v>228</v>
      </c>
      <c r="E411" t="str">
        <f>INDEX('State Codes'!$E$7:$E$70,MATCH(INDEX('State Codes'!$C$7:$C$70,MATCH('County Climates'!B411,'State Codes'!$D$7:$D$70,0),1),'State Codes'!$C$7:$C$70,0),1)</f>
        <v>West North Central Division</v>
      </c>
      <c r="F411">
        <f>INDEX('CBECS_Table B5'!$C$6:$K$6,1,MATCH('County Climates'!E411,'CBECS_Table B5'!$C$1:$K$1,0))</f>
        <v>6178</v>
      </c>
    </row>
    <row r="412" spans="1:6" x14ac:dyDescent="0.25">
      <c r="A412" t="s">
        <v>589</v>
      </c>
      <c r="B412" t="s">
        <v>590</v>
      </c>
      <c r="C412" t="s">
        <v>447</v>
      </c>
      <c r="D412" t="s">
        <v>228</v>
      </c>
      <c r="E412" t="str">
        <f>INDEX('State Codes'!$E$7:$E$70,MATCH(INDEX('State Codes'!$C$7:$C$70,MATCH('County Climates'!B412,'State Codes'!$D$7:$D$70,0),1),'State Codes'!$C$7:$C$70,0),1)</f>
        <v>West North Central Division</v>
      </c>
      <c r="F412">
        <f>INDEX('CBECS_Table B5'!$C$6:$K$6,1,MATCH('County Climates'!E412,'CBECS_Table B5'!$C$1:$K$1,0))</f>
        <v>6178</v>
      </c>
    </row>
    <row r="413" spans="1:6" x14ac:dyDescent="0.25">
      <c r="A413" t="s">
        <v>589</v>
      </c>
      <c r="B413" t="s">
        <v>590</v>
      </c>
      <c r="C413" t="s">
        <v>579</v>
      </c>
      <c r="D413" t="s">
        <v>228</v>
      </c>
      <c r="E413" t="str">
        <f>INDEX('State Codes'!$E$7:$E$70,MATCH(INDEX('State Codes'!$C$7:$C$70,MATCH('County Climates'!B413,'State Codes'!$D$7:$D$70,0),1),'State Codes'!$C$7:$C$70,0),1)</f>
        <v>West North Central Division</v>
      </c>
      <c r="F413">
        <f>INDEX('CBECS_Table B5'!$C$6:$K$6,1,MATCH('County Climates'!E413,'CBECS_Table B5'!$C$1:$K$1,0))</f>
        <v>6178</v>
      </c>
    </row>
    <row r="414" spans="1:6" x14ac:dyDescent="0.25">
      <c r="A414" t="s">
        <v>589</v>
      </c>
      <c r="B414" t="s">
        <v>590</v>
      </c>
      <c r="C414" t="s">
        <v>599</v>
      </c>
      <c r="D414" t="s">
        <v>228</v>
      </c>
      <c r="E414" t="str">
        <f>INDEX('State Codes'!$E$7:$E$70,MATCH(INDEX('State Codes'!$C$7:$C$70,MATCH('County Climates'!B414,'State Codes'!$D$7:$D$70,0),1),'State Codes'!$C$7:$C$70,0),1)</f>
        <v>West North Central Division</v>
      </c>
      <c r="F414">
        <f>INDEX('CBECS_Table B5'!$C$6:$K$6,1,MATCH('County Climates'!E414,'CBECS_Table B5'!$C$1:$K$1,0))</f>
        <v>6178</v>
      </c>
    </row>
    <row r="415" spans="1:6" x14ac:dyDescent="0.25">
      <c r="A415" t="s">
        <v>589</v>
      </c>
      <c r="B415" t="s">
        <v>590</v>
      </c>
      <c r="C415" t="s">
        <v>600</v>
      </c>
      <c r="D415" t="s">
        <v>228</v>
      </c>
      <c r="E415" t="str">
        <f>INDEX('State Codes'!$E$7:$E$70,MATCH(INDEX('State Codes'!$C$7:$C$70,MATCH('County Climates'!B415,'State Codes'!$D$7:$D$70,0),1),'State Codes'!$C$7:$C$70,0),1)</f>
        <v>West North Central Division</v>
      </c>
      <c r="F415">
        <f>INDEX('CBECS_Table B5'!$C$6:$K$6,1,MATCH('County Climates'!E415,'CBECS_Table B5'!$C$1:$K$1,0))</f>
        <v>6178</v>
      </c>
    </row>
    <row r="416" spans="1:6" x14ac:dyDescent="0.25">
      <c r="A416" t="s">
        <v>589</v>
      </c>
      <c r="B416" t="s">
        <v>590</v>
      </c>
      <c r="C416" t="s">
        <v>253</v>
      </c>
      <c r="D416" t="s">
        <v>228</v>
      </c>
      <c r="E416" t="str">
        <f>INDEX('State Codes'!$E$7:$E$70,MATCH(INDEX('State Codes'!$C$7:$C$70,MATCH('County Climates'!B416,'State Codes'!$D$7:$D$70,0),1),'State Codes'!$C$7:$C$70,0),1)</f>
        <v>West North Central Division</v>
      </c>
      <c r="F416">
        <f>INDEX('CBECS_Table B5'!$C$6:$K$6,1,MATCH('County Climates'!E416,'CBECS_Table B5'!$C$1:$K$1,0))</f>
        <v>6178</v>
      </c>
    </row>
    <row r="417" spans="1:6" x14ac:dyDescent="0.25">
      <c r="A417" t="s">
        <v>589</v>
      </c>
      <c r="B417" t="s">
        <v>590</v>
      </c>
      <c r="C417" t="s">
        <v>601</v>
      </c>
      <c r="D417" t="s">
        <v>228</v>
      </c>
      <c r="E417" t="str">
        <f>INDEX('State Codes'!$E$7:$E$70,MATCH(INDEX('State Codes'!$C$7:$C$70,MATCH('County Climates'!B417,'State Codes'!$D$7:$D$70,0),1),'State Codes'!$C$7:$C$70,0),1)</f>
        <v>West North Central Division</v>
      </c>
      <c r="F417">
        <f>INDEX('CBECS_Table B5'!$C$6:$K$6,1,MATCH('County Climates'!E417,'CBECS_Table B5'!$C$1:$K$1,0))</f>
        <v>6178</v>
      </c>
    </row>
    <row r="418" spans="1:6" x14ac:dyDescent="0.25">
      <c r="A418" t="s">
        <v>589</v>
      </c>
      <c r="B418" t="s">
        <v>590</v>
      </c>
      <c r="C418" t="s">
        <v>256</v>
      </c>
      <c r="D418" t="s">
        <v>228</v>
      </c>
      <c r="E418" t="str">
        <f>INDEX('State Codes'!$E$7:$E$70,MATCH(INDEX('State Codes'!$C$7:$C$70,MATCH('County Climates'!B418,'State Codes'!$D$7:$D$70,0),1),'State Codes'!$C$7:$C$70,0),1)</f>
        <v>West North Central Division</v>
      </c>
      <c r="F418">
        <f>INDEX('CBECS_Table B5'!$C$6:$K$6,1,MATCH('County Climates'!E418,'CBECS_Table B5'!$C$1:$K$1,0))</f>
        <v>6178</v>
      </c>
    </row>
    <row r="419" spans="1:6" x14ac:dyDescent="0.25">
      <c r="A419" t="s">
        <v>589</v>
      </c>
      <c r="B419" t="s">
        <v>590</v>
      </c>
      <c r="C419" t="s">
        <v>257</v>
      </c>
      <c r="D419" t="s">
        <v>228</v>
      </c>
      <c r="E419" t="str">
        <f>INDEX('State Codes'!$E$7:$E$70,MATCH(INDEX('State Codes'!$C$7:$C$70,MATCH('County Climates'!B419,'State Codes'!$D$7:$D$70,0),1),'State Codes'!$C$7:$C$70,0),1)</f>
        <v>West North Central Division</v>
      </c>
      <c r="F419">
        <f>INDEX('CBECS_Table B5'!$C$6:$K$6,1,MATCH('County Climates'!E419,'CBECS_Table B5'!$C$1:$K$1,0))</f>
        <v>6178</v>
      </c>
    </row>
    <row r="420" spans="1:6" x14ac:dyDescent="0.25">
      <c r="A420" t="s">
        <v>589</v>
      </c>
      <c r="B420" t="s">
        <v>590</v>
      </c>
      <c r="C420" t="s">
        <v>453</v>
      </c>
      <c r="D420" t="s">
        <v>228</v>
      </c>
      <c r="E420" t="str">
        <f>INDEX('State Codes'!$E$7:$E$70,MATCH(INDEX('State Codes'!$C$7:$C$70,MATCH('County Climates'!B420,'State Codes'!$D$7:$D$70,0),1),'State Codes'!$C$7:$C$70,0),1)</f>
        <v>West North Central Division</v>
      </c>
      <c r="F420">
        <f>INDEX('CBECS_Table B5'!$C$6:$K$6,1,MATCH('County Climates'!E420,'CBECS_Table B5'!$C$1:$K$1,0))</f>
        <v>6178</v>
      </c>
    </row>
    <row r="421" spans="1:6" x14ac:dyDescent="0.25">
      <c r="A421" t="s">
        <v>589</v>
      </c>
      <c r="B421" t="s">
        <v>590</v>
      </c>
      <c r="C421" t="s">
        <v>580</v>
      </c>
      <c r="D421" t="s">
        <v>228</v>
      </c>
      <c r="E421" t="str">
        <f>INDEX('State Codes'!$E$7:$E$70,MATCH(INDEX('State Codes'!$C$7:$C$70,MATCH('County Climates'!B421,'State Codes'!$D$7:$D$70,0),1),'State Codes'!$C$7:$C$70,0),1)</f>
        <v>West North Central Division</v>
      </c>
      <c r="F421">
        <f>INDEX('CBECS_Table B5'!$C$6:$K$6,1,MATCH('County Climates'!E421,'CBECS_Table B5'!$C$1:$K$1,0))</f>
        <v>6178</v>
      </c>
    </row>
    <row r="422" spans="1:6" x14ac:dyDescent="0.25">
      <c r="A422" t="s">
        <v>589</v>
      </c>
      <c r="B422" t="s">
        <v>590</v>
      </c>
      <c r="C422" t="s">
        <v>460</v>
      </c>
      <c r="D422" t="s">
        <v>228</v>
      </c>
      <c r="E422" t="str">
        <f>INDEX('State Codes'!$E$7:$E$70,MATCH(INDEX('State Codes'!$C$7:$C$70,MATCH('County Climates'!B422,'State Codes'!$D$7:$D$70,0),1),'State Codes'!$C$7:$C$70,0),1)</f>
        <v>West North Central Division</v>
      </c>
      <c r="F422">
        <f>INDEX('CBECS_Table B5'!$C$6:$K$6,1,MATCH('County Climates'!E422,'CBECS_Table B5'!$C$1:$K$1,0))</f>
        <v>6178</v>
      </c>
    </row>
    <row r="423" spans="1:6" x14ac:dyDescent="0.25">
      <c r="A423" t="s">
        <v>589</v>
      </c>
      <c r="B423" t="s">
        <v>590</v>
      </c>
      <c r="C423" t="s">
        <v>267</v>
      </c>
      <c r="D423" t="s">
        <v>228</v>
      </c>
      <c r="E423" t="str">
        <f>INDEX('State Codes'!$E$7:$E$70,MATCH(INDEX('State Codes'!$C$7:$C$70,MATCH('County Climates'!B423,'State Codes'!$D$7:$D$70,0),1),'State Codes'!$C$7:$C$70,0),1)</f>
        <v>West North Central Division</v>
      </c>
      <c r="F423">
        <f>INDEX('CBECS_Table B5'!$C$6:$K$6,1,MATCH('County Climates'!E423,'CBECS_Table B5'!$C$1:$K$1,0))</f>
        <v>6178</v>
      </c>
    </row>
    <row r="424" spans="1:6" x14ac:dyDescent="0.25">
      <c r="A424" t="s">
        <v>589</v>
      </c>
      <c r="B424" t="s">
        <v>590</v>
      </c>
      <c r="C424" t="s">
        <v>602</v>
      </c>
      <c r="D424" t="s">
        <v>228</v>
      </c>
      <c r="E424" t="str">
        <f>INDEX('State Codes'!$E$7:$E$70,MATCH(INDEX('State Codes'!$C$7:$C$70,MATCH('County Climates'!B424,'State Codes'!$D$7:$D$70,0),1),'State Codes'!$C$7:$C$70,0),1)</f>
        <v>West North Central Division</v>
      </c>
      <c r="F424">
        <f>INDEX('CBECS_Table B5'!$C$6:$K$6,1,MATCH('County Climates'!E424,'CBECS_Table B5'!$C$1:$K$1,0))</f>
        <v>6178</v>
      </c>
    </row>
    <row r="425" spans="1:6" x14ac:dyDescent="0.25">
      <c r="A425" t="s">
        <v>589</v>
      </c>
      <c r="B425" t="s">
        <v>590</v>
      </c>
      <c r="C425" t="s">
        <v>464</v>
      </c>
      <c r="D425" t="s">
        <v>228</v>
      </c>
      <c r="E425" t="str">
        <f>INDEX('State Codes'!$E$7:$E$70,MATCH(INDEX('State Codes'!$C$7:$C$70,MATCH('County Climates'!B425,'State Codes'!$D$7:$D$70,0),1),'State Codes'!$C$7:$C$70,0),1)</f>
        <v>West North Central Division</v>
      </c>
      <c r="F425">
        <f>INDEX('CBECS_Table B5'!$C$6:$K$6,1,MATCH('County Climates'!E425,'CBECS_Table B5'!$C$1:$K$1,0))</f>
        <v>6178</v>
      </c>
    </row>
    <row r="426" spans="1:6" x14ac:dyDescent="0.25">
      <c r="A426" t="s">
        <v>589</v>
      </c>
      <c r="B426" t="s">
        <v>590</v>
      </c>
      <c r="C426" t="s">
        <v>584</v>
      </c>
      <c r="D426" t="s">
        <v>228</v>
      </c>
      <c r="E426" t="str">
        <f>INDEX('State Codes'!$E$7:$E$70,MATCH(INDEX('State Codes'!$C$7:$C$70,MATCH('County Climates'!B426,'State Codes'!$D$7:$D$70,0),1),'State Codes'!$C$7:$C$70,0),1)</f>
        <v>West North Central Division</v>
      </c>
      <c r="F426">
        <f>INDEX('CBECS_Table B5'!$C$6:$K$6,1,MATCH('County Climates'!E426,'CBECS_Table B5'!$C$1:$K$1,0))</f>
        <v>6178</v>
      </c>
    </row>
    <row r="427" spans="1:6" x14ac:dyDescent="0.25">
      <c r="A427" t="s">
        <v>589</v>
      </c>
      <c r="B427" t="s">
        <v>590</v>
      </c>
      <c r="C427" t="s">
        <v>603</v>
      </c>
      <c r="D427" t="s">
        <v>228</v>
      </c>
      <c r="E427" t="str">
        <f>INDEX('State Codes'!$E$7:$E$70,MATCH(INDEX('State Codes'!$C$7:$C$70,MATCH('County Climates'!B427,'State Codes'!$D$7:$D$70,0),1),'State Codes'!$C$7:$C$70,0),1)</f>
        <v>West North Central Division</v>
      </c>
      <c r="F427">
        <f>INDEX('CBECS_Table B5'!$C$6:$K$6,1,MATCH('County Climates'!E427,'CBECS_Table B5'!$C$1:$K$1,0))</f>
        <v>6178</v>
      </c>
    </row>
    <row r="428" spans="1:6" x14ac:dyDescent="0.25">
      <c r="A428" t="s">
        <v>589</v>
      </c>
      <c r="B428" t="s">
        <v>590</v>
      </c>
      <c r="C428" t="s">
        <v>604</v>
      </c>
      <c r="D428" t="s">
        <v>228</v>
      </c>
      <c r="E428" t="str">
        <f>INDEX('State Codes'!$E$7:$E$70,MATCH(INDEX('State Codes'!$C$7:$C$70,MATCH('County Climates'!B428,'State Codes'!$D$7:$D$70,0),1),'State Codes'!$C$7:$C$70,0),1)</f>
        <v>West North Central Division</v>
      </c>
      <c r="F428">
        <f>INDEX('CBECS_Table B5'!$C$6:$K$6,1,MATCH('County Climates'!E428,'CBECS_Table B5'!$C$1:$K$1,0))</f>
        <v>6178</v>
      </c>
    </row>
    <row r="429" spans="1:6" x14ac:dyDescent="0.25">
      <c r="A429" t="s">
        <v>589</v>
      </c>
      <c r="B429" t="s">
        <v>590</v>
      </c>
      <c r="C429" t="s">
        <v>605</v>
      </c>
      <c r="D429" t="s">
        <v>228</v>
      </c>
      <c r="E429" t="str">
        <f>INDEX('State Codes'!$E$7:$E$70,MATCH(INDEX('State Codes'!$C$7:$C$70,MATCH('County Climates'!B429,'State Codes'!$D$7:$D$70,0),1),'State Codes'!$C$7:$C$70,0),1)</f>
        <v>West North Central Division</v>
      </c>
      <c r="F429">
        <f>INDEX('CBECS_Table B5'!$C$6:$K$6,1,MATCH('County Climates'!E429,'CBECS_Table B5'!$C$1:$K$1,0))</f>
        <v>6178</v>
      </c>
    </row>
    <row r="430" spans="1:6" x14ac:dyDescent="0.25">
      <c r="A430" t="s">
        <v>589</v>
      </c>
      <c r="B430" t="s">
        <v>590</v>
      </c>
      <c r="C430" t="s">
        <v>606</v>
      </c>
      <c r="D430" t="s">
        <v>228</v>
      </c>
      <c r="E430" t="str">
        <f>INDEX('State Codes'!$E$7:$E$70,MATCH(INDEX('State Codes'!$C$7:$C$70,MATCH('County Climates'!B430,'State Codes'!$D$7:$D$70,0),1),'State Codes'!$C$7:$C$70,0),1)</f>
        <v>West North Central Division</v>
      </c>
      <c r="F430">
        <f>INDEX('CBECS_Table B5'!$C$6:$K$6,1,MATCH('County Climates'!E430,'CBECS_Table B5'!$C$1:$K$1,0))</f>
        <v>6178</v>
      </c>
    </row>
    <row r="431" spans="1:6" x14ac:dyDescent="0.25">
      <c r="A431" t="s">
        <v>589</v>
      </c>
      <c r="B431" t="s">
        <v>590</v>
      </c>
      <c r="C431" t="s">
        <v>272</v>
      </c>
      <c r="D431" t="s">
        <v>228</v>
      </c>
      <c r="E431" t="str">
        <f>INDEX('State Codes'!$E$7:$E$70,MATCH(INDEX('State Codes'!$C$7:$C$70,MATCH('County Climates'!B431,'State Codes'!$D$7:$D$70,0),1),'State Codes'!$C$7:$C$70,0),1)</f>
        <v>West North Central Division</v>
      </c>
      <c r="F431">
        <f>INDEX('CBECS_Table B5'!$C$6:$K$6,1,MATCH('County Climates'!E431,'CBECS_Table B5'!$C$1:$K$1,0))</f>
        <v>6178</v>
      </c>
    </row>
    <row r="432" spans="1:6" x14ac:dyDescent="0.25">
      <c r="A432" t="s">
        <v>589</v>
      </c>
      <c r="B432" t="s">
        <v>590</v>
      </c>
      <c r="C432" t="s">
        <v>474</v>
      </c>
      <c r="D432" t="s">
        <v>228</v>
      </c>
      <c r="E432" t="str">
        <f>INDEX('State Codes'!$E$7:$E$70,MATCH(INDEX('State Codes'!$C$7:$C$70,MATCH('County Climates'!B432,'State Codes'!$D$7:$D$70,0),1),'State Codes'!$C$7:$C$70,0),1)</f>
        <v>West North Central Division</v>
      </c>
      <c r="F432">
        <f>INDEX('CBECS_Table B5'!$C$6:$K$6,1,MATCH('County Climates'!E432,'CBECS_Table B5'!$C$1:$K$1,0))</f>
        <v>6178</v>
      </c>
    </row>
    <row r="433" spans="1:6" x14ac:dyDescent="0.25">
      <c r="A433" t="s">
        <v>589</v>
      </c>
      <c r="B433" t="s">
        <v>590</v>
      </c>
      <c r="C433" t="s">
        <v>273</v>
      </c>
      <c r="D433" t="s">
        <v>228</v>
      </c>
      <c r="E433" t="str">
        <f>INDEX('State Codes'!$E$7:$E$70,MATCH(INDEX('State Codes'!$C$7:$C$70,MATCH('County Climates'!B433,'State Codes'!$D$7:$D$70,0),1),'State Codes'!$C$7:$C$70,0),1)</f>
        <v>West North Central Division</v>
      </c>
      <c r="F433">
        <f>INDEX('CBECS_Table B5'!$C$6:$K$6,1,MATCH('County Climates'!E433,'CBECS_Table B5'!$C$1:$K$1,0))</f>
        <v>6178</v>
      </c>
    </row>
    <row r="434" spans="1:6" x14ac:dyDescent="0.25">
      <c r="A434" t="s">
        <v>589</v>
      </c>
      <c r="B434" t="s">
        <v>590</v>
      </c>
      <c r="C434" t="s">
        <v>373</v>
      </c>
      <c r="D434" t="s">
        <v>228</v>
      </c>
      <c r="E434" t="str">
        <f>INDEX('State Codes'!$E$7:$E$70,MATCH(INDEX('State Codes'!$C$7:$C$70,MATCH('County Climates'!B434,'State Codes'!$D$7:$D$70,0),1),'State Codes'!$C$7:$C$70,0),1)</f>
        <v>West North Central Division</v>
      </c>
      <c r="F434">
        <f>INDEX('CBECS_Table B5'!$C$6:$K$6,1,MATCH('County Climates'!E434,'CBECS_Table B5'!$C$1:$K$1,0))</f>
        <v>6178</v>
      </c>
    </row>
    <row r="435" spans="1:6" x14ac:dyDescent="0.25">
      <c r="A435" t="s">
        <v>589</v>
      </c>
      <c r="B435" t="s">
        <v>590</v>
      </c>
      <c r="C435" t="s">
        <v>275</v>
      </c>
      <c r="D435" t="s">
        <v>228</v>
      </c>
      <c r="E435" t="str">
        <f>INDEX('State Codes'!$E$7:$E$70,MATCH(INDEX('State Codes'!$C$7:$C$70,MATCH('County Climates'!B435,'State Codes'!$D$7:$D$70,0),1),'State Codes'!$C$7:$C$70,0),1)</f>
        <v>West North Central Division</v>
      </c>
      <c r="F435">
        <f>INDEX('CBECS_Table B5'!$C$6:$K$6,1,MATCH('County Climates'!E435,'CBECS_Table B5'!$C$1:$K$1,0))</f>
        <v>6178</v>
      </c>
    </row>
    <row r="436" spans="1:6" x14ac:dyDescent="0.25">
      <c r="A436" t="s">
        <v>589</v>
      </c>
      <c r="B436" t="s">
        <v>590</v>
      </c>
      <c r="C436" t="s">
        <v>607</v>
      </c>
      <c r="D436" t="s">
        <v>228</v>
      </c>
      <c r="E436" t="str">
        <f>INDEX('State Codes'!$E$7:$E$70,MATCH(INDEX('State Codes'!$C$7:$C$70,MATCH('County Climates'!B436,'State Codes'!$D$7:$D$70,0),1),'State Codes'!$C$7:$C$70,0),1)</f>
        <v>West North Central Division</v>
      </c>
      <c r="F436">
        <f>INDEX('CBECS_Table B5'!$C$6:$K$6,1,MATCH('County Climates'!E436,'CBECS_Table B5'!$C$1:$K$1,0))</f>
        <v>6178</v>
      </c>
    </row>
    <row r="437" spans="1:6" x14ac:dyDescent="0.25">
      <c r="A437" t="s">
        <v>589</v>
      </c>
      <c r="B437" t="s">
        <v>590</v>
      </c>
      <c r="C437" t="s">
        <v>608</v>
      </c>
      <c r="D437" t="s">
        <v>228</v>
      </c>
      <c r="E437" t="str">
        <f>INDEX('State Codes'!$E$7:$E$70,MATCH(INDEX('State Codes'!$C$7:$C$70,MATCH('County Climates'!B437,'State Codes'!$D$7:$D$70,0),1),'State Codes'!$C$7:$C$70,0),1)</f>
        <v>West North Central Division</v>
      </c>
      <c r="F437">
        <f>INDEX('CBECS_Table B5'!$C$6:$K$6,1,MATCH('County Climates'!E437,'CBECS_Table B5'!$C$1:$K$1,0))</f>
        <v>6178</v>
      </c>
    </row>
    <row r="438" spans="1:6" x14ac:dyDescent="0.25">
      <c r="A438" t="s">
        <v>589</v>
      </c>
      <c r="B438" t="s">
        <v>590</v>
      </c>
      <c r="C438" t="s">
        <v>609</v>
      </c>
      <c r="D438" t="s">
        <v>228</v>
      </c>
      <c r="E438" t="str">
        <f>INDEX('State Codes'!$E$7:$E$70,MATCH(INDEX('State Codes'!$C$7:$C$70,MATCH('County Climates'!B438,'State Codes'!$D$7:$D$70,0),1),'State Codes'!$C$7:$C$70,0),1)</f>
        <v>West North Central Division</v>
      </c>
      <c r="F438">
        <f>INDEX('CBECS_Table B5'!$C$6:$K$6,1,MATCH('County Climates'!E438,'CBECS_Table B5'!$C$1:$K$1,0))</f>
        <v>6178</v>
      </c>
    </row>
    <row r="439" spans="1:6" x14ac:dyDescent="0.25">
      <c r="A439" t="s">
        <v>589</v>
      </c>
      <c r="B439" t="s">
        <v>590</v>
      </c>
      <c r="C439" t="s">
        <v>610</v>
      </c>
      <c r="D439" t="s">
        <v>228</v>
      </c>
      <c r="E439" t="str">
        <f>INDEX('State Codes'!$E$7:$E$70,MATCH(INDEX('State Codes'!$C$7:$C$70,MATCH('County Climates'!B439,'State Codes'!$D$7:$D$70,0),1),'State Codes'!$C$7:$C$70,0),1)</f>
        <v>West North Central Division</v>
      </c>
      <c r="F439">
        <f>INDEX('CBECS_Table B5'!$C$6:$K$6,1,MATCH('County Climates'!E439,'CBECS_Table B5'!$C$1:$K$1,0))</f>
        <v>6178</v>
      </c>
    </row>
    <row r="440" spans="1:6" x14ac:dyDescent="0.25">
      <c r="A440" t="s">
        <v>589</v>
      </c>
      <c r="B440" t="s">
        <v>590</v>
      </c>
      <c r="C440" t="s">
        <v>611</v>
      </c>
      <c r="D440" t="s">
        <v>228</v>
      </c>
      <c r="E440" t="str">
        <f>INDEX('State Codes'!$E$7:$E$70,MATCH(INDEX('State Codes'!$C$7:$C$70,MATCH('County Climates'!B440,'State Codes'!$D$7:$D$70,0),1),'State Codes'!$C$7:$C$70,0),1)</f>
        <v>West North Central Division</v>
      </c>
      <c r="F440">
        <f>INDEX('CBECS_Table B5'!$C$6:$K$6,1,MATCH('County Climates'!E440,'CBECS_Table B5'!$C$1:$K$1,0))</f>
        <v>6178</v>
      </c>
    </row>
    <row r="441" spans="1:6" x14ac:dyDescent="0.25">
      <c r="A441" t="s">
        <v>589</v>
      </c>
      <c r="B441" t="s">
        <v>590</v>
      </c>
      <c r="C441" t="s">
        <v>612</v>
      </c>
      <c r="D441" t="s">
        <v>228</v>
      </c>
      <c r="E441" t="str">
        <f>INDEX('State Codes'!$E$7:$E$70,MATCH(INDEX('State Codes'!$C$7:$C$70,MATCH('County Climates'!B441,'State Codes'!$D$7:$D$70,0),1),'State Codes'!$C$7:$C$70,0),1)</f>
        <v>West North Central Division</v>
      </c>
      <c r="F441">
        <f>INDEX('CBECS_Table B5'!$C$6:$K$6,1,MATCH('County Climates'!E441,'CBECS_Table B5'!$C$1:$K$1,0))</f>
        <v>6178</v>
      </c>
    </row>
    <row r="442" spans="1:6" x14ac:dyDescent="0.25">
      <c r="A442" t="s">
        <v>589</v>
      </c>
      <c r="B442" t="s">
        <v>590</v>
      </c>
      <c r="C442" t="s">
        <v>277</v>
      </c>
      <c r="D442" t="s">
        <v>228</v>
      </c>
      <c r="E442" t="str">
        <f>INDEX('State Codes'!$E$7:$E$70,MATCH(INDEX('State Codes'!$C$7:$C$70,MATCH('County Climates'!B442,'State Codes'!$D$7:$D$70,0),1),'State Codes'!$C$7:$C$70,0),1)</f>
        <v>West North Central Division</v>
      </c>
      <c r="F442">
        <f>INDEX('CBECS_Table B5'!$C$6:$K$6,1,MATCH('County Climates'!E442,'CBECS_Table B5'!$C$1:$K$1,0))</f>
        <v>6178</v>
      </c>
    </row>
    <row r="443" spans="1:6" x14ac:dyDescent="0.25">
      <c r="A443" t="s">
        <v>589</v>
      </c>
      <c r="B443" t="s">
        <v>590</v>
      </c>
      <c r="C443" t="s">
        <v>319</v>
      </c>
      <c r="D443" t="s">
        <v>228</v>
      </c>
      <c r="E443" t="str">
        <f>INDEX('State Codes'!$E$7:$E$70,MATCH(INDEX('State Codes'!$C$7:$C$70,MATCH('County Climates'!B443,'State Codes'!$D$7:$D$70,0),1),'State Codes'!$C$7:$C$70,0),1)</f>
        <v>West North Central Division</v>
      </c>
      <c r="F443">
        <f>INDEX('CBECS_Table B5'!$C$6:$K$6,1,MATCH('County Climates'!E443,'CBECS_Table B5'!$C$1:$K$1,0))</f>
        <v>6178</v>
      </c>
    </row>
    <row r="444" spans="1:6" x14ac:dyDescent="0.25">
      <c r="A444" t="s">
        <v>589</v>
      </c>
      <c r="B444" t="s">
        <v>590</v>
      </c>
      <c r="C444" t="s">
        <v>613</v>
      </c>
      <c r="D444" t="s">
        <v>228</v>
      </c>
      <c r="E444" t="str">
        <f>INDEX('State Codes'!$E$7:$E$70,MATCH(INDEX('State Codes'!$C$7:$C$70,MATCH('County Climates'!B444,'State Codes'!$D$7:$D$70,0),1),'State Codes'!$C$7:$C$70,0),1)</f>
        <v>West North Central Division</v>
      </c>
      <c r="F444">
        <f>INDEX('CBECS_Table B5'!$C$6:$K$6,1,MATCH('County Climates'!E444,'CBECS_Table B5'!$C$1:$K$1,0))</f>
        <v>6178</v>
      </c>
    </row>
    <row r="445" spans="1:6" x14ac:dyDescent="0.25">
      <c r="A445" t="s">
        <v>589</v>
      </c>
      <c r="B445" t="s">
        <v>590</v>
      </c>
      <c r="C445" t="s">
        <v>614</v>
      </c>
      <c r="D445" t="s">
        <v>228</v>
      </c>
      <c r="E445" t="str">
        <f>INDEX('State Codes'!$E$7:$E$70,MATCH(INDEX('State Codes'!$C$7:$C$70,MATCH('County Climates'!B445,'State Codes'!$D$7:$D$70,0),1),'State Codes'!$C$7:$C$70,0),1)</f>
        <v>West North Central Division</v>
      </c>
      <c r="F445">
        <f>INDEX('CBECS_Table B5'!$C$6:$K$6,1,MATCH('County Climates'!E445,'CBECS_Table B5'!$C$1:$K$1,0))</f>
        <v>6178</v>
      </c>
    </row>
    <row r="446" spans="1:6" x14ac:dyDescent="0.25">
      <c r="A446" t="s">
        <v>589</v>
      </c>
      <c r="B446" t="s">
        <v>590</v>
      </c>
      <c r="C446" t="s">
        <v>615</v>
      </c>
      <c r="D446" t="s">
        <v>228</v>
      </c>
      <c r="E446" t="str">
        <f>INDEX('State Codes'!$E$7:$E$70,MATCH(INDEX('State Codes'!$C$7:$C$70,MATCH('County Climates'!B446,'State Codes'!$D$7:$D$70,0),1),'State Codes'!$C$7:$C$70,0),1)</f>
        <v>West North Central Division</v>
      </c>
      <c r="F446">
        <f>INDEX('CBECS_Table B5'!$C$6:$K$6,1,MATCH('County Climates'!E446,'CBECS_Table B5'!$C$1:$K$1,0))</f>
        <v>6178</v>
      </c>
    </row>
    <row r="447" spans="1:6" x14ac:dyDescent="0.25">
      <c r="A447" t="s">
        <v>589</v>
      </c>
      <c r="B447" t="s">
        <v>590</v>
      </c>
      <c r="C447" t="s">
        <v>279</v>
      </c>
      <c r="D447" t="s">
        <v>228</v>
      </c>
      <c r="E447" t="str">
        <f>INDEX('State Codes'!$E$7:$E$70,MATCH(INDEX('State Codes'!$C$7:$C$70,MATCH('County Climates'!B447,'State Codes'!$D$7:$D$70,0),1),'State Codes'!$C$7:$C$70,0),1)</f>
        <v>West North Central Division</v>
      </c>
      <c r="F447">
        <f>INDEX('CBECS_Table B5'!$C$6:$K$6,1,MATCH('County Climates'!E447,'CBECS_Table B5'!$C$1:$K$1,0))</f>
        <v>6178</v>
      </c>
    </row>
    <row r="448" spans="1:6" x14ac:dyDescent="0.25">
      <c r="A448" t="s">
        <v>589</v>
      </c>
      <c r="B448" t="s">
        <v>590</v>
      </c>
      <c r="C448" t="s">
        <v>616</v>
      </c>
      <c r="D448" t="s">
        <v>228</v>
      </c>
      <c r="E448" t="str">
        <f>INDEX('State Codes'!$E$7:$E$70,MATCH(INDEX('State Codes'!$C$7:$C$70,MATCH('County Climates'!B448,'State Codes'!$D$7:$D$70,0),1),'State Codes'!$C$7:$C$70,0),1)</f>
        <v>West North Central Division</v>
      </c>
      <c r="F448">
        <f>INDEX('CBECS_Table B5'!$C$6:$K$6,1,MATCH('County Climates'!E448,'CBECS_Table B5'!$C$1:$K$1,0))</f>
        <v>6178</v>
      </c>
    </row>
    <row r="449" spans="1:6" x14ac:dyDescent="0.25">
      <c r="A449" t="s">
        <v>589</v>
      </c>
      <c r="B449" t="s">
        <v>590</v>
      </c>
      <c r="C449" t="s">
        <v>280</v>
      </c>
      <c r="D449" t="s">
        <v>228</v>
      </c>
      <c r="E449" t="str">
        <f>INDEX('State Codes'!$E$7:$E$70,MATCH(INDEX('State Codes'!$C$7:$C$70,MATCH('County Climates'!B449,'State Codes'!$D$7:$D$70,0),1),'State Codes'!$C$7:$C$70,0),1)</f>
        <v>West North Central Division</v>
      </c>
      <c r="F449">
        <f>INDEX('CBECS_Table B5'!$C$6:$K$6,1,MATCH('County Climates'!E449,'CBECS_Table B5'!$C$1:$K$1,0))</f>
        <v>6178</v>
      </c>
    </row>
    <row r="450" spans="1:6" x14ac:dyDescent="0.25">
      <c r="A450" t="s">
        <v>589</v>
      </c>
      <c r="B450" t="s">
        <v>590</v>
      </c>
      <c r="C450" t="s">
        <v>322</v>
      </c>
      <c r="D450" t="s">
        <v>228</v>
      </c>
      <c r="E450" t="str">
        <f>INDEX('State Codes'!$E$7:$E$70,MATCH(INDEX('State Codes'!$C$7:$C$70,MATCH('County Climates'!B450,'State Codes'!$D$7:$D$70,0),1),'State Codes'!$C$7:$C$70,0),1)</f>
        <v>West North Central Division</v>
      </c>
      <c r="F450">
        <f>INDEX('CBECS_Table B5'!$C$6:$K$6,1,MATCH('County Climates'!E450,'CBECS_Table B5'!$C$1:$K$1,0))</f>
        <v>6178</v>
      </c>
    </row>
    <row r="451" spans="1:6" x14ac:dyDescent="0.25">
      <c r="A451" t="s">
        <v>589</v>
      </c>
      <c r="B451" t="s">
        <v>590</v>
      </c>
      <c r="C451" t="s">
        <v>617</v>
      </c>
      <c r="D451" t="s">
        <v>228</v>
      </c>
      <c r="E451" t="str">
        <f>INDEX('State Codes'!$E$7:$E$70,MATCH(INDEX('State Codes'!$C$7:$C$70,MATCH('County Climates'!B451,'State Codes'!$D$7:$D$70,0),1),'State Codes'!$C$7:$C$70,0),1)</f>
        <v>West North Central Division</v>
      </c>
      <c r="F451">
        <f>INDEX('CBECS_Table B5'!$C$6:$K$6,1,MATCH('County Climates'!E451,'CBECS_Table B5'!$C$1:$K$1,0))</f>
        <v>6178</v>
      </c>
    </row>
    <row r="452" spans="1:6" x14ac:dyDescent="0.25">
      <c r="A452" t="s">
        <v>589</v>
      </c>
      <c r="B452" t="s">
        <v>590</v>
      </c>
      <c r="C452" t="s">
        <v>618</v>
      </c>
      <c r="D452" t="s">
        <v>228</v>
      </c>
      <c r="E452" t="str">
        <f>INDEX('State Codes'!$E$7:$E$70,MATCH(INDEX('State Codes'!$C$7:$C$70,MATCH('County Climates'!B452,'State Codes'!$D$7:$D$70,0),1),'State Codes'!$C$7:$C$70,0),1)</f>
        <v>West North Central Division</v>
      </c>
      <c r="F452">
        <f>INDEX('CBECS_Table B5'!$C$6:$K$6,1,MATCH('County Climates'!E452,'CBECS_Table B5'!$C$1:$K$1,0))</f>
        <v>6178</v>
      </c>
    </row>
    <row r="453" spans="1:6" x14ac:dyDescent="0.25">
      <c r="A453" t="s">
        <v>589</v>
      </c>
      <c r="B453" t="s">
        <v>590</v>
      </c>
      <c r="C453" t="s">
        <v>619</v>
      </c>
      <c r="D453" t="s">
        <v>228</v>
      </c>
      <c r="E453" t="str">
        <f>INDEX('State Codes'!$E$7:$E$70,MATCH(INDEX('State Codes'!$C$7:$C$70,MATCH('County Climates'!B453,'State Codes'!$D$7:$D$70,0),1),'State Codes'!$C$7:$C$70,0),1)</f>
        <v>West North Central Division</v>
      </c>
      <c r="F453">
        <f>INDEX('CBECS_Table B5'!$C$6:$K$6,1,MATCH('County Climates'!E453,'CBECS_Table B5'!$C$1:$K$1,0))</f>
        <v>6178</v>
      </c>
    </row>
    <row r="454" spans="1:6" x14ac:dyDescent="0.25">
      <c r="A454" t="s">
        <v>589</v>
      </c>
      <c r="B454" t="s">
        <v>590</v>
      </c>
      <c r="C454" t="s">
        <v>284</v>
      </c>
      <c r="D454" t="s">
        <v>228</v>
      </c>
      <c r="E454" t="str">
        <f>INDEX('State Codes'!$E$7:$E$70,MATCH(INDEX('State Codes'!$C$7:$C$70,MATCH('County Climates'!B454,'State Codes'!$D$7:$D$70,0),1),'State Codes'!$C$7:$C$70,0),1)</f>
        <v>West North Central Division</v>
      </c>
      <c r="F454">
        <f>INDEX('CBECS_Table B5'!$C$6:$K$6,1,MATCH('County Climates'!E454,'CBECS_Table B5'!$C$1:$K$1,0))</f>
        <v>6178</v>
      </c>
    </row>
    <row r="455" spans="1:6" x14ac:dyDescent="0.25">
      <c r="A455" t="s">
        <v>620</v>
      </c>
      <c r="B455" t="s">
        <v>621</v>
      </c>
      <c r="C455" t="s">
        <v>369</v>
      </c>
      <c r="D455" t="s">
        <v>247</v>
      </c>
      <c r="E455" t="str">
        <f>INDEX('State Codes'!$E$7:$E$70,MATCH(INDEX('State Codes'!$C$7:$C$70,MATCH('County Climates'!B455,'State Codes'!$D$7:$D$70,0),1),'State Codes'!$C$7:$C$70,0),1)</f>
        <v>West North Central Division</v>
      </c>
      <c r="F455">
        <f>INDEX('CBECS_Table B5'!$C$6:$K$6,1,MATCH('County Climates'!E455,'CBECS_Table B5'!$C$1:$K$1,0))</f>
        <v>6178</v>
      </c>
    </row>
    <row r="456" spans="1:6" x14ac:dyDescent="0.25">
      <c r="A456" t="s">
        <v>620</v>
      </c>
      <c r="B456" t="s">
        <v>621</v>
      </c>
      <c r="C456" t="s">
        <v>622</v>
      </c>
      <c r="D456" t="s">
        <v>247</v>
      </c>
      <c r="E456" t="str">
        <f>INDEX('State Codes'!$E$7:$E$70,MATCH(INDEX('State Codes'!$C$7:$C$70,MATCH('County Climates'!B456,'State Codes'!$D$7:$D$70,0),1),'State Codes'!$C$7:$C$70,0),1)</f>
        <v>West North Central Division</v>
      </c>
      <c r="F456">
        <f>INDEX('CBECS_Table B5'!$C$6:$K$6,1,MATCH('County Climates'!E456,'CBECS_Table B5'!$C$1:$K$1,0))</f>
        <v>6178</v>
      </c>
    </row>
    <row r="457" spans="1:6" x14ac:dyDescent="0.25">
      <c r="A457" t="s">
        <v>620</v>
      </c>
      <c r="B457" t="s">
        <v>621</v>
      </c>
      <c r="C457" t="s">
        <v>623</v>
      </c>
      <c r="D457" t="s">
        <v>247</v>
      </c>
      <c r="E457" t="str">
        <f>INDEX('State Codes'!$E$7:$E$70,MATCH(INDEX('State Codes'!$C$7:$C$70,MATCH('County Climates'!B457,'State Codes'!$D$7:$D$70,0),1),'State Codes'!$C$7:$C$70,0),1)</f>
        <v>West North Central Division</v>
      </c>
      <c r="F457">
        <f>INDEX('CBECS_Table B5'!$C$6:$K$6,1,MATCH('County Climates'!E457,'CBECS_Table B5'!$C$1:$K$1,0))</f>
        <v>6178</v>
      </c>
    </row>
    <row r="458" spans="1:6" x14ac:dyDescent="0.25">
      <c r="A458" t="s">
        <v>620</v>
      </c>
      <c r="B458" t="s">
        <v>621</v>
      </c>
      <c r="C458" t="s">
        <v>624</v>
      </c>
      <c r="D458" t="s">
        <v>228</v>
      </c>
      <c r="E458" t="str">
        <f>INDEX('State Codes'!$E$7:$E$70,MATCH(INDEX('State Codes'!$C$7:$C$70,MATCH('County Climates'!B458,'State Codes'!$D$7:$D$70,0),1),'State Codes'!$C$7:$C$70,0),1)</f>
        <v>West North Central Division</v>
      </c>
      <c r="F458">
        <f>INDEX('CBECS_Table B5'!$C$6:$K$6,1,MATCH('County Climates'!E458,'CBECS_Table B5'!$C$1:$K$1,0))</f>
        <v>6178</v>
      </c>
    </row>
    <row r="459" spans="1:6" x14ac:dyDescent="0.25">
      <c r="A459" t="s">
        <v>620</v>
      </c>
      <c r="B459" t="s">
        <v>621</v>
      </c>
      <c r="C459" t="s">
        <v>625</v>
      </c>
      <c r="D459" t="s">
        <v>247</v>
      </c>
      <c r="E459" t="str">
        <f>INDEX('State Codes'!$E$7:$E$70,MATCH(INDEX('State Codes'!$C$7:$C$70,MATCH('County Climates'!B459,'State Codes'!$D$7:$D$70,0),1),'State Codes'!$C$7:$C$70,0),1)</f>
        <v>West North Central Division</v>
      </c>
      <c r="F459">
        <f>INDEX('CBECS_Table B5'!$C$6:$K$6,1,MATCH('County Climates'!E459,'CBECS_Table B5'!$C$1:$K$1,0))</f>
        <v>6178</v>
      </c>
    </row>
    <row r="460" spans="1:6" x14ac:dyDescent="0.25">
      <c r="A460" t="s">
        <v>620</v>
      </c>
      <c r="B460" t="s">
        <v>621</v>
      </c>
      <c r="C460" t="s">
        <v>626</v>
      </c>
      <c r="D460" t="s">
        <v>247</v>
      </c>
      <c r="E460" t="str">
        <f>INDEX('State Codes'!$E$7:$E$70,MATCH(INDEX('State Codes'!$C$7:$C$70,MATCH('County Climates'!B460,'State Codes'!$D$7:$D$70,0),1),'State Codes'!$C$7:$C$70,0),1)</f>
        <v>West North Central Division</v>
      </c>
      <c r="F460">
        <f>INDEX('CBECS_Table B5'!$C$6:$K$6,1,MATCH('County Climates'!E460,'CBECS_Table B5'!$C$1:$K$1,0))</f>
        <v>6178</v>
      </c>
    </row>
    <row r="461" spans="1:6" x14ac:dyDescent="0.25">
      <c r="A461" t="s">
        <v>620</v>
      </c>
      <c r="B461" t="s">
        <v>621</v>
      </c>
      <c r="C461" t="s">
        <v>627</v>
      </c>
      <c r="D461" t="s">
        <v>247</v>
      </c>
      <c r="E461" t="str">
        <f>INDEX('State Codes'!$E$7:$E$70,MATCH(INDEX('State Codes'!$C$7:$C$70,MATCH('County Climates'!B461,'State Codes'!$D$7:$D$70,0),1),'State Codes'!$C$7:$C$70,0),1)</f>
        <v>West North Central Division</v>
      </c>
      <c r="F461">
        <f>INDEX('CBECS_Table B5'!$C$6:$K$6,1,MATCH('County Climates'!E461,'CBECS_Table B5'!$C$1:$K$1,0))</f>
        <v>6178</v>
      </c>
    </row>
    <row r="462" spans="1:6" x14ac:dyDescent="0.25">
      <c r="A462" t="s">
        <v>620</v>
      </c>
      <c r="B462" t="s">
        <v>621</v>
      </c>
      <c r="C462" t="s">
        <v>273</v>
      </c>
      <c r="D462" t="s">
        <v>247</v>
      </c>
      <c r="E462" t="str">
        <f>INDEX('State Codes'!$E$7:$E$70,MATCH(INDEX('State Codes'!$C$7:$C$70,MATCH('County Climates'!B462,'State Codes'!$D$7:$D$70,0),1),'State Codes'!$C$7:$C$70,0),1)</f>
        <v>West North Central Division</v>
      </c>
      <c r="F462">
        <f>INDEX('CBECS_Table B5'!$C$6:$K$6,1,MATCH('County Climates'!E462,'CBECS_Table B5'!$C$1:$K$1,0))</f>
        <v>6178</v>
      </c>
    </row>
    <row r="463" spans="1:6" x14ac:dyDescent="0.25">
      <c r="A463" t="s">
        <v>620</v>
      </c>
      <c r="B463" t="s">
        <v>621</v>
      </c>
      <c r="C463" t="s">
        <v>628</v>
      </c>
      <c r="D463" t="s">
        <v>247</v>
      </c>
      <c r="E463" t="str">
        <f>INDEX('State Codes'!$E$7:$E$70,MATCH(INDEX('State Codes'!$C$7:$C$70,MATCH('County Climates'!B463,'State Codes'!$D$7:$D$70,0),1),'State Codes'!$C$7:$C$70,0),1)</f>
        <v>West North Central Division</v>
      </c>
      <c r="F463">
        <f>INDEX('CBECS_Table B5'!$C$6:$K$6,1,MATCH('County Climates'!E463,'CBECS_Table B5'!$C$1:$K$1,0))</f>
        <v>6178</v>
      </c>
    </row>
    <row r="464" spans="1:6" x14ac:dyDescent="0.25">
      <c r="A464" t="s">
        <v>620</v>
      </c>
      <c r="B464" t="s">
        <v>621</v>
      </c>
      <c r="C464" t="s">
        <v>629</v>
      </c>
      <c r="D464" t="s">
        <v>228</v>
      </c>
      <c r="E464" t="str">
        <f>INDEX('State Codes'!$E$7:$E$70,MATCH(INDEX('State Codes'!$C$7:$C$70,MATCH('County Climates'!B464,'State Codes'!$D$7:$D$70,0),1),'State Codes'!$C$7:$C$70,0),1)</f>
        <v>West North Central Division</v>
      </c>
      <c r="F464">
        <f>INDEX('CBECS_Table B5'!$C$6:$K$6,1,MATCH('County Climates'!E464,'CBECS_Table B5'!$C$1:$K$1,0))</f>
        <v>6178</v>
      </c>
    </row>
    <row r="465" spans="1:6" x14ac:dyDescent="0.25">
      <c r="A465" t="s">
        <v>620</v>
      </c>
      <c r="B465" t="s">
        <v>621</v>
      </c>
      <c r="C465" t="s">
        <v>630</v>
      </c>
      <c r="D465" t="s">
        <v>228</v>
      </c>
      <c r="E465" t="str">
        <f>INDEX('State Codes'!$E$7:$E$70,MATCH(INDEX('State Codes'!$C$7:$C$70,MATCH('County Climates'!B465,'State Codes'!$D$7:$D$70,0),1),'State Codes'!$C$7:$C$70,0),1)</f>
        <v>West North Central Division</v>
      </c>
      <c r="F465">
        <f>INDEX('CBECS_Table B5'!$C$6:$K$6,1,MATCH('County Climates'!E465,'CBECS_Table B5'!$C$1:$K$1,0))</f>
        <v>6178</v>
      </c>
    </row>
    <row r="466" spans="1:6" x14ac:dyDescent="0.25">
      <c r="A466" t="s">
        <v>620</v>
      </c>
      <c r="B466" t="s">
        <v>621</v>
      </c>
      <c r="C466" t="s">
        <v>316</v>
      </c>
      <c r="D466" t="s">
        <v>247</v>
      </c>
      <c r="E466" t="str">
        <f>INDEX('State Codes'!$E$7:$E$70,MATCH(INDEX('State Codes'!$C$7:$C$70,MATCH('County Climates'!B466,'State Codes'!$D$7:$D$70,0),1),'State Codes'!$C$7:$C$70,0),1)</f>
        <v>West North Central Division</v>
      </c>
      <c r="F466">
        <f>INDEX('CBECS_Table B5'!$C$6:$K$6,1,MATCH('County Climates'!E466,'CBECS_Table B5'!$C$1:$K$1,0))</f>
        <v>6178</v>
      </c>
    </row>
    <row r="467" spans="1:6" x14ac:dyDescent="0.25">
      <c r="A467" t="s">
        <v>620</v>
      </c>
      <c r="B467" t="s">
        <v>621</v>
      </c>
      <c r="C467" t="s">
        <v>631</v>
      </c>
      <c r="D467" t="s">
        <v>247</v>
      </c>
      <c r="E467" t="str">
        <f>INDEX('State Codes'!$E$7:$E$70,MATCH(INDEX('State Codes'!$C$7:$C$70,MATCH('County Climates'!B467,'State Codes'!$D$7:$D$70,0),1),'State Codes'!$C$7:$C$70,0),1)</f>
        <v>West North Central Division</v>
      </c>
      <c r="F467">
        <f>INDEX('CBECS_Table B5'!$C$6:$K$6,1,MATCH('County Climates'!E467,'CBECS_Table B5'!$C$1:$K$1,0))</f>
        <v>6178</v>
      </c>
    </row>
    <row r="468" spans="1:6" x14ac:dyDescent="0.25">
      <c r="A468" t="s">
        <v>620</v>
      </c>
      <c r="B468" t="s">
        <v>621</v>
      </c>
      <c r="C468" t="s">
        <v>632</v>
      </c>
      <c r="D468" t="s">
        <v>228</v>
      </c>
      <c r="E468" t="str">
        <f>INDEX('State Codes'!$E$7:$E$70,MATCH(INDEX('State Codes'!$C$7:$C$70,MATCH('County Climates'!B468,'State Codes'!$D$7:$D$70,0),1),'State Codes'!$C$7:$C$70,0),1)</f>
        <v>West North Central Division</v>
      </c>
      <c r="F468">
        <f>INDEX('CBECS_Table B5'!$C$6:$K$6,1,MATCH('County Climates'!E468,'CBECS_Table B5'!$C$1:$K$1,0))</f>
        <v>6178</v>
      </c>
    </row>
    <row r="469" spans="1:6" x14ac:dyDescent="0.25">
      <c r="A469" t="s">
        <v>620</v>
      </c>
      <c r="B469" t="s">
        <v>621</v>
      </c>
      <c r="C469" t="s">
        <v>633</v>
      </c>
      <c r="D469" t="s">
        <v>247</v>
      </c>
      <c r="E469" t="str">
        <f>INDEX('State Codes'!$E$7:$E$70,MATCH(INDEX('State Codes'!$C$7:$C$70,MATCH('County Climates'!B469,'State Codes'!$D$7:$D$70,0),1),'State Codes'!$C$7:$C$70,0),1)</f>
        <v>West North Central Division</v>
      </c>
      <c r="F469">
        <f>INDEX('CBECS_Table B5'!$C$6:$K$6,1,MATCH('County Climates'!E469,'CBECS_Table B5'!$C$1:$K$1,0))</f>
        <v>6178</v>
      </c>
    </row>
    <row r="470" spans="1:6" x14ac:dyDescent="0.25">
      <c r="A470" t="s">
        <v>620</v>
      </c>
      <c r="B470" t="s">
        <v>621</v>
      </c>
      <c r="C470" t="s">
        <v>609</v>
      </c>
      <c r="D470" t="s">
        <v>228</v>
      </c>
      <c r="E470" t="str">
        <f>INDEX('State Codes'!$E$7:$E$70,MATCH(INDEX('State Codes'!$C$7:$C$70,MATCH('County Climates'!B470,'State Codes'!$D$7:$D$70,0),1),'State Codes'!$C$7:$C$70,0),1)</f>
        <v>West North Central Division</v>
      </c>
      <c r="F470">
        <f>INDEX('CBECS_Table B5'!$C$6:$K$6,1,MATCH('County Climates'!E470,'CBECS_Table B5'!$C$1:$K$1,0))</f>
        <v>6178</v>
      </c>
    </row>
    <row r="471" spans="1:6" x14ac:dyDescent="0.25">
      <c r="A471" t="s">
        <v>620</v>
      </c>
      <c r="B471" t="s">
        <v>621</v>
      </c>
      <c r="C471" t="s">
        <v>634</v>
      </c>
      <c r="D471" t="s">
        <v>247</v>
      </c>
      <c r="E471" t="str">
        <f>INDEX('State Codes'!$E$7:$E$70,MATCH(INDEX('State Codes'!$C$7:$C$70,MATCH('County Climates'!B471,'State Codes'!$D$7:$D$70,0),1),'State Codes'!$C$7:$C$70,0),1)</f>
        <v>West North Central Division</v>
      </c>
      <c r="F471">
        <f>INDEX('CBECS_Table B5'!$C$6:$K$6,1,MATCH('County Climates'!E471,'CBECS_Table B5'!$C$1:$K$1,0))</f>
        <v>6178</v>
      </c>
    </row>
    <row r="472" spans="1:6" x14ac:dyDescent="0.25">
      <c r="A472" t="s">
        <v>620</v>
      </c>
      <c r="B472" t="s">
        <v>621</v>
      </c>
      <c r="C472" t="s">
        <v>635</v>
      </c>
      <c r="D472" t="s">
        <v>247</v>
      </c>
      <c r="E472" t="str">
        <f>INDEX('State Codes'!$E$7:$E$70,MATCH(INDEX('State Codes'!$C$7:$C$70,MATCH('County Climates'!B472,'State Codes'!$D$7:$D$70,0),1),'State Codes'!$C$7:$C$70,0),1)</f>
        <v>West North Central Division</v>
      </c>
      <c r="F472">
        <f>INDEX('CBECS_Table B5'!$C$6:$K$6,1,MATCH('County Climates'!E472,'CBECS_Table B5'!$C$1:$K$1,0))</f>
        <v>6178</v>
      </c>
    </row>
    <row r="473" spans="1:6" x14ac:dyDescent="0.25">
      <c r="A473" t="s">
        <v>620</v>
      </c>
      <c r="B473" t="s">
        <v>621</v>
      </c>
      <c r="C473" t="s">
        <v>636</v>
      </c>
      <c r="D473" t="s">
        <v>247</v>
      </c>
      <c r="E473" t="str">
        <f>INDEX('State Codes'!$E$7:$E$70,MATCH(INDEX('State Codes'!$C$7:$C$70,MATCH('County Climates'!B473,'State Codes'!$D$7:$D$70,0),1),'State Codes'!$C$7:$C$70,0),1)</f>
        <v>West North Central Division</v>
      </c>
      <c r="F473">
        <f>INDEX('CBECS_Table B5'!$C$6:$K$6,1,MATCH('County Climates'!E473,'CBECS_Table B5'!$C$1:$K$1,0))</f>
        <v>6178</v>
      </c>
    </row>
    <row r="474" spans="1:6" x14ac:dyDescent="0.25">
      <c r="A474" t="s">
        <v>620</v>
      </c>
      <c r="B474" t="s">
        <v>621</v>
      </c>
      <c r="C474" t="s">
        <v>637</v>
      </c>
      <c r="D474" t="s">
        <v>247</v>
      </c>
      <c r="E474" t="str">
        <f>INDEX('State Codes'!$E$7:$E$70,MATCH(INDEX('State Codes'!$C$7:$C$70,MATCH('County Climates'!B474,'State Codes'!$D$7:$D$70,0),1),'State Codes'!$C$7:$C$70,0),1)</f>
        <v>West North Central Division</v>
      </c>
      <c r="F474">
        <f>INDEX('CBECS_Table B5'!$C$6:$K$6,1,MATCH('County Climates'!E474,'CBECS_Table B5'!$C$1:$K$1,0))</f>
        <v>6178</v>
      </c>
    </row>
    <row r="475" spans="1:6" x14ac:dyDescent="0.25">
      <c r="A475" t="s">
        <v>620</v>
      </c>
      <c r="B475" t="s">
        <v>621</v>
      </c>
      <c r="C475" t="s">
        <v>279</v>
      </c>
      <c r="D475" t="s">
        <v>247</v>
      </c>
      <c r="E475" t="str">
        <f>INDEX('State Codes'!$E$7:$E$70,MATCH(INDEX('State Codes'!$C$7:$C$70,MATCH('County Climates'!B475,'State Codes'!$D$7:$D$70,0),1),'State Codes'!$C$7:$C$70,0),1)</f>
        <v>West North Central Division</v>
      </c>
      <c r="F475">
        <f>INDEX('CBECS_Table B5'!$C$6:$K$6,1,MATCH('County Climates'!E475,'CBECS_Table B5'!$C$1:$K$1,0))</f>
        <v>6178</v>
      </c>
    </row>
    <row r="476" spans="1:6" x14ac:dyDescent="0.25">
      <c r="A476" t="s">
        <v>620</v>
      </c>
      <c r="B476" t="s">
        <v>621</v>
      </c>
      <c r="C476" t="s">
        <v>280</v>
      </c>
      <c r="D476" t="s">
        <v>247</v>
      </c>
      <c r="E476" t="str">
        <f>INDEX('State Codes'!$E$7:$E$70,MATCH(INDEX('State Codes'!$C$7:$C$70,MATCH('County Climates'!B476,'State Codes'!$D$7:$D$70,0),1),'State Codes'!$C$7:$C$70,0),1)</f>
        <v>West North Central Division</v>
      </c>
      <c r="F476">
        <f>INDEX('CBECS_Table B5'!$C$6:$K$6,1,MATCH('County Climates'!E476,'CBECS_Table B5'!$C$1:$K$1,0))</f>
        <v>6178</v>
      </c>
    </row>
    <row r="477" spans="1:6" x14ac:dyDescent="0.25">
      <c r="A477" t="s">
        <v>620</v>
      </c>
      <c r="B477" t="s">
        <v>621</v>
      </c>
      <c r="C477" t="s">
        <v>638</v>
      </c>
      <c r="D477" t="s">
        <v>228</v>
      </c>
      <c r="E477" t="str">
        <f>INDEX('State Codes'!$E$7:$E$70,MATCH(INDEX('State Codes'!$C$7:$C$70,MATCH('County Climates'!B477,'State Codes'!$D$7:$D$70,0),1),'State Codes'!$C$7:$C$70,0),1)</f>
        <v>West North Central Division</v>
      </c>
      <c r="F477">
        <f>INDEX('CBECS_Table B5'!$C$6:$K$6,1,MATCH('County Climates'!E477,'CBECS_Table B5'!$C$1:$K$1,0))</f>
        <v>6178</v>
      </c>
    </row>
    <row r="478" spans="1:6" x14ac:dyDescent="0.25">
      <c r="A478" t="s">
        <v>620</v>
      </c>
      <c r="B478" t="s">
        <v>621</v>
      </c>
      <c r="C478" t="s">
        <v>322</v>
      </c>
      <c r="D478" t="s">
        <v>247</v>
      </c>
      <c r="E478" t="str">
        <f>INDEX('State Codes'!$E$7:$E$70,MATCH(INDEX('State Codes'!$C$7:$C$70,MATCH('County Climates'!B478,'State Codes'!$D$7:$D$70,0),1),'State Codes'!$C$7:$C$70,0),1)</f>
        <v>West North Central Division</v>
      </c>
      <c r="F478">
        <f>INDEX('CBECS_Table B5'!$C$6:$K$6,1,MATCH('County Climates'!E478,'CBECS_Table B5'!$C$1:$K$1,0))</f>
        <v>6178</v>
      </c>
    </row>
    <row r="479" spans="1:6" x14ac:dyDescent="0.25">
      <c r="A479" t="s">
        <v>620</v>
      </c>
      <c r="B479" t="s">
        <v>621</v>
      </c>
      <c r="C479" t="s">
        <v>639</v>
      </c>
      <c r="D479" t="s">
        <v>247</v>
      </c>
      <c r="E479" t="str">
        <f>INDEX('State Codes'!$E$7:$E$70,MATCH(INDEX('State Codes'!$C$7:$C$70,MATCH('County Climates'!B479,'State Codes'!$D$7:$D$70,0),1),'State Codes'!$C$7:$C$70,0),1)</f>
        <v>West North Central Division</v>
      </c>
      <c r="F479">
        <f>INDEX('CBECS_Table B5'!$C$6:$K$6,1,MATCH('County Climates'!E479,'CBECS_Table B5'!$C$1:$K$1,0))</f>
        <v>6178</v>
      </c>
    </row>
    <row r="480" spans="1:6" x14ac:dyDescent="0.25">
      <c r="A480" t="s">
        <v>620</v>
      </c>
      <c r="B480" t="s">
        <v>621</v>
      </c>
      <c r="C480" t="s">
        <v>640</v>
      </c>
      <c r="D480" t="s">
        <v>247</v>
      </c>
      <c r="E480" t="str">
        <f>INDEX('State Codes'!$E$7:$E$70,MATCH(INDEX('State Codes'!$C$7:$C$70,MATCH('County Climates'!B480,'State Codes'!$D$7:$D$70,0),1),'State Codes'!$C$7:$C$70,0),1)</f>
        <v>West North Central Division</v>
      </c>
      <c r="F480">
        <f>INDEX('CBECS_Table B5'!$C$6:$K$6,1,MATCH('County Climates'!E480,'CBECS_Table B5'!$C$1:$K$1,0))</f>
        <v>6178</v>
      </c>
    </row>
    <row r="481" spans="1:6" x14ac:dyDescent="0.25">
      <c r="A481" t="s">
        <v>620</v>
      </c>
      <c r="B481" t="s">
        <v>621</v>
      </c>
      <c r="C481" t="s">
        <v>380</v>
      </c>
      <c r="D481" t="s">
        <v>247</v>
      </c>
      <c r="E481" t="str">
        <f>INDEX('State Codes'!$E$7:$E$70,MATCH(INDEX('State Codes'!$C$7:$C$70,MATCH('County Climates'!B481,'State Codes'!$D$7:$D$70,0),1),'State Codes'!$C$7:$C$70,0),1)</f>
        <v>West North Central Division</v>
      </c>
      <c r="F481">
        <f>INDEX('CBECS_Table B5'!$C$6:$K$6,1,MATCH('County Climates'!E481,'CBECS_Table B5'!$C$1:$K$1,0))</f>
        <v>6178</v>
      </c>
    </row>
    <row r="482" spans="1:6" x14ac:dyDescent="0.25">
      <c r="A482" t="s">
        <v>620</v>
      </c>
      <c r="B482" t="s">
        <v>621</v>
      </c>
      <c r="C482" t="s">
        <v>641</v>
      </c>
      <c r="D482" t="s">
        <v>247</v>
      </c>
      <c r="E482" t="str">
        <f>INDEX('State Codes'!$E$7:$E$70,MATCH(INDEX('State Codes'!$C$7:$C$70,MATCH('County Climates'!B482,'State Codes'!$D$7:$D$70,0),1),'State Codes'!$C$7:$C$70,0),1)</f>
        <v>West North Central Division</v>
      </c>
      <c r="F482">
        <f>INDEX('CBECS_Table B5'!$C$6:$K$6,1,MATCH('County Climates'!E482,'CBECS_Table B5'!$C$1:$K$1,0))</f>
        <v>6178</v>
      </c>
    </row>
    <row r="483" spans="1:6" x14ac:dyDescent="0.25">
      <c r="A483" t="s">
        <v>620</v>
      </c>
      <c r="B483" t="s">
        <v>621</v>
      </c>
      <c r="C483" t="s">
        <v>642</v>
      </c>
      <c r="D483" t="s">
        <v>228</v>
      </c>
      <c r="E483" t="str">
        <f>INDEX('State Codes'!$E$7:$E$70,MATCH(INDEX('State Codes'!$C$7:$C$70,MATCH('County Climates'!B483,'State Codes'!$D$7:$D$70,0),1),'State Codes'!$C$7:$C$70,0),1)</f>
        <v>West North Central Division</v>
      </c>
      <c r="F483">
        <f>INDEX('CBECS_Table B5'!$C$6:$K$6,1,MATCH('County Climates'!E483,'CBECS_Table B5'!$C$1:$K$1,0))</f>
        <v>6178</v>
      </c>
    </row>
    <row r="484" spans="1:6" x14ac:dyDescent="0.25">
      <c r="A484" t="s">
        <v>620</v>
      </c>
      <c r="B484" t="s">
        <v>621</v>
      </c>
      <c r="C484" t="s">
        <v>643</v>
      </c>
      <c r="D484" t="s">
        <v>247</v>
      </c>
      <c r="E484" t="str">
        <f>INDEX('State Codes'!$E$7:$E$70,MATCH(INDEX('State Codes'!$C$7:$C$70,MATCH('County Climates'!B484,'State Codes'!$D$7:$D$70,0),1),'State Codes'!$C$7:$C$70,0),1)</f>
        <v>West North Central Division</v>
      </c>
      <c r="F484">
        <f>INDEX('CBECS_Table B5'!$C$6:$K$6,1,MATCH('County Climates'!E484,'CBECS_Table B5'!$C$1:$K$1,0))</f>
        <v>6178</v>
      </c>
    </row>
    <row r="485" spans="1:6" x14ac:dyDescent="0.25">
      <c r="A485" t="s">
        <v>620</v>
      </c>
      <c r="B485" t="s">
        <v>621</v>
      </c>
      <c r="C485" t="s">
        <v>324</v>
      </c>
      <c r="D485" t="s">
        <v>247</v>
      </c>
      <c r="E485" t="str">
        <f>INDEX('State Codes'!$E$7:$E$70,MATCH(INDEX('State Codes'!$C$7:$C$70,MATCH('County Climates'!B485,'State Codes'!$D$7:$D$70,0),1),'State Codes'!$C$7:$C$70,0),1)</f>
        <v>West North Central Division</v>
      </c>
      <c r="F485">
        <f>INDEX('CBECS_Table B5'!$C$6:$K$6,1,MATCH('County Climates'!E485,'CBECS_Table B5'!$C$1:$K$1,0))</f>
        <v>6178</v>
      </c>
    </row>
    <row r="486" spans="1:6" x14ac:dyDescent="0.25">
      <c r="A486" t="s">
        <v>620</v>
      </c>
      <c r="B486" t="s">
        <v>621</v>
      </c>
      <c r="C486" t="s">
        <v>644</v>
      </c>
      <c r="D486" t="s">
        <v>247</v>
      </c>
      <c r="E486" t="str">
        <f>INDEX('State Codes'!$E$7:$E$70,MATCH(INDEX('State Codes'!$C$7:$C$70,MATCH('County Climates'!B486,'State Codes'!$D$7:$D$70,0),1),'State Codes'!$C$7:$C$70,0),1)</f>
        <v>West North Central Division</v>
      </c>
      <c r="F486">
        <f>INDEX('CBECS_Table B5'!$C$6:$K$6,1,MATCH('County Climates'!E486,'CBECS_Table B5'!$C$1:$K$1,0))</f>
        <v>6178</v>
      </c>
    </row>
    <row r="487" spans="1:6" x14ac:dyDescent="0.25">
      <c r="A487" t="s">
        <v>620</v>
      </c>
      <c r="B487" t="s">
        <v>621</v>
      </c>
      <c r="C487" t="s">
        <v>326</v>
      </c>
      <c r="D487" t="s">
        <v>228</v>
      </c>
      <c r="E487" t="str">
        <f>INDEX('State Codes'!$E$7:$E$70,MATCH(INDEX('State Codes'!$C$7:$C$70,MATCH('County Climates'!B487,'State Codes'!$D$7:$D$70,0),1),'State Codes'!$C$7:$C$70,0),1)</f>
        <v>West North Central Division</v>
      </c>
      <c r="F487">
        <f>INDEX('CBECS_Table B5'!$C$6:$K$6,1,MATCH('County Climates'!E487,'CBECS_Table B5'!$C$1:$K$1,0))</f>
        <v>6178</v>
      </c>
    </row>
    <row r="488" spans="1:6" x14ac:dyDescent="0.25">
      <c r="A488" t="s">
        <v>620</v>
      </c>
      <c r="B488" t="s">
        <v>621</v>
      </c>
      <c r="C488" t="s">
        <v>645</v>
      </c>
      <c r="D488" t="s">
        <v>247</v>
      </c>
      <c r="E488" t="str">
        <f>INDEX('State Codes'!$E$7:$E$70,MATCH(INDEX('State Codes'!$C$7:$C$70,MATCH('County Climates'!B488,'State Codes'!$D$7:$D$70,0),1),'State Codes'!$C$7:$C$70,0),1)</f>
        <v>West North Central Division</v>
      </c>
      <c r="F488">
        <f>INDEX('CBECS_Table B5'!$C$6:$K$6,1,MATCH('County Climates'!E488,'CBECS_Table B5'!$C$1:$K$1,0))</f>
        <v>6178</v>
      </c>
    </row>
    <row r="489" spans="1:6" x14ac:dyDescent="0.25">
      <c r="A489" t="s">
        <v>620</v>
      </c>
      <c r="B489" t="s">
        <v>621</v>
      </c>
      <c r="C489" t="s">
        <v>290</v>
      </c>
      <c r="D489" t="s">
        <v>247</v>
      </c>
      <c r="E489" t="str">
        <f>INDEX('State Codes'!$E$7:$E$70,MATCH(INDEX('State Codes'!$C$7:$C$70,MATCH('County Climates'!B489,'State Codes'!$D$7:$D$70,0),1),'State Codes'!$C$7:$C$70,0),1)</f>
        <v>West North Central Division</v>
      </c>
      <c r="F489">
        <f>INDEX('CBECS_Table B5'!$C$6:$K$6,1,MATCH('County Climates'!E489,'CBECS_Table B5'!$C$1:$K$1,0))</f>
        <v>6178</v>
      </c>
    </row>
    <row r="490" spans="1:6" x14ac:dyDescent="0.25">
      <c r="A490" t="s">
        <v>620</v>
      </c>
      <c r="B490" t="s">
        <v>621</v>
      </c>
      <c r="C490" t="s">
        <v>291</v>
      </c>
      <c r="D490" t="s">
        <v>247</v>
      </c>
      <c r="E490" t="str">
        <f>INDEX('State Codes'!$E$7:$E$70,MATCH(INDEX('State Codes'!$C$7:$C$70,MATCH('County Climates'!B490,'State Codes'!$D$7:$D$70,0),1),'State Codes'!$C$7:$C$70,0),1)</f>
        <v>West North Central Division</v>
      </c>
      <c r="F490">
        <f>INDEX('CBECS_Table B5'!$C$6:$K$6,1,MATCH('County Climates'!E490,'CBECS_Table B5'!$C$1:$K$1,0))</f>
        <v>6178</v>
      </c>
    </row>
    <row r="491" spans="1:6" x14ac:dyDescent="0.25">
      <c r="A491" t="s">
        <v>620</v>
      </c>
      <c r="B491" t="s">
        <v>621</v>
      </c>
      <c r="C491" t="s">
        <v>646</v>
      </c>
      <c r="D491" t="s">
        <v>247</v>
      </c>
      <c r="E491" t="str">
        <f>INDEX('State Codes'!$E$7:$E$70,MATCH(INDEX('State Codes'!$C$7:$C$70,MATCH('County Climates'!B491,'State Codes'!$D$7:$D$70,0),1),'State Codes'!$C$7:$C$70,0),1)</f>
        <v>West North Central Division</v>
      </c>
      <c r="F491">
        <f>INDEX('CBECS_Table B5'!$C$6:$K$6,1,MATCH('County Climates'!E491,'CBECS_Table B5'!$C$1:$K$1,0))</f>
        <v>6178</v>
      </c>
    </row>
    <row r="492" spans="1:6" x14ac:dyDescent="0.25">
      <c r="A492" t="s">
        <v>620</v>
      </c>
      <c r="B492" t="s">
        <v>621</v>
      </c>
      <c r="C492" t="s">
        <v>647</v>
      </c>
      <c r="D492" t="s">
        <v>247</v>
      </c>
      <c r="E492" t="str">
        <f>INDEX('State Codes'!$E$7:$E$70,MATCH(INDEX('State Codes'!$C$7:$C$70,MATCH('County Climates'!B492,'State Codes'!$D$7:$D$70,0),1),'State Codes'!$C$7:$C$70,0),1)</f>
        <v>West North Central Division</v>
      </c>
      <c r="F492">
        <f>INDEX('CBECS_Table B5'!$C$6:$K$6,1,MATCH('County Climates'!E492,'CBECS_Table B5'!$C$1:$K$1,0))</f>
        <v>6178</v>
      </c>
    </row>
    <row r="493" spans="1:6" x14ac:dyDescent="0.25">
      <c r="A493" t="s">
        <v>620</v>
      </c>
      <c r="B493" t="s">
        <v>621</v>
      </c>
      <c r="C493" t="s">
        <v>648</v>
      </c>
      <c r="D493" t="s">
        <v>247</v>
      </c>
      <c r="E493" t="str">
        <f>INDEX('State Codes'!$E$7:$E$70,MATCH(INDEX('State Codes'!$C$7:$C$70,MATCH('County Climates'!B493,'State Codes'!$D$7:$D$70,0),1),'State Codes'!$C$7:$C$70,0),1)</f>
        <v>West North Central Division</v>
      </c>
      <c r="F493">
        <f>INDEX('CBECS_Table B5'!$C$6:$K$6,1,MATCH('County Climates'!E493,'CBECS_Table B5'!$C$1:$K$1,0))</f>
        <v>6178</v>
      </c>
    </row>
    <row r="494" spans="1:6" x14ac:dyDescent="0.25">
      <c r="A494" t="s">
        <v>620</v>
      </c>
      <c r="B494" t="s">
        <v>621</v>
      </c>
      <c r="C494" t="s">
        <v>649</v>
      </c>
      <c r="D494" t="s">
        <v>228</v>
      </c>
      <c r="E494" t="str">
        <f>INDEX('State Codes'!$E$7:$E$70,MATCH(INDEX('State Codes'!$C$7:$C$70,MATCH('County Climates'!B494,'State Codes'!$D$7:$D$70,0),1),'State Codes'!$C$7:$C$70,0),1)</f>
        <v>West North Central Division</v>
      </c>
      <c r="F494">
        <f>INDEX('CBECS_Table B5'!$C$6:$K$6,1,MATCH('County Climates'!E494,'CBECS_Table B5'!$C$1:$K$1,0))</f>
        <v>6178</v>
      </c>
    </row>
    <row r="495" spans="1:6" x14ac:dyDescent="0.25">
      <c r="A495" t="s">
        <v>620</v>
      </c>
      <c r="B495" t="s">
        <v>621</v>
      </c>
      <c r="C495" t="s">
        <v>294</v>
      </c>
      <c r="D495" t="s">
        <v>247</v>
      </c>
      <c r="E495" t="str">
        <f>INDEX('State Codes'!$E$7:$E$70,MATCH(INDEX('State Codes'!$C$7:$C$70,MATCH('County Climates'!B495,'State Codes'!$D$7:$D$70,0),1),'State Codes'!$C$7:$C$70,0),1)</f>
        <v>West North Central Division</v>
      </c>
      <c r="F495">
        <f>INDEX('CBECS_Table B5'!$C$6:$K$6,1,MATCH('County Climates'!E495,'CBECS_Table B5'!$C$1:$K$1,0))</f>
        <v>6178</v>
      </c>
    </row>
    <row r="496" spans="1:6" x14ac:dyDescent="0.25">
      <c r="A496" t="s">
        <v>620</v>
      </c>
      <c r="B496" t="s">
        <v>621</v>
      </c>
      <c r="C496" t="s">
        <v>650</v>
      </c>
      <c r="D496" t="s">
        <v>247</v>
      </c>
      <c r="E496" t="str">
        <f>INDEX('State Codes'!$E$7:$E$70,MATCH(INDEX('State Codes'!$C$7:$C$70,MATCH('County Climates'!B496,'State Codes'!$D$7:$D$70,0),1),'State Codes'!$C$7:$C$70,0),1)</f>
        <v>West North Central Division</v>
      </c>
      <c r="F496">
        <f>INDEX('CBECS_Table B5'!$C$6:$K$6,1,MATCH('County Climates'!E496,'CBECS_Table B5'!$C$1:$K$1,0))</f>
        <v>6178</v>
      </c>
    </row>
    <row r="497" spans="1:6" x14ac:dyDescent="0.25">
      <c r="A497" t="s">
        <v>620</v>
      </c>
      <c r="B497" t="s">
        <v>621</v>
      </c>
      <c r="C497" t="s">
        <v>651</v>
      </c>
      <c r="D497" t="s">
        <v>247</v>
      </c>
      <c r="E497" t="str">
        <f>INDEX('State Codes'!$E$7:$E$70,MATCH(INDEX('State Codes'!$C$7:$C$70,MATCH('County Climates'!B497,'State Codes'!$D$7:$D$70,0),1),'State Codes'!$C$7:$C$70,0),1)</f>
        <v>West North Central Division</v>
      </c>
      <c r="F497">
        <f>INDEX('CBECS_Table B5'!$C$6:$K$6,1,MATCH('County Climates'!E497,'CBECS_Table B5'!$C$1:$K$1,0))</f>
        <v>6178</v>
      </c>
    </row>
    <row r="498" spans="1:6" x14ac:dyDescent="0.25">
      <c r="A498" t="s">
        <v>620</v>
      </c>
      <c r="B498" t="s">
        <v>621</v>
      </c>
      <c r="C498" t="s">
        <v>652</v>
      </c>
      <c r="D498" t="s">
        <v>247</v>
      </c>
      <c r="E498" t="str">
        <f>INDEX('State Codes'!$E$7:$E$70,MATCH(INDEX('State Codes'!$C$7:$C$70,MATCH('County Climates'!B498,'State Codes'!$D$7:$D$70,0),1),'State Codes'!$C$7:$C$70,0),1)</f>
        <v>West North Central Division</v>
      </c>
      <c r="F498">
        <f>INDEX('CBECS_Table B5'!$C$6:$K$6,1,MATCH('County Climates'!E498,'CBECS_Table B5'!$C$1:$K$1,0))</f>
        <v>6178</v>
      </c>
    </row>
    <row r="499" spans="1:6" x14ac:dyDescent="0.25">
      <c r="A499" t="s">
        <v>620</v>
      </c>
      <c r="B499" t="s">
        <v>621</v>
      </c>
      <c r="C499" t="s">
        <v>653</v>
      </c>
      <c r="D499" t="s">
        <v>247</v>
      </c>
      <c r="E499" t="str">
        <f>INDEX('State Codes'!$E$7:$E$70,MATCH(INDEX('State Codes'!$C$7:$C$70,MATCH('County Climates'!B499,'State Codes'!$D$7:$D$70,0),1),'State Codes'!$C$7:$C$70,0),1)</f>
        <v>West North Central Division</v>
      </c>
      <c r="F499">
        <f>INDEX('CBECS_Table B5'!$C$6:$K$6,1,MATCH('County Climates'!E499,'CBECS_Table B5'!$C$1:$K$1,0))</f>
        <v>6178</v>
      </c>
    </row>
    <row r="500" spans="1:6" x14ac:dyDescent="0.25">
      <c r="A500" t="s">
        <v>620</v>
      </c>
      <c r="B500" t="s">
        <v>621</v>
      </c>
      <c r="C500" t="s">
        <v>654</v>
      </c>
      <c r="D500" t="s">
        <v>228</v>
      </c>
      <c r="E500" t="str">
        <f>INDEX('State Codes'!$E$7:$E$70,MATCH(INDEX('State Codes'!$C$7:$C$70,MATCH('County Climates'!B500,'State Codes'!$D$7:$D$70,0),1),'State Codes'!$C$7:$C$70,0),1)</f>
        <v>West North Central Division</v>
      </c>
      <c r="F500">
        <f>INDEX('CBECS_Table B5'!$C$6:$K$6,1,MATCH('County Climates'!E500,'CBECS_Table B5'!$C$1:$K$1,0))</f>
        <v>6178</v>
      </c>
    </row>
    <row r="501" spans="1:6" x14ac:dyDescent="0.25">
      <c r="A501" t="s">
        <v>620</v>
      </c>
      <c r="B501" t="s">
        <v>621</v>
      </c>
      <c r="C501" t="s">
        <v>655</v>
      </c>
      <c r="D501" t="s">
        <v>228</v>
      </c>
      <c r="E501" t="str">
        <f>INDEX('State Codes'!$E$7:$E$70,MATCH(INDEX('State Codes'!$C$7:$C$70,MATCH('County Climates'!B501,'State Codes'!$D$7:$D$70,0),1),'State Codes'!$C$7:$C$70,0),1)</f>
        <v>West North Central Division</v>
      </c>
      <c r="F501">
        <f>INDEX('CBECS_Table B5'!$C$6:$K$6,1,MATCH('County Climates'!E501,'CBECS_Table B5'!$C$1:$K$1,0))</f>
        <v>6178</v>
      </c>
    </row>
    <row r="502" spans="1:6" x14ac:dyDescent="0.25">
      <c r="A502" t="s">
        <v>620</v>
      </c>
      <c r="B502" t="s">
        <v>621</v>
      </c>
      <c r="C502" t="s">
        <v>656</v>
      </c>
      <c r="D502" t="s">
        <v>247</v>
      </c>
      <c r="E502" t="str">
        <f>INDEX('State Codes'!$E$7:$E$70,MATCH(INDEX('State Codes'!$C$7:$C$70,MATCH('County Climates'!B502,'State Codes'!$D$7:$D$70,0),1),'State Codes'!$C$7:$C$70,0),1)</f>
        <v>West North Central Division</v>
      </c>
      <c r="F502">
        <f>INDEX('CBECS_Table B5'!$C$6:$K$6,1,MATCH('County Climates'!E502,'CBECS_Table B5'!$C$1:$K$1,0))</f>
        <v>6178</v>
      </c>
    </row>
    <row r="503" spans="1:6" x14ac:dyDescent="0.25">
      <c r="A503" t="s">
        <v>620</v>
      </c>
      <c r="B503" t="s">
        <v>621</v>
      </c>
      <c r="C503" t="s">
        <v>657</v>
      </c>
      <c r="D503" t="s">
        <v>228</v>
      </c>
      <c r="E503" t="str">
        <f>INDEX('State Codes'!$E$7:$E$70,MATCH(INDEX('State Codes'!$C$7:$C$70,MATCH('County Climates'!B503,'State Codes'!$D$7:$D$70,0),1),'State Codes'!$C$7:$C$70,0),1)</f>
        <v>West North Central Division</v>
      </c>
      <c r="F503">
        <f>INDEX('CBECS_Table B5'!$C$6:$K$6,1,MATCH('County Climates'!E503,'CBECS_Table B5'!$C$1:$K$1,0))</f>
        <v>6178</v>
      </c>
    </row>
    <row r="504" spans="1:6" x14ac:dyDescent="0.25">
      <c r="A504" t="s">
        <v>620</v>
      </c>
      <c r="B504" t="s">
        <v>621</v>
      </c>
      <c r="C504" t="s">
        <v>658</v>
      </c>
      <c r="D504" t="s">
        <v>247</v>
      </c>
      <c r="E504" t="str">
        <f>INDEX('State Codes'!$E$7:$E$70,MATCH(INDEX('State Codes'!$C$7:$C$70,MATCH('County Climates'!B504,'State Codes'!$D$7:$D$70,0),1),'State Codes'!$C$7:$C$70,0),1)</f>
        <v>West North Central Division</v>
      </c>
      <c r="F504">
        <f>INDEX('CBECS_Table B5'!$C$6:$K$6,1,MATCH('County Climates'!E504,'CBECS_Table B5'!$C$1:$K$1,0))</f>
        <v>6178</v>
      </c>
    </row>
    <row r="505" spans="1:6" x14ac:dyDescent="0.25">
      <c r="A505" t="s">
        <v>620</v>
      </c>
      <c r="B505" t="s">
        <v>621</v>
      </c>
      <c r="C505" t="s">
        <v>659</v>
      </c>
      <c r="D505" t="s">
        <v>247</v>
      </c>
      <c r="E505" t="str">
        <f>INDEX('State Codes'!$E$7:$E$70,MATCH(INDEX('State Codes'!$C$7:$C$70,MATCH('County Climates'!B505,'State Codes'!$D$7:$D$70,0),1),'State Codes'!$C$7:$C$70,0),1)</f>
        <v>West North Central Division</v>
      </c>
      <c r="F505">
        <f>INDEX('CBECS_Table B5'!$C$6:$K$6,1,MATCH('County Climates'!E505,'CBECS_Table B5'!$C$1:$K$1,0))</f>
        <v>6178</v>
      </c>
    </row>
    <row r="506" spans="1:6" x14ac:dyDescent="0.25">
      <c r="A506" t="s">
        <v>620</v>
      </c>
      <c r="B506" t="s">
        <v>621</v>
      </c>
      <c r="C506" t="s">
        <v>333</v>
      </c>
      <c r="D506" t="s">
        <v>228</v>
      </c>
      <c r="E506" t="str">
        <f>INDEX('State Codes'!$E$7:$E$70,MATCH(INDEX('State Codes'!$C$7:$C$70,MATCH('County Climates'!B506,'State Codes'!$D$7:$D$70,0),1),'State Codes'!$C$7:$C$70,0),1)</f>
        <v>West North Central Division</v>
      </c>
      <c r="F506">
        <f>INDEX('CBECS_Table B5'!$C$6:$K$6,1,MATCH('County Climates'!E506,'CBECS_Table B5'!$C$1:$K$1,0))</f>
        <v>6178</v>
      </c>
    </row>
    <row r="507" spans="1:6" x14ac:dyDescent="0.25">
      <c r="A507" t="s">
        <v>620</v>
      </c>
      <c r="B507" t="s">
        <v>621</v>
      </c>
      <c r="C507" t="s">
        <v>660</v>
      </c>
      <c r="D507" t="s">
        <v>247</v>
      </c>
      <c r="E507" t="str">
        <f>INDEX('State Codes'!$E$7:$E$70,MATCH(INDEX('State Codes'!$C$7:$C$70,MATCH('County Climates'!B507,'State Codes'!$D$7:$D$70,0),1),'State Codes'!$C$7:$C$70,0),1)</f>
        <v>West North Central Division</v>
      </c>
      <c r="F507">
        <f>INDEX('CBECS_Table B5'!$C$6:$K$6,1,MATCH('County Climates'!E507,'CBECS_Table B5'!$C$1:$K$1,0))</f>
        <v>6178</v>
      </c>
    </row>
    <row r="508" spans="1:6" x14ac:dyDescent="0.25">
      <c r="A508" t="s">
        <v>620</v>
      </c>
      <c r="B508" t="s">
        <v>621</v>
      </c>
      <c r="C508" t="s">
        <v>661</v>
      </c>
      <c r="D508" t="s">
        <v>247</v>
      </c>
      <c r="E508" t="str">
        <f>INDEX('State Codes'!$E$7:$E$70,MATCH(INDEX('State Codes'!$C$7:$C$70,MATCH('County Climates'!B508,'State Codes'!$D$7:$D$70,0),1),'State Codes'!$C$7:$C$70,0),1)</f>
        <v>West North Central Division</v>
      </c>
      <c r="F508">
        <f>INDEX('CBECS_Table B5'!$C$6:$K$6,1,MATCH('County Climates'!E508,'CBECS_Table B5'!$C$1:$K$1,0))</f>
        <v>6178</v>
      </c>
    </row>
    <row r="509" spans="1:6" x14ac:dyDescent="0.25">
      <c r="A509" t="s">
        <v>620</v>
      </c>
      <c r="B509" t="s">
        <v>621</v>
      </c>
      <c r="C509" t="s">
        <v>662</v>
      </c>
      <c r="D509" t="s">
        <v>228</v>
      </c>
      <c r="E509" t="str">
        <f>INDEX('State Codes'!$E$7:$E$70,MATCH(INDEX('State Codes'!$C$7:$C$70,MATCH('County Climates'!B509,'State Codes'!$D$7:$D$70,0),1),'State Codes'!$C$7:$C$70,0),1)</f>
        <v>West North Central Division</v>
      </c>
      <c r="F509">
        <f>INDEX('CBECS_Table B5'!$C$6:$K$6,1,MATCH('County Climates'!E509,'CBECS_Table B5'!$C$1:$K$1,0))</f>
        <v>6178</v>
      </c>
    </row>
    <row r="510" spans="1:6" x14ac:dyDescent="0.25">
      <c r="A510" t="s">
        <v>620</v>
      </c>
      <c r="B510" t="s">
        <v>621</v>
      </c>
      <c r="C510" t="s">
        <v>663</v>
      </c>
      <c r="D510" t="s">
        <v>247</v>
      </c>
      <c r="E510" t="str">
        <f>INDEX('State Codes'!$E$7:$E$70,MATCH(INDEX('State Codes'!$C$7:$C$70,MATCH('County Climates'!B510,'State Codes'!$D$7:$D$70,0),1),'State Codes'!$C$7:$C$70,0),1)</f>
        <v>West North Central Division</v>
      </c>
      <c r="F510">
        <f>INDEX('CBECS_Table B5'!$C$6:$K$6,1,MATCH('County Climates'!E510,'CBECS_Table B5'!$C$1:$K$1,0))</f>
        <v>6178</v>
      </c>
    </row>
    <row r="511" spans="1:6" x14ac:dyDescent="0.25">
      <c r="A511" t="s">
        <v>620</v>
      </c>
      <c r="B511" t="s">
        <v>621</v>
      </c>
      <c r="C511" t="s">
        <v>664</v>
      </c>
      <c r="D511" t="s">
        <v>228</v>
      </c>
      <c r="E511" t="str">
        <f>INDEX('State Codes'!$E$7:$E$70,MATCH(INDEX('State Codes'!$C$7:$C$70,MATCH('County Climates'!B511,'State Codes'!$D$7:$D$70,0),1),'State Codes'!$C$7:$C$70,0),1)</f>
        <v>West North Central Division</v>
      </c>
      <c r="F511">
        <f>INDEX('CBECS_Table B5'!$C$6:$K$6,1,MATCH('County Climates'!E511,'CBECS_Table B5'!$C$1:$K$1,0))</f>
        <v>6178</v>
      </c>
    </row>
    <row r="512" spans="1:6" x14ac:dyDescent="0.25">
      <c r="A512" t="s">
        <v>620</v>
      </c>
      <c r="B512" t="s">
        <v>621</v>
      </c>
      <c r="C512" t="s">
        <v>665</v>
      </c>
      <c r="D512" t="s">
        <v>247</v>
      </c>
      <c r="E512" t="str">
        <f>INDEX('State Codes'!$E$7:$E$70,MATCH(INDEX('State Codes'!$C$7:$C$70,MATCH('County Climates'!B512,'State Codes'!$D$7:$D$70,0),1),'State Codes'!$C$7:$C$70,0),1)</f>
        <v>West North Central Division</v>
      </c>
      <c r="F512">
        <f>INDEX('CBECS_Table B5'!$C$6:$K$6,1,MATCH('County Climates'!E512,'CBECS_Table B5'!$C$1:$K$1,0))</f>
        <v>6178</v>
      </c>
    </row>
    <row r="513" spans="1:6" x14ac:dyDescent="0.25">
      <c r="A513" t="s">
        <v>620</v>
      </c>
      <c r="B513" t="s">
        <v>621</v>
      </c>
      <c r="C513" t="s">
        <v>666</v>
      </c>
      <c r="D513" t="s">
        <v>247</v>
      </c>
      <c r="E513" t="str">
        <f>INDEX('State Codes'!$E$7:$E$70,MATCH(INDEX('State Codes'!$C$7:$C$70,MATCH('County Climates'!B513,'State Codes'!$D$7:$D$70,0),1),'State Codes'!$C$7:$C$70,0),1)</f>
        <v>West North Central Division</v>
      </c>
      <c r="F513">
        <f>INDEX('CBECS_Table B5'!$C$6:$K$6,1,MATCH('County Climates'!E513,'CBECS_Table B5'!$C$1:$K$1,0))</f>
        <v>6178</v>
      </c>
    </row>
    <row r="514" spans="1:6" x14ac:dyDescent="0.25">
      <c r="A514" t="s">
        <v>620</v>
      </c>
      <c r="B514" t="s">
        <v>621</v>
      </c>
      <c r="C514" t="s">
        <v>667</v>
      </c>
      <c r="D514" t="s">
        <v>228</v>
      </c>
      <c r="E514" t="str">
        <f>INDEX('State Codes'!$E$7:$E$70,MATCH(INDEX('State Codes'!$C$7:$C$70,MATCH('County Climates'!B514,'State Codes'!$D$7:$D$70,0),1),'State Codes'!$C$7:$C$70,0),1)</f>
        <v>West North Central Division</v>
      </c>
      <c r="F514">
        <f>INDEX('CBECS_Table B5'!$C$6:$K$6,1,MATCH('County Climates'!E514,'CBECS_Table B5'!$C$1:$K$1,0))</f>
        <v>6178</v>
      </c>
    </row>
    <row r="515" spans="1:6" x14ac:dyDescent="0.25">
      <c r="A515" t="s">
        <v>620</v>
      </c>
      <c r="B515" t="s">
        <v>621</v>
      </c>
      <c r="C515" t="s">
        <v>668</v>
      </c>
      <c r="D515" t="s">
        <v>247</v>
      </c>
      <c r="E515" t="str">
        <f>INDEX('State Codes'!$E$7:$E$70,MATCH(INDEX('State Codes'!$C$7:$C$70,MATCH('County Climates'!B515,'State Codes'!$D$7:$D$70,0),1),'State Codes'!$C$7:$C$70,0),1)</f>
        <v>West North Central Division</v>
      </c>
      <c r="F515">
        <f>INDEX('CBECS_Table B5'!$C$6:$K$6,1,MATCH('County Climates'!E515,'CBECS_Table B5'!$C$1:$K$1,0))</f>
        <v>6178</v>
      </c>
    </row>
    <row r="516" spans="1:6" x14ac:dyDescent="0.25">
      <c r="A516" t="s">
        <v>620</v>
      </c>
      <c r="B516" t="s">
        <v>621</v>
      </c>
      <c r="C516" t="s">
        <v>300</v>
      </c>
      <c r="D516" t="s">
        <v>247</v>
      </c>
      <c r="E516" t="str">
        <f>INDEX('State Codes'!$E$7:$E$70,MATCH(INDEX('State Codes'!$C$7:$C$70,MATCH('County Climates'!B516,'State Codes'!$D$7:$D$70,0),1),'State Codes'!$C$7:$C$70,0),1)</f>
        <v>West North Central Division</v>
      </c>
      <c r="F516">
        <f>INDEX('CBECS_Table B5'!$C$6:$K$6,1,MATCH('County Climates'!E516,'CBECS_Table B5'!$C$1:$K$1,0))</f>
        <v>6178</v>
      </c>
    </row>
    <row r="517" spans="1:6" x14ac:dyDescent="0.25">
      <c r="A517" t="s">
        <v>620</v>
      </c>
      <c r="B517" t="s">
        <v>621</v>
      </c>
      <c r="C517" t="s">
        <v>339</v>
      </c>
      <c r="D517" t="s">
        <v>247</v>
      </c>
      <c r="E517" t="str">
        <f>INDEX('State Codes'!$E$7:$E$70,MATCH(INDEX('State Codes'!$C$7:$C$70,MATCH('County Climates'!B517,'State Codes'!$D$7:$D$70,0),1),'State Codes'!$C$7:$C$70,0),1)</f>
        <v>West North Central Division</v>
      </c>
      <c r="F517">
        <f>INDEX('CBECS_Table B5'!$C$6:$K$6,1,MATCH('County Climates'!E517,'CBECS_Table B5'!$C$1:$K$1,0))</f>
        <v>6178</v>
      </c>
    </row>
    <row r="518" spans="1:6" x14ac:dyDescent="0.25">
      <c r="A518" t="s">
        <v>620</v>
      </c>
      <c r="B518" t="s">
        <v>621</v>
      </c>
      <c r="C518" t="s">
        <v>340</v>
      </c>
      <c r="D518" t="s">
        <v>228</v>
      </c>
      <c r="E518" t="str">
        <f>INDEX('State Codes'!$E$7:$E$70,MATCH(INDEX('State Codes'!$C$7:$C$70,MATCH('County Climates'!B518,'State Codes'!$D$7:$D$70,0),1),'State Codes'!$C$7:$C$70,0),1)</f>
        <v>West North Central Division</v>
      </c>
      <c r="F518">
        <f>INDEX('CBECS_Table B5'!$C$6:$K$6,1,MATCH('County Climates'!E518,'CBECS_Table B5'!$C$1:$K$1,0))</f>
        <v>6178</v>
      </c>
    </row>
    <row r="519" spans="1:6" x14ac:dyDescent="0.25">
      <c r="A519" t="s">
        <v>620</v>
      </c>
      <c r="B519" t="s">
        <v>621</v>
      </c>
      <c r="C519" t="s">
        <v>403</v>
      </c>
      <c r="D519" t="s">
        <v>247</v>
      </c>
      <c r="E519" t="str">
        <f>INDEX('State Codes'!$E$7:$E$70,MATCH(INDEX('State Codes'!$C$7:$C$70,MATCH('County Climates'!B519,'State Codes'!$D$7:$D$70,0),1),'State Codes'!$C$7:$C$70,0),1)</f>
        <v>West North Central Division</v>
      </c>
      <c r="F519">
        <f>INDEX('CBECS_Table B5'!$C$6:$K$6,1,MATCH('County Climates'!E519,'CBECS_Table B5'!$C$1:$K$1,0))</f>
        <v>6178</v>
      </c>
    </row>
    <row r="520" spans="1:6" x14ac:dyDescent="0.25">
      <c r="A520" t="s">
        <v>669</v>
      </c>
      <c r="B520" t="s">
        <v>670</v>
      </c>
      <c r="C520" t="s">
        <v>671</v>
      </c>
      <c r="D520" t="s">
        <v>247</v>
      </c>
      <c r="E520" t="str">
        <f>INDEX('State Codes'!$E$7:$E$70,MATCH(INDEX('State Codes'!$C$7:$C$70,MATCH('County Climates'!B520,'State Codes'!$D$7:$D$70,0),1),'State Codes'!$C$7:$C$70,0),1)</f>
        <v>East South Central Division</v>
      </c>
      <c r="F520">
        <f>INDEX('CBECS_Table B5'!$C$6:$K$6,1,MATCH('County Climates'!E520,'CBECS_Table B5'!$C$1:$K$1,0))</f>
        <v>4904</v>
      </c>
    </row>
    <row r="521" spans="1:6" x14ac:dyDescent="0.25">
      <c r="A521" t="s">
        <v>669</v>
      </c>
      <c r="B521" t="s">
        <v>670</v>
      </c>
      <c r="C521" t="s">
        <v>612</v>
      </c>
      <c r="D521" t="s">
        <v>247</v>
      </c>
      <c r="E521" t="str">
        <f>INDEX('State Codes'!$E$7:$E$70,MATCH(INDEX('State Codes'!$C$7:$C$70,MATCH('County Climates'!B521,'State Codes'!$D$7:$D$70,0),1),'State Codes'!$C$7:$C$70,0),1)</f>
        <v>East South Central Division</v>
      </c>
      <c r="F521">
        <f>INDEX('CBECS_Table B5'!$C$6:$K$6,1,MATCH('County Climates'!E521,'CBECS_Table B5'!$C$1:$K$1,0))</f>
        <v>4904</v>
      </c>
    </row>
    <row r="522" spans="1:6" x14ac:dyDescent="0.25">
      <c r="A522" t="s">
        <v>669</v>
      </c>
      <c r="B522" t="s">
        <v>670</v>
      </c>
      <c r="C522" t="s">
        <v>672</v>
      </c>
      <c r="D522" t="s">
        <v>247</v>
      </c>
      <c r="E522" t="str">
        <f>INDEX('State Codes'!$E$7:$E$70,MATCH(INDEX('State Codes'!$C$7:$C$70,MATCH('County Climates'!B522,'State Codes'!$D$7:$D$70,0),1),'State Codes'!$C$7:$C$70,0),1)</f>
        <v>East South Central Division</v>
      </c>
      <c r="F522">
        <f>INDEX('CBECS_Table B5'!$C$6:$K$6,1,MATCH('County Climates'!E522,'CBECS_Table B5'!$C$1:$K$1,0))</f>
        <v>4904</v>
      </c>
    </row>
    <row r="523" spans="1:6" x14ac:dyDescent="0.25">
      <c r="A523" t="s">
        <v>669</v>
      </c>
      <c r="B523" t="s">
        <v>670</v>
      </c>
      <c r="C523" t="s">
        <v>673</v>
      </c>
      <c r="D523" t="s">
        <v>247</v>
      </c>
      <c r="E523" t="str">
        <f>INDEX('State Codes'!$E$7:$E$70,MATCH(INDEX('State Codes'!$C$7:$C$70,MATCH('County Climates'!B523,'State Codes'!$D$7:$D$70,0),1),'State Codes'!$C$7:$C$70,0),1)</f>
        <v>East South Central Division</v>
      </c>
      <c r="F523">
        <f>INDEX('CBECS_Table B5'!$C$6:$K$6,1,MATCH('County Climates'!E523,'CBECS_Table B5'!$C$1:$K$1,0))</f>
        <v>4904</v>
      </c>
    </row>
    <row r="524" spans="1:6" x14ac:dyDescent="0.25">
      <c r="A524" t="s">
        <v>669</v>
      </c>
      <c r="B524" t="s">
        <v>670</v>
      </c>
      <c r="C524" t="s">
        <v>277</v>
      </c>
      <c r="D524" t="s">
        <v>247</v>
      </c>
      <c r="E524" t="str">
        <f>INDEX('State Codes'!$E$7:$E$70,MATCH(INDEX('State Codes'!$C$7:$C$70,MATCH('County Climates'!B524,'State Codes'!$D$7:$D$70,0),1),'State Codes'!$C$7:$C$70,0),1)</f>
        <v>East South Central Division</v>
      </c>
      <c r="F524">
        <f>INDEX('CBECS_Table B5'!$C$6:$K$6,1,MATCH('County Climates'!E524,'CBECS_Table B5'!$C$1:$K$1,0))</f>
        <v>4904</v>
      </c>
    </row>
    <row r="525" spans="1:6" x14ac:dyDescent="0.25">
      <c r="A525" t="s">
        <v>669</v>
      </c>
      <c r="B525" t="s">
        <v>670</v>
      </c>
      <c r="C525" t="s">
        <v>674</v>
      </c>
      <c r="D525" t="s">
        <v>247</v>
      </c>
      <c r="E525" t="str">
        <f>INDEX('State Codes'!$E$7:$E$70,MATCH(INDEX('State Codes'!$C$7:$C$70,MATCH('County Climates'!B525,'State Codes'!$D$7:$D$70,0),1),'State Codes'!$C$7:$C$70,0),1)</f>
        <v>East South Central Division</v>
      </c>
      <c r="F525">
        <f>INDEX('CBECS_Table B5'!$C$6:$K$6,1,MATCH('County Climates'!E525,'CBECS_Table B5'!$C$1:$K$1,0))</f>
        <v>4904</v>
      </c>
    </row>
    <row r="526" spans="1:6" x14ac:dyDescent="0.25">
      <c r="A526" t="s">
        <v>669</v>
      </c>
      <c r="B526" t="s">
        <v>670</v>
      </c>
      <c r="C526" t="s">
        <v>675</v>
      </c>
      <c r="D526" t="s">
        <v>247</v>
      </c>
      <c r="E526" t="str">
        <f>INDEX('State Codes'!$E$7:$E$70,MATCH(INDEX('State Codes'!$C$7:$C$70,MATCH('County Climates'!B526,'State Codes'!$D$7:$D$70,0),1),'State Codes'!$C$7:$C$70,0),1)</f>
        <v>East South Central Division</v>
      </c>
      <c r="F526">
        <f>INDEX('CBECS_Table B5'!$C$6:$K$6,1,MATCH('County Climates'!E526,'CBECS_Table B5'!$C$1:$K$1,0))</f>
        <v>4904</v>
      </c>
    </row>
    <row r="527" spans="1:6" x14ac:dyDescent="0.25">
      <c r="A527" t="s">
        <v>669</v>
      </c>
      <c r="B527" t="s">
        <v>670</v>
      </c>
      <c r="C527" t="s">
        <v>279</v>
      </c>
      <c r="D527" t="s">
        <v>247</v>
      </c>
      <c r="E527" t="str">
        <f>INDEX('State Codes'!$E$7:$E$70,MATCH(INDEX('State Codes'!$C$7:$C$70,MATCH('County Climates'!B527,'State Codes'!$D$7:$D$70,0),1),'State Codes'!$C$7:$C$70,0),1)</f>
        <v>East South Central Division</v>
      </c>
      <c r="F527">
        <f>INDEX('CBECS_Table B5'!$C$6:$K$6,1,MATCH('County Climates'!E527,'CBECS_Table B5'!$C$1:$K$1,0))</f>
        <v>4904</v>
      </c>
    </row>
    <row r="528" spans="1:6" x14ac:dyDescent="0.25">
      <c r="A528" t="s">
        <v>669</v>
      </c>
      <c r="B528" t="s">
        <v>670</v>
      </c>
      <c r="C528" t="s">
        <v>280</v>
      </c>
      <c r="D528" t="s">
        <v>247</v>
      </c>
      <c r="E528" t="str">
        <f>INDEX('State Codes'!$E$7:$E$70,MATCH(INDEX('State Codes'!$C$7:$C$70,MATCH('County Climates'!B528,'State Codes'!$D$7:$D$70,0),1),'State Codes'!$C$7:$C$70,0),1)</f>
        <v>East South Central Division</v>
      </c>
      <c r="F528">
        <f>INDEX('CBECS_Table B5'!$C$6:$K$6,1,MATCH('County Climates'!E528,'CBECS_Table B5'!$C$1:$K$1,0))</f>
        <v>4904</v>
      </c>
    </row>
    <row r="529" spans="1:6" x14ac:dyDescent="0.25">
      <c r="A529" t="s">
        <v>669</v>
      </c>
      <c r="B529" t="s">
        <v>670</v>
      </c>
      <c r="C529" t="s">
        <v>676</v>
      </c>
      <c r="D529" t="s">
        <v>247</v>
      </c>
      <c r="E529" t="str">
        <f>INDEX('State Codes'!$E$7:$E$70,MATCH(INDEX('State Codes'!$C$7:$C$70,MATCH('County Climates'!B529,'State Codes'!$D$7:$D$70,0),1),'State Codes'!$C$7:$C$70,0),1)</f>
        <v>East South Central Division</v>
      </c>
      <c r="F529">
        <f>INDEX('CBECS_Table B5'!$C$6:$K$6,1,MATCH('County Climates'!E529,'CBECS_Table B5'!$C$1:$K$1,0))</f>
        <v>4904</v>
      </c>
    </row>
    <row r="530" spans="1:6" x14ac:dyDescent="0.25">
      <c r="A530" t="s">
        <v>669</v>
      </c>
      <c r="B530" t="s">
        <v>670</v>
      </c>
      <c r="C530" t="s">
        <v>322</v>
      </c>
      <c r="D530" t="s">
        <v>247</v>
      </c>
      <c r="E530" t="str">
        <f>INDEX('State Codes'!$E$7:$E$70,MATCH(INDEX('State Codes'!$C$7:$C$70,MATCH('County Climates'!B530,'State Codes'!$D$7:$D$70,0),1),'State Codes'!$C$7:$C$70,0),1)</f>
        <v>East South Central Division</v>
      </c>
      <c r="F530">
        <f>INDEX('CBECS_Table B5'!$C$6:$K$6,1,MATCH('County Climates'!E530,'CBECS_Table B5'!$C$1:$K$1,0))</f>
        <v>4904</v>
      </c>
    </row>
    <row r="531" spans="1:6" x14ac:dyDescent="0.25">
      <c r="A531" t="s">
        <v>669</v>
      </c>
      <c r="B531" t="s">
        <v>670</v>
      </c>
      <c r="C531" t="s">
        <v>677</v>
      </c>
      <c r="D531" t="s">
        <v>247</v>
      </c>
      <c r="E531" t="str">
        <f>INDEX('State Codes'!$E$7:$E$70,MATCH(INDEX('State Codes'!$C$7:$C$70,MATCH('County Climates'!B531,'State Codes'!$D$7:$D$70,0),1),'State Codes'!$C$7:$C$70,0),1)</f>
        <v>East South Central Division</v>
      </c>
      <c r="F531">
        <f>INDEX('CBECS_Table B5'!$C$6:$K$6,1,MATCH('County Climates'!E531,'CBECS_Table B5'!$C$1:$K$1,0))</f>
        <v>4904</v>
      </c>
    </row>
    <row r="532" spans="1:6" x14ac:dyDescent="0.25">
      <c r="A532" t="s">
        <v>669</v>
      </c>
      <c r="B532" t="s">
        <v>670</v>
      </c>
      <c r="C532" t="s">
        <v>678</v>
      </c>
      <c r="D532" t="s">
        <v>247</v>
      </c>
      <c r="E532" t="str">
        <f>INDEX('State Codes'!$E$7:$E$70,MATCH(INDEX('State Codes'!$C$7:$C$70,MATCH('County Climates'!B532,'State Codes'!$D$7:$D$70,0),1),'State Codes'!$C$7:$C$70,0),1)</f>
        <v>East South Central Division</v>
      </c>
      <c r="F532">
        <f>INDEX('CBECS_Table B5'!$C$6:$K$6,1,MATCH('County Climates'!E532,'CBECS_Table B5'!$C$1:$K$1,0))</f>
        <v>4904</v>
      </c>
    </row>
    <row r="533" spans="1:6" x14ac:dyDescent="0.25">
      <c r="A533" t="s">
        <v>669</v>
      </c>
      <c r="B533" t="s">
        <v>670</v>
      </c>
      <c r="C533" t="s">
        <v>679</v>
      </c>
      <c r="D533" t="s">
        <v>247</v>
      </c>
      <c r="E533" t="str">
        <f>INDEX('State Codes'!$E$7:$E$70,MATCH(INDEX('State Codes'!$C$7:$C$70,MATCH('County Climates'!B533,'State Codes'!$D$7:$D$70,0),1),'State Codes'!$C$7:$C$70,0),1)</f>
        <v>East South Central Division</v>
      </c>
      <c r="F533">
        <f>INDEX('CBECS_Table B5'!$C$6:$K$6,1,MATCH('County Climates'!E533,'CBECS_Table B5'!$C$1:$K$1,0))</f>
        <v>4904</v>
      </c>
    </row>
    <row r="534" spans="1:6" x14ac:dyDescent="0.25">
      <c r="A534" t="s">
        <v>669</v>
      </c>
      <c r="B534" t="s">
        <v>670</v>
      </c>
      <c r="C534" t="s">
        <v>680</v>
      </c>
      <c r="D534" t="s">
        <v>247</v>
      </c>
      <c r="E534" t="str">
        <f>INDEX('State Codes'!$E$7:$E$70,MATCH(INDEX('State Codes'!$C$7:$C$70,MATCH('County Climates'!B534,'State Codes'!$D$7:$D$70,0),1),'State Codes'!$C$7:$C$70,0),1)</f>
        <v>East South Central Division</v>
      </c>
      <c r="F534">
        <f>INDEX('CBECS_Table B5'!$C$6:$K$6,1,MATCH('County Climates'!E534,'CBECS_Table B5'!$C$1:$K$1,0))</f>
        <v>4904</v>
      </c>
    </row>
    <row r="535" spans="1:6" x14ac:dyDescent="0.25">
      <c r="A535" t="s">
        <v>669</v>
      </c>
      <c r="B535" t="s">
        <v>670</v>
      </c>
      <c r="C535" t="s">
        <v>681</v>
      </c>
      <c r="D535" t="s">
        <v>247</v>
      </c>
      <c r="E535" t="str">
        <f>INDEX('State Codes'!$E$7:$E$70,MATCH(INDEX('State Codes'!$C$7:$C$70,MATCH('County Climates'!B535,'State Codes'!$D$7:$D$70,0),1),'State Codes'!$C$7:$C$70,0),1)</f>
        <v>East South Central Division</v>
      </c>
      <c r="F535">
        <f>INDEX('CBECS_Table B5'!$C$6:$K$6,1,MATCH('County Climates'!E535,'CBECS_Table B5'!$C$1:$K$1,0))</f>
        <v>4904</v>
      </c>
    </row>
    <row r="536" spans="1:6" x14ac:dyDescent="0.25">
      <c r="A536" t="s">
        <v>669</v>
      </c>
      <c r="B536" t="s">
        <v>670</v>
      </c>
      <c r="C536" t="s">
        <v>283</v>
      </c>
      <c r="D536" t="s">
        <v>247</v>
      </c>
      <c r="E536" t="str">
        <f>INDEX('State Codes'!$E$7:$E$70,MATCH(INDEX('State Codes'!$C$7:$C$70,MATCH('County Climates'!B536,'State Codes'!$D$7:$D$70,0),1),'State Codes'!$C$7:$C$70,0),1)</f>
        <v>East South Central Division</v>
      </c>
      <c r="F536">
        <f>INDEX('CBECS_Table B5'!$C$6:$K$6,1,MATCH('County Climates'!E536,'CBECS_Table B5'!$C$1:$K$1,0))</f>
        <v>4904</v>
      </c>
    </row>
    <row r="537" spans="1:6" x14ac:dyDescent="0.25">
      <c r="A537" t="s">
        <v>669</v>
      </c>
      <c r="B537" t="s">
        <v>670</v>
      </c>
      <c r="C537" t="s">
        <v>284</v>
      </c>
      <c r="D537" t="s">
        <v>247</v>
      </c>
      <c r="E537" t="str">
        <f>INDEX('State Codes'!$E$7:$E$70,MATCH(INDEX('State Codes'!$C$7:$C$70,MATCH('County Climates'!B537,'State Codes'!$D$7:$D$70,0),1),'State Codes'!$C$7:$C$70,0),1)</f>
        <v>East South Central Division</v>
      </c>
      <c r="F537">
        <f>INDEX('CBECS_Table B5'!$C$6:$K$6,1,MATCH('County Climates'!E537,'CBECS_Table B5'!$C$1:$K$1,0))</f>
        <v>4904</v>
      </c>
    </row>
    <row r="538" spans="1:6" x14ac:dyDescent="0.25">
      <c r="A538" t="s">
        <v>669</v>
      </c>
      <c r="B538" t="s">
        <v>670</v>
      </c>
      <c r="C538" t="s">
        <v>682</v>
      </c>
      <c r="D538" t="s">
        <v>247</v>
      </c>
      <c r="E538" t="str">
        <f>INDEX('State Codes'!$E$7:$E$70,MATCH(INDEX('State Codes'!$C$7:$C$70,MATCH('County Climates'!B538,'State Codes'!$D$7:$D$70,0),1),'State Codes'!$C$7:$C$70,0),1)</f>
        <v>East South Central Division</v>
      </c>
      <c r="F538">
        <f>INDEX('CBECS_Table B5'!$C$6:$K$6,1,MATCH('County Climates'!E538,'CBECS_Table B5'!$C$1:$K$1,0))</f>
        <v>4904</v>
      </c>
    </row>
    <row r="539" spans="1:6" x14ac:dyDescent="0.25">
      <c r="A539" t="s">
        <v>669</v>
      </c>
      <c r="B539" t="s">
        <v>670</v>
      </c>
      <c r="C539" t="s">
        <v>683</v>
      </c>
      <c r="D539" t="s">
        <v>247</v>
      </c>
      <c r="E539" t="str">
        <f>INDEX('State Codes'!$E$7:$E$70,MATCH(INDEX('State Codes'!$C$7:$C$70,MATCH('County Climates'!B539,'State Codes'!$D$7:$D$70,0),1),'State Codes'!$C$7:$C$70,0),1)</f>
        <v>East South Central Division</v>
      </c>
      <c r="F539">
        <f>INDEX('CBECS_Table B5'!$C$6:$K$6,1,MATCH('County Climates'!E539,'CBECS_Table B5'!$C$1:$K$1,0))</f>
        <v>4904</v>
      </c>
    </row>
    <row r="540" spans="1:6" x14ac:dyDescent="0.25">
      <c r="A540" t="s">
        <v>669</v>
      </c>
      <c r="B540" t="s">
        <v>670</v>
      </c>
      <c r="C540" t="s">
        <v>540</v>
      </c>
      <c r="D540" t="s">
        <v>247</v>
      </c>
      <c r="E540" t="str">
        <f>INDEX('State Codes'!$E$7:$E$70,MATCH(INDEX('State Codes'!$C$7:$C$70,MATCH('County Climates'!B540,'State Codes'!$D$7:$D$70,0),1),'State Codes'!$C$7:$C$70,0),1)</f>
        <v>East South Central Division</v>
      </c>
      <c r="F540">
        <f>INDEX('CBECS_Table B5'!$C$6:$K$6,1,MATCH('County Climates'!E540,'CBECS_Table B5'!$C$1:$K$1,0))</f>
        <v>4904</v>
      </c>
    </row>
    <row r="541" spans="1:6" x14ac:dyDescent="0.25">
      <c r="A541" t="s">
        <v>669</v>
      </c>
      <c r="B541" t="s">
        <v>670</v>
      </c>
      <c r="C541" t="s">
        <v>324</v>
      </c>
      <c r="D541" t="s">
        <v>247</v>
      </c>
      <c r="E541" t="str">
        <f>INDEX('State Codes'!$E$7:$E$70,MATCH(INDEX('State Codes'!$C$7:$C$70,MATCH('County Climates'!B541,'State Codes'!$D$7:$D$70,0),1),'State Codes'!$C$7:$C$70,0),1)</f>
        <v>East South Central Division</v>
      </c>
      <c r="F541">
        <f>INDEX('CBECS_Table B5'!$C$6:$K$6,1,MATCH('County Climates'!E541,'CBECS_Table B5'!$C$1:$K$1,0))</f>
        <v>4904</v>
      </c>
    </row>
    <row r="542" spans="1:6" x14ac:dyDescent="0.25">
      <c r="A542" t="s">
        <v>669</v>
      </c>
      <c r="B542" t="s">
        <v>670</v>
      </c>
      <c r="C542" t="s">
        <v>684</v>
      </c>
      <c r="D542" t="s">
        <v>247</v>
      </c>
      <c r="E542" t="str">
        <f>INDEX('State Codes'!$E$7:$E$70,MATCH(INDEX('State Codes'!$C$7:$C$70,MATCH('County Climates'!B542,'State Codes'!$D$7:$D$70,0),1),'State Codes'!$C$7:$C$70,0),1)</f>
        <v>East South Central Division</v>
      </c>
      <c r="F542">
        <f>INDEX('CBECS_Table B5'!$C$6:$K$6,1,MATCH('County Climates'!E542,'CBECS_Table B5'!$C$1:$K$1,0))</f>
        <v>4904</v>
      </c>
    </row>
    <row r="543" spans="1:6" x14ac:dyDescent="0.25">
      <c r="A543" t="s">
        <v>669</v>
      </c>
      <c r="B543" t="s">
        <v>670</v>
      </c>
      <c r="C543" t="s">
        <v>326</v>
      </c>
      <c r="D543" t="s">
        <v>247</v>
      </c>
      <c r="E543" t="str">
        <f>INDEX('State Codes'!$E$7:$E$70,MATCH(INDEX('State Codes'!$C$7:$C$70,MATCH('County Climates'!B543,'State Codes'!$D$7:$D$70,0),1),'State Codes'!$C$7:$C$70,0),1)</f>
        <v>East South Central Division</v>
      </c>
      <c r="F543">
        <f>INDEX('CBECS_Table B5'!$C$6:$K$6,1,MATCH('County Climates'!E543,'CBECS_Table B5'!$C$1:$K$1,0))</f>
        <v>4904</v>
      </c>
    </row>
    <row r="544" spans="1:6" x14ac:dyDescent="0.25">
      <c r="A544" t="s">
        <v>669</v>
      </c>
      <c r="B544" t="s">
        <v>670</v>
      </c>
      <c r="C544" t="s">
        <v>645</v>
      </c>
      <c r="D544" t="s">
        <v>247</v>
      </c>
      <c r="E544" t="str">
        <f>INDEX('State Codes'!$E$7:$E$70,MATCH(INDEX('State Codes'!$C$7:$C$70,MATCH('County Climates'!B544,'State Codes'!$D$7:$D$70,0),1),'State Codes'!$C$7:$C$70,0),1)</f>
        <v>East South Central Division</v>
      </c>
      <c r="F544">
        <f>INDEX('CBECS_Table B5'!$C$6:$K$6,1,MATCH('County Climates'!E544,'CBECS_Table B5'!$C$1:$K$1,0))</f>
        <v>4904</v>
      </c>
    </row>
    <row r="545" spans="1:6" x14ac:dyDescent="0.25">
      <c r="A545" t="s">
        <v>669</v>
      </c>
      <c r="B545" t="s">
        <v>670</v>
      </c>
      <c r="C545" t="s">
        <v>288</v>
      </c>
      <c r="D545" t="s">
        <v>247</v>
      </c>
      <c r="E545" t="str">
        <f>INDEX('State Codes'!$E$7:$E$70,MATCH(INDEX('State Codes'!$C$7:$C$70,MATCH('County Climates'!B545,'State Codes'!$D$7:$D$70,0),1),'State Codes'!$C$7:$C$70,0),1)</f>
        <v>East South Central Division</v>
      </c>
      <c r="F545">
        <f>INDEX('CBECS_Table B5'!$C$6:$K$6,1,MATCH('County Climates'!E545,'CBECS_Table B5'!$C$1:$K$1,0))</f>
        <v>4904</v>
      </c>
    </row>
    <row r="546" spans="1:6" x14ac:dyDescent="0.25">
      <c r="A546" t="s">
        <v>669</v>
      </c>
      <c r="B546" t="s">
        <v>670</v>
      </c>
      <c r="C546" t="s">
        <v>685</v>
      </c>
      <c r="D546" t="s">
        <v>247</v>
      </c>
      <c r="E546" t="str">
        <f>INDEX('State Codes'!$E$7:$E$70,MATCH(INDEX('State Codes'!$C$7:$C$70,MATCH('County Climates'!B546,'State Codes'!$D$7:$D$70,0),1),'State Codes'!$C$7:$C$70,0),1)</f>
        <v>East South Central Division</v>
      </c>
      <c r="F546">
        <f>INDEX('CBECS_Table B5'!$C$6:$K$6,1,MATCH('County Climates'!E546,'CBECS_Table B5'!$C$1:$K$1,0))</f>
        <v>4904</v>
      </c>
    </row>
    <row r="547" spans="1:6" x14ac:dyDescent="0.25">
      <c r="A547" t="s">
        <v>669</v>
      </c>
      <c r="B547" t="s">
        <v>670</v>
      </c>
      <c r="C547" t="s">
        <v>290</v>
      </c>
      <c r="D547" t="s">
        <v>247</v>
      </c>
      <c r="E547" t="str">
        <f>INDEX('State Codes'!$E$7:$E$70,MATCH(INDEX('State Codes'!$C$7:$C$70,MATCH('County Climates'!B547,'State Codes'!$D$7:$D$70,0),1),'State Codes'!$C$7:$C$70,0),1)</f>
        <v>East South Central Division</v>
      </c>
      <c r="F547">
        <f>INDEX('CBECS_Table B5'!$C$6:$K$6,1,MATCH('County Climates'!E547,'CBECS_Table B5'!$C$1:$K$1,0))</f>
        <v>4904</v>
      </c>
    </row>
    <row r="548" spans="1:6" x14ac:dyDescent="0.25">
      <c r="A548" t="s">
        <v>669</v>
      </c>
      <c r="B548" t="s">
        <v>670</v>
      </c>
      <c r="C548" t="s">
        <v>291</v>
      </c>
      <c r="D548" t="s">
        <v>247</v>
      </c>
      <c r="E548" t="str">
        <f>INDEX('State Codes'!$E$7:$E$70,MATCH(INDEX('State Codes'!$C$7:$C$70,MATCH('County Climates'!B548,'State Codes'!$D$7:$D$70,0),1),'State Codes'!$C$7:$C$70,0),1)</f>
        <v>East South Central Division</v>
      </c>
      <c r="F548">
        <f>INDEX('CBECS_Table B5'!$C$6:$K$6,1,MATCH('County Climates'!E548,'CBECS_Table B5'!$C$1:$K$1,0))</f>
        <v>4904</v>
      </c>
    </row>
    <row r="549" spans="1:6" x14ac:dyDescent="0.25">
      <c r="A549" t="s">
        <v>669</v>
      </c>
      <c r="B549" t="s">
        <v>670</v>
      </c>
      <c r="C549" t="s">
        <v>686</v>
      </c>
      <c r="D549" t="s">
        <v>247</v>
      </c>
      <c r="E549" t="str">
        <f>INDEX('State Codes'!$E$7:$E$70,MATCH(INDEX('State Codes'!$C$7:$C$70,MATCH('County Climates'!B549,'State Codes'!$D$7:$D$70,0),1),'State Codes'!$C$7:$C$70,0),1)</f>
        <v>East South Central Division</v>
      </c>
      <c r="F549">
        <f>INDEX('CBECS_Table B5'!$C$6:$K$6,1,MATCH('County Climates'!E549,'CBECS_Table B5'!$C$1:$K$1,0))</f>
        <v>4904</v>
      </c>
    </row>
    <row r="550" spans="1:6" x14ac:dyDescent="0.25">
      <c r="A550" t="s">
        <v>669</v>
      </c>
      <c r="B550" t="s">
        <v>670</v>
      </c>
      <c r="C550" t="s">
        <v>545</v>
      </c>
      <c r="D550" t="s">
        <v>247</v>
      </c>
      <c r="E550" t="str">
        <f>INDEX('State Codes'!$E$7:$E$70,MATCH(INDEX('State Codes'!$C$7:$C$70,MATCH('County Climates'!B550,'State Codes'!$D$7:$D$70,0),1),'State Codes'!$C$7:$C$70,0),1)</f>
        <v>East South Central Division</v>
      </c>
      <c r="F550">
        <f>INDEX('CBECS_Table B5'!$C$6:$K$6,1,MATCH('County Climates'!E550,'CBECS_Table B5'!$C$1:$K$1,0))</f>
        <v>4904</v>
      </c>
    </row>
    <row r="551" spans="1:6" x14ac:dyDescent="0.25">
      <c r="A551" t="s">
        <v>669</v>
      </c>
      <c r="B551" t="s">
        <v>670</v>
      </c>
      <c r="C551" t="s">
        <v>687</v>
      </c>
      <c r="D551" t="s">
        <v>247</v>
      </c>
      <c r="E551" t="str">
        <f>INDEX('State Codes'!$E$7:$E$70,MATCH(INDEX('State Codes'!$C$7:$C$70,MATCH('County Climates'!B551,'State Codes'!$D$7:$D$70,0),1),'State Codes'!$C$7:$C$70,0),1)</f>
        <v>East South Central Division</v>
      </c>
      <c r="F551">
        <f>INDEX('CBECS_Table B5'!$C$6:$K$6,1,MATCH('County Climates'!E551,'CBECS_Table B5'!$C$1:$K$1,0))</f>
        <v>4904</v>
      </c>
    </row>
    <row r="552" spans="1:6" x14ac:dyDescent="0.25">
      <c r="A552" t="s">
        <v>669</v>
      </c>
      <c r="B552" t="s">
        <v>670</v>
      </c>
      <c r="C552" t="s">
        <v>688</v>
      </c>
      <c r="D552" t="s">
        <v>247</v>
      </c>
      <c r="E552" t="str">
        <f>INDEX('State Codes'!$E$7:$E$70,MATCH(INDEX('State Codes'!$C$7:$C$70,MATCH('County Climates'!B552,'State Codes'!$D$7:$D$70,0),1),'State Codes'!$C$7:$C$70,0),1)</f>
        <v>East South Central Division</v>
      </c>
      <c r="F552">
        <f>INDEX('CBECS_Table B5'!$C$6:$K$6,1,MATCH('County Climates'!E552,'CBECS_Table B5'!$C$1:$K$1,0))</f>
        <v>4904</v>
      </c>
    </row>
    <row r="553" spans="1:6" x14ac:dyDescent="0.25">
      <c r="A553" t="s">
        <v>669</v>
      </c>
      <c r="B553" t="s">
        <v>670</v>
      </c>
      <c r="C553" t="s">
        <v>549</v>
      </c>
      <c r="D553" t="s">
        <v>247</v>
      </c>
      <c r="E553" t="str">
        <f>INDEX('State Codes'!$E$7:$E$70,MATCH(INDEX('State Codes'!$C$7:$C$70,MATCH('County Climates'!B553,'State Codes'!$D$7:$D$70,0),1),'State Codes'!$C$7:$C$70,0),1)</f>
        <v>East South Central Division</v>
      </c>
      <c r="F553">
        <f>INDEX('CBECS_Table B5'!$C$6:$K$6,1,MATCH('County Climates'!E553,'CBECS_Table B5'!$C$1:$K$1,0))</f>
        <v>4904</v>
      </c>
    </row>
    <row r="554" spans="1:6" x14ac:dyDescent="0.25">
      <c r="A554" t="s">
        <v>669</v>
      </c>
      <c r="B554" t="s">
        <v>670</v>
      </c>
      <c r="C554" t="s">
        <v>647</v>
      </c>
      <c r="D554" t="s">
        <v>247</v>
      </c>
      <c r="E554" t="str">
        <f>INDEX('State Codes'!$E$7:$E$70,MATCH(INDEX('State Codes'!$C$7:$C$70,MATCH('County Climates'!B554,'State Codes'!$D$7:$D$70,0),1),'State Codes'!$C$7:$C$70,0),1)</f>
        <v>East South Central Division</v>
      </c>
      <c r="F554">
        <f>INDEX('CBECS_Table B5'!$C$6:$K$6,1,MATCH('County Climates'!E554,'CBECS_Table B5'!$C$1:$K$1,0))</f>
        <v>4904</v>
      </c>
    </row>
    <row r="555" spans="1:6" x14ac:dyDescent="0.25">
      <c r="A555" t="s">
        <v>669</v>
      </c>
      <c r="B555" t="s">
        <v>670</v>
      </c>
      <c r="C555" t="s">
        <v>689</v>
      </c>
      <c r="D555" t="s">
        <v>247</v>
      </c>
      <c r="E555" t="str">
        <f>INDEX('State Codes'!$E$7:$E$70,MATCH(INDEX('State Codes'!$C$7:$C$70,MATCH('County Climates'!B555,'State Codes'!$D$7:$D$70,0),1),'State Codes'!$C$7:$C$70,0),1)</f>
        <v>East South Central Division</v>
      </c>
      <c r="F555">
        <f>INDEX('CBECS_Table B5'!$C$6:$K$6,1,MATCH('County Climates'!E555,'CBECS_Table B5'!$C$1:$K$1,0))</f>
        <v>4904</v>
      </c>
    </row>
    <row r="556" spans="1:6" x14ac:dyDescent="0.25">
      <c r="A556" t="s">
        <v>669</v>
      </c>
      <c r="B556" t="s">
        <v>670</v>
      </c>
      <c r="C556" t="s">
        <v>551</v>
      </c>
      <c r="D556" t="s">
        <v>247</v>
      </c>
      <c r="E556" t="str">
        <f>INDEX('State Codes'!$E$7:$E$70,MATCH(INDEX('State Codes'!$C$7:$C$70,MATCH('County Climates'!B556,'State Codes'!$D$7:$D$70,0),1),'State Codes'!$C$7:$C$70,0),1)</f>
        <v>East South Central Division</v>
      </c>
      <c r="F556">
        <f>INDEX('CBECS_Table B5'!$C$6:$K$6,1,MATCH('County Climates'!E556,'CBECS_Table B5'!$C$1:$K$1,0))</f>
        <v>4904</v>
      </c>
    </row>
    <row r="557" spans="1:6" x14ac:dyDescent="0.25">
      <c r="A557" t="s">
        <v>669</v>
      </c>
      <c r="B557" t="s">
        <v>670</v>
      </c>
      <c r="C557" t="s">
        <v>690</v>
      </c>
      <c r="D557" t="s">
        <v>247</v>
      </c>
      <c r="E557" t="str">
        <f>INDEX('State Codes'!$E$7:$E$70,MATCH(INDEX('State Codes'!$C$7:$C$70,MATCH('County Climates'!B557,'State Codes'!$D$7:$D$70,0),1),'State Codes'!$C$7:$C$70,0),1)</f>
        <v>East South Central Division</v>
      </c>
      <c r="F557">
        <f>INDEX('CBECS_Table B5'!$C$6:$K$6,1,MATCH('County Climates'!E557,'CBECS_Table B5'!$C$1:$K$1,0))</f>
        <v>4904</v>
      </c>
    </row>
    <row r="558" spans="1:6" x14ac:dyDescent="0.25">
      <c r="A558" t="s">
        <v>669</v>
      </c>
      <c r="B558" t="s">
        <v>670</v>
      </c>
      <c r="C558" t="s">
        <v>293</v>
      </c>
      <c r="D558" t="s">
        <v>247</v>
      </c>
      <c r="E558" t="str">
        <f>INDEX('State Codes'!$E$7:$E$70,MATCH(INDEX('State Codes'!$C$7:$C$70,MATCH('County Climates'!B558,'State Codes'!$D$7:$D$70,0),1),'State Codes'!$C$7:$C$70,0),1)</f>
        <v>East South Central Division</v>
      </c>
      <c r="F558">
        <f>INDEX('CBECS_Table B5'!$C$6:$K$6,1,MATCH('County Climates'!E558,'CBECS_Table B5'!$C$1:$K$1,0))</f>
        <v>4904</v>
      </c>
    </row>
    <row r="559" spans="1:6" x14ac:dyDescent="0.25">
      <c r="A559" t="s">
        <v>669</v>
      </c>
      <c r="B559" t="s">
        <v>670</v>
      </c>
      <c r="C559" t="s">
        <v>294</v>
      </c>
      <c r="D559" t="s">
        <v>247</v>
      </c>
      <c r="E559" t="str">
        <f>INDEX('State Codes'!$E$7:$E$70,MATCH(INDEX('State Codes'!$C$7:$C$70,MATCH('County Climates'!B559,'State Codes'!$D$7:$D$70,0),1),'State Codes'!$C$7:$C$70,0),1)</f>
        <v>East South Central Division</v>
      </c>
      <c r="F559">
        <f>INDEX('CBECS_Table B5'!$C$6:$K$6,1,MATCH('County Climates'!E559,'CBECS_Table B5'!$C$1:$K$1,0))</f>
        <v>4904</v>
      </c>
    </row>
    <row r="560" spans="1:6" x14ac:dyDescent="0.25">
      <c r="A560" t="s">
        <v>669</v>
      </c>
      <c r="B560" t="s">
        <v>670</v>
      </c>
      <c r="C560" t="s">
        <v>295</v>
      </c>
      <c r="D560" t="s">
        <v>247</v>
      </c>
      <c r="E560" t="str">
        <f>INDEX('State Codes'!$E$7:$E$70,MATCH(INDEX('State Codes'!$C$7:$C$70,MATCH('County Climates'!B560,'State Codes'!$D$7:$D$70,0),1),'State Codes'!$C$7:$C$70,0),1)</f>
        <v>East South Central Division</v>
      </c>
      <c r="F560">
        <f>INDEX('CBECS_Table B5'!$C$6:$K$6,1,MATCH('County Climates'!E560,'CBECS_Table B5'!$C$1:$K$1,0))</f>
        <v>4904</v>
      </c>
    </row>
    <row r="561" spans="1:6" x14ac:dyDescent="0.25">
      <c r="A561" t="s">
        <v>669</v>
      </c>
      <c r="B561" t="s">
        <v>670</v>
      </c>
      <c r="C561" t="s">
        <v>691</v>
      </c>
      <c r="D561" t="s">
        <v>247</v>
      </c>
      <c r="E561" t="str">
        <f>INDEX('State Codes'!$E$7:$E$70,MATCH(INDEX('State Codes'!$C$7:$C$70,MATCH('County Climates'!B561,'State Codes'!$D$7:$D$70,0),1),'State Codes'!$C$7:$C$70,0),1)</f>
        <v>East South Central Division</v>
      </c>
      <c r="F561">
        <f>INDEX('CBECS_Table B5'!$C$6:$K$6,1,MATCH('County Climates'!E561,'CBECS_Table B5'!$C$1:$K$1,0))</f>
        <v>4904</v>
      </c>
    </row>
    <row r="562" spans="1:6" x14ac:dyDescent="0.25">
      <c r="A562" t="s">
        <v>669</v>
      </c>
      <c r="B562" t="s">
        <v>670</v>
      </c>
      <c r="C562" t="s">
        <v>692</v>
      </c>
      <c r="D562" t="s">
        <v>247</v>
      </c>
      <c r="E562" t="str">
        <f>INDEX('State Codes'!$E$7:$E$70,MATCH(INDEX('State Codes'!$C$7:$C$70,MATCH('County Climates'!B562,'State Codes'!$D$7:$D$70,0),1),'State Codes'!$C$7:$C$70,0),1)</f>
        <v>East South Central Division</v>
      </c>
      <c r="F562">
        <f>INDEX('CBECS_Table B5'!$C$6:$K$6,1,MATCH('County Climates'!E562,'CBECS_Table B5'!$C$1:$K$1,0))</f>
        <v>4904</v>
      </c>
    </row>
    <row r="563" spans="1:6" x14ac:dyDescent="0.25">
      <c r="A563" t="s">
        <v>669</v>
      </c>
      <c r="B563" t="s">
        <v>670</v>
      </c>
      <c r="C563" t="s">
        <v>693</v>
      </c>
      <c r="D563" t="s">
        <v>247</v>
      </c>
      <c r="E563" t="str">
        <f>INDEX('State Codes'!$E$7:$E$70,MATCH(INDEX('State Codes'!$C$7:$C$70,MATCH('County Climates'!B563,'State Codes'!$D$7:$D$70,0),1),'State Codes'!$C$7:$C$70,0),1)</f>
        <v>East South Central Division</v>
      </c>
      <c r="F563">
        <f>INDEX('CBECS_Table B5'!$C$6:$K$6,1,MATCH('County Climates'!E563,'CBECS_Table B5'!$C$1:$K$1,0))</f>
        <v>4904</v>
      </c>
    </row>
    <row r="564" spans="1:6" x14ac:dyDescent="0.25">
      <c r="A564" t="s">
        <v>669</v>
      </c>
      <c r="B564" t="s">
        <v>670</v>
      </c>
      <c r="C564" t="s">
        <v>694</v>
      </c>
      <c r="D564" t="s">
        <v>247</v>
      </c>
      <c r="E564" t="str">
        <f>INDEX('State Codes'!$E$7:$E$70,MATCH(INDEX('State Codes'!$C$7:$C$70,MATCH('County Climates'!B564,'State Codes'!$D$7:$D$70,0),1),'State Codes'!$C$7:$C$70,0),1)</f>
        <v>East South Central Division</v>
      </c>
      <c r="F564">
        <f>INDEX('CBECS_Table B5'!$C$6:$K$6,1,MATCH('County Climates'!E564,'CBECS_Table B5'!$C$1:$K$1,0))</f>
        <v>4904</v>
      </c>
    </row>
    <row r="565" spans="1:6" x14ac:dyDescent="0.25">
      <c r="A565" t="s">
        <v>669</v>
      </c>
      <c r="B565" t="s">
        <v>670</v>
      </c>
      <c r="C565" t="s">
        <v>695</v>
      </c>
      <c r="D565" t="s">
        <v>247</v>
      </c>
      <c r="E565" t="str">
        <f>INDEX('State Codes'!$E$7:$E$70,MATCH(INDEX('State Codes'!$C$7:$C$70,MATCH('County Climates'!B565,'State Codes'!$D$7:$D$70,0),1),'State Codes'!$C$7:$C$70,0),1)</f>
        <v>East South Central Division</v>
      </c>
      <c r="F565">
        <f>INDEX('CBECS_Table B5'!$C$6:$K$6,1,MATCH('County Climates'!E565,'CBECS_Table B5'!$C$1:$K$1,0))</f>
        <v>4904</v>
      </c>
    </row>
    <row r="566" spans="1:6" x14ac:dyDescent="0.25">
      <c r="A566" t="s">
        <v>669</v>
      </c>
      <c r="B566" t="s">
        <v>670</v>
      </c>
      <c r="C566" t="s">
        <v>696</v>
      </c>
      <c r="D566" t="s">
        <v>247</v>
      </c>
      <c r="E566" t="str">
        <f>INDEX('State Codes'!$E$7:$E$70,MATCH(INDEX('State Codes'!$C$7:$C$70,MATCH('County Climates'!B566,'State Codes'!$D$7:$D$70,0),1),'State Codes'!$C$7:$C$70,0),1)</f>
        <v>East South Central Division</v>
      </c>
      <c r="F566">
        <f>INDEX('CBECS_Table B5'!$C$6:$K$6,1,MATCH('County Climates'!E566,'CBECS_Table B5'!$C$1:$K$1,0))</f>
        <v>4904</v>
      </c>
    </row>
    <row r="567" spans="1:6" x14ac:dyDescent="0.25">
      <c r="A567" t="s">
        <v>669</v>
      </c>
      <c r="B567" t="s">
        <v>670</v>
      </c>
      <c r="C567" t="s">
        <v>697</v>
      </c>
      <c r="D567" t="s">
        <v>247</v>
      </c>
      <c r="E567" t="str">
        <f>INDEX('State Codes'!$E$7:$E$70,MATCH(INDEX('State Codes'!$C$7:$C$70,MATCH('County Climates'!B567,'State Codes'!$D$7:$D$70,0),1),'State Codes'!$C$7:$C$70,0),1)</f>
        <v>East South Central Division</v>
      </c>
      <c r="F567">
        <f>INDEX('CBECS_Table B5'!$C$6:$K$6,1,MATCH('County Climates'!E567,'CBECS_Table B5'!$C$1:$K$1,0))</f>
        <v>4904</v>
      </c>
    </row>
    <row r="568" spans="1:6" x14ac:dyDescent="0.25">
      <c r="A568" t="s">
        <v>669</v>
      </c>
      <c r="B568" t="s">
        <v>670</v>
      </c>
      <c r="C568" t="s">
        <v>698</v>
      </c>
      <c r="D568" t="s">
        <v>247</v>
      </c>
      <c r="E568" t="str">
        <f>INDEX('State Codes'!$E$7:$E$70,MATCH(INDEX('State Codes'!$C$7:$C$70,MATCH('County Climates'!B568,'State Codes'!$D$7:$D$70,0),1),'State Codes'!$C$7:$C$70,0),1)</f>
        <v>East South Central Division</v>
      </c>
      <c r="F568">
        <f>INDEX('CBECS_Table B5'!$C$6:$K$6,1,MATCH('County Climates'!E568,'CBECS_Table B5'!$C$1:$K$1,0))</f>
        <v>4904</v>
      </c>
    </row>
    <row r="569" spans="1:6" x14ac:dyDescent="0.25">
      <c r="A569" t="s">
        <v>669</v>
      </c>
      <c r="B569" t="s">
        <v>670</v>
      </c>
      <c r="C569" t="s">
        <v>296</v>
      </c>
      <c r="D569" t="s">
        <v>247</v>
      </c>
      <c r="E569" t="str">
        <f>INDEX('State Codes'!$E$7:$E$70,MATCH(INDEX('State Codes'!$C$7:$C$70,MATCH('County Climates'!B569,'State Codes'!$D$7:$D$70,0),1),'State Codes'!$C$7:$C$70,0),1)</f>
        <v>East South Central Division</v>
      </c>
      <c r="F569">
        <f>INDEX('CBECS_Table B5'!$C$6:$K$6,1,MATCH('County Climates'!E569,'CBECS_Table B5'!$C$1:$K$1,0))</f>
        <v>4904</v>
      </c>
    </row>
    <row r="570" spans="1:6" x14ac:dyDescent="0.25">
      <c r="A570" t="s">
        <v>669</v>
      </c>
      <c r="B570" t="s">
        <v>670</v>
      </c>
      <c r="C570" t="s">
        <v>298</v>
      </c>
      <c r="D570" t="s">
        <v>247</v>
      </c>
      <c r="E570" t="str">
        <f>INDEX('State Codes'!$E$7:$E$70,MATCH(INDEX('State Codes'!$C$7:$C$70,MATCH('County Climates'!B570,'State Codes'!$D$7:$D$70,0),1),'State Codes'!$C$7:$C$70,0),1)</f>
        <v>East South Central Division</v>
      </c>
      <c r="F570">
        <f>INDEX('CBECS_Table B5'!$C$6:$K$6,1,MATCH('County Climates'!E570,'CBECS_Table B5'!$C$1:$K$1,0))</f>
        <v>4904</v>
      </c>
    </row>
    <row r="571" spans="1:6" x14ac:dyDescent="0.25">
      <c r="A571" t="s">
        <v>669</v>
      </c>
      <c r="B571" t="s">
        <v>670</v>
      </c>
      <c r="C571" t="s">
        <v>699</v>
      </c>
      <c r="D571" t="s">
        <v>247</v>
      </c>
      <c r="E571" t="str">
        <f>INDEX('State Codes'!$E$7:$E$70,MATCH(INDEX('State Codes'!$C$7:$C$70,MATCH('County Climates'!B571,'State Codes'!$D$7:$D$70,0),1),'State Codes'!$C$7:$C$70,0),1)</f>
        <v>East South Central Division</v>
      </c>
      <c r="F571">
        <f>INDEX('CBECS_Table B5'!$C$6:$K$6,1,MATCH('County Climates'!E571,'CBECS_Table B5'!$C$1:$K$1,0))</f>
        <v>4904</v>
      </c>
    </row>
    <row r="572" spans="1:6" x14ac:dyDescent="0.25">
      <c r="A572" t="s">
        <v>669</v>
      </c>
      <c r="B572" t="s">
        <v>670</v>
      </c>
      <c r="C572" t="s">
        <v>338</v>
      </c>
      <c r="D572" t="s">
        <v>247</v>
      </c>
      <c r="E572" t="str">
        <f>INDEX('State Codes'!$E$7:$E$70,MATCH(INDEX('State Codes'!$C$7:$C$70,MATCH('County Climates'!B572,'State Codes'!$D$7:$D$70,0),1),'State Codes'!$C$7:$C$70,0),1)</f>
        <v>East South Central Division</v>
      </c>
      <c r="F572">
        <f>INDEX('CBECS_Table B5'!$C$6:$K$6,1,MATCH('County Climates'!E572,'CBECS_Table B5'!$C$1:$K$1,0))</f>
        <v>4904</v>
      </c>
    </row>
    <row r="573" spans="1:6" x14ac:dyDescent="0.25">
      <c r="A573" t="s">
        <v>669</v>
      </c>
      <c r="B573" t="s">
        <v>670</v>
      </c>
      <c r="C573" t="s">
        <v>700</v>
      </c>
      <c r="D573" t="s">
        <v>247</v>
      </c>
      <c r="E573" t="str">
        <f>INDEX('State Codes'!$E$7:$E$70,MATCH(INDEX('State Codes'!$C$7:$C$70,MATCH('County Climates'!B573,'State Codes'!$D$7:$D$70,0),1),'State Codes'!$C$7:$C$70,0),1)</f>
        <v>East South Central Division</v>
      </c>
      <c r="F573">
        <f>INDEX('CBECS_Table B5'!$C$6:$K$6,1,MATCH('County Climates'!E573,'CBECS_Table B5'!$C$1:$K$1,0))</f>
        <v>4904</v>
      </c>
    </row>
    <row r="574" spans="1:6" x14ac:dyDescent="0.25">
      <c r="A574" t="s">
        <v>669</v>
      </c>
      <c r="B574" t="s">
        <v>670</v>
      </c>
      <c r="C574" t="s">
        <v>701</v>
      </c>
      <c r="D574" t="s">
        <v>247</v>
      </c>
      <c r="E574" t="str">
        <f>INDEX('State Codes'!$E$7:$E$70,MATCH(INDEX('State Codes'!$C$7:$C$70,MATCH('County Climates'!B574,'State Codes'!$D$7:$D$70,0),1),'State Codes'!$C$7:$C$70,0),1)</f>
        <v>East South Central Division</v>
      </c>
      <c r="F574">
        <f>INDEX('CBECS_Table B5'!$C$6:$K$6,1,MATCH('County Climates'!E574,'CBECS_Table B5'!$C$1:$K$1,0))</f>
        <v>4904</v>
      </c>
    </row>
    <row r="575" spans="1:6" x14ac:dyDescent="0.25">
      <c r="A575" t="s">
        <v>669</v>
      </c>
      <c r="B575" t="s">
        <v>670</v>
      </c>
      <c r="C575" t="s">
        <v>702</v>
      </c>
      <c r="D575" t="s">
        <v>247</v>
      </c>
      <c r="E575" t="str">
        <f>INDEX('State Codes'!$E$7:$E$70,MATCH(INDEX('State Codes'!$C$7:$C$70,MATCH('County Climates'!B575,'State Codes'!$D$7:$D$70,0),1),'State Codes'!$C$7:$C$70,0),1)</f>
        <v>East South Central Division</v>
      </c>
      <c r="F575">
        <f>INDEX('CBECS_Table B5'!$C$6:$K$6,1,MATCH('County Climates'!E575,'CBECS_Table B5'!$C$1:$K$1,0))</f>
        <v>4904</v>
      </c>
    </row>
    <row r="576" spans="1:6" x14ac:dyDescent="0.25">
      <c r="A576" t="s">
        <v>669</v>
      </c>
      <c r="B576" t="s">
        <v>670</v>
      </c>
      <c r="C576" t="s">
        <v>300</v>
      </c>
      <c r="D576" t="s">
        <v>247</v>
      </c>
      <c r="E576" t="str">
        <f>INDEX('State Codes'!$E$7:$E$70,MATCH(INDEX('State Codes'!$C$7:$C$70,MATCH('County Climates'!B576,'State Codes'!$D$7:$D$70,0),1),'State Codes'!$C$7:$C$70,0),1)</f>
        <v>East South Central Division</v>
      </c>
      <c r="F576">
        <f>INDEX('CBECS_Table B5'!$C$6:$K$6,1,MATCH('County Climates'!E576,'CBECS_Table B5'!$C$1:$K$1,0))</f>
        <v>4904</v>
      </c>
    </row>
    <row r="577" spans="1:6" x14ac:dyDescent="0.25">
      <c r="A577" t="s">
        <v>669</v>
      </c>
      <c r="B577" t="s">
        <v>670</v>
      </c>
      <c r="C577" t="s">
        <v>340</v>
      </c>
      <c r="D577" t="s">
        <v>247</v>
      </c>
      <c r="E577" t="str">
        <f>INDEX('State Codes'!$E$7:$E$70,MATCH(INDEX('State Codes'!$C$7:$C$70,MATCH('County Climates'!B577,'State Codes'!$D$7:$D$70,0),1),'State Codes'!$C$7:$C$70,0),1)</f>
        <v>East South Central Division</v>
      </c>
      <c r="F577">
        <f>INDEX('CBECS_Table B5'!$C$6:$K$6,1,MATCH('County Climates'!E577,'CBECS_Table B5'!$C$1:$K$1,0))</f>
        <v>4904</v>
      </c>
    </row>
    <row r="578" spans="1:6" x14ac:dyDescent="0.25">
      <c r="A578" t="s">
        <v>669</v>
      </c>
      <c r="B578" t="s">
        <v>670</v>
      </c>
      <c r="C578" t="s">
        <v>301</v>
      </c>
      <c r="D578" t="s">
        <v>247</v>
      </c>
      <c r="E578" t="str">
        <f>INDEX('State Codes'!$E$7:$E$70,MATCH(INDEX('State Codes'!$C$7:$C$70,MATCH('County Climates'!B578,'State Codes'!$D$7:$D$70,0),1),'State Codes'!$C$7:$C$70,0),1)</f>
        <v>East South Central Division</v>
      </c>
      <c r="F578">
        <f>INDEX('CBECS_Table B5'!$C$6:$K$6,1,MATCH('County Climates'!E578,'CBECS_Table B5'!$C$1:$K$1,0))</f>
        <v>4904</v>
      </c>
    </row>
    <row r="579" spans="1:6" x14ac:dyDescent="0.25">
      <c r="A579" t="s">
        <v>669</v>
      </c>
      <c r="B579" t="s">
        <v>670</v>
      </c>
      <c r="C579" t="s">
        <v>703</v>
      </c>
      <c r="D579" t="s">
        <v>247</v>
      </c>
      <c r="E579" t="str">
        <f>INDEX('State Codes'!$E$7:$E$70,MATCH(INDEX('State Codes'!$C$7:$C$70,MATCH('County Climates'!B579,'State Codes'!$D$7:$D$70,0),1),'State Codes'!$C$7:$C$70,0),1)</f>
        <v>East South Central Division</v>
      </c>
      <c r="F579">
        <f>INDEX('CBECS_Table B5'!$C$6:$K$6,1,MATCH('County Climates'!E579,'CBECS_Table B5'!$C$1:$K$1,0))</f>
        <v>4904</v>
      </c>
    </row>
    <row r="580" spans="1:6" x14ac:dyDescent="0.25">
      <c r="A580" t="s">
        <v>669</v>
      </c>
      <c r="B580" t="s">
        <v>670</v>
      </c>
      <c r="C580" t="s">
        <v>704</v>
      </c>
      <c r="D580" t="s">
        <v>247</v>
      </c>
      <c r="E580" t="str">
        <f>INDEX('State Codes'!$E$7:$E$70,MATCH(INDEX('State Codes'!$C$7:$C$70,MATCH('County Climates'!B580,'State Codes'!$D$7:$D$70,0),1),'State Codes'!$C$7:$C$70,0),1)</f>
        <v>East South Central Division</v>
      </c>
      <c r="F580">
        <f>INDEX('CBECS_Table B5'!$C$6:$K$6,1,MATCH('County Climates'!E580,'CBECS_Table B5'!$C$1:$K$1,0))</f>
        <v>4904</v>
      </c>
    </row>
    <row r="581" spans="1:6" x14ac:dyDescent="0.25">
      <c r="A581" t="s">
        <v>669</v>
      </c>
      <c r="B581" t="s">
        <v>670</v>
      </c>
      <c r="C581" t="s">
        <v>705</v>
      </c>
      <c r="D581" t="s">
        <v>247</v>
      </c>
      <c r="E581" t="str">
        <f>INDEX('State Codes'!$E$7:$E$70,MATCH(INDEX('State Codes'!$C$7:$C$70,MATCH('County Climates'!B581,'State Codes'!$D$7:$D$70,0),1),'State Codes'!$C$7:$C$70,0),1)</f>
        <v>East South Central Division</v>
      </c>
      <c r="F581">
        <f>INDEX('CBECS_Table B5'!$C$6:$K$6,1,MATCH('County Climates'!E581,'CBECS_Table B5'!$C$1:$K$1,0))</f>
        <v>4904</v>
      </c>
    </row>
    <row r="582" spans="1:6" x14ac:dyDescent="0.25">
      <c r="A582" t="s">
        <v>669</v>
      </c>
      <c r="B582" t="s">
        <v>670</v>
      </c>
      <c r="C582" t="s">
        <v>706</v>
      </c>
      <c r="D582" t="s">
        <v>247</v>
      </c>
      <c r="E582" t="str">
        <f>INDEX('State Codes'!$E$7:$E$70,MATCH(INDEX('State Codes'!$C$7:$C$70,MATCH('County Climates'!B582,'State Codes'!$D$7:$D$70,0),1),'State Codes'!$C$7:$C$70,0),1)</f>
        <v>East South Central Division</v>
      </c>
      <c r="F582">
        <f>INDEX('CBECS_Table B5'!$C$6:$K$6,1,MATCH('County Climates'!E582,'CBECS_Table B5'!$C$1:$K$1,0))</f>
        <v>4904</v>
      </c>
    </row>
    <row r="583" spans="1:6" x14ac:dyDescent="0.25">
      <c r="A583" t="s">
        <v>669</v>
      </c>
      <c r="B583" t="s">
        <v>670</v>
      </c>
      <c r="C583" t="s">
        <v>707</v>
      </c>
      <c r="D583" t="s">
        <v>247</v>
      </c>
      <c r="E583" t="str">
        <f>INDEX('State Codes'!$E$7:$E$70,MATCH(INDEX('State Codes'!$C$7:$C$70,MATCH('County Climates'!B583,'State Codes'!$D$7:$D$70,0),1),'State Codes'!$C$7:$C$70,0),1)</f>
        <v>East South Central Division</v>
      </c>
      <c r="F583">
        <f>INDEX('CBECS_Table B5'!$C$6:$K$6,1,MATCH('County Climates'!E583,'CBECS_Table B5'!$C$1:$K$1,0))</f>
        <v>4904</v>
      </c>
    </row>
    <row r="584" spans="1:6" x14ac:dyDescent="0.25">
      <c r="A584" t="s">
        <v>669</v>
      </c>
      <c r="B584" t="s">
        <v>670</v>
      </c>
      <c r="C584" t="s">
        <v>708</v>
      </c>
      <c r="D584" t="s">
        <v>247</v>
      </c>
      <c r="E584" t="str">
        <f>INDEX('State Codes'!$E$7:$E$70,MATCH(INDEX('State Codes'!$C$7:$C$70,MATCH('County Climates'!B584,'State Codes'!$D$7:$D$70,0),1),'State Codes'!$C$7:$C$70,0),1)</f>
        <v>East South Central Division</v>
      </c>
      <c r="F584">
        <f>INDEX('CBECS_Table B5'!$C$6:$K$6,1,MATCH('County Climates'!E584,'CBECS_Table B5'!$C$1:$K$1,0))</f>
        <v>4904</v>
      </c>
    </row>
    <row r="585" spans="1:6" x14ac:dyDescent="0.25">
      <c r="A585" t="s">
        <v>709</v>
      </c>
      <c r="B585" t="s">
        <v>710</v>
      </c>
      <c r="C585" t="s">
        <v>711</v>
      </c>
      <c r="D585" t="s">
        <v>484</v>
      </c>
      <c r="E585" t="str">
        <f>INDEX('State Codes'!$E$7:$E$70,MATCH(INDEX('State Codes'!$C$7:$C$70,MATCH('County Climates'!B585,'State Codes'!$D$7:$D$70,0),1),'State Codes'!$C$7:$C$70,0),1)</f>
        <v>West South Central Division</v>
      </c>
      <c r="F585">
        <f>INDEX('CBECS_Table B5'!$C$6:$K$6,1,MATCH('County Climates'!E585,'CBECS_Table B5'!$C$1:$K$1,0))</f>
        <v>11394</v>
      </c>
    </row>
    <row r="586" spans="1:6" x14ac:dyDescent="0.25">
      <c r="A586" t="s">
        <v>709</v>
      </c>
      <c r="B586" t="s">
        <v>710</v>
      </c>
      <c r="C586" t="s">
        <v>308</v>
      </c>
      <c r="D586" t="s">
        <v>243</v>
      </c>
      <c r="E586" t="str">
        <f>INDEX('State Codes'!$E$7:$E$70,MATCH(INDEX('State Codes'!$C$7:$C$70,MATCH('County Climates'!B586,'State Codes'!$D$7:$D$70,0),1),'State Codes'!$C$7:$C$70,0),1)</f>
        <v>West South Central Division</v>
      </c>
      <c r="F586">
        <f>INDEX('CBECS_Table B5'!$C$6:$K$6,1,MATCH('County Climates'!E586,'CBECS_Table B5'!$C$1:$K$1,0))</f>
        <v>11394</v>
      </c>
    </row>
    <row r="587" spans="1:6" x14ac:dyDescent="0.25">
      <c r="A587" t="s">
        <v>709</v>
      </c>
      <c r="B587" t="s">
        <v>710</v>
      </c>
      <c r="C587" t="s">
        <v>499</v>
      </c>
      <c r="D587" t="s">
        <v>484</v>
      </c>
      <c r="E587" t="str">
        <f>INDEX('State Codes'!$E$7:$E$70,MATCH(INDEX('State Codes'!$C$7:$C$70,MATCH('County Climates'!B587,'State Codes'!$D$7:$D$70,0),1),'State Codes'!$C$7:$C$70,0),1)</f>
        <v>West South Central Division</v>
      </c>
      <c r="F587">
        <f>INDEX('CBECS_Table B5'!$C$6:$K$6,1,MATCH('County Climates'!E587,'CBECS_Table B5'!$C$1:$K$1,0))</f>
        <v>11394</v>
      </c>
    </row>
    <row r="588" spans="1:6" x14ac:dyDescent="0.25">
      <c r="A588" t="s">
        <v>709</v>
      </c>
      <c r="B588" t="s">
        <v>710</v>
      </c>
      <c r="C588" t="s">
        <v>712</v>
      </c>
      <c r="D588" t="s">
        <v>243</v>
      </c>
      <c r="E588" t="str">
        <f>INDEX('State Codes'!$E$7:$E$70,MATCH(INDEX('State Codes'!$C$7:$C$70,MATCH('County Climates'!B588,'State Codes'!$D$7:$D$70,0),1),'State Codes'!$C$7:$C$70,0),1)</f>
        <v>West South Central Division</v>
      </c>
      <c r="F588">
        <f>INDEX('CBECS_Table B5'!$C$6:$K$6,1,MATCH('County Climates'!E588,'CBECS_Table B5'!$C$1:$K$1,0))</f>
        <v>11394</v>
      </c>
    </row>
    <row r="589" spans="1:6" x14ac:dyDescent="0.25">
      <c r="A589" t="s">
        <v>709</v>
      </c>
      <c r="B589" t="s">
        <v>710</v>
      </c>
      <c r="C589" t="s">
        <v>713</v>
      </c>
      <c r="D589" t="s">
        <v>247</v>
      </c>
      <c r="E589" t="str">
        <f>INDEX('State Codes'!$E$7:$E$70,MATCH(INDEX('State Codes'!$C$7:$C$70,MATCH('County Climates'!B589,'State Codes'!$D$7:$D$70,0),1),'State Codes'!$C$7:$C$70,0),1)</f>
        <v>West South Central Division</v>
      </c>
      <c r="F589">
        <f>INDEX('CBECS_Table B5'!$C$6:$K$6,1,MATCH('County Climates'!E589,'CBECS_Table B5'!$C$1:$K$1,0))</f>
        <v>11394</v>
      </c>
    </row>
    <row r="590" spans="1:6" x14ac:dyDescent="0.25">
      <c r="A590" t="s">
        <v>709</v>
      </c>
      <c r="B590" t="s">
        <v>710</v>
      </c>
      <c r="C590" t="s">
        <v>714</v>
      </c>
      <c r="D590" t="s">
        <v>243</v>
      </c>
      <c r="E590" t="str">
        <f>INDEX('State Codes'!$E$7:$E$70,MATCH(INDEX('State Codes'!$C$7:$C$70,MATCH('County Climates'!B590,'State Codes'!$D$7:$D$70,0),1),'State Codes'!$C$7:$C$70,0),1)</f>
        <v>West South Central Division</v>
      </c>
      <c r="F590">
        <f>INDEX('CBECS_Table B5'!$C$6:$K$6,1,MATCH('County Climates'!E590,'CBECS_Table B5'!$C$1:$K$1,0))</f>
        <v>11394</v>
      </c>
    </row>
    <row r="591" spans="1:6" x14ac:dyDescent="0.25">
      <c r="A591" t="s">
        <v>709</v>
      </c>
      <c r="B591" t="s">
        <v>710</v>
      </c>
      <c r="C591" t="s">
        <v>715</v>
      </c>
      <c r="D591" t="s">
        <v>484</v>
      </c>
      <c r="E591" t="str">
        <f>INDEX('State Codes'!$E$7:$E$70,MATCH(INDEX('State Codes'!$C$7:$C$70,MATCH('County Climates'!B591,'State Codes'!$D$7:$D$70,0),1),'State Codes'!$C$7:$C$70,0),1)</f>
        <v>West South Central Division</v>
      </c>
      <c r="F591">
        <f>INDEX('CBECS_Table B5'!$C$6:$K$6,1,MATCH('County Climates'!E591,'CBECS_Table B5'!$C$1:$K$1,0))</f>
        <v>11394</v>
      </c>
    </row>
    <row r="592" spans="1:6" x14ac:dyDescent="0.25">
      <c r="A592" t="s">
        <v>716</v>
      </c>
      <c r="B592" t="s">
        <v>717</v>
      </c>
      <c r="C592" t="s">
        <v>718</v>
      </c>
      <c r="D592" t="s">
        <v>228</v>
      </c>
      <c r="E592" t="str">
        <f>INDEX('State Codes'!$E$7:$E$70,MATCH(INDEX('State Codes'!$C$7:$C$70,MATCH('County Climates'!B592,'State Codes'!$D$7:$D$70,0),1),'State Codes'!$C$7:$C$70,0),1)</f>
        <v>New England Division</v>
      </c>
      <c r="F592">
        <f>INDEX('CBECS_Table B5'!$C$6:$K$6,1,MATCH('County Climates'!E592,'CBECS_Table B5'!$C$1:$K$1,0))</f>
        <v>4302</v>
      </c>
    </row>
    <row r="593" spans="1:6" x14ac:dyDescent="0.25">
      <c r="A593" t="s">
        <v>716</v>
      </c>
      <c r="B593" t="s">
        <v>717</v>
      </c>
      <c r="C593" t="s">
        <v>719</v>
      </c>
      <c r="D593" t="s">
        <v>229</v>
      </c>
      <c r="E593" t="str">
        <f>INDEX('State Codes'!$E$7:$E$70,MATCH(INDEX('State Codes'!$C$7:$C$70,MATCH('County Climates'!B593,'State Codes'!$D$7:$D$70,0),1),'State Codes'!$C$7:$C$70,0),1)</f>
        <v>New England Division</v>
      </c>
      <c r="F593">
        <f>INDEX('CBECS_Table B5'!$C$6:$K$6,1,MATCH('County Climates'!E593,'CBECS_Table B5'!$C$1:$K$1,0))</f>
        <v>4302</v>
      </c>
    </row>
    <row r="594" spans="1:6" x14ac:dyDescent="0.25">
      <c r="A594" t="s">
        <v>716</v>
      </c>
      <c r="B594" t="s">
        <v>717</v>
      </c>
      <c r="C594" t="s">
        <v>720</v>
      </c>
      <c r="D594" t="s">
        <v>228</v>
      </c>
      <c r="E594" t="str">
        <f>INDEX('State Codes'!$E$7:$E$70,MATCH(INDEX('State Codes'!$C$7:$C$70,MATCH('County Climates'!B594,'State Codes'!$D$7:$D$70,0),1),'State Codes'!$C$7:$C$70,0),1)</f>
        <v>New England Division</v>
      </c>
      <c r="F594">
        <f>INDEX('CBECS_Table B5'!$C$6:$K$6,1,MATCH('County Climates'!E594,'CBECS_Table B5'!$C$1:$K$1,0))</f>
        <v>4302</v>
      </c>
    </row>
    <row r="595" spans="1:6" x14ac:dyDescent="0.25">
      <c r="A595" t="s">
        <v>716</v>
      </c>
      <c r="B595" t="s">
        <v>717</v>
      </c>
      <c r="C595" t="s">
        <v>273</v>
      </c>
      <c r="D595" t="s">
        <v>228</v>
      </c>
      <c r="E595" t="str">
        <f>INDEX('State Codes'!$E$7:$E$70,MATCH(INDEX('State Codes'!$C$7:$C$70,MATCH('County Climates'!B595,'State Codes'!$D$7:$D$70,0),1),'State Codes'!$C$7:$C$70,0),1)</f>
        <v>New England Division</v>
      </c>
      <c r="F595">
        <f>INDEX('CBECS_Table B5'!$C$6:$K$6,1,MATCH('County Climates'!E595,'CBECS_Table B5'!$C$1:$K$1,0))</f>
        <v>4302</v>
      </c>
    </row>
    <row r="596" spans="1:6" x14ac:dyDescent="0.25">
      <c r="A596" t="s">
        <v>716</v>
      </c>
      <c r="B596" t="s">
        <v>717</v>
      </c>
      <c r="C596" t="s">
        <v>610</v>
      </c>
      <c r="D596" t="s">
        <v>228</v>
      </c>
      <c r="E596" t="str">
        <f>INDEX('State Codes'!$E$7:$E$70,MATCH(INDEX('State Codes'!$C$7:$C$70,MATCH('County Climates'!B596,'State Codes'!$D$7:$D$70,0),1),'State Codes'!$C$7:$C$70,0),1)</f>
        <v>New England Division</v>
      </c>
      <c r="F596">
        <f>INDEX('CBECS_Table B5'!$C$6:$K$6,1,MATCH('County Climates'!E596,'CBECS_Table B5'!$C$1:$K$1,0))</f>
        <v>4302</v>
      </c>
    </row>
    <row r="597" spans="1:6" x14ac:dyDescent="0.25">
      <c r="A597" t="s">
        <v>716</v>
      </c>
      <c r="B597" t="s">
        <v>717</v>
      </c>
      <c r="C597" t="s">
        <v>721</v>
      </c>
      <c r="D597" t="s">
        <v>228</v>
      </c>
      <c r="E597" t="str">
        <f>INDEX('State Codes'!$E$7:$E$70,MATCH(INDEX('State Codes'!$C$7:$C$70,MATCH('County Climates'!B597,'State Codes'!$D$7:$D$70,0),1),'State Codes'!$C$7:$C$70,0),1)</f>
        <v>New England Division</v>
      </c>
      <c r="F597">
        <f>INDEX('CBECS_Table B5'!$C$6:$K$6,1,MATCH('County Climates'!E597,'CBECS_Table B5'!$C$1:$K$1,0))</f>
        <v>4302</v>
      </c>
    </row>
    <row r="598" spans="1:6" x14ac:dyDescent="0.25">
      <c r="A598" t="s">
        <v>716</v>
      </c>
      <c r="B598" t="s">
        <v>717</v>
      </c>
      <c r="C598" t="s">
        <v>679</v>
      </c>
      <c r="D598" t="s">
        <v>228</v>
      </c>
      <c r="E598" t="str">
        <f>INDEX('State Codes'!$E$7:$E$70,MATCH(INDEX('State Codes'!$C$7:$C$70,MATCH('County Climates'!B598,'State Codes'!$D$7:$D$70,0),1),'State Codes'!$C$7:$C$70,0),1)</f>
        <v>New England Division</v>
      </c>
      <c r="F598">
        <f>INDEX('CBECS_Table B5'!$C$6:$K$6,1,MATCH('County Climates'!E598,'CBECS_Table B5'!$C$1:$K$1,0))</f>
        <v>4302</v>
      </c>
    </row>
    <row r="599" spans="1:6" x14ac:dyDescent="0.25">
      <c r="A599" t="s">
        <v>716</v>
      </c>
      <c r="B599" t="s">
        <v>717</v>
      </c>
      <c r="C599" t="s">
        <v>324</v>
      </c>
      <c r="D599" t="s">
        <v>228</v>
      </c>
      <c r="E599" t="str">
        <f>INDEX('State Codes'!$E$7:$E$70,MATCH(INDEX('State Codes'!$C$7:$C$70,MATCH('County Climates'!B599,'State Codes'!$D$7:$D$70,0),1),'State Codes'!$C$7:$C$70,0),1)</f>
        <v>New England Division</v>
      </c>
      <c r="F599">
        <f>INDEX('CBECS_Table B5'!$C$6:$K$6,1,MATCH('County Climates'!E599,'CBECS_Table B5'!$C$1:$K$1,0))</f>
        <v>4302</v>
      </c>
    </row>
    <row r="600" spans="1:6" x14ac:dyDescent="0.25">
      <c r="A600" t="s">
        <v>716</v>
      </c>
      <c r="B600" t="s">
        <v>717</v>
      </c>
      <c r="C600" t="s">
        <v>722</v>
      </c>
      <c r="D600" t="s">
        <v>228</v>
      </c>
      <c r="E600" t="str">
        <f>INDEX('State Codes'!$E$7:$E$70,MATCH(INDEX('State Codes'!$C$7:$C$70,MATCH('County Climates'!B600,'State Codes'!$D$7:$D$70,0),1),'State Codes'!$C$7:$C$70,0),1)</f>
        <v>New England Division</v>
      </c>
      <c r="F600">
        <f>INDEX('CBECS_Table B5'!$C$6:$K$6,1,MATCH('County Climates'!E600,'CBECS_Table B5'!$C$1:$K$1,0))</f>
        <v>4302</v>
      </c>
    </row>
    <row r="601" spans="1:6" x14ac:dyDescent="0.25">
      <c r="A601" t="s">
        <v>716</v>
      </c>
      <c r="B601" t="s">
        <v>717</v>
      </c>
      <c r="C601" t="s">
        <v>723</v>
      </c>
      <c r="D601" t="s">
        <v>228</v>
      </c>
      <c r="E601" t="str">
        <f>INDEX('State Codes'!$E$7:$E$70,MATCH(INDEX('State Codes'!$C$7:$C$70,MATCH('County Climates'!B601,'State Codes'!$D$7:$D$70,0),1),'State Codes'!$C$7:$C$70,0),1)</f>
        <v>New England Division</v>
      </c>
      <c r="F601">
        <f>INDEX('CBECS_Table B5'!$C$6:$K$6,1,MATCH('County Climates'!E601,'CBECS_Table B5'!$C$1:$K$1,0))</f>
        <v>4302</v>
      </c>
    </row>
    <row r="602" spans="1:6" x14ac:dyDescent="0.25">
      <c r="A602" t="s">
        <v>716</v>
      </c>
      <c r="B602" t="s">
        <v>717</v>
      </c>
      <c r="C602" t="s">
        <v>724</v>
      </c>
      <c r="D602" t="s">
        <v>228</v>
      </c>
      <c r="E602" t="str">
        <f>INDEX('State Codes'!$E$7:$E$70,MATCH(INDEX('State Codes'!$C$7:$C$70,MATCH('County Climates'!B602,'State Codes'!$D$7:$D$70,0),1),'State Codes'!$C$7:$C$70,0),1)</f>
        <v>New England Division</v>
      </c>
      <c r="F602">
        <f>INDEX('CBECS_Table B5'!$C$6:$K$6,1,MATCH('County Climates'!E602,'CBECS_Table B5'!$C$1:$K$1,0))</f>
        <v>4302</v>
      </c>
    </row>
    <row r="603" spans="1:6" x14ac:dyDescent="0.25">
      <c r="A603" t="s">
        <v>716</v>
      </c>
      <c r="B603" t="s">
        <v>717</v>
      </c>
      <c r="C603" t="s">
        <v>725</v>
      </c>
      <c r="D603" t="s">
        <v>228</v>
      </c>
      <c r="E603" t="str">
        <f>INDEX('State Codes'!$E$7:$E$70,MATCH(INDEX('State Codes'!$C$7:$C$70,MATCH('County Climates'!B603,'State Codes'!$D$7:$D$70,0),1),'State Codes'!$C$7:$C$70,0),1)</f>
        <v>New England Division</v>
      </c>
      <c r="F603">
        <f>INDEX('CBECS_Table B5'!$C$6:$K$6,1,MATCH('County Climates'!E603,'CBECS_Table B5'!$C$1:$K$1,0))</f>
        <v>4302</v>
      </c>
    </row>
    <row r="604" spans="1:6" x14ac:dyDescent="0.25">
      <c r="A604" t="s">
        <v>716</v>
      </c>
      <c r="B604" t="s">
        <v>717</v>
      </c>
      <c r="C604" t="s">
        <v>726</v>
      </c>
      <c r="D604" t="s">
        <v>228</v>
      </c>
      <c r="E604" t="str">
        <f>INDEX('State Codes'!$E$7:$E$70,MATCH(INDEX('State Codes'!$C$7:$C$70,MATCH('County Climates'!B604,'State Codes'!$D$7:$D$70,0),1),'State Codes'!$C$7:$C$70,0),1)</f>
        <v>New England Division</v>
      </c>
      <c r="F604">
        <f>INDEX('CBECS_Table B5'!$C$6:$K$6,1,MATCH('County Climates'!E604,'CBECS_Table B5'!$C$1:$K$1,0))</f>
        <v>4302</v>
      </c>
    </row>
    <row r="605" spans="1:6" x14ac:dyDescent="0.25">
      <c r="A605" t="s">
        <v>716</v>
      </c>
      <c r="B605" t="s">
        <v>717</v>
      </c>
      <c r="C605" t="s">
        <v>727</v>
      </c>
      <c r="D605" t="s">
        <v>228</v>
      </c>
      <c r="E605" t="str">
        <f>INDEX('State Codes'!$E$7:$E$70,MATCH(INDEX('State Codes'!$C$7:$C$70,MATCH('County Climates'!B605,'State Codes'!$D$7:$D$70,0),1),'State Codes'!$C$7:$C$70,0),1)</f>
        <v>New England Division</v>
      </c>
      <c r="F605">
        <f>INDEX('CBECS_Table B5'!$C$6:$K$6,1,MATCH('County Climates'!E605,'CBECS_Table B5'!$C$1:$K$1,0))</f>
        <v>4302</v>
      </c>
    </row>
    <row r="606" spans="1:6" x14ac:dyDescent="0.25">
      <c r="A606" t="s">
        <v>716</v>
      </c>
      <c r="B606" t="s">
        <v>717</v>
      </c>
      <c r="C606" t="s">
        <v>308</v>
      </c>
      <c r="D606" t="s">
        <v>228</v>
      </c>
      <c r="E606" t="str">
        <f>INDEX('State Codes'!$E$7:$E$70,MATCH(INDEX('State Codes'!$C$7:$C$70,MATCH('County Climates'!B606,'State Codes'!$D$7:$D$70,0),1),'State Codes'!$C$7:$C$70,0),1)</f>
        <v>New England Division</v>
      </c>
      <c r="F606">
        <f>INDEX('CBECS_Table B5'!$C$6:$K$6,1,MATCH('County Climates'!E606,'CBECS_Table B5'!$C$1:$K$1,0))</f>
        <v>4302</v>
      </c>
    </row>
    <row r="607" spans="1:6" x14ac:dyDescent="0.25">
      <c r="A607" t="s">
        <v>716</v>
      </c>
      <c r="B607" t="s">
        <v>717</v>
      </c>
      <c r="C607" t="s">
        <v>728</v>
      </c>
      <c r="D607" t="s">
        <v>228</v>
      </c>
      <c r="E607" t="str">
        <f>INDEX('State Codes'!$E$7:$E$70,MATCH(INDEX('State Codes'!$C$7:$C$70,MATCH('County Climates'!B607,'State Codes'!$D$7:$D$70,0),1),'State Codes'!$C$7:$C$70,0),1)</f>
        <v>New England Division</v>
      </c>
      <c r="F607">
        <f>INDEX('CBECS_Table B5'!$C$6:$K$6,1,MATCH('County Climates'!E607,'CBECS_Table B5'!$C$1:$K$1,0))</f>
        <v>4302</v>
      </c>
    </row>
    <row r="608" spans="1:6" x14ac:dyDescent="0.25">
      <c r="A608" t="s">
        <v>729</v>
      </c>
      <c r="B608" t="s">
        <v>730</v>
      </c>
      <c r="C608" t="s">
        <v>731</v>
      </c>
      <c r="D608" t="s">
        <v>247</v>
      </c>
      <c r="E608" t="str">
        <f>INDEX('State Codes'!$E$7:$E$70,MATCH(INDEX('State Codes'!$C$7:$C$70,MATCH('County Climates'!B608,'State Codes'!$D$7:$D$70,0),1),'State Codes'!$C$7:$C$70,0),1)</f>
        <v>South Atlantic Division</v>
      </c>
      <c r="F608">
        <f>INDEX('CBECS_Table B5'!$C$6:$K$6,1,MATCH('County Climates'!E608,'CBECS_Table B5'!$C$1:$K$1,0))</f>
        <v>17981</v>
      </c>
    </row>
    <row r="609" spans="1:6" x14ac:dyDescent="0.25">
      <c r="A609" t="s">
        <v>729</v>
      </c>
      <c r="B609" t="s">
        <v>730</v>
      </c>
      <c r="C609" t="s">
        <v>732</v>
      </c>
      <c r="D609" t="s">
        <v>247</v>
      </c>
      <c r="E609" t="str">
        <f>INDEX('State Codes'!$E$7:$E$70,MATCH(INDEX('State Codes'!$C$7:$C$70,MATCH('County Climates'!B609,'State Codes'!$D$7:$D$70,0),1),'State Codes'!$C$7:$C$70,0),1)</f>
        <v>South Atlantic Division</v>
      </c>
      <c r="F609">
        <f>INDEX('CBECS_Table B5'!$C$6:$K$6,1,MATCH('County Climates'!E609,'CBECS_Table B5'!$C$1:$K$1,0))</f>
        <v>17981</v>
      </c>
    </row>
    <row r="610" spans="1:6" x14ac:dyDescent="0.25">
      <c r="A610" t="s">
        <v>729</v>
      </c>
      <c r="B610" t="s">
        <v>730</v>
      </c>
      <c r="C610" t="s">
        <v>733</v>
      </c>
      <c r="D610" t="s">
        <v>247</v>
      </c>
      <c r="E610" t="str">
        <f>INDEX('State Codes'!$E$7:$E$70,MATCH(INDEX('State Codes'!$C$7:$C$70,MATCH('County Climates'!B610,'State Codes'!$D$7:$D$70,0),1),'State Codes'!$C$7:$C$70,0),1)</f>
        <v>South Atlantic Division</v>
      </c>
      <c r="F610">
        <f>INDEX('CBECS_Table B5'!$C$6:$K$6,1,MATCH('County Climates'!E610,'CBECS_Table B5'!$C$1:$K$1,0))</f>
        <v>17981</v>
      </c>
    </row>
    <row r="611" spans="1:6" x14ac:dyDescent="0.25">
      <c r="A611" t="s">
        <v>729</v>
      </c>
      <c r="B611" t="s">
        <v>730</v>
      </c>
      <c r="C611" t="s">
        <v>734</v>
      </c>
      <c r="D611" t="s">
        <v>247</v>
      </c>
      <c r="E611" t="str">
        <f>INDEX('State Codes'!$E$7:$E$70,MATCH(INDEX('State Codes'!$C$7:$C$70,MATCH('County Climates'!B611,'State Codes'!$D$7:$D$70,0),1),'State Codes'!$C$7:$C$70,0),1)</f>
        <v>South Atlantic Division</v>
      </c>
      <c r="F611">
        <f>INDEX('CBECS_Table B5'!$C$6:$K$6,1,MATCH('County Climates'!E611,'CBECS_Table B5'!$C$1:$K$1,0))</f>
        <v>17981</v>
      </c>
    </row>
    <row r="612" spans="1:6" x14ac:dyDescent="0.25">
      <c r="A612" t="s">
        <v>729</v>
      </c>
      <c r="B612" t="s">
        <v>730</v>
      </c>
      <c r="C612" t="s">
        <v>735</v>
      </c>
      <c r="D612" t="s">
        <v>247</v>
      </c>
      <c r="E612" t="str">
        <f>INDEX('State Codes'!$E$7:$E$70,MATCH(INDEX('State Codes'!$C$7:$C$70,MATCH('County Climates'!B612,'State Codes'!$D$7:$D$70,0),1),'State Codes'!$C$7:$C$70,0),1)</f>
        <v>South Atlantic Division</v>
      </c>
      <c r="F612">
        <f>INDEX('CBECS_Table B5'!$C$6:$K$6,1,MATCH('County Climates'!E612,'CBECS_Table B5'!$C$1:$K$1,0))</f>
        <v>17981</v>
      </c>
    </row>
    <row r="613" spans="1:6" x14ac:dyDescent="0.25">
      <c r="A613" t="s">
        <v>729</v>
      </c>
      <c r="B613" t="s">
        <v>730</v>
      </c>
      <c r="C613" t="s">
        <v>736</v>
      </c>
      <c r="D613" t="s">
        <v>247</v>
      </c>
      <c r="E613" t="str">
        <f>INDEX('State Codes'!$E$7:$E$70,MATCH(INDEX('State Codes'!$C$7:$C$70,MATCH('County Climates'!B613,'State Codes'!$D$7:$D$70,0),1),'State Codes'!$C$7:$C$70,0),1)</f>
        <v>South Atlantic Division</v>
      </c>
      <c r="F613">
        <f>INDEX('CBECS_Table B5'!$C$6:$K$6,1,MATCH('County Climates'!E613,'CBECS_Table B5'!$C$1:$K$1,0))</f>
        <v>17981</v>
      </c>
    </row>
    <row r="614" spans="1:6" x14ac:dyDescent="0.25">
      <c r="A614" t="s">
        <v>729</v>
      </c>
      <c r="B614" t="s">
        <v>730</v>
      </c>
      <c r="C614" t="s">
        <v>447</v>
      </c>
      <c r="D614" t="s">
        <v>247</v>
      </c>
      <c r="E614" t="str">
        <f>INDEX('State Codes'!$E$7:$E$70,MATCH(INDEX('State Codes'!$C$7:$C$70,MATCH('County Climates'!B614,'State Codes'!$D$7:$D$70,0),1),'State Codes'!$C$7:$C$70,0),1)</f>
        <v>South Atlantic Division</v>
      </c>
      <c r="F614">
        <f>INDEX('CBECS_Table B5'!$C$6:$K$6,1,MATCH('County Climates'!E614,'CBECS_Table B5'!$C$1:$K$1,0))</f>
        <v>17981</v>
      </c>
    </row>
    <row r="615" spans="1:6" x14ac:dyDescent="0.25">
      <c r="A615" t="s">
        <v>729</v>
      </c>
      <c r="B615" t="s">
        <v>730</v>
      </c>
      <c r="C615" t="s">
        <v>737</v>
      </c>
      <c r="D615" t="s">
        <v>247</v>
      </c>
      <c r="E615" t="str">
        <f>INDEX('State Codes'!$E$7:$E$70,MATCH(INDEX('State Codes'!$C$7:$C$70,MATCH('County Climates'!B615,'State Codes'!$D$7:$D$70,0),1),'State Codes'!$C$7:$C$70,0),1)</f>
        <v>South Atlantic Division</v>
      </c>
      <c r="F615">
        <f>INDEX('CBECS_Table B5'!$C$6:$K$6,1,MATCH('County Climates'!E615,'CBECS_Table B5'!$C$1:$K$1,0))</f>
        <v>17981</v>
      </c>
    </row>
    <row r="616" spans="1:6" x14ac:dyDescent="0.25">
      <c r="A616" t="s">
        <v>729</v>
      </c>
      <c r="B616" t="s">
        <v>730</v>
      </c>
      <c r="C616" t="s">
        <v>738</v>
      </c>
      <c r="D616" t="s">
        <v>247</v>
      </c>
      <c r="E616" t="str">
        <f>INDEX('State Codes'!$E$7:$E$70,MATCH(INDEX('State Codes'!$C$7:$C$70,MATCH('County Climates'!B616,'State Codes'!$D$7:$D$70,0),1),'State Codes'!$C$7:$C$70,0),1)</f>
        <v>South Atlantic Division</v>
      </c>
      <c r="F616">
        <f>INDEX('CBECS_Table B5'!$C$6:$K$6,1,MATCH('County Climates'!E616,'CBECS_Table B5'!$C$1:$K$1,0))</f>
        <v>17981</v>
      </c>
    </row>
    <row r="617" spans="1:6" x14ac:dyDescent="0.25">
      <c r="A617" t="s">
        <v>729</v>
      </c>
      <c r="B617" t="s">
        <v>730</v>
      </c>
      <c r="C617" t="s">
        <v>739</v>
      </c>
      <c r="D617" t="s">
        <v>247</v>
      </c>
      <c r="E617" t="str">
        <f>INDEX('State Codes'!$E$7:$E$70,MATCH(INDEX('State Codes'!$C$7:$C$70,MATCH('County Climates'!B617,'State Codes'!$D$7:$D$70,0),1),'State Codes'!$C$7:$C$70,0),1)</f>
        <v>South Atlantic Division</v>
      </c>
      <c r="F617">
        <f>INDEX('CBECS_Table B5'!$C$6:$K$6,1,MATCH('County Climates'!E617,'CBECS_Table B5'!$C$1:$K$1,0))</f>
        <v>17981</v>
      </c>
    </row>
    <row r="618" spans="1:6" x14ac:dyDescent="0.25">
      <c r="A618" t="s">
        <v>729</v>
      </c>
      <c r="B618" t="s">
        <v>730</v>
      </c>
      <c r="C618" t="s">
        <v>740</v>
      </c>
      <c r="D618" t="s">
        <v>247</v>
      </c>
      <c r="E618" t="str">
        <f>INDEX('State Codes'!$E$7:$E$70,MATCH(INDEX('State Codes'!$C$7:$C$70,MATCH('County Climates'!B618,'State Codes'!$D$7:$D$70,0),1),'State Codes'!$C$7:$C$70,0),1)</f>
        <v>South Atlantic Division</v>
      </c>
      <c r="F618">
        <f>INDEX('CBECS_Table B5'!$C$6:$K$6,1,MATCH('County Climates'!E618,'CBECS_Table B5'!$C$1:$K$1,0))</f>
        <v>17981</v>
      </c>
    </row>
    <row r="619" spans="1:6" x14ac:dyDescent="0.25">
      <c r="A619" t="s">
        <v>729</v>
      </c>
      <c r="B619" t="s">
        <v>730</v>
      </c>
      <c r="C619" t="s">
        <v>741</v>
      </c>
      <c r="D619" t="s">
        <v>228</v>
      </c>
      <c r="E619" t="str">
        <f>INDEX('State Codes'!$E$7:$E$70,MATCH(INDEX('State Codes'!$C$7:$C$70,MATCH('County Climates'!B619,'State Codes'!$D$7:$D$70,0),1),'State Codes'!$C$7:$C$70,0),1)</f>
        <v>South Atlantic Division</v>
      </c>
      <c r="F619">
        <f>INDEX('CBECS_Table B5'!$C$6:$K$6,1,MATCH('County Climates'!E619,'CBECS_Table B5'!$C$1:$K$1,0))</f>
        <v>17981</v>
      </c>
    </row>
    <row r="620" spans="1:6" x14ac:dyDescent="0.25">
      <c r="A620" t="s">
        <v>729</v>
      </c>
      <c r="B620" t="s">
        <v>730</v>
      </c>
      <c r="C620" t="s">
        <v>742</v>
      </c>
      <c r="D620" t="s">
        <v>247</v>
      </c>
      <c r="E620" t="str">
        <f>INDEX('State Codes'!$E$7:$E$70,MATCH(INDEX('State Codes'!$C$7:$C$70,MATCH('County Climates'!B620,'State Codes'!$D$7:$D$70,0),1),'State Codes'!$C$7:$C$70,0),1)</f>
        <v>South Atlantic Division</v>
      </c>
      <c r="F620">
        <f>INDEX('CBECS_Table B5'!$C$6:$K$6,1,MATCH('County Climates'!E620,'CBECS_Table B5'!$C$1:$K$1,0))</f>
        <v>17981</v>
      </c>
    </row>
    <row r="621" spans="1:6" x14ac:dyDescent="0.25">
      <c r="A621" t="s">
        <v>729</v>
      </c>
      <c r="B621" t="s">
        <v>730</v>
      </c>
      <c r="C621" t="s">
        <v>319</v>
      </c>
      <c r="D621" t="s">
        <v>247</v>
      </c>
      <c r="E621" t="str">
        <f>INDEX('State Codes'!$E$7:$E$70,MATCH(INDEX('State Codes'!$C$7:$C$70,MATCH('County Climates'!B621,'State Codes'!$D$7:$D$70,0),1),'State Codes'!$C$7:$C$70,0),1)</f>
        <v>South Atlantic Division</v>
      </c>
      <c r="F621">
        <f>INDEX('CBECS_Table B5'!$C$6:$K$6,1,MATCH('County Climates'!E621,'CBECS_Table B5'!$C$1:$K$1,0))</f>
        <v>17981</v>
      </c>
    </row>
    <row r="622" spans="1:6" x14ac:dyDescent="0.25">
      <c r="A622" t="s">
        <v>729</v>
      </c>
      <c r="B622" t="s">
        <v>730</v>
      </c>
      <c r="C622" t="s">
        <v>420</v>
      </c>
      <c r="D622" t="s">
        <v>247</v>
      </c>
      <c r="E622" t="str">
        <f>INDEX('State Codes'!$E$7:$E$70,MATCH(INDEX('State Codes'!$C$7:$C$70,MATCH('County Climates'!B622,'State Codes'!$D$7:$D$70,0),1),'State Codes'!$C$7:$C$70,0),1)</f>
        <v>South Atlantic Division</v>
      </c>
      <c r="F622">
        <f>INDEX('CBECS_Table B5'!$C$6:$K$6,1,MATCH('County Climates'!E622,'CBECS_Table B5'!$C$1:$K$1,0))</f>
        <v>17981</v>
      </c>
    </row>
    <row r="623" spans="1:6" x14ac:dyDescent="0.25">
      <c r="A623" t="s">
        <v>729</v>
      </c>
      <c r="B623" t="s">
        <v>730</v>
      </c>
      <c r="C623" t="s">
        <v>294</v>
      </c>
      <c r="D623" t="s">
        <v>247</v>
      </c>
      <c r="E623" t="str">
        <f>INDEX('State Codes'!$E$7:$E$70,MATCH(INDEX('State Codes'!$C$7:$C$70,MATCH('County Climates'!B623,'State Codes'!$D$7:$D$70,0),1),'State Codes'!$C$7:$C$70,0),1)</f>
        <v>South Atlantic Division</v>
      </c>
      <c r="F623">
        <f>INDEX('CBECS_Table B5'!$C$6:$K$6,1,MATCH('County Climates'!E623,'CBECS_Table B5'!$C$1:$K$1,0))</f>
        <v>17981</v>
      </c>
    </row>
    <row r="624" spans="1:6" x14ac:dyDescent="0.25">
      <c r="A624" t="s">
        <v>729</v>
      </c>
      <c r="B624" t="s">
        <v>730</v>
      </c>
      <c r="C624" t="s">
        <v>743</v>
      </c>
      <c r="D624" t="s">
        <v>247</v>
      </c>
      <c r="E624" t="str">
        <f>INDEX('State Codes'!$E$7:$E$70,MATCH(INDEX('State Codes'!$C$7:$C$70,MATCH('County Climates'!B624,'State Codes'!$D$7:$D$70,0),1),'State Codes'!$C$7:$C$70,0),1)</f>
        <v>South Atlantic Division</v>
      </c>
      <c r="F624">
        <f>INDEX('CBECS_Table B5'!$C$6:$K$6,1,MATCH('County Climates'!E624,'CBECS_Table B5'!$C$1:$K$1,0))</f>
        <v>17981</v>
      </c>
    </row>
    <row r="625" spans="1:6" x14ac:dyDescent="0.25">
      <c r="A625" t="s">
        <v>729</v>
      </c>
      <c r="B625" t="s">
        <v>730</v>
      </c>
      <c r="C625" t="s">
        <v>744</v>
      </c>
      <c r="D625" t="s">
        <v>247</v>
      </c>
      <c r="E625" t="str">
        <f>INDEX('State Codes'!$E$7:$E$70,MATCH(INDEX('State Codes'!$C$7:$C$70,MATCH('County Climates'!B625,'State Codes'!$D$7:$D$70,0),1),'State Codes'!$C$7:$C$70,0),1)</f>
        <v>South Atlantic Division</v>
      </c>
      <c r="F625">
        <f>INDEX('CBECS_Table B5'!$C$6:$K$6,1,MATCH('County Climates'!E625,'CBECS_Table B5'!$C$1:$K$1,0))</f>
        <v>17981</v>
      </c>
    </row>
    <row r="626" spans="1:6" x14ac:dyDescent="0.25">
      <c r="A626" t="s">
        <v>729</v>
      </c>
      <c r="B626" t="s">
        <v>730</v>
      </c>
      <c r="C626" t="s">
        <v>726</v>
      </c>
      <c r="D626" t="s">
        <v>247</v>
      </c>
      <c r="E626" t="str">
        <f>INDEX('State Codes'!$E$7:$E$70,MATCH(INDEX('State Codes'!$C$7:$C$70,MATCH('County Climates'!B626,'State Codes'!$D$7:$D$70,0),1),'State Codes'!$C$7:$C$70,0),1)</f>
        <v>South Atlantic Division</v>
      </c>
      <c r="F626">
        <f>INDEX('CBECS_Table B5'!$C$6:$K$6,1,MATCH('County Climates'!E626,'CBECS_Table B5'!$C$1:$K$1,0))</f>
        <v>17981</v>
      </c>
    </row>
    <row r="627" spans="1:6" x14ac:dyDescent="0.25">
      <c r="A627" t="s">
        <v>729</v>
      </c>
      <c r="B627" t="s">
        <v>730</v>
      </c>
      <c r="C627" t="s">
        <v>745</v>
      </c>
      <c r="D627" t="s">
        <v>247</v>
      </c>
      <c r="E627" t="str">
        <f>INDEX('State Codes'!$E$7:$E$70,MATCH(INDEX('State Codes'!$C$7:$C$70,MATCH('County Climates'!B627,'State Codes'!$D$7:$D$70,0),1),'State Codes'!$C$7:$C$70,0),1)</f>
        <v>South Atlantic Division</v>
      </c>
      <c r="F627">
        <f>INDEX('CBECS_Table B5'!$C$6:$K$6,1,MATCH('County Climates'!E627,'CBECS_Table B5'!$C$1:$K$1,0))</f>
        <v>17981</v>
      </c>
    </row>
    <row r="628" spans="1:6" x14ac:dyDescent="0.25">
      <c r="A628" t="s">
        <v>729</v>
      </c>
      <c r="B628" t="s">
        <v>730</v>
      </c>
      <c r="C628" t="s">
        <v>746</v>
      </c>
      <c r="D628" t="s">
        <v>247</v>
      </c>
      <c r="E628" t="str">
        <f>INDEX('State Codes'!$E$7:$E$70,MATCH(INDEX('State Codes'!$C$7:$C$70,MATCH('County Climates'!B628,'State Codes'!$D$7:$D$70,0),1),'State Codes'!$C$7:$C$70,0),1)</f>
        <v>South Atlantic Division</v>
      </c>
      <c r="F628">
        <f>INDEX('CBECS_Table B5'!$C$6:$K$6,1,MATCH('County Climates'!E628,'CBECS_Table B5'!$C$1:$K$1,0))</f>
        <v>17981</v>
      </c>
    </row>
    <row r="629" spans="1:6" x14ac:dyDescent="0.25">
      <c r="A629" t="s">
        <v>729</v>
      </c>
      <c r="B629" t="s">
        <v>730</v>
      </c>
      <c r="C629" t="s">
        <v>308</v>
      </c>
      <c r="D629" t="s">
        <v>247</v>
      </c>
      <c r="E629" t="str">
        <f>INDEX('State Codes'!$E$7:$E$70,MATCH(INDEX('State Codes'!$C$7:$C$70,MATCH('County Climates'!B629,'State Codes'!$D$7:$D$70,0),1),'State Codes'!$C$7:$C$70,0),1)</f>
        <v>South Atlantic Division</v>
      </c>
      <c r="F629">
        <f>INDEX('CBECS_Table B5'!$C$6:$K$6,1,MATCH('County Climates'!E629,'CBECS_Table B5'!$C$1:$K$1,0))</f>
        <v>17981</v>
      </c>
    </row>
    <row r="630" spans="1:6" x14ac:dyDescent="0.25">
      <c r="A630" t="s">
        <v>729</v>
      </c>
      <c r="B630" t="s">
        <v>730</v>
      </c>
      <c r="C630" t="s">
        <v>747</v>
      </c>
      <c r="D630" t="s">
        <v>247</v>
      </c>
      <c r="E630" t="str">
        <f>INDEX('State Codes'!$E$7:$E$70,MATCH(INDEX('State Codes'!$C$7:$C$70,MATCH('County Climates'!B630,'State Codes'!$D$7:$D$70,0),1),'State Codes'!$C$7:$C$70,0),1)</f>
        <v>South Atlantic Division</v>
      </c>
      <c r="F630">
        <f>INDEX('CBECS_Table B5'!$C$6:$K$6,1,MATCH('County Climates'!E630,'CBECS_Table B5'!$C$1:$K$1,0))</f>
        <v>17981</v>
      </c>
    </row>
    <row r="631" spans="1:6" x14ac:dyDescent="0.25">
      <c r="A631" t="s">
        <v>729</v>
      </c>
      <c r="B631" t="s">
        <v>730</v>
      </c>
      <c r="C631" t="s">
        <v>748</v>
      </c>
      <c r="D631" t="s">
        <v>247</v>
      </c>
      <c r="E631" t="str">
        <f>INDEX('State Codes'!$E$7:$E$70,MATCH(INDEX('State Codes'!$C$7:$C$70,MATCH('County Climates'!B631,'State Codes'!$D$7:$D$70,0),1),'State Codes'!$C$7:$C$70,0),1)</f>
        <v>South Atlantic Division</v>
      </c>
      <c r="F631">
        <f>INDEX('CBECS_Table B5'!$C$6:$K$6,1,MATCH('County Climates'!E631,'CBECS_Table B5'!$C$1:$K$1,0))</f>
        <v>17981</v>
      </c>
    </row>
    <row r="632" spans="1:6" x14ac:dyDescent="0.25">
      <c r="A632" t="s">
        <v>749</v>
      </c>
      <c r="B632" t="s">
        <v>750</v>
      </c>
      <c r="C632" t="s">
        <v>751</v>
      </c>
      <c r="D632" t="s">
        <v>228</v>
      </c>
      <c r="E632" t="str">
        <f>INDEX('State Codes'!$E$7:$E$70,MATCH(INDEX('State Codes'!$C$7:$C$70,MATCH('County Climates'!B632,'State Codes'!$D$7:$D$70,0),1),'State Codes'!$C$7:$C$70,0),1)</f>
        <v>New England Division</v>
      </c>
      <c r="F632">
        <f>INDEX('CBECS_Table B5'!$C$6:$K$6,1,MATCH('County Climates'!E632,'CBECS_Table B5'!$C$1:$K$1,0))</f>
        <v>4302</v>
      </c>
    </row>
    <row r="633" spans="1:6" x14ac:dyDescent="0.25">
      <c r="A633" t="s">
        <v>749</v>
      </c>
      <c r="B633" t="s">
        <v>750</v>
      </c>
      <c r="C633" t="s">
        <v>752</v>
      </c>
      <c r="D633" t="s">
        <v>228</v>
      </c>
      <c r="E633" t="str">
        <f>INDEX('State Codes'!$E$7:$E$70,MATCH(INDEX('State Codes'!$C$7:$C$70,MATCH('County Climates'!B633,'State Codes'!$D$7:$D$70,0),1),'State Codes'!$C$7:$C$70,0),1)</f>
        <v>New England Division</v>
      </c>
      <c r="F633">
        <f>INDEX('CBECS_Table B5'!$C$6:$K$6,1,MATCH('County Climates'!E633,'CBECS_Table B5'!$C$1:$K$1,0))</f>
        <v>4302</v>
      </c>
    </row>
    <row r="634" spans="1:6" x14ac:dyDescent="0.25">
      <c r="A634" t="s">
        <v>749</v>
      </c>
      <c r="B634" t="s">
        <v>750</v>
      </c>
      <c r="C634" t="s">
        <v>753</v>
      </c>
      <c r="D634" t="s">
        <v>228</v>
      </c>
      <c r="E634" t="str">
        <f>INDEX('State Codes'!$E$7:$E$70,MATCH(INDEX('State Codes'!$C$7:$C$70,MATCH('County Climates'!B634,'State Codes'!$D$7:$D$70,0),1),'State Codes'!$C$7:$C$70,0),1)</f>
        <v>New England Division</v>
      </c>
      <c r="F634">
        <f>INDEX('CBECS_Table B5'!$C$6:$K$6,1,MATCH('County Climates'!E634,'CBECS_Table B5'!$C$1:$K$1,0))</f>
        <v>4302</v>
      </c>
    </row>
    <row r="635" spans="1:6" x14ac:dyDescent="0.25">
      <c r="A635" t="s">
        <v>749</v>
      </c>
      <c r="B635" t="s">
        <v>750</v>
      </c>
      <c r="C635" t="s">
        <v>754</v>
      </c>
      <c r="D635" t="s">
        <v>228</v>
      </c>
      <c r="E635" t="str">
        <f>INDEX('State Codes'!$E$7:$E$70,MATCH(INDEX('State Codes'!$C$7:$C$70,MATCH('County Climates'!B635,'State Codes'!$D$7:$D$70,0),1),'State Codes'!$C$7:$C$70,0),1)</f>
        <v>New England Division</v>
      </c>
      <c r="F635">
        <f>INDEX('CBECS_Table B5'!$C$6:$K$6,1,MATCH('County Climates'!E635,'CBECS_Table B5'!$C$1:$K$1,0))</f>
        <v>4302</v>
      </c>
    </row>
    <row r="636" spans="1:6" x14ac:dyDescent="0.25">
      <c r="A636" t="s">
        <v>749</v>
      </c>
      <c r="B636" t="s">
        <v>750</v>
      </c>
      <c r="C636" t="s">
        <v>755</v>
      </c>
      <c r="D636" t="s">
        <v>228</v>
      </c>
      <c r="E636" t="str">
        <f>INDEX('State Codes'!$E$7:$E$70,MATCH(INDEX('State Codes'!$C$7:$C$70,MATCH('County Climates'!B636,'State Codes'!$D$7:$D$70,0),1),'State Codes'!$C$7:$C$70,0),1)</f>
        <v>New England Division</v>
      </c>
      <c r="F636">
        <f>INDEX('CBECS_Table B5'!$C$6:$K$6,1,MATCH('County Climates'!E636,'CBECS_Table B5'!$C$1:$K$1,0))</f>
        <v>4302</v>
      </c>
    </row>
    <row r="637" spans="1:6" x14ac:dyDescent="0.25">
      <c r="A637" t="s">
        <v>749</v>
      </c>
      <c r="B637" t="s">
        <v>750</v>
      </c>
      <c r="C637" t="s">
        <v>273</v>
      </c>
      <c r="D637" t="s">
        <v>228</v>
      </c>
      <c r="E637" t="str">
        <f>INDEX('State Codes'!$E$7:$E$70,MATCH(INDEX('State Codes'!$C$7:$C$70,MATCH('County Climates'!B637,'State Codes'!$D$7:$D$70,0),1),'State Codes'!$C$7:$C$70,0),1)</f>
        <v>New England Division</v>
      </c>
      <c r="F637">
        <f>INDEX('CBECS_Table B5'!$C$6:$K$6,1,MATCH('County Climates'!E637,'CBECS_Table B5'!$C$1:$K$1,0))</f>
        <v>4302</v>
      </c>
    </row>
    <row r="638" spans="1:6" x14ac:dyDescent="0.25">
      <c r="A638" t="s">
        <v>749</v>
      </c>
      <c r="B638" t="s">
        <v>750</v>
      </c>
      <c r="C638" t="s">
        <v>756</v>
      </c>
      <c r="D638" t="s">
        <v>228</v>
      </c>
      <c r="E638" t="str">
        <f>INDEX('State Codes'!$E$7:$E$70,MATCH(INDEX('State Codes'!$C$7:$C$70,MATCH('County Climates'!B638,'State Codes'!$D$7:$D$70,0),1),'State Codes'!$C$7:$C$70,0),1)</f>
        <v>New England Division</v>
      </c>
      <c r="F638">
        <f>INDEX('CBECS_Table B5'!$C$6:$K$6,1,MATCH('County Climates'!E638,'CBECS_Table B5'!$C$1:$K$1,0))</f>
        <v>4302</v>
      </c>
    </row>
    <row r="639" spans="1:6" x14ac:dyDescent="0.25">
      <c r="A639" t="s">
        <v>749</v>
      </c>
      <c r="B639" t="s">
        <v>750</v>
      </c>
      <c r="C639" t="s">
        <v>757</v>
      </c>
      <c r="D639" t="s">
        <v>228</v>
      </c>
      <c r="E639" t="str">
        <f>INDEX('State Codes'!$E$7:$E$70,MATCH(INDEX('State Codes'!$C$7:$C$70,MATCH('County Climates'!B639,'State Codes'!$D$7:$D$70,0),1),'State Codes'!$C$7:$C$70,0),1)</f>
        <v>New England Division</v>
      </c>
      <c r="F639">
        <f>INDEX('CBECS_Table B5'!$C$6:$K$6,1,MATCH('County Climates'!E639,'CBECS_Table B5'!$C$1:$K$1,0))</f>
        <v>4302</v>
      </c>
    </row>
    <row r="640" spans="1:6" x14ac:dyDescent="0.25">
      <c r="A640" t="s">
        <v>749</v>
      </c>
      <c r="B640" t="s">
        <v>750</v>
      </c>
      <c r="C640" t="s">
        <v>413</v>
      </c>
      <c r="D640" t="s">
        <v>228</v>
      </c>
      <c r="E640" t="str">
        <f>INDEX('State Codes'!$E$7:$E$70,MATCH(INDEX('State Codes'!$C$7:$C$70,MATCH('County Climates'!B640,'State Codes'!$D$7:$D$70,0),1),'State Codes'!$C$7:$C$70,0),1)</f>
        <v>New England Division</v>
      </c>
      <c r="F640">
        <f>INDEX('CBECS_Table B5'!$C$6:$K$6,1,MATCH('County Climates'!E640,'CBECS_Table B5'!$C$1:$K$1,0))</f>
        <v>4302</v>
      </c>
    </row>
    <row r="641" spans="1:6" x14ac:dyDescent="0.25">
      <c r="A641" t="s">
        <v>749</v>
      </c>
      <c r="B641" t="s">
        <v>750</v>
      </c>
      <c r="C641" t="s">
        <v>758</v>
      </c>
      <c r="D641" t="s">
        <v>228</v>
      </c>
      <c r="E641" t="str">
        <f>INDEX('State Codes'!$E$7:$E$70,MATCH(INDEX('State Codes'!$C$7:$C$70,MATCH('County Climates'!B641,'State Codes'!$D$7:$D$70,0),1),'State Codes'!$C$7:$C$70,0),1)</f>
        <v>New England Division</v>
      </c>
      <c r="F641">
        <f>INDEX('CBECS_Table B5'!$C$6:$K$6,1,MATCH('County Climates'!E641,'CBECS_Table B5'!$C$1:$K$1,0))</f>
        <v>4302</v>
      </c>
    </row>
    <row r="642" spans="1:6" x14ac:dyDescent="0.25">
      <c r="A642" t="s">
        <v>749</v>
      </c>
      <c r="B642" t="s">
        <v>750</v>
      </c>
      <c r="C642" t="s">
        <v>759</v>
      </c>
      <c r="D642" t="s">
        <v>228</v>
      </c>
      <c r="E642" t="str">
        <f>INDEX('State Codes'!$E$7:$E$70,MATCH(INDEX('State Codes'!$C$7:$C$70,MATCH('County Climates'!B642,'State Codes'!$D$7:$D$70,0),1),'State Codes'!$C$7:$C$70,0),1)</f>
        <v>New England Division</v>
      </c>
      <c r="F642">
        <f>INDEX('CBECS_Table B5'!$C$6:$K$6,1,MATCH('County Climates'!E642,'CBECS_Table B5'!$C$1:$K$1,0))</f>
        <v>4302</v>
      </c>
    </row>
    <row r="643" spans="1:6" x14ac:dyDescent="0.25">
      <c r="A643" t="s">
        <v>749</v>
      </c>
      <c r="B643" t="s">
        <v>750</v>
      </c>
      <c r="C643" t="s">
        <v>760</v>
      </c>
      <c r="D643" t="s">
        <v>228</v>
      </c>
      <c r="E643" t="str">
        <f>INDEX('State Codes'!$E$7:$E$70,MATCH(INDEX('State Codes'!$C$7:$C$70,MATCH('County Climates'!B643,'State Codes'!$D$7:$D$70,0),1),'State Codes'!$C$7:$C$70,0),1)</f>
        <v>New England Division</v>
      </c>
      <c r="F643">
        <f>INDEX('CBECS_Table B5'!$C$6:$K$6,1,MATCH('County Climates'!E643,'CBECS_Table B5'!$C$1:$K$1,0))</f>
        <v>4302</v>
      </c>
    </row>
    <row r="644" spans="1:6" x14ac:dyDescent="0.25">
      <c r="A644" t="s">
        <v>749</v>
      </c>
      <c r="B644" t="s">
        <v>750</v>
      </c>
      <c r="C644" t="s">
        <v>761</v>
      </c>
      <c r="D644" t="s">
        <v>228</v>
      </c>
      <c r="E644" t="str">
        <f>INDEX('State Codes'!$E$7:$E$70,MATCH(INDEX('State Codes'!$C$7:$C$70,MATCH('County Climates'!B644,'State Codes'!$D$7:$D$70,0),1),'State Codes'!$C$7:$C$70,0),1)</f>
        <v>New England Division</v>
      </c>
      <c r="F644">
        <f>INDEX('CBECS_Table B5'!$C$6:$K$6,1,MATCH('County Climates'!E644,'CBECS_Table B5'!$C$1:$K$1,0))</f>
        <v>4302</v>
      </c>
    </row>
    <row r="645" spans="1:6" x14ac:dyDescent="0.25">
      <c r="A645" t="s">
        <v>749</v>
      </c>
      <c r="B645" t="s">
        <v>750</v>
      </c>
      <c r="C645" t="s">
        <v>748</v>
      </c>
      <c r="D645" t="s">
        <v>228</v>
      </c>
      <c r="E645" t="str">
        <f>INDEX('State Codes'!$E$7:$E$70,MATCH(INDEX('State Codes'!$C$7:$C$70,MATCH('County Climates'!B645,'State Codes'!$D$7:$D$70,0),1),'State Codes'!$C$7:$C$70,0),1)</f>
        <v>New England Division</v>
      </c>
      <c r="F645">
        <f>INDEX('CBECS_Table B5'!$C$6:$K$6,1,MATCH('County Climates'!E645,'CBECS_Table B5'!$C$1:$K$1,0))</f>
        <v>4302</v>
      </c>
    </row>
    <row r="646" spans="1:6" x14ac:dyDescent="0.25">
      <c r="A646" t="s">
        <v>762</v>
      </c>
      <c r="B646" t="s">
        <v>763</v>
      </c>
      <c r="C646" t="s">
        <v>764</v>
      </c>
      <c r="D646" t="s">
        <v>228</v>
      </c>
      <c r="E646" t="str">
        <f>INDEX('State Codes'!$E$7:$E$70,MATCH(INDEX('State Codes'!$C$7:$C$70,MATCH('County Climates'!B646,'State Codes'!$D$7:$D$70,0),1),'State Codes'!$C$7:$C$70,0),1)</f>
        <v>East North Central Division</v>
      </c>
      <c r="F646">
        <f>INDEX('CBECS_Table B5'!$C$6:$K$6,1,MATCH('County Climates'!E646,'CBECS_Table B5'!$C$1:$K$1,0))</f>
        <v>12742</v>
      </c>
    </row>
    <row r="647" spans="1:6" x14ac:dyDescent="0.25">
      <c r="A647" t="s">
        <v>762</v>
      </c>
      <c r="B647" t="s">
        <v>763</v>
      </c>
      <c r="C647" t="s">
        <v>765</v>
      </c>
      <c r="D647" t="s">
        <v>228</v>
      </c>
      <c r="E647" t="str">
        <f>INDEX('State Codes'!$E$7:$E$70,MATCH(INDEX('State Codes'!$C$7:$C$70,MATCH('County Climates'!B647,'State Codes'!$D$7:$D$70,0),1),'State Codes'!$C$7:$C$70,0),1)</f>
        <v>East North Central Division</v>
      </c>
      <c r="F647">
        <f>INDEX('CBECS_Table B5'!$C$6:$K$6,1,MATCH('County Climates'!E647,'CBECS_Table B5'!$C$1:$K$1,0))</f>
        <v>12742</v>
      </c>
    </row>
    <row r="648" spans="1:6" x14ac:dyDescent="0.25">
      <c r="A648" t="s">
        <v>762</v>
      </c>
      <c r="B648" t="s">
        <v>763</v>
      </c>
      <c r="C648" t="s">
        <v>766</v>
      </c>
      <c r="D648" t="s">
        <v>228</v>
      </c>
      <c r="E648" t="str">
        <f>INDEX('State Codes'!$E$7:$E$70,MATCH(INDEX('State Codes'!$C$7:$C$70,MATCH('County Climates'!B648,'State Codes'!$D$7:$D$70,0),1),'State Codes'!$C$7:$C$70,0),1)</f>
        <v>East North Central Division</v>
      </c>
      <c r="F648">
        <f>INDEX('CBECS_Table B5'!$C$6:$K$6,1,MATCH('County Climates'!E648,'CBECS_Table B5'!$C$1:$K$1,0))</f>
        <v>12742</v>
      </c>
    </row>
    <row r="649" spans="1:6" x14ac:dyDescent="0.25">
      <c r="A649" t="s">
        <v>762</v>
      </c>
      <c r="B649" t="s">
        <v>763</v>
      </c>
      <c r="C649" t="s">
        <v>767</v>
      </c>
      <c r="D649" t="s">
        <v>228</v>
      </c>
      <c r="E649" t="str">
        <f>INDEX('State Codes'!$E$7:$E$70,MATCH(INDEX('State Codes'!$C$7:$C$70,MATCH('County Climates'!B649,'State Codes'!$D$7:$D$70,0),1),'State Codes'!$C$7:$C$70,0),1)</f>
        <v>East North Central Division</v>
      </c>
      <c r="F649">
        <f>INDEX('CBECS_Table B5'!$C$6:$K$6,1,MATCH('County Climates'!E649,'CBECS_Table B5'!$C$1:$K$1,0))</f>
        <v>12742</v>
      </c>
    </row>
    <row r="650" spans="1:6" x14ac:dyDescent="0.25">
      <c r="A650" t="s">
        <v>762</v>
      </c>
      <c r="B650" t="s">
        <v>763</v>
      </c>
      <c r="C650" t="s">
        <v>658</v>
      </c>
      <c r="D650" t="s">
        <v>228</v>
      </c>
      <c r="E650" t="str">
        <f>INDEX('State Codes'!$E$7:$E$70,MATCH(INDEX('State Codes'!$C$7:$C$70,MATCH('County Climates'!B650,'State Codes'!$D$7:$D$70,0),1),'State Codes'!$C$7:$C$70,0),1)</f>
        <v>East North Central Division</v>
      </c>
      <c r="F650">
        <f>INDEX('CBECS_Table B5'!$C$6:$K$6,1,MATCH('County Climates'!E650,'CBECS_Table B5'!$C$1:$K$1,0))</f>
        <v>12742</v>
      </c>
    </row>
    <row r="651" spans="1:6" x14ac:dyDescent="0.25">
      <c r="A651" t="s">
        <v>762</v>
      </c>
      <c r="B651" t="s">
        <v>763</v>
      </c>
      <c r="C651" t="s">
        <v>768</v>
      </c>
      <c r="D651" t="s">
        <v>228</v>
      </c>
      <c r="E651" t="str">
        <f>INDEX('State Codes'!$E$7:$E$70,MATCH(INDEX('State Codes'!$C$7:$C$70,MATCH('County Climates'!B651,'State Codes'!$D$7:$D$70,0),1),'State Codes'!$C$7:$C$70,0),1)</f>
        <v>East North Central Division</v>
      </c>
      <c r="F651">
        <f>INDEX('CBECS_Table B5'!$C$6:$K$6,1,MATCH('County Climates'!E651,'CBECS_Table B5'!$C$1:$K$1,0))</f>
        <v>12742</v>
      </c>
    </row>
    <row r="652" spans="1:6" x14ac:dyDescent="0.25">
      <c r="A652" t="s">
        <v>762</v>
      </c>
      <c r="B652" t="s">
        <v>763</v>
      </c>
      <c r="C652" t="s">
        <v>769</v>
      </c>
      <c r="D652" t="s">
        <v>228</v>
      </c>
      <c r="E652" t="str">
        <f>INDEX('State Codes'!$E$7:$E$70,MATCH(INDEX('State Codes'!$C$7:$C$70,MATCH('County Climates'!B652,'State Codes'!$D$7:$D$70,0),1),'State Codes'!$C$7:$C$70,0),1)</f>
        <v>East North Central Division</v>
      </c>
      <c r="F652">
        <f>INDEX('CBECS_Table B5'!$C$6:$K$6,1,MATCH('County Climates'!E652,'CBECS_Table B5'!$C$1:$K$1,0))</f>
        <v>12742</v>
      </c>
    </row>
    <row r="653" spans="1:6" x14ac:dyDescent="0.25">
      <c r="A653" t="s">
        <v>762</v>
      </c>
      <c r="B653" t="s">
        <v>763</v>
      </c>
      <c r="C653" t="s">
        <v>770</v>
      </c>
      <c r="D653" t="s">
        <v>228</v>
      </c>
      <c r="E653" t="str">
        <f>INDEX('State Codes'!$E$7:$E$70,MATCH(INDEX('State Codes'!$C$7:$C$70,MATCH('County Climates'!B653,'State Codes'!$D$7:$D$70,0),1),'State Codes'!$C$7:$C$70,0),1)</f>
        <v>East North Central Division</v>
      </c>
      <c r="F653">
        <f>INDEX('CBECS_Table B5'!$C$6:$K$6,1,MATCH('County Climates'!E653,'CBECS_Table B5'!$C$1:$K$1,0))</f>
        <v>12742</v>
      </c>
    </row>
    <row r="654" spans="1:6" x14ac:dyDescent="0.25">
      <c r="A654" t="s">
        <v>762</v>
      </c>
      <c r="B654" t="s">
        <v>763</v>
      </c>
      <c r="C654" t="s">
        <v>771</v>
      </c>
      <c r="D654" t="s">
        <v>228</v>
      </c>
      <c r="E654" t="str">
        <f>INDEX('State Codes'!$E$7:$E$70,MATCH(INDEX('State Codes'!$C$7:$C$70,MATCH('County Climates'!B654,'State Codes'!$D$7:$D$70,0),1),'State Codes'!$C$7:$C$70,0),1)</f>
        <v>East North Central Division</v>
      </c>
      <c r="F654">
        <f>INDEX('CBECS_Table B5'!$C$6:$K$6,1,MATCH('County Climates'!E654,'CBECS_Table B5'!$C$1:$K$1,0))</f>
        <v>12742</v>
      </c>
    </row>
    <row r="655" spans="1:6" x14ac:dyDescent="0.25">
      <c r="A655" t="s">
        <v>762</v>
      </c>
      <c r="B655" t="s">
        <v>763</v>
      </c>
      <c r="C655" t="s">
        <v>772</v>
      </c>
      <c r="D655" t="s">
        <v>229</v>
      </c>
      <c r="E655" t="str">
        <f>INDEX('State Codes'!$E$7:$E$70,MATCH(INDEX('State Codes'!$C$7:$C$70,MATCH('County Climates'!B655,'State Codes'!$D$7:$D$70,0),1),'State Codes'!$C$7:$C$70,0),1)</f>
        <v>East North Central Division</v>
      </c>
      <c r="F655">
        <f>INDEX('CBECS_Table B5'!$C$6:$K$6,1,MATCH('County Climates'!E655,'CBECS_Table B5'!$C$1:$K$1,0))</f>
        <v>12742</v>
      </c>
    </row>
    <row r="656" spans="1:6" x14ac:dyDescent="0.25">
      <c r="A656" t="s">
        <v>762</v>
      </c>
      <c r="B656" t="s">
        <v>763</v>
      </c>
      <c r="C656" t="s">
        <v>773</v>
      </c>
      <c r="D656" t="s">
        <v>228</v>
      </c>
      <c r="E656" t="str">
        <f>INDEX('State Codes'!$E$7:$E$70,MATCH(INDEX('State Codes'!$C$7:$C$70,MATCH('County Climates'!B656,'State Codes'!$D$7:$D$70,0),1),'State Codes'!$C$7:$C$70,0),1)</f>
        <v>East North Central Division</v>
      </c>
      <c r="F656">
        <f>INDEX('CBECS_Table B5'!$C$6:$K$6,1,MATCH('County Climates'!E656,'CBECS_Table B5'!$C$1:$K$1,0))</f>
        <v>12742</v>
      </c>
    </row>
    <row r="657" spans="1:6" x14ac:dyDescent="0.25">
      <c r="A657" t="s">
        <v>762</v>
      </c>
      <c r="B657" t="s">
        <v>763</v>
      </c>
      <c r="C657" t="s">
        <v>302</v>
      </c>
      <c r="D657" t="s">
        <v>228</v>
      </c>
      <c r="E657" t="str">
        <f>INDEX('State Codes'!$E$7:$E$70,MATCH(INDEX('State Codes'!$C$7:$C$70,MATCH('County Climates'!B657,'State Codes'!$D$7:$D$70,0),1),'State Codes'!$C$7:$C$70,0),1)</f>
        <v>East North Central Division</v>
      </c>
      <c r="F657">
        <f>INDEX('CBECS_Table B5'!$C$6:$K$6,1,MATCH('County Climates'!E657,'CBECS_Table B5'!$C$1:$K$1,0))</f>
        <v>12742</v>
      </c>
    </row>
    <row r="658" spans="1:6" x14ac:dyDescent="0.25">
      <c r="A658" t="s">
        <v>762</v>
      </c>
      <c r="B658" t="s">
        <v>763</v>
      </c>
      <c r="C658" t="s">
        <v>774</v>
      </c>
      <c r="D658" t="s">
        <v>228</v>
      </c>
      <c r="E658" t="str">
        <f>INDEX('State Codes'!$E$7:$E$70,MATCH(INDEX('State Codes'!$C$7:$C$70,MATCH('County Climates'!B658,'State Codes'!$D$7:$D$70,0),1),'State Codes'!$C$7:$C$70,0),1)</f>
        <v>East North Central Division</v>
      </c>
      <c r="F658">
        <f>INDEX('CBECS_Table B5'!$C$6:$K$6,1,MATCH('County Climates'!E658,'CBECS_Table B5'!$C$1:$K$1,0))</f>
        <v>12742</v>
      </c>
    </row>
    <row r="659" spans="1:6" x14ac:dyDescent="0.25">
      <c r="A659" t="s">
        <v>762</v>
      </c>
      <c r="B659" t="s">
        <v>763</v>
      </c>
      <c r="C659" t="s">
        <v>775</v>
      </c>
      <c r="D659" t="s">
        <v>228</v>
      </c>
      <c r="E659" t="str">
        <f>INDEX('State Codes'!$E$7:$E$70,MATCH(INDEX('State Codes'!$C$7:$C$70,MATCH('County Climates'!B659,'State Codes'!$D$7:$D$70,0),1),'State Codes'!$C$7:$C$70,0),1)</f>
        <v>East North Central Division</v>
      </c>
      <c r="F659">
        <f>INDEX('CBECS_Table B5'!$C$6:$K$6,1,MATCH('County Climates'!E659,'CBECS_Table B5'!$C$1:$K$1,0))</f>
        <v>12742</v>
      </c>
    </row>
    <row r="660" spans="1:6" x14ac:dyDescent="0.25">
      <c r="A660" t="s">
        <v>762</v>
      </c>
      <c r="B660" t="s">
        <v>763</v>
      </c>
      <c r="C660" t="s">
        <v>348</v>
      </c>
      <c r="D660" t="s">
        <v>228</v>
      </c>
      <c r="E660" t="str">
        <f>INDEX('State Codes'!$E$7:$E$70,MATCH(INDEX('State Codes'!$C$7:$C$70,MATCH('County Climates'!B660,'State Codes'!$D$7:$D$70,0),1),'State Codes'!$C$7:$C$70,0),1)</f>
        <v>East North Central Division</v>
      </c>
      <c r="F660">
        <f>INDEX('CBECS_Table B5'!$C$6:$K$6,1,MATCH('County Climates'!E660,'CBECS_Table B5'!$C$1:$K$1,0))</f>
        <v>12742</v>
      </c>
    </row>
    <row r="661" spans="1:6" x14ac:dyDescent="0.25">
      <c r="A661" t="s">
        <v>762</v>
      </c>
      <c r="B661" t="s">
        <v>763</v>
      </c>
      <c r="C661" t="s">
        <v>776</v>
      </c>
      <c r="D661" t="s">
        <v>228</v>
      </c>
      <c r="E661" t="str">
        <f>INDEX('State Codes'!$E$7:$E$70,MATCH(INDEX('State Codes'!$C$7:$C$70,MATCH('County Climates'!B661,'State Codes'!$D$7:$D$70,0),1),'State Codes'!$C$7:$C$70,0),1)</f>
        <v>East North Central Division</v>
      </c>
      <c r="F661">
        <f>INDEX('CBECS_Table B5'!$C$6:$K$6,1,MATCH('County Climates'!E661,'CBECS_Table B5'!$C$1:$K$1,0))</f>
        <v>12742</v>
      </c>
    </row>
    <row r="662" spans="1:6" x14ac:dyDescent="0.25">
      <c r="A662" t="s">
        <v>762</v>
      </c>
      <c r="B662" t="s">
        <v>763</v>
      </c>
      <c r="C662" t="s">
        <v>498</v>
      </c>
      <c r="D662" t="s">
        <v>228</v>
      </c>
      <c r="E662" t="str">
        <f>INDEX('State Codes'!$E$7:$E$70,MATCH(INDEX('State Codes'!$C$7:$C$70,MATCH('County Climates'!B662,'State Codes'!$D$7:$D$70,0),1),'State Codes'!$C$7:$C$70,0),1)</f>
        <v>East North Central Division</v>
      </c>
      <c r="F662">
        <f>INDEX('CBECS_Table B5'!$C$6:$K$6,1,MATCH('County Climates'!E662,'CBECS_Table B5'!$C$1:$K$1,0))</f>
        <v>12742</v>
      </c>
    </row>
    <row r="663" spans="1:6" x14ac:dyDescent="0.25">
      <c r="A663" t="s">
        <v>762</v>
      </c>
      <c r="B663" t="s">
        <v>763</v>
      </c>
      <c r="C663" t="s">
        <v>777</v>
      </c>
      <c r="D663" t="s">
        <v>228</v>
      </c>
      <c r="E663" t="str">
        <f>INDEX('State Codes'!$E$7:$E$70,MATCH(INDEX('State Codes'!$C$7:$C$70,MATCH('County Climates'!B663,'State Codes'!$D$7:$D$70,0),1),'State Codes'!$C$7:$C$70,0),1)</f>
        <v>East North Central Division</v>
      </c>
      <c r="F663">
        <f>INDEX('CBECS_Table B5'!$C$6:$K$6,1,MATCH('County Climates'!E663,'CBECS_Table B5'!$C$1:$K$1,0))</f>
        <v>12742</v>
      </c>
    </row>
    <row r="664" spans="1:6" x14ac:dyDescent="0.25">
      <c r="A664" t="s">
        <v>778</v>
      </c>
      <c r="B664" t="s">
        <v>779</v>
      </c>
      <c r="C664" t="s">
        <v>780</v>
      </c>
      <c r="D664" t="s">
        <v>229</v>
      </c>
      <c r="E664" t="str">
        <f>INDEX('State Codes'!$E$7:$E$70,MATCH(INDEX('State Codes'!$C$7:$C$70,MATCH('County Climates'!B664,'State Codes'!$D$7:$D$70,0),1),'State Codes'!$C$7:$C$70,0),1)</f>
        <v>West North Central Division</v>
      </c>
      <c r="F664">
        <f>INDEX('CBECS_Table B5'!$C$6:$K$6,1,MATCH('County Climates'!E664,'CBECS_Table B5'!$C$1:$K$1,0))</f>
        <v>6178</v>
      </c>
    </row>
    <row r="665" spans="1:6" x14ac:dyDescent="0.25">
      <c r="A665" t="s">
        <v>778</v>
      </c>
      <c r="B665" t="s">
        <v>779</v>
      </c>
      <c r="C665" t="s">
        <v>781</v>
      </c>
      <c r="D665" t="s">
        <v>228</v>
      </c>
      <c r="E665" t="str">
        <f>INDEX('State Codes'!$E$7:$E$70,MATCH(INDEX('State Codes'!$C$7:$C$70,MATCH('County Climates'!B665,'State Codes'!$D$7:$D$70,0),1),'State Codes'!$C$7:$C$70,0),1)</f>
        <v>West North Central Division</v>
      </c>
      <c r="F665">
        <f>INDEX('CBECS_Table B5'!$C$6:$K$6,1,MATCH('County Climates'!E665,'CBECS_Table B5'!$C$1:$K$1,0))</f>
        <v>6178</v>
      </c>
    </row>
    <row r="666" spans="1:6" x14ac:dyDescent="0.25">
      <c r="A666" t="s">
        <v>778</v>
      </c>
      <c r="B666" t="s">
        <v>779</v>
      </c>
      <c r="C666" t="s">
        <v>782</v>
      </c>
      <c r="D666" t="s">
        <v>229</v>
      </c>
      <c r="E666" t="str">
        <f>INDEX('State Codes'!$E$7:$E$70,MATCH(INDEX('State Codes'!$C$7:$C$70,MATCH('County Climates'!B666,'State Codes'!$D$7:$D$70,0),1),'State Codes'!$C$7:$C$70,0),1)</f>
        <v>West North Central Division</v>
      </c>
      <c r="F666">
        <f>INDEX('CBECS_Table B5'!$C$6:$K$6,1,MATCH('County Climates'!E666,'CBECS_Table B5'!$C$1:$K$1,0))</f>
        <v>6178</v>
      </c>
    </row>
    <row r="667" spans="1:6" x14ac:dyDescent="0.25">
      <c r="A667" t="s">
        <v>778</v>
      </c>
      <c r="B667" t="s">
        <v>779</v>
      </c>
      <c r="C667" t="s">
        <v>783</v>
      </c>
      <c r="D667" t="s">
        <v>229</v>
      </c>
      <c r="E667" t="str">
        <f>INDEX('State Codes'!$E$7:$E$70,MATCH(INDEX('State Codes'!$C$7:$C$70,MATCH('County Climates'!B667,'State Codes'!$D$7:$D$70,0),1),'State Codes'!$C$7:$C$70,0),1)</f>
        <v>West North Central Division</v>
      </c>
      <c r="F667">
        <f>INDEX('CBECS_Table B5'!$C$6:$K$6,1,MATCH('County Climates'!E667,'CBECS_Table B5'!$C$1:$K$1,0))</f>
        <v>6178</v>
      </c>
    </row>
    <row r="668" spans="1:6" x14ac:dyDescent="0.25">
      <c r="A668" t="s">
        <v>778</v>
      </c>
      <c r="B668" t="s">
        <v>779</v>
      </c>
      <c r="C668" t="s">
        <v>575</v>
      </c>
      <c r="D668" t="s">
        <v>228</v>
      </c>
      <c r="E668" t="str">
        <f>INDEX('State Codes'!$E$7:$E$70,MATCH(INDEX('State Codes'!$C$7:$C$70,MATCH('County Climates'!B668,'State Codes'!$D$7:$D$70,0),1),'State Codes'!$C$7:$C$70,0),1)</f>
        <v>West North Central Division</v>
      </c>
      <c r="F668">
        <f>INDEX('CBECS_Table B5'!$C$6:$K$6,1,MATCH('County Climates'!E668,'CBECS_Table B5'!$C$1:$K$1,0))</f>
        <v>6178</v>
      </c>
    </row>
    <row r="669" spans="1:6" x14ac:dyDescent="0.25">
      <c r="A669" t="s">
        <v>778</v>
      </c>
      <c r="B669" t="s">
        <v>779</v>
      </c>
      <c r="C669" t="s">
        <v>784</v>
      </c>
      <c r="D669" t="s">
        <v>228</v>
      </c>
      <c r="E669" t="str">
        <f>INDEX('State Codes'!$E$7:$E$70,MATCH(INDEX('State Codes'!$C$7:$C$70,MATCH('County Climates'!B669,'State Codes'!$D$7:$D$70,0),1),'State Codes'!$C$7:$C$70,0),1)</f>
        <v>West North Central Division</v>
      </c>
      <c r="F669">
        <f>INDEX('CBECS_Table B5'!$C$6:$K$6,1,MATCH('County Climates'!E669,'CBECS_Table B5'!$C$1:$K$1,0))</f>
        <v>6178</v>
      </c>
    </row>
    <row r="670" spans="1:6" x14ac:dyDescent="0.25">
      <c r="A670" t="s">
        <v>778</v>
      </c>
      <c r="B670" t="s">
        <v>779</v>
      </c>
      <c r="C670" t="s">
        <v>785</v>
      </c>
      <c r="D670" t="s">
        <v>228</v>
      </c>
      <c r="E670" t="str">
        <f>INDEX('State Codes'!$E$7:$E$70,MATCH(INDEX('State Codes'!$C$7:$C$70,MATCH('County Climates'!B670,'State Codes'!$D$7:$D$70,0),1),'State Codes'!$C$7:$C$70,0),1)</f>
        <v>West North Central Division</v>
      </c>
      <c r="F670">
        <f>INDEX('CBECS_Table B5'!$C$6:$K$6,1,MATCH('County Climates'!E670,'CBECS_Table B5'!$C$1:$K$1,0))</f>
        <v>6178</v>
      </c>
    </row>
    <row r="671" spans="1:6" x14ac:dyDescent="0.25">
      <c r="A671" t="s">
        <v>778</v>
      </c>
      <c r="B671" t="s">
        <v>779</v>
      </c>
      <c r="C671" t="s">
        <v>578</v>
      </c>
      <c r="D671" t="s">
        <v>228</v>
      </c>
      <c r="E671" t="str">
        <f>INDEX('State Codes'!$E$7:$E$70,MATCH(INDEX('State Codes'!$C$7:$C$70,MATCH('County Climates'!B671,'State Codes'!$D$7:$D$70,0),1),'State Codes'!$C$7:$C$70,0),1)</f>
        <v>West North Central Division</v>
      </c>
      <c r="F671">
        <f>INDEX('CBECS_Table B5'!$C$6:$K$6,1,MATCH('County Climates'!E671,'CBECS_Table B5'!$C$1:$K$1,0))</f>
        <v>6178</v>
      </c>
    </row>
    <row r="672" spans="1:6" x14ac:dyDescent="0.25">
      <c r="A672" t="s">
        <v>778</v>
      </c>
      <c r="B672" t="s">
        <v>779</v>
      </c>
      <c r="C672" t="s">
        <v>786</v>
      </c>
      <c r="D672" t="s">
        <v>229</v>
      </c>
      <c r="E672" t="str">
        <f>INDEX('State Codes'!$E$7:$E$70,MATCH(INDEX('State Codes'!$C$7:$C$70,MATCH('County Climates'!B672,'State Codes'!$D$7:$D$70,0),1),'State Codes'!$C$7:$C$70,0),1)</f>
        <v>West North Central Division</v>
      </c>
      <c r="F672">
        <f>INDEX('CBECS_Table B5'!$C$6:$K$6,1,MATCH('County Climates'!E672,'CBECS_Table B5'!$C$1:$K$1,0))</f>
        <v>6178</v>
      </c>
    </row>
    <row r="673" spans="1:6" x14ac:dyDescent="0.25">
      <c r="A673" t="s">
        <v>778</v>
      </c>
      <c r="B673" t="s">
        <v>779</v>
      </c>
      <c r="C673" t="s">
        <v>787</v>
      </c>
      <c r="D673" t="s">
        <v>228</v>
      </c>
      <c r="E673" t="str">
        <f>INDEX('State Codes'!$E$7:$E$70,MATCH(INDEX('State Codes'!$C$7:$C$70,MATCH('County Climates'!B673,'State Codes'!$D$7:$D$70,0),1),'State Codes'!$C$7:$C$70,0),1)</f>
        <v>West North Central Division</v>
      </c>
      <c r="F673">
        <f>INDEX('CBECS_Table B5'!$C$6:$K$6,1,MATCH('County Climates'!E673,'CBECS_Table B5'!$C$1:$K$1,0))</f>
        <v>6178</v>
      </c>
    </row>
    <row r="674" spans="1:6" x14ac:dyDescent="0.25">
      <c r="A674" t="s">
        <v>778</v>
      </c>
      <c r="B674" t="s">
        <v>779</v>
      </c>
      <c r="C674" t="s">
        <v>579</v>
      </c>
      <c r="D674" t="s">
        <v>229</v>
      </c>
      <c r="E674" t="str">
        <f>INDEX('State Codes'!$E$7:$E$70,MATCH(INDEX('State Codes'!$C$7:$C$70,MATCH('County Climates'!B674,'State Codes'!$D$7:$D$70,0),1),'State Codes'!$C$7:$C$70,0),1)</f>
        <v>West North Central Division</v>
      </c>
      <c r="F674">
        <f>INDEX('CBECS_Table B5'!$C$6:$K$6,1,MATCH('County Climates'!E674,'CBECS_Table B5'!$C$1:$K$1,0))</f>
        <v>6178</v>
      </c>
    </row>
    <row r="675" spans="1:6" x14ac:dyDescent="0.25">
      <c r="A675" t="s">
        <v>778</v>
      </c>
      <c r="B675" t="s">
        <v>779</v>
      </c>
      <c r="C675" t="s">
        <v>788</v>
      </c>
      <c r="D675" t="s">
        <v>228</v>
      </c>
      <c r="E675" t="str">
        <f>INDEX('State Codes'!$E$7:$E$70,MATCH(INDEX('State Codes'!$C$7:$C$70,MATCH('County Climates'!B675,'State Codes'!$D$7:$D$70,0),1),'State Codes'!$C$7:$C$70,0),1)</f>
        <v>West North Central Division</v>
      </c>
      <c r="F675">
        <f>INDEX('CBECS_Table B5'!$C$6:$K$6,1,MATCH('County Climates'!E675,'CBECS_Table B5'!$C$1:$K$1,0))</f>
        <v>6178</v>
      </c>
    </row>
    <row r="676" spans="1:6" x14ac:dyDescent="0.25">
      <c r="A676" t="s">
        <v>778</v>
      </c>
      <c r="B676" t="s">
        <v>779</v>
      </c>
      <c r="C676" t="s">
        <v>789</v>
      </c>
      <c r="D676" t="s">
        <v>228</v>
      </c>
      <c r="E676" t="str">
        <f>INDEX('State Codes'!$E$7:$E$70,MATCH(INDEX('State Codes'!$C$7:$C$70,MATCH('County Climates'!B676,'State Codes'!$D$7:$D$70,0),1),'State Codes'!$C$7:$C$70,0),1)</f>
        <v>West North Central Division</v>
      </c>
      <c r="F676">
        <f>INDEX('CBECS_Table B5'!$C$6:$K$6,1,MATCH('County Climates'!E676,'CBECS_Table B5'!$C$1:$K$1,0))</f>
        <v>6178</v>
      </c>
    </row>
    <row r="677" spans="1:6" x14ac:dyDescent="0.25">
      <c r="A677" t="s">
        <v>778</v>
      </c>
      <c r="B677" t="s">
        <v>779</v>
      </c>
      <c r="C677" t="s">
        <v>257</v>
      </c>
      <c r="D677" t="s">
        <v>229</v>
      </c>
      <c r="E677" t="str">
        <f>INDEX('State Codes'!$E$7:$E$70,MATCH(INDEX('State Codes'!$C$7:$C$70,MATCH('County Climates'!B677,'State Codes'!$D$7:$D$70,0),1),'State Codes'!$C$7:$C$70,0),1)</f>
        <v>West North Central Division</v>
      </c>
      <c r="F677">
        <f>INDEX('CBECS_Table B5'!$C$6:$K$6,1,MATCH('County Climates'!E677,'CBECS_Table B5'!$C$1:$K$1,0))</f>
        <v>6178</v>
      </c>
    </row>
    <row r="678" spans="1:6" x14ac:dyDescent="0.25">
      <c r="A678" t="s">
        <v>778</v>
      </c>
      <c r="B678" t="s">
        <v>779</v>
      </c>
      <c r="C678" t="s">
        <v>531</v>
      </c>
      <c r="D678" t="s">
        <v>229</v>
      </c>
      <c r="E678" t="str">
        <f>INDEX('State Codes'!$E$7:$E$70,MATCH(INDEX('State Codes'!$C$7:$C$70,MATCH('County Climates'!B678,'State Codes'!$D$7:$D$70,0),1),'State Codes'!$C$7:$C$70,0),1)</f>
        <v>West North Central Division</v>
      </c>
      <c r="F678">
        <f>INDEX('CBECS_Table B5'!$C$6:$K$6,1,MATCH('County Climates'!E678,'CBECS_Table B5'!$C$1:$K$1,0))</f>
        <v>6178</v>
      </c>
    </row>
    <row r="679" spans="1:6" x14ac:dyDescent="0.25">
      <c r="A679" t="s">
        <v>778</v>
      </c>
      <c r="B679" t="s">
        <v>779</v>
      </c>
      <c r="C679" t="s">
        <v>458</v>
      </c>
      <c r="D679" t="s">
        <v>229</v>
      </c>
      <c r="E679" t="str">
        <f>INDEX('State Codes'!$E$7:$E$70,MATCH(INDEX('State Codes'!$C$7:$C$70,MATCH('County Climates'!B679,'State Codes'!$D$7:$D$70,0),1),'State Codes'!$C$7:$C$70,0),1)</f>
        <v>West North Central Division</v>
      </c>
      <c r="F679">
        <f>INDEX('CBECS_Table B5'!$C$6:$K$6,1,MATCH('County Climates'!E679,'CBECS_Table B5'!$C$1:$K$1,0))</f>
        <v>6178</v>
      </c>
    </row>
    <row r="680" spans="1:6" x14ac:dyDescent="0.25">
      <c r="A680" t="s">
        <v>778</v>
      </c>
      <c r="B680" t="s">
        <v>779</v>
      </c>
      <c r="C680" t="s">
        <v>790</v>
      </c>
      <c r="D680" t="s">
        <v>228</v>
      </c>
      <c r="E680" t="str">
        <f>INDEX('State Codes'!$E$7:$E$70,MATCH(INDEX('State Codes'!$C$7:$C$70,MATCH('County Climates'!B680,'State Codes'!$D$7:$D$70,0),1),'State Codes'!$C$7:$C$70,0),1)</f>
        <v>West North Central Division</v>
      </c>
      <c r="F680">
        <f>INDEX('CBECS_Table B5'!$C$6:$K$6,1,MATCH('County Climates'!E680,'CBECS_Table B5'!$C$1:$K$1,0))</f>
        <v>6178</v>
      </c>
    </row>
    <row r="681" spans="1:6" x14ac:dyDescent="0.25">
      <c r="A681" t="s">
        <v>778</v>
      </c>
      <c r="B681" t="s">
        <v>779</v>
      </c>
      <c r="C681" t="s">
        <v>791</v>
      </c>
      <c r="D681" t="s">
        <v>229</v>
      </c>
      <c r="E681" t="str">
        <f>INDEX('State Codes'!$E$7:$E$70,MATCH(INDEX('State Codes'!$C$7:$C$70,MATCH('County Climates'!B681,'State Codes'!$D$7:$D$70,0),1),'State Codes'!$C$7:$C$70,0),1)</f>
        <v>West North Central Division</v>
      </c>
      <c r="F681">
        <f>INDEX('CBECS_Table B5'!$C$6:$K$6,1,MATCH('County Climates'!E681,'CBECS_Table B5'!$C$1:$K$1,0))</f>
        <v>6178</v>
      </c>
    </row>
    <row r="682" spans="1:6" x14ac:dyDescent="0.25">
      <c r="A682" t="s">
        <v>778</v>
      </c>
      <c r="B682" t="s">
        <v>779</v>
      </c>
      <c r="C682" t="s">
        <v>792</v>
      </c>
      <c r="D682" t="s">
        <v>228</v>
      </c>
      <c r="E682" t="str">
        <f>INDEX('State Codes'!$E$7:$E$70,MATCH(INDEX('State Codes'!$C$7:$C$70,MATCH('County Climates'!B682,'State Codes'!$D$7:$D$70,0),1),'State Codes'!$C$7:$C$70,0),1)</f>
        <v>West North Central Division</v>
      </c>
      <c r="F682">
        <f>INDEX('CBECS_Table B5'!$C$6:$K$6,1,MATCH('County Climates'!E682,'CBECS_Table B5'!$C$1:$K$1,0))</f>
        <v>6178</v>
      </c>
    </row>
    <row r="683" spans="1:6" x14ac:dyDescent="0.25">
      <c r="A683" t="s">
        <v>778</v>
      </c>
      <c r="B683" t="s">
        <v>779</v>
      </c>
      <c r="C683" t="s">
        <v>465</v>
      </c>
      <c r="D683" t="s">
        <v>228</v>
      </c>
      <c r="E683" t="str">
        <f>INDEX('State Codes'!$E$7:$E$70,MATCH(INDEX('State Codes'!$C$7:$C$70,MATCH('County Climates'!B683,'State Codes'!$D$7:$D$70,0),1),'State Codes'!$C$7:$C$70,0),1)</f>
        <v>West North Central Division</v>
      </c>
      <c r="F683">
        <f>INDEX('CBECS_Table B5'!$C$6:$K$6,1,MATCH('County Climates'!E683,'CBECS_Table B5'!$C$1:$K$1,0))</f>
        <v>6178</v>
      </c>
    </row>
    <row r="684" spans="1:6" x14ac:dyDescent="0.25">
      <c r="A684" t="s">
        <v>778</v>
      </c>
      <c r="B684" t="s">
        <v>779</v>
      </c>
      <c r="C684" t="s">
        <v>369</v>
      </c>
      <c r="D684" t="s">
        <v>228</v>
      </c>
      <c r="E684" t="str">
        <f>INDEX('State Codes'!$E$7:$E$70,MATCH(INDEX('State Codes'!$C$7:$C$70,MATCH('County Climates'!B684,'State Codes'!$D$7:$D$70,0),1),'State Codes'!$C$7:$C$70,0),1)</f>
        <v>West North Central Division</v>
      </c>
      <c r="F684">
        <f>INDEX('CBECS_Table B5'!$C$6:$K$6,1,MATCH('County Climates'!E684,'CBECS_Table B5'!$C$1:$K$1,0))</f>
        <v>6178</v>
      </c>
    </row>
    <row r="685" spans="1:6" x14ac:dyDescent="0.25">
      <c r="A685" t="s">
        <v>778</v>
      </c>
      <c r="B685" t="s">
        <v>779</v>
      </c>
      <c r="C685" t="s">
        <v>793</v>
      </c>
      <c r="D685" t="s">
        <v>228</v>
      </c>
      <c r="E685" t="str">
        <f>INDEX('State Codes'!$E$7:$E$70,MATCH(INDEX('State Codes'!$C$7:$C$70,MATCH('County Climates'!B685,'State Codes'!$D$7:$D$70,0),1),'State Codes'!$C$7:$C$70,0),1)</f>
        <v>West North Central Division</v>
      </c>
      <c r="F685">
        <f>INDEX('CBECS_Table B5'!$C$6:$K$6,1,MATCH('County Climates'!E685,'CBECS_Table B5'!$C$1:$K$1,0))</f>
        <v>6178</v>
      </c>
    </row>
    <row r="686" spans="1:6" x14ac:dyDescent="0.25">
      <c r="A686" t="s">
        <v>778</v>
      </c>
      <c r="B686" t="s">
        <v>779</v>
      </c>
      <c r="C686" t="s">
        <v>794</v>
      </c>
      <c r="D686" t="s">
        <v>228</v>
      </c>
      <c r="E686" t="str">
        <f>INDEX('State Codes'!$E$7:$E$70,MATCH(INDEX('State Codes'!$C$7:$C$70,MATCH('County Climates'!B686,'State Codes'!$D$7:$D$70,0),1),'State Codes'!$C$7:$C$70,0),1)</f>
        <v>West North Central Division</v>
      </c>
      <c r="F686">
        <f>INDEX('CBECS_Table B5'!$C$6:$K$6,1,MATCH('County Climates'!E686,'CBECS_Table B5'!$C$1:$K$1,0))</f>
        <v>6178</v>
      </c>
    </row>
    <row r="687" spans="1:6" x14ac:dyDescent="0.25">
      <c r="A687" t="s">
        <v>778</v>
      </c>
      <c r="B687" t="s">
        <v>779</v>
      </c>
      <c r="C687" t="s">
        <v>795</v>
      </c>
      <c r="D687" t="s">
        <v>228</v>
      </c>
      <c r="E687" t="str">
        <f>INDEX('State Codes'!$E$7:$E$70,MATCH(INDEX('State Codes'!$C$7:$C$70,MATCH('County Climates'!B687,'State Codes'!$D$7:$D$70,0),1),'State Codes'!$C$7:$C$70,0),1)</f>
        <v>West North Central Division</v>
      </c>
      <c r="F687">
        <f>INDEX('CBECS_Table B5'!$C$6:$K$6,1,MATCH('County Climates'!E687,'CBECS_Table B5'!$C$1:$K$1,0))</f>
        <v>6178</v>
      </c>
    </row>
    <row r="688" spans="1:6" x14ac:dyDescent="0.25">
      <c r="A688" t="s">
        <v>778</v>
      </c>
      <c r="B688" t="s">
        <v>779</v>
      </c>
      <c r="C688" t="s">
        <v>796</v>
      </c>
      <c r="D688" t="s">
        <v>228</v>
      </c>
      <c r="E688" t="str">
        <f>INDEX('State Codes'!$E$7:$E$70,MATCH(INDEX('State Codes'!$C$7:$C$70,MATCH('County Climates'!B688,'State Codes'!$D$7:$D$70,0),1),'State Codes'!$C$7:$C$70,0),1)</f>
        <v>West North Central Division</v>
      </c>
      <c r="F688">
        <f>INDEX('CBECS_Table B5'!$C$6:$K$6,1,MATCH('County Climates'!E688,'CBECS_Table B5'!$C$1:$K$1,0))</f>
        <v>6178</v>
      </c>
    </row>
    <row r="689" spans="1:6" x14ac:dyDescent="0.25">
      <c r="A689" t="s">
        <v>778</v>
      </c>
      <c r="B689" t="s">
        <v>779</v>
      </c>
      <c r="C689" t="s">
        <v>316</v>
      </c>
      <c r="D689" t="s">
        <v>229</v>
      </c>
      <c r="E689" t="str">
        <f>INDEX('State Codes'!$E$7:$E$70,MATCH(INDEX('State Codes'!$C$7:$C$70,MATCH('County Climates'!B689,'State Codes'!$D$7:$D$70,0),1),'State Codes'!$C$7:$C$70,0),1)</f>
        <v>West North Central Division</v>
      </c>
      <c r="F689">
        <f>INDEX('CBECS_Table B5'!$C$6:$K$6,1,MATCH('County Climates'!E689,'CBECS_Table B5'!$C$1:$K$1,0))</f>
        <v>6178</v>
      </c>
    </row>
    <row r="690" spans="1:6" x14ac:dyDescent="0.25">
      <c r="A690" t="s">
        <v>778</v>
      </c>
      <c r="B690" t="s">
        <v>779</v>
      </c>
      <c r="C690" t="s">
        <v>797</v>
      </c>
      <c r="D690" t="s">
        <v>228</v>
      </c>
      <c r="E690" t="str">
        <f>INDEX('State Codes'!$E$7:$E$70,MATCH(INDEX('State Codes'!$C$7:$C$70,MATCH('County Climates'!B690,'State Codes'!$D$7:$D$70,0),1),'State Codes'!$C$7:$C$70,0),1)</f>
        <v>West North Central Division</v>
      </c>
      <c r="F690">
        <f>INDEX('CBECS_Table B5'!$C$6:$K$6,1,MATCH('County Climates'!E690,'CBECS_Table B5'!$C$1:$K$1,0))</f>
        <v>6178</v>
      </c>
    </row>
    <row r="691" spans="1:6" x14ac:dyDescent="0.25">
      <c r="A691" t="s">
        <v>778</v>
      </c>
      <c r="B691" t="s">
        <v>779</v>
      </c>
      <c r="C691" t="s">
        <v>278</v>
      </c>
      <c r="D691" t="s">
        <v>228</v>
      </c>
      <c r="E691" t="str">
        <f>INDEX('State Codes'!$E$7:$E$70,MATCH(INDEX('State Codes'!$C$7:$C$70,MATCH('County Climates'!B691,'State Codes'!$D$7:$D$70,0),1),'State Codes'!$C$7:$C$70,0),1)</f>
        <v>West North Central Division</v>
      </c>
      <c r="F691">
        <f>INDEX('CBECS_Table B5'!$C$6:$K$6,1,MATCH('County Climates'!E691,'CBECS_Table B5'!$C$1:$K$1,0))</f>
        <v>6178</v>
      </c>
    </row>
    <row r="692" spans="1:6" x14ac:dyDescent="0.25">
      <c r="A692" t="s">
        <v>778</v>
      </c>
      <c r="B692" t="s">
        <v>779</v>
      </c>
      <c r="C692" t="s">
        <v>798</v>
      </c>
      <c r="D692" t="s">
        <v>229</v>
      </c>
      <c r="E692" t="str">
        <f>INDEX('State Codes'!$E$7:$E$70,MATCH(INDEX('State Codes'!$C$7:$C$70,MATCH('County Climates'!B692,'State Codes'!$D$7:$D$70,0),1),'State Codes'!$C$7:$C$70,0),1)</f>
        <v>West North Central Division</v>
      </c>
      <c r="F692">
        <f>INDEX('CBECS_Table B5'!$C$6:$K$6,1,MATCH('County Climates'!E692,'CBECS_Table B5'!$C$1:$K$1,0))</f>
        <v>6178</v>
      </c>
    </row>
    <row r="693" spans="1:6" x14ac:dyDescent="0.25">
      <c r="A693" t="s">
        <v>778</v>
      </c>
      <c r="B693" t="s">
        <v>779</v>
      </c>
      <c r="C693" t="s">
        <v>799</v>
      </c>
      <c r="D693" t="s">
        <v>228</v>
      </c>
      <c r="E693" t="str">
        <f>INDEX('State Codes'!$E$7:$E$70,MATCH(INDEX('State Codes'!$C$7:$C$70,MATCH('County Climates'!B693,'State Codes'!$D$7:$D$70,0),1),'State Codes'!$C$7:$C$70,0),1)</f>
        <v>West North Central Division</v>
      </c>
      <c r="F693">
        <f>INDEX('CBECS_Table B5'!$C$6:$K$6,1,MATCH('County Climates'!E693,'CBECS_Table B5'!$C$1:$K$1,0))</f>
        <v>6178</v>
      </c>
    </row>
    <row r="694" spans="1:6" x14ac:dyDescent="0.25">
      <c r="A694" t="s">
        <v>778</v>
      </c>
      <c r="B694" t="s">
        <v>779</v>
      </c>
      <c r="C694" t="s">
        <v>800</v>
      </c>
      <c r="D694" t="s">
        <v>229</v>
      </c>
      <c r="E694" t="str">
        <f>INDEX('State Codes'!$E$7:$E$70,MATCH(INDEX('State Codes'!$C$7:$C$70,MATCH('County Climates'!B694,'State Codes'!$D$7:$D$70,0),1),'State Codes'!$C$7:$C$70,0),1)</f>
        <v>West North Central Division</v>
      </c>
      <c r="F694">
        <f>INDEX('CBECS_Table B5'!$C$6:$K$6,1,MATCH('County Climates'!E694,'CBECS_Table B5'!$C$1:$K$1,0))</f>
        <v>6178</v>
      </c>
    </row>
    <row r="695" spans="1:6" x14ac:dyDescent="0.25">
      <c r="A695" t="s">
        <v>778</v>
      </c>
      <c r="B695" t="s">
        <v>779</v>
      </c>
      <c r="C695" t="s">
        <v>279</v>
      </c>
      <c r="D695" t="s">
        <v>228</v>
      </c>
      <c r="E695" t="str">
        <f>INDEX('State Codes'!$E$7:$E$70,MATCH(INDEX('State Codes'!$C$7:$C$70,MATCH('County Climates'!B695,'State Codes'!$D$7:$D$70,0),1),'State Codes'!$C$7:$C$70,0),1)</f>
        <v>West North Central Division</v>
      </c>
      <c r="F695">
        <f>INDEX('CBECS_Table B5'!$C$6:$K$6,1,MATCH('County Climates'!E695,'CBECS_Table B5'!$C$1:$K$1,0))</f>
        <v>6178</v>
      </c>
    </row>
    <row r="696" spans="1:6" x14ac:dyDescent="0.25">
      <c r="A696" t="s">
        <v>778</v>
      </c>
      <c r="B696" t="s">
        <v>779</v>
      </c>
      <c r="C696" t="s">
        <v>801</v>
      </c>
      <c r="D696" t="s">
        <v>229</v>
      </c>
      <c r="E696" t="str">
        <f>INDEX('State Codes'!$E$7:$E$70,MATCH(INDEX('State Codes'!$C$7:$C$70,MATCH('County Climates'!B696,'State Codes'!$D$7:$D$70,0),1),'State Codes'!$C$7:$C$70,0),1)</f>
        <v>West North Central Division</v>
      </c>
      <c r="F696">
        <f>INDEX('CBECS_Table B5'!$C$6:$K$6,1,MATCH('County Climates'!E696,'CBECS_Table B5'!$C$1:$K$1,0))</f>
        <v>6178</v>
      </c>
    </row>
    <row r="697" spans="1:6" x14ac:dyDescent="0.25">
      <c r="A697" t="s">
        <v>778</v>
      </c>
      <c r="B697" t="s">
        <v>779</v>
      </c>
      <c r="C697" t="s">
        <v>802</v>
      </c>
      <c r="D697" t="s">
        <v>228</v>
      </c>
      <c r="E697" t="str">
        <f>INDEX('State Codes'!$E$7:$E$70,MATCH(INDEX('State Codes'!$C$7:$C$70,MATCH('County Climates'!B697,'State Codes'!$D$7:$D$70,0),1),'State Codes'!$C$7:$C$70,0),1)</f>
        <v>West North Central Division</v>
      </c>
      <c r="F697">
        <f>INDEX('CBECS_Table B5'!$C$6:$K$6,1,MATCH('County Climates'!E697,'CBECS_Table B5'!$C$1:$K$1,0))</f>
        <v>6178</v>
      </c>
    </row>
    <row r="698" spans="1:6" x14ac:dyDescent="0.25">
      <c r="A698" t="s">
        <v>778</v>
      </c>
      <c r="B698" t="s">
        <v>779</v>
      </c>
      <c r="C698" t="s">
        <v>803</v>
      </c>
      <c r="D698" t="s">
        <v>229</v>
      </c>
      <c r="E698" t="str">
        <f>INDEX('State Codes'!$E$7:$E$70,MATCH(INDEX('State Codes'!$C$7:$C$70,MATCH('County Climates'!B698,'State Codes'!$D$7:$D$70,0),1),'State Codes'!$C$7:$C$70,0),1)</f>
        <v>West North Central Division</v>
      </c>
      <c r="F698">
        <f>INDEX('CBECS_Table B5'!$C$6:$K$6,1,MATCH('County Climates'!E698,'CBECS_Table B5'!$C$1:$K$1,0))</f>
        <v>6178</v>
      </c>
    </row>
    <row r="699" spans="1:6" x14ac:dyDescent="0.25">
      <c r="A699" t="s">
        <v>778</v>
      </c>
      <c r="B699" t="s">
        <v>779</v>
      </c>
      <c r="C699" t="s">
        <v>804</v>
      </c>
      <c r="D699" t="s">
        <v>229</v>
      </c>
      <c r="E699" t="str">
        <f>INDEX('State Codes'!$E$7:$E$70,MATCH(INDEX('State Codes'!$C$7:$C$70,MATCH('County Climates'!B699,'State Codes'!$D$7:$D$70,0),1),'State Codes'!$C$7:$C$70,0),1)</f>
        <v>West North Central Division</v>
      </c>
      <c r="F699">
        <f>INDEX('CBECS_Table B5'!$C$6:$K$6,1,MATCH('County Climates'!E699,'CBECS_Table B5'!$C$1:$K$1,0))</f>
        <v>6178</v>
      </c>
    </row>
    <row r="700" spans="1:6" x14ac:dyDescent="0.25">
      <c r="A700" t="s">
        <v>778</v>
      </c>
      <c r="B700" t="s">
        <v>779</v>
      </c>
      <c r="C700" t="s">
        <v>805</v>
      </c>
      <c r="D700" t="s">
        <v>228</v>
      </c>
      <c r="E700" t="str">
        <f>INDEX('State Codes'!$E$7:$E$70,MATCH(INDEX('State Codes'!$C$7:$C$70,MATCH('County Climates'!B700,'State Codes'!$D$7:$D$70,0),1),'State Codes'!$C$7:$C$70,0),1)</f>
        <v>West North Central Division</v>
      </c>
      <c r="F700">
        <f>INDEX('CBECS_Table B5'!$C$6:$K$6,1,MATCH('County Climates'!E700,'CBECS_Table B5'!$C$1:$K$1,0))</f>
        <v>6178</v>
      </c>
    </row>
    <row r="701" spans="1:6" x14ac:dyDescent="0.25">
      <c r="A701" t="s">
        <v>778</v>
      </c>
      <c r="B701" t="s">
        <v>779</v>
      </c>
      <c r="C701" t="s">
        <v>383</v>
      </c>
      <c r="D701" t="s">
        <v>229</v>
      </c>
      <c r="E701" t="str">
        <f>INDEX('State Codes'!$E$7:$E$70,MATCH(INDEX('State Codes'!$C$7:$C$70,MATCH('County Climates'!B701,'State Codes'!$D$7:$D$70,0),1),'State Codes'!$C$7:$C$70,0),1)</f>
        <v>West North Central Division</v>
      </c>
      <c r="F701">
        <f>INDEX('CBECS_Table B5'!$C$6:$K$6,1,MATCH('County Climates'!E701,'CBECS_Table B5'!$C$1:$K$1,0))</f>
        <v>6178</v>
      </c>
    </row>
    <row r="702" spans="1:6" x14ac:dyDescent="0.25">
      <c r="A702" t="s">
        <v>778</v>
      </c>
      <c r="B702" t="s">
        <v>779</v>
      </c>
      <c r="C702" t="s">
        <v>806</v>
      </c>
      <c r="D702" t="s">
        <v>229</v>
      </c>
      <c r="E702" t="str">
        <f>INDEX('State Codes'!$E$7:$E$70,MATCH(INDEX('State Codes'!$C$7:$C$70,MATCH('County Climates'!B702,'State Codes'!$D$7:$D$70,0),1),'State Codes'!$C$7:$C$70,0),1)</f>
        <v>West North Central Division</v>
      </c>
      <c r="F702">
        <f>INDEX('CBECS_Table B5'!$C$6:$K$6,1,MATCH('County Climates'!E702,'CBECS_Table B5'!$C$1:$K$1,0))</f>
        <v>6178</v>
      </c>
    </row>
    <row r="703" spans="1:6" x14ac:dyDescent="0.25">
      <c r="A703" t="s">
        <v>778</v>
      </c>
      <c r="B703" t="s">
        <v>779</v>
      </c>
      <c r="C703" t="s">
        <v>807</v>
      </c>
      <c r="D703" t="s">
        <v>228</v>
      </c>
      <c r="E703" t="str">
        <f>INDEX('State Codes'!$E$7:$E$70,MATCH(INDEX('State Codes'!$C$7:$C$70,MATCH('County Climates'!B703,'State Codes'!$D$7:$D$70,0),1),'State Codes'!$C$7:$C$70,0),1)</f>
        <v>West North Central Division</v>
      </c>
      <c r="F703">
        <f>INDEX('CBECS_Table B5'!$C$6:$K$6,1,MATCH('County Climates'!E703,'CBECS_Table B5'!$C$1:$K$1,0))</f>
        <v>6178</v>
      </c>
    </row>
    <row r="704" spans="1:6" x14ac:dyDescent="0.25">
      <c r="A704" t="s">
        <v>778</v>
      </c>
      <c r="B704" t="s">
        <v>779</v>
      </c>
      <c r="C704" t="s">
        <v>324</v>
      </c>
      <c r="D704" t="s">
        <v>228</v>
      </c>
      <c r="E704" t="str">
        <f>INDEX('State Codes'!$E$7:$E$70,MATCH(INDEX('State Codes'!$C$7:$C$70,MATCH('County Climates'!B704,'State Codes'!$D$7:$D$70,0),1),'State Codes'!$C$7:$C$70,0),1)</f>
        <v>West North Central Division</v>
      </c>
      <c r="F704">
        <f>INDEX('CBECS_Table B5'!$C$6:$K$6,1,MATCH('County Climates'!E704,'CBECS_Table B5'!$C$1:$K$1,0))</f>
        <v>6178</v>
      </c>
    </row>
    <row r="705" spans="1:6" x14ac:dyDescent="0.25">
      <c r="A705" t="s">
        <v>778</v>
      </c>
      <c r="B705" t="s">
        <v>779</v>
      </c>
      <c r="C705" t="s">
        <v>645</v>
      </c>
      <c r="D705" t="s">
        <v>228</v>
      </c>
      <c r="E705" t="str">
        <f>INDEX('State Codes'!$E$7:$E$70,MATCH(INDEX('State Codes'!$C$7:$C$70,MATCH('County Climates'!B705,'State Codes'!$D$7:$D$70,0),1),'State Codes'!$C$7:$C$70,0),1)</f>
        <v>West North Central Division</v>
      </c>
      <c r="F705">
        <f>INDEX('CBECS_Table B5'!$C$6:$K$6,1,MATCH('County Climates'!E705,'CBECS_Table B5'!$C$1:$K$1,0))</f>
        <v>6178</v>
      </c>
    </row>
    <row r="706" spans="1:6" x14ac:dyDescent="0.25">
      <c r="A706" t="s">
        <v>778</v>
      </c>
      <c r="B706" t="s">
        <v>779</v>
      </c>
      <c r="C706" t="s">
        <v>808</v>
      </c>
      <c r="D706" t="s">
        <v>229</v>
      </c>
      <c r="E706" t="str">
        <f>INDEX('State Codes'!$E$7:$E$70,MATCH(INDEX('State Codes'!$C$7:$C$70,MATCH('County Climates'!B706,'State Codes'!$D$7:$D$70,0),1),'State Codes'!$C$7:$C$70,0),1)</f>
        <v>West North Central Division</v>
      </c>
      <c r="F706">
        <f>INDEX('CBECS_Table B5'!$C$6:$K$6,1,MATCH('County Climates'!E706,'CBECS_Table B5'!$C$1:$K$1,0))</f>
        <v>6178</v>
      </c>
    </row>
    <row r="707" spans="1:6" x14ac:dyDescent="0.25">
      <c r="A707" t="s">
        <v>778</v>
      </c>
      <c r="B707" t="s">
        <v>779</v>
      </c>
      <c r="C707" t="s">
        <v>291</v>
      </c>
      <c r="D707" t="s">
        <v>229</v>
      </c>
      <c r="E707" t="str">
        <f>INDEX('State Codes'!$E$7:$E$70,MATCH(INDEX('State Codes'!$C$7:$C$70,MATCH('County Climates'!B707,'State Codes'!$D$7:$D$70,0),1),'State Codes'!$C$7:$C$70,0),1)</f>
        <v>West North Central Division</v>
      </c>
      <c r="F707">
        <f>INDEX('CBECS_Table B5'!$C$6:$K$6,1,MATCH('County Climates'!E707,'CBECS_Table B5'!$C$1:$K$1,0))</f>
        <v>6178</v>
      </c>
    </row>
    <row r="708" spans="1:6" x14ac:dyDescent="0.25">
      <c r="A708" t="s">
        <v>778</v>
      </c>
      <c r="B708" t="s">
        <v>779</v>
      </c>
      <c r="C708" t="s">
        <v>686</v>
      </c>
      <c r="D708" t="s">
        <v>228</v>
      </c>
      <c r="E708" t="str">
        <f>INDEX('State Codes'!$E$7:$E$70,MATCH(INDEX('State Codes'!$C$7:$C$70,MATCH('County Climates'!B708,'State Codes'!$D$7:$D$70,0),1),'State Codes'!$C$7:$C$70,0),1)</f>
        <v>West North Central Division</v>
      </c>
      <c r="F708">
        <f>INDEX('CBECS_Table B5'!$C$6:$K$6,1,MATCH('County Climates'!E708,'CBECS_Table B5'!$C$1:$K$1,0))</f>
        <v>6178</v>
      </c>
    </row>
    <row r="709" spans="1:6" x14ac:dyDescent="0.25">
      <c r="A709" t="s">
        <v>778</v>
      </c>
      <c r="B709" t="s">
        <v>779</v>
      </c>
      <c r="C709" t="s">
        <v>809</v>
      </c>
      <c r="D709" t="s">
        <v>228</v>
      </c>
      <c r="E709" t="str">
        <f>INDEX('State Codes'!$E$7:$E$70,MATCH(INDEX('State Codes'!$C$7:$C$70,MATCH('County Climates'!B709,'State Codes'!$D$7:$D$70,0),1),'State Codes'!$C$7:$C$70,0),1)</f>
        <v>West North Central Division</v>
      </c>
      <c r="F709">
        <f>INDEX('CBECS_Table B5'!$C$6:$K$6,1,MATCH('County Climates'!E709,'CBECS_Table B5'!$C$1:$K$1,0))</f>
        <v>6178</v>
      </c>
    </row>
    <row r="710" spans="1:6" x14ac:dyDescent="0.25">
      <c r="A710" t="s">
        <v>778</v>
      </c>
      <c r="B710" t="s">
        <v>779</v>
      </c>
      <c r="C710" t="s">
        <v>810</v>
      </c>
      <c r="D710" t="s">
        <v>228</v>
      </c>
      <c r="E710" t="str">
        <f>INDEX('State Codes'!$E$7:$E$70,MATCH(INDEX('State Codes'!$C$7:$C$70,MATCH('County Climates'!B710,'State Codes'!$D$7:$D$70,0),1),'State Codes'!$C$7:$C$70,0),1)</f>
        <v>West North Central Division</v>
      </c>
      <c r="F710">
        <f>INDEX('CBECS_Table B5'!$C$6:$K$6,1,MATCH('County Climates'!E710,'CBECS_Table B5'!$C$1:$K$1,0))</f>
        <v>6178</v>
      </c>
    </row>
    <row r="711" spans="1:6" x14ac:dyDescent="0.25">
      <c r="A711" t="s">
        <v>778</v>
      </c>
      <c r="B711" t="s">
        <v>779</v>
      </c>
      <c r="C711" t="s">
        <v>811</v>
      </c>
      <c r="D711" t="s">
        <v>229</v>
      </c>
      <c r="E711" t="str">
        <f>INDEX('State Codes'!$E$7:$E$70,MATCH(INDEX('State Codes'!$C$7:$C$70,MATCH('County Climates'!B711,'State Codes'!$D$7:$D$70,0),1),'State Codes'!$C$7:$C$70,0),1)</f>
        <v>West North Central Division</v>
      </c>
      <c r="F711">
        <f>INDEX('CBECS_Table B5'!$C$6:$K$6,1,MATCH('County Climates'!E711,'CBECS_Table B5'!$C$1:$K$1,0))</f>
        <v>6178</v>
      </c>
    </row>
    <row r="712" spans="1:6" x14ac:dyDescent="0.25">
      <c r="A712" t="s">
        <v>778</v>
      </c>
      <c r="B712" t="s">
        <v>779</v>
      </c>
      <c r="C712" t="s">
        <v>812</v>
      </c>
      <c r="D712" t="s">
        <v>228</v>
      </c>
      <c r="E712" t="str">
        <f>INDEX('State Codes'!$E$7:$E$70,MATCH(INDEX('State Codes'!$C$7:$C$70,MATCH('County Climates'!B712,'State Codes'!$D$7:$D$70,0),1),'State Codes'!$C$7:$C$70,0),1)</f>
        <v>West North Central Division</v>
      </c>
      <c r="F712">
        <f>INDEX('CBECS_Table B5'!$C$6:$K$6,1,MATCH('County Climates'!E712,'CBECS_Table B5'!$C$1:$K$1,0))</f>
        <v>6178</v>
      </c>
    </row>
    <row r="713" spans="1:6" x14ac:dyDescent="0.25">
      <c r="A713" t="s">
        <v>778</v>
      </c>
      <c r="B713" t="s">
        <v>779</v>
      </c>
      <c r="C713" t="s">
        <v>813</v>
      </c>
      <c r="D713" t="s">
        <v>228</v>
      </c>
      <c r="E713" t="str">
        <f>INDEX('State Codes'!$E$7:$E$70,MATCH(INDEX('State Codes'!$C$7:$C$70,MATCH('County Climates'!B713,'State Codes'!$D$7:$D$70,0),1),'State Codes'!$C$7:$C$70,0),1)</f>
        <v>West North Central Division</v>
      </c>
      <c r="F713">
        <f>INDEX('CBECS_Table B5'!$C$6:$K$6,1,MATCH('County Climates'!E713,'CBECS_Table B5'!$C$1:$K$1,0))</f>
        <v>6178</v>
      </c>
    </row>
    <row r="714" spans="1:6" x14ac:dyDescent="0.25">
      <c r="A714" t="s">
        <v>778</v>
      </c>
      <c r="B714" t="s">
        <v>779</v>
      </c>
      <c r="C714" t="s">
        <v>814</v>
      </c>
      <c r="D714" t="s">
        <v>228</v>
      </c>
      <c r="E714" t="str">
        <f>INDEX('State Codes'!$E$7:$E$70,MATCH(INDEX('State Codes'!$C$7:$C$70,MATCH('County Climates'!B714,'State Codes'!$D$7:$D$70,0),1),'State Codes'!$C$7:$C$70,0),1)</f>
        <v>West North Central Division</v>
      </c>
      <c r="F714">
        <f>INDEX('CBECS_Table B5'!$C$6:$K$6,1,MATCH('County Climates'!E714,'CBECS_Table B5'!$C$1:$K$1,0))</f>
        <v>6178</v>
      </c>
    </row>
    <row r="715" spans="1:6" x14ac:dyDescent="0.25">
      <c r="A715" t="s">
        <v>815</v>
      </c>
      <c r="B715" t="s">
        <v>816</v>
      </c>
      <c r="C715" t="s">
        <v>279</v>
      </c>
      <c r="D715" t="s">
        <v>247</v>
      </c>
      <c r="E715" t="str">
        <f>INDEX('State Codes'!$E$7:$E$70,MATCH(INDEX('State Codes'!$C$7:$C$70,MATCH('County Climates'!B715,'State Codes'!$D$7:$D$70,0),1),'State Codes'!$C$7:$C$70,0),1)</f>
        <v>East South Central Division</v>
      </c>
      <c r="F715">
        <f>INDEX('CBECS_Table B5'!$C$6:$K$6,1,MATCH('County Climates'!E715,'CBECS_Table B5'!$C$1:$K$1,0))</f>
        <v>4904</v>
      </c>
    </row>
    <row r="716" spans="1:6" x14ac:dyDescent="0.25">
      <c r="A716" t="s">
        <v>815</v>
      </c>
      <c r="B716" t="s">
        <v>816</v>
      </c>
      <c r="C716" t="s">
        <v>616</v>
      </c>
      <c r="D716" t="s">
        <v>247</v>
      </c>
      <c r="E716" t="str">
        <f>INDEX('State Codes'!$E$7:$E$70,MATCH(INDEX('State Codes'!$C$7:$C$70,MATCH('County Climates'!B716,'State Codes'!$D$7:$D$70,0),1),'State Codes'!$C$7:$C$70,0),1)</f>
        <v>East South Central Division</v>
      </c>
      <c r="F716">
        <f>INDEX('CBECS_Table B5'!$C$6:$K$6,1,MATCH('County Climates'!E716,'CBECS_Table B5'!$C$1:$K$1,0))</f>
        <v>4904</v>
      </c>
    </row>
    <row r="717" spans="1:6" x14ac:dyDescent="0.25">
      <c r="A717" t="s">
        <v>815</v>
      </c>
      <c r="B717" t="s">
        <v>816</v>
      </c>
      <c r="C717" t="s">
        <v>280</v>
      </c>
      <c r="D717" t="s">
        <v>243</v>
      </c>
      <c r="E717" t="str">
        <f>INDEX('State Codes'!$E$7:$E$70,MATCH(INDEX('State Codes'!$C$7:$C$70,MATCH('County Climates'!B717,'State Codes'!$D$7:$D$70,0),1),'State Codes'!$C$7:$C$70,0),1)</f>
        <v>East South Central Division</v>
      </c>
      <c r="F717">
        <f>INDEX('CBECS_Table B5'!$C$6:$K$6,1,MATCH('County Climates'!E717,'CBECS_Table B5'!$C$1:$K$1,0))</f>
        <v>4904</v>
      </c>
    </row>
    <row r="718" spans="1:6" x14ac:dyDescent="0.25">
      <c r="A718" t="s">
        <v>815</v>
      </c>
      <c r="B718" t="s">
        <v>816</v>
      </c>
      <c r="C718" t="s">
        <v>817</v>
      </c>
      <c r="D718" t="s">
        <v>243</v>
      </c>
      <c r="E718" t="str">
        <f>INDEX('State Codes'!$E$7:$E$70,MATCH(INDEX('State Codes'!$C$7:$C$70,MATCH('County Climates'!B718,'State Codes'!$D$7:$D$70,0),1),'State Codes'!$C$7:$C$70,0),1)</f>
        <v>East South Central Division</v>
      </c>
      <c r="F718">
        <f>INDEX('CBECS_Table B5'!$C$6:$K$6,1,MATCH('County Climates'!E718,'CBECS_Table B5'!$C$1:$K$1,0))</f>
        <v>4904</v>
      </c>
    </row>
    <row r="719" spans="1:6" x14ac:dyDescent="0.25">
      <c r="A719" t="s">
        <v>815</v>
      </c>
      <c r="B719" t="s">
        <v>816</v>
      </c>
      <c r="C719" t="s">
        <v>617</v>
      </c>
      <c r="D719" t="s">
        <v>243</v>
      </c>
      <c r="E719" t="str">
        <f>INDEX('State Codes'!$E$7:$E$70,MATCH(INDEX('State Codes'!$C$7:$C$70,MATCH('County Climates'!B719,'State Codes'!$D$7:$D$70,0),1),'State Codes'!$C$7:$C$70,0),1)</f>
        <v>East South Central Division</v>
      </c>
      <c r="F719">
        <f>INDEX('CBECS_Table B5'!$C$6:$K$6,1,MATCH('County Climates'!E719,'CBECS_Table B5'!$C$1:$K$1,0))</f>
        <v>4904</v>
      </c>
    </row>
    <row r="720" spans="1:6" x14ac:dyDescent="0.25">
      <c r="A720" t="s">
        <v>815</v>
      </c>
      <c r="B720" t="s">
        <v>816</v>
      </c>
      <c r="C720" t="s">
        <v>818</v>
      </c>
      <c r="D720" t="s">
        <v>247</v>
      </c>
      <c r="E720" t="str">
        <f>INDEX('State Codes'!$E$7:$E$70,MATCH(INDEX('State Codes'!$C$7:$C$70,MATCH('County Climates'!B720,'State Codes'!$D$7:$D$70,0),1),'State Codes'!$C$7:$C$70,0),1)</f>
        <v>East South Central Division</v>
      </c>
      <c r="F720">
        <f>INDEX('CBECS_Table B5'!$C$6:$K$6,1,MATCH('County Climates'!E720,'CBECS_Table B5'!$C$1:$K$1,0))</f>
        <v>4904</v>
      </c>
    </row>
    <row r="721" spans="1:6" x14ac:dyDescent="0.25">
      <c r="A721" t="s">
        <v>815</v>
      </c>
      <c r="B721" t="s">
        <v>816</v>
      </c>
      <c r="C721" t="s">
        <v>323</v>
      </c>
      <c r="D721" t="s">
        <v>247</v>
      </c>
      <c r="E721" t="str">
        <f>INDEX('State Codes'!$E$7:$E$70,MATCH(INDEX('State Codes'!$C$7:$C$70,MATCH('County Climates'!B721,'State Codes'!$D$7:$D$70,0),1),'State Codes'!$C$7:$C$70,0),1)</f>
        <v>East South Central Division</v>
      </c>
      <c r="F721">
        <f>INDEX('CBECS_Table B5'!$C$6:$K$6,1,MATCH('County Climates'!E721,'CBECS_Table B5'!$C$1:$K$1,0))</f>
        <v>4904</v>
      </c>
    </row>
    <row r="722" spans="1:6" x14ac:dyDescent="0.25">
      <c r="A722" t="s">
        <v>815</v>
      </c>
      <c r="B722" t="s">
        <v>816</v>
      </c>
      <c r="C722" t="s">
        <v>281</v>
      </c>
      <c r="D722" t="s">
        <v>243</v>
      </c>
      <c r="E722" t="str">
        <f>INDEX('State Codes'!$E$7:$E$70,MATCH(INDEX('State Codes'!$C$7:$C$70,MATCH('County Climates'!B722,'State Codes'!$D$7:$D$70,0),1),'State Codes'!$C$7:$C$70,0),1)</f>
        <v>East South Central Division</v>
      </c>
      <c r="F722">
        <f>INDEX('CBECS_Table B5'!$C$6:$K$6,1,MATCH('County Climates'!E722,'CBECS_Table B5'!$C$1:$K$1,0))</f>
        <v>4904</v>
      </c>
    </row>
    <row r="723" spans="1:6" x14ac:dyDescent="0.25">
      <c r="A723" t="s">
        <v>815</v>
      </c>
      <c r="B723" t="s">
        <v>816</v>
      </c>
      <c r="C723" t="s">
        <v>282</v>
      </c>
      <c r="D723" t="s">
        <v>247</v>
      </c>
      <c r="E723" t="str">
        <f>INDEX('State Codes'!$E$7:$E$70,MATCH(INDEX('State Codes'!$C$7:$C$70,MATCH('County Climates'!B723,'State Codes'!$D$7:$D$70,0),1),'State Codes'!$C$7:$C$70,0),1)</f>
        <v>East South Central Division</v>
      </c>
      <c r="F723">
        <f>INDEX('CBECS_Table B5'!$C$6:$K$6,1,MATCH('County Climates'!E723,'CBECS_Table B5'!$C$1:$K$1,0))</f>
        <v>4904</v>
      </c>
    </row>
    <row r="724" spans="1:6" x14ac:dyDescent="0.25">
      <c r="A724" t="s">
        <v>815</v>
      </c>
      <c r="B724" t="s">
        <v>816</v>
      </c>
      <c r="C724" t="s">
        <v>283</v>
      </c>
      <c r="D724" t="s">
        <v>243</v>
      </c>
      <c r="E724" t="str">
        <f>INDEX('State Codes'!$E$7:$E$70,MATCH(INDEX('State Codes'!$C$7:$C$70,MATCH('County Climates'!B724,'State Codes'!$D$7:$D$70,0),1),'State Codes'!$C$7:$C$70,0),1)</f>
        <v>East South Central Division</v>
      </c>
      <c r="F724">
        <f>INDEX('CBECS_Table B5'!$C$6:$K$6,1,MATCH('County Climates'!E724,'CBECS_Table B5'!$C$1:$K$1,0))</f>
        <v>4904</v>
      </c>
    </row>
    <row r="725" spans="1:6" x14ac:dyDescent="0.25">
      <c r="A725" t="s">
        <v>815</v>
      </c>
      <c r="B725" t="s">
        <v>816</v>
      </c>
      <c r="C725" t="s">
        <v>819</v>
      </c>
      <c r="D725" t="s">
        <v>247</v>
      </c>
      <c r="E725" t="str">
        <f>INDEX('State Codes'!$E$7:$E$70,MATCH(INDEX('State Codes'!$C$7:$C$70,MATCH('County Climates'!B725,'State Codes'!$D$7:$D$70,0),1),'State Codes'!$C$7:$C$70,0),1)</f>
        <v>East South Central Division</v>
      </c>
      <c r="F725">
        <f>INDEX('CBECS_Table B5'!$C$6:$K$6,1,MATCH('County Climates'!E725,'CBECS_Table B5'!$C$1:$K$1,0))</f>
        <v>4904</v>
      </c>
    </row>
    <row r="726" spans="1:6" x14ac:dyDescent="0.25">
      <c r="A726" t="s">
        <v>815</v>
      </c>
      <c r="B726" t="s">
        <v>816</v>
      </c>
      <c r="C726" t="s">
        <v>284</v>
      </c>
      <c r="D726" t="s">
        <v>247</v>
      </c>
      <c r="E726" t="str">
        <f>INDEX('State Codes'!$E$7:$E$70,MATCH(INDEX('State Codes'!$C$7:$C$70,MATCH('County Climates'!B726,'State Codes'!$D$7:$D$70,0),1),'State Codes'!$C$7:$C$70,0),1)</f>
        <v>East South Central Division</v>
      </c>
      <c r="F726">
        <f>INDEX('CBECS_Table B5'!$C$6:$K$6,1,MATCH('County Climates'!E726,'CBECS_Table B5'!$C$1:$K$1,0))</f>
        <v>4904</v>
      </c>
    </row>
    <row r="727" spans="1:6" x14ac:dyDescent="0.25">
      <c r="A727" t="s">
        <v>815</v>
      </c>
      <c r="B727" t="s">
        <v>816</v>
      </c>
      <c r="C727" t="s">
        <v>820</v>
      </c>
      <c r="D727" t="s">
        <v>247</v>
      </c>
      <c r="E727" t="str">
        <f>INDEX('State Codes'!$E$7:$E$70,MATCH(INDEX('State Codes'!$C$7:$C$70,MATCH('County Climates'!B727,'State Codes'!$D$7:$D$70,0),1),'State Codes'!$C$7:$C$70,0),1)</f>
        <v>East South Central Division</v>
      </c>
      <c r="F727">
        <f>INDEX('CBECS_Table B5'!$C$6:$K$6,1,MATCH('County Climates'!E727,'CBECS_Table B5'!$C$1:$K$1,0))</f>
        <v>4904</v>
      </c>
    </row>
    <row r="728" spans="1:6" x14ac:dyDescent="0.25">
      <c r="A728" t="s">
        <v>815</v>
      </c>
      <c r="B728" t="s">
        <v>816</v>
      </c>
      <c r="C728" t="s">
        <v>324</v>
      </c>
      <c r="D728" t="s">
        <v>243</v>
      </c>
      <c r="E728" t="str">
        <f>INDEX('State Codes'!$E$7:$E$70,MATCH(INDEX('State Codes'!$C$7:$C$70,MATCH('County Climates'!B728,'State Codes'!$D$7:$D$70,0),1),'State Codes'!$C$7:$C$70,0),1)</f>
        <v>East South Central Division</v>
      </c>
      <c r="F728">
        <f>INDEX('CBECS_Table B5'!$C$6:$K$6,1,MATCH('County Climates'!E728,'CBECS_Table B5'!$C$1:$K$1,0))</f>
        <v>4904</v>
      </c>
    </row>
    <row r="729" spans="1:6" x14ac:dyDescent="0.25">
      <c r="A729" t="s">
        <v>815</v>
      </c>
      <c r="B729" t="s">
        <v>816</v>
      </c>
      <c r="C729" t="s">
        <v>286</v>
      </c>
      <c r="D729" t="s">
        <v>247</v>
      </c>
      <c r="E729" t="str">
        <f>INDEX('State Codes'!$E$7:$E$70,MATCH(INDEX('State Codes'!$C$7:$C$70,MATCH('County Climates'!B729,'State Codes'!$D$7:$D$70,0),1),'State Codes'!$C$7:$C$70,0),1)</f>
        <v>East South Central Division</v>
      </c>
      <c r="F729">
        <f>INDEX('CBECS_Table B5'!$C$6:$K$6,1,MATCH('County Climates'!E729,'CBECS_Table B5'!$C$1:$K$1,0))</f>
        <v>4904</v>
      </c>
    </row>
    <row r="730" spans="1:6" x14ac:dyDescent="0.25">
      <c r="A730" t="s">
        <v>815</v>
      </c>
      <c r="B730" t="s">
        <v>816</v>
      </c>
      <c r="C730" t="s">
        <v>288</v>
      </c>
      <c r="D730" t="s">
        <v>247</v>
      </c>
      <c r="E730" t="str">
        <f>INDEX('State Codes'!$E$7:$E$70,MATCH(INDEX('State Codes'!$C$7:$C$70,MATCH('County Climates'!B730,'State Codes'!$D$7:$D$70,0),1),'State Codes'!$C$7:$C$70,0),1)</f>
        <v>East South Central Division</v>
      </c>
      <c r="F730">
        <f>INDEX('CBECS_Table B5'!$C$6:$K$6,1,MATCH('County Climates'!E730,'CBECS_Table B5'!$C$1:$K$1,0))</f>
        <v>4904</v>
      </c>
    </row>
    <row r="731" spans="1:6" x14ac:dyDescent="0.25">
      <c r="A731" t="s">
        <v>815</v>
      </c>
      <c r="B731" t="s">
        <v>816</v>
      </c>
      <c r="C731" t="s">
        <v>290</v>
      </c>
      <c r="D731" t="s">
        <v>243</v>
      </c>
      <c r="E731" t="str">
        <f>INDEX('State Codes'!$E$7:$E$70,MATCH(INDEX('State Codes'!$C$7:$C$70,MATCH('County Climates'!B731,'State Codes'!$D$7:$D$70,0),1),'State Codes'!$C$7:$C$70,0),1)</f>
        <v>East South Central Division</v>
      </c>
      <c r="F731">
        <f>INDEX('CBECS_Table B5'!$C$6:$K$6,1,MATCH('County Climates'!E731,'CBECS_Table B5'!$C$1:$K$1,0))</f>
        <v>4904</v>
      </c>
    </row>
    <row r="732" spans="1:6" x14ac:dyDescent="0.25">
      <c r="A732" t="s">
        <v>815</v>
      </c>
      <c r="B732" t="s">
        <v>816</v>
      </c>
      <c r="C732" t="s">
        <v>291</v>
      </c>
      <c r="D732" t="s">
        <v>247</v>
      </c>
      <c r="E732" t="str">
        <f>INDEX('State Codes'!$E$7:$E$70,MATCH(INDEX('State Codes'!$C$7:$C$70,MATCH('County Climates'!B732,'State Codes'!$D$7:$D$70,0),1),'State Codes'!$C$7:$C$70,0),1)</f>
        <v>East South Central Division</v>
      </c>
      <c r="F732">
        <f>INDEX('CBECS_Table B5'!$C$6:$K$6,1,MATCH('County Climates'!E732,'CBECS_Table B5'!$C$1:$K$1,0))</f>
        <v>4904</v>
      </c>
    </row>
    <row r="733" spans="1:6" x14ac:dyDescent="0.25">
      <c r="A733" t="s">
        <v>815</v>
      </c>
      <c r="B733" t="s">
        <v>816</v>
      </c>
      <c r="C733" t="s">
        <v>293</v>
      </c>
      <c r="D733" t="s">
        <v>247</v>
      </c>
      <c r="E733" t="str">
        <f>INDEX('State Codes'!$E$7:$E$70,MATCH(INDEX('State Codes'!$C$7:$C$70,MATCH('County Climates'!B733,'State Codes'!$D$7:$D$70,0),1),'State Codes'!$C$7:$C$70,0),1)</f>
        <v>East South Central Division</v>
      </c>
      <c r="F733">
        <f>INDEX('CBECS_Table B5'!$C$6:$K$6,1,MATCH('County Climates'!E733,'CBECS_Table B5'!$C$1:$K$1,0))</f>
        <v>4904</v>
      </c>
    </row>
    <row r="734" spans="1:6" x14ac:dyDescent="0.25">
      <c r="A734" t="s">
        <v>815</v>
      </c>
      <c r="B734" t="s">
        <v>816</v>
      </c>
      <c r="C734" t="s">
        <v>294</v>
      </c>
      <c r="D734" t="s">
        <v>247</v>
      </c>
      <c r="E734" t="str">
        <f>INDEX('State Codes'!$E$7:$E$70,MATCH(INDEX('State Codes'!$C$7:$C$70,MATCH('County Climates'!B734,'State Codes'!$D$7:$D$70,0),1),'State Codes'!$C$7:$C$70,0),1)</f>
        <v>East South Central Division</v>
      </c>
      <c r="F734">
        <f>INDEX('CBECS_Table B5'!$C$6:$K$6,1,MATCH('County Climates'!E734,'CBECS_Table B5'!$C$1:$K$1,0))</f>
        <v>4904</v>
      </c>
    </row>
    <row r="735" spans="1:6" x14ac:dyDescent="0.25">
      <c r="A735" t="s">
        <v>815</v>
      </c>
      <c r="B735" t="s">
        <v>816</v>
      </c>
      <c r="C735" t="s">
        <v>821</v>
      </c>
      <c r="D735" t="s">
        <v>247</v>
      </c>
      <c r="E735" t="str">
        <f>INDEX('State Codes'!$E$7:$E$70,MATCH(INDEX('State Codes'!$C$7:$C$70,MATCH('County Climates'!B735,'State Codes'!$D$7:$D$70,0),1),'State Codes'!$C$7:$C$70,0),1)</f>
        <v>East South Central Division</v>
      </c>
      <c r="F735">
        <f>INDEX('CBECS_Table B5'!$C$6:$K$6,1,MATCH('County Climates'!E735,'CBECS_Table B5'!$C$1:$K$1,0))</f>
        <v>4904</v>
      </c>
    </row>
    <row r="736" spans="1:6" x14ac:dyDescent="0.25">
      <c r="A736" t="s">
        <v>815</v>
      </c>
      <c r="B736" t="s">
        <v>816</v>
      </c>
      <c r="C736" t="s">
        <v>331</v>
      </c>
      <c r="D736" t="s">
        <v>247</v>
      </c>
      <c r="E736" t="str">
        <f>INDEX('State Codes'!$E$7:$E$70,MATCH(INDEX('State Codes'!$C$7:$C$70,MATCH('County Climates'!B736,'State Codes'!$D$7:$D$70,0),1),'State Codes'!$C$7:$C$70,0),1)</f>
        <v>East South Central Division</v>
      </c>
      <c r="F736">
        <f>INDEX('CBECS_Table B5'!$C$6:$K$6,1,MATCH('County Climates'!E736,'CBECS_Table B5'!$C$1:$K$1,0))</f>
        <v>4904</v>
      </c>
    </row>
    <row r="737" spans="1:6" x14ac:dyDescent="0.25">
      <c r="A737" t="s">
        <v>815</v>
      </c>
      <c r="B737" t="s">
        <v>816</v>
      </c>
      <c r="C737" t="s">
        <v>822</v>
      </c>
      <c r="D737" t="s">
        <v>247</v>
      </c>
      <c r="E737" t="str">
        <f>INDEX('State Codes'!$E$7:$E$70,MATCH(INDEX('State Codes'!$C$7:$C$70,MATCH('County Climates'!B737,'State Codes'!$D$7:$D$70,0),1),'State Codes'!$C$7:$C$70,0),1)</f>
        <v>East South Central Division</v>
      </c>
      <c r="F737">
        <f>INDEX('CBECS_Table B5'!$C$6:$K$6,1,MATCH('County Climates'!E737,'CBECS_Table B5'!$C$1:$K$1,0))</f>
        <v>4904</v>
      </c>
    </row>
    <row r="738" spans="1:6" x14ac:dyDescent="0.25">
      <c r="A738" t="s">
        <v>815</v>
      </c>
      <c r="B738" t="s">
        <v>816</v>
      </c>
      <c r="C738" t="s">
        <v>823</v>
      </c>
      <c r="D738" t="s">
        <v>247</v>
      </c>
      <c r="E738" t="str">
        <f>INDEX('State Codes'!$E$7:$E$70,MATCH(INDEX('State Codes'!$C$7:$C$70,MATCH('County Climates'!B738,'State Codes'!$D$7:$D$70,0),1),'State Codes'!$C$7:$C$70,0),1)</f>
        <v>East South Central Division</v>
      </c>
      <c r="F738">
        <f>INDEX('CBECS_Table B5'!$C$6:$K$6,1,MATCH('County Climates'!E738,'CBECS_Table B5'!$C$1:$K$1,0))</f>
        <v>4904</v>
      </c>
    </row>
    <row r="739" spans="1:6" x14ac:dyDescent="0.25">
      <c r="A739" t="s">
        <v>815</v>
      </c>
      <c r="B739" t="s">
        <v>816</v>
      </c>
      <c r="C739" t="s">
        <v>824</v>
      </c>
      <c r="D739" t="s">
        <v>247</v>
      </c>
      <c r="E739" t="str">
        <f>INDEX('State Codes'!$E$7:$E$70,MATCH(INDEX('State Codes'!$C$7:$C$70,MATCH('County Climates'!B739,'State Codes'!$D$7:$D$70,0),1),'State Codes'!$C$7:$C$70,0),1)</f>
        <v>East South Central Division</v>
      </c>
      <c r="F739">
        <f>INDEX('CBECS_Table B5'!$C$6:$K$6,1,MATCH('County Climates'!E739,'CBECS_Table B5'!$C$1:$K$1,0))</f>
        <v>4904</v>
      </c>
    </row>
    <row r="740" spans="1:6" x14ac:dyDescent="0.25">
      <c r="A740" t="s">
        <v>815</v>
      </c>
      <c r="B740" t="s">
        <v>816</v>
      </c>
      <c r="C740" t="s">
        <v>825</v>
      </c>
      <c r="D740" t="s">
        <v>247</v>
      </c>
      <c r="E740" t="str">
        <f>INDEX('State Codes'!$E$7:$E$70,MATCH(INDEX('State Codes'!$C$7:$C$70,MATCH('County Climates'!B740,'State Codes'!$D$7:$D$70,0),1),'State Codes'!$C$7:$C$70,0),1)</f>
        <v>East South Central Division</v>
      </c>
      <c r="F740">
        <f>INDEX('CBECS_Table B5'!$C$6:$K$6,1,MATCH('County Climates'!E740,'CBECS_Table B5'!$C$1:$K$1,0))</f>
        <v>4904</v>
      </c>
    </row>
    <row r="741" spans="1:6" x14ac:dyDescent="0.25">
      <c r="A741" t="s">
        <v>815</v>
      </c>
      <c r="B741" t="s">
        <v>816</v>
      </c>
      <c r="C741" t="s">
        <v>296</v>
      </c>
      <c r="D741" t="s">
        <v>243</v>
      </c>
      <c r="E741" t="str">
        <f>INDEX('State Codes'!$E$7:$E$70,MATCH(INDEX('State Codes'!$C$7:$C$70,MATCH('County Climates'!B741,'State Codes'!$D$7:$D$70,0),1),'State Codes'!$C$7:$C$70,0),1)</f>
        <v>East South Central Division</v>
      </c>
      <c r="F741">
        <f>INDEX('CBECS_Table B5'!$C$6:$K$6,1,MATCH('County Climates'!E741,'CBECS_Table B5'!$C$1:$K$1,0))</f>
        <v>4904</v>
      </c>
    </row>
    <row r="742" spans="1:6" x14ac:dyDescent="0.25">
      <c r="A742" t="s">
        <v>815</v>
      </c>
      <c r="B742" t="s">
        <v>816</v>
      </c>
      <c r="C742" t="s">
        <v>298</v>
      </c>
      <c r="D742" t="s">
        <v>243</v>
      </c>
      <c r="E742" t="str">
        <f>INDEX('State Codes'!$E$7:$E$70,MATCH(INDEX('State Codes'!$C$7:$C$70,MATCH('County Climates'!B742,'State Codes'!$D$7:$D$70,0),1),'State Codes'!$C$7:$C$70,0),1)</f>
        <v>East South Central Division</v>
      </c>
      <c r="F742">
        <f>INDEX('CBECS_Table B5'!$C$6:$K$6,1,MATCH('County Climates'!E742,'CBECS_Table B5'!$C$1:$K$1,0))</f>
        <v>4904</v>
      </c>
    </row>
    <row r="743" spans="1:6" x14ac:dyDescent="0.25">
      <c r="A743" t="s">
        <v>815</v>
      </c>
      <c r="B743" t="s">
        <v>816</v>
      </c>
      <c r="C743" t="s">
        <v>826</v>
      </c>
      <c r="D743" t="s">
        <v>247</v>
      </c>
      <c r="E743" t="str">
        <f>INDEX('State Codes'!$E$7:$E$70,MATCH(INDEX('State Codes'!$C$7:$C$70,MATCH('County Climates'!B743,'State Codes'!$D$7:$D$70,0),1),'State Codes'!$C$7:$C$70,0),1)</f>
        <v>East South Central Division</v>
      </c>
      <c r="F743">
        <f>INDEX('CBECS_Table B5'!$C$6:$K$6,1,MATCH('County Climates'!E743,'CBECS_Table B5'!$C$1:$K$1,0))</f>
        <v>4904</v>
      </c>
    </row>
    <row r="744" spans="1:6" x14ac:dyDescent="0.25">
      <c r="A744" t="s">
        <v>815</v>
      </c>
      <c r="B744" t="s">
        <v>816</v>
      </c>
      <c r="C744" t="s">
        <v>827</v>
      </c>
      <c r="D744" t="s">
        <v>247</v>
      </c>
      <c r="E744" t="str">
        <f>INDEX('State Codes'!$E$7:$E$70,MATCH(INDEX('State Codes'!$C$7:$C$70,MATCH('County Climates'!B744,'State Codes'!$D$7:$D$70,0),1),'State Codes'!$C$7:$C$70,0),1)</f>
        <v>East South Central Division</v>
      </c>
      <c r="F744">
        <f>INDEX('CBECS_Table B5'!$C$6:$K$6,1,MATCH('County Climates'!E744,'CBECS_Table B5'!$C$1:$K$1,0))</f>
        <v>4904</v>
      </c>
    </row>
    <row r="745" spans="1:6" x14ac:dyDescent="0.25">
      <c r="A745" t="s">
        <v>815</v>
      </c>
      <c r="B745" t="s">
        <v>816</v>
      </c>
      <c r="C745" t="s">
        <v>828</v>
      </c>
      <c r="D745" t="s">
        <v>247</v>
      </c>
      <c r="E745" t="str">
        <f>INDEX('State Codes'!$E$7:$E$70,MATCH(INDEX('State Codes'!$C$7:$C$70,MATCH('County Climates'!B745,'State Codes'!$D$7:$D$70,0),1),'State Codes'!$C$7:$C$70,0),1)</f>
        <v>East South Central Division</v>
      </c>
      <c r="F745">
        <f>INDEX('CBECS_Table B5'!$C$6:$K$6,1,MATCH('County Climates'!E745,'CBECS_Table B5'!$C$1:$K$1,0))</f>
        <v>4904</v>
      </c>
    </row>
    <row r="746" spans="1:6" x14ac:dyDescent="0.25">
      <c r="A746" t="s">
        <v>815</v>
      </c>
      <c r="B746" t="s">
        <v>816</v>
      </c>
      <c r="C746" t="s">
        <v>829</v>
      </c>
      <c r="D746" t="s">
        <v>243</v>
      </c>
      <c r="E746" t="str">
        <f>INDEX('State Codes'!$E$7:$E$70,MATCH(INDEX('State Codes'!$C$7:$C$70,MATCH('County Climates'!B746,'State Codes'!$D$7:$D$70,0),1),'State Codes'!$C$7:$C$70,0),1)</f>
        <v>East South Central Division</v>
      </c>
      <c r="F746">
        <f>INDEX('CBECS_Table B5'!$C$6:$K$6,1,MATCH('County Climates'!E746,'CBECS_Table B5'!$C$1:$K$1,0))</f>
        <v>4904</v>
      </c>
    </row>
    <row r="747" spans="1:6" x14ac:dyDescent="0.25">
      <c r="A747" t="s">
        <v>815</v>
      </c>
      <c r="B747" t="s">
        <v>816</v>
      </c>
      <c r="C747" t="s">
        <v>340</v>
      </c>
      <c r="D747" t="s">
        <v>247</v>
      </c>
      <c r="E747" t="str">
        <f>INDEX('State Codes'!$E$7:$E$70,MATCH(INDEX('State Codes'!$C$7:$C$70,MATCH('County Climates'!B747,'State Codes'!$D$7:$D$70,0),1),'State Codes'!$C$7:$C$70,0),1)</f>
        <v>East South Central Division</v>
      </c>
      <c r="F747">
        <f>INDEX('CBECS_Table B5'!$C$6:$K$6,1,MATCH('County Climates'!E747,'CBECS_Table B5'!$C$1:$K$1,0))</f>
        <v>4904</v>
      </c>
    </row>
    <row r="748" spans="1:6" x14ac:dyDescent="0.25">
      <c r="A748" t="s">
        <v>815</v>
      </c>
      <c r="B748" t="s">
        <v>816</v>
      </c>
      <c r="C748" t="s">
        <v>830</v>
      </c>
      <c r="D748" t="s">
        <v>247</v>
      </c>
      <c r="E748" t="str">
        <f>INDEX('State Codes'!$E$7:$E$70,MATCH(INDEX('State Codes'!$C$7:$C$70,MATCH('County Climates'!B748,'State Codes'!$D$7:$D$70,0),1),'State Codes'!$C$7:$C$70,0),1)</f>
        <v>East South Central Division</v>
      </c>
      <c r="F748">
        <f>INDEX('CBECS_Table B5'!$C$6:$K$6,1,MATCH('County Climates'!E748,'CBECS_Table B5'!$C$1:$K$1,0))</f>
        <v>4904</v>
      </c>
    </row>
    <row r="749" spans="1:6" x14ac:dyDescent="0.25">
      <c r="A749" t="s">
        <v>815</v>
      </c>
      <c r="B749" t="s">
        <v>816</v>
      </c>
      <c r="C749" t="s">
        <v>703</v>
      </c>
      <c r="D749" t="s">
        <v>243</v>
      </c>
      <c r="E749" t="str">
        <f>INDEX('State Codes'!$E$7:$E$70,MATCH(INDEX('State Codes'!$C$7:$C$70,MATCH('County Climates'!B749,'State Codes'!$D$7:$D$70,0),1),'State Codes'!$C$7:$C$70,0),1)</f>
        <v>East South Central Division</v>
      </c>
      <c r="F749">
        <f>INDEX('CBECS_Table B5'!$C$6:$K$6,1,MATCH('County Climates'!E749,'CBECS_Table B5'!$C$1:$K$1,0))</f>
        <v>4904</v>
      </c>
    </row>
    <row r="750" spans="1:6" x14ac:dyDescent="0.25">
      <c r="A750" t="s">
        <v>815</v>
      </c>
      <c r="B750" t="s">
        <v>816</v>
      </c>
      <c r="C750" t="s">
        <v>831</v>
      </c>
      <c r="D750" t="s">
        <v>243</v>
      </c>
      <c r="E750" t="str">
        <f>INDEX('State Codes'!$E$7:$E$70,MATCH(INDEX('State Codes'!$C$7:$C$70,MATCH('County Climates'!B750,'State Codes'!$D$7:$D$70,0),1),'State Codes'!$C$7:$C$70,0),1)</f>
        <v>East South Central Division</v>
      </c>
      <c r="F750">
        <f>INDEX('CBECS_Table B5'!$C$6:$K$6,1,MATCH('County Climates'!E750,'CBECS_Table B5'!$C$1:$K$1,0))</f>
        <v>4904</v>
      </c>
    </row>
    <row r="751" spans="1:6" x14ac:dyDescent="0.25">
      <c r="A751" t="s">
        <v>815</v>
      </c>
      <c r="B751" t="s">
        <v>816</v>
      </c>
      <c r="C751" t="s">
        <v>346</v>
      </c>
      <c r="D751" t="s">
        <v>247</v>
      </c>
      <c r="E751" t="str">
        <f>INDEX('State Codes'!$E$7:$E$70,MATCH(INDEX('State Codes'!$C$7:$C$70,MATCH('County Climates'!B751,'State Codes'!$D$7:$D$70,0),1),'State Codes'!$C$7:$C$70,0),1)</f>
        <v>East South Central Division</v>
      </c>
      <c r="F751">
        <f>INDEX('CBECS_Table B5'!$C$6:$K$6,1,MATCH('County Climates'!E751,'CBECS_Table B5'!$C$1:$K$1,0))</f>
        <v>4904</v>
      </c>
    </row>
    <row r="752" spans="1:6" x14ac:dyDescent="0.25">
      <c r="A752" t="s">
        <v>815</v>
      </c>
      <c r="B752" t="s">
        <v>816</v>
      </c>
      <c r="C752" t="s">
        <v>832</v>
      </c>
      <c r="D752" t="s">
        <v>247</v>
      </c>
      <c r="E752" t="str">
        <f>INDEX('State Codes'!$E$7:$E$70,MATCH(INDEX('State Codes'!$C$7:$C$70,MATCH('County Climates'!B752,'State Codes'!$D$7:$D$70,0),1),'State Codes'!$C$7:$C$70,0),1)</f>
        <v>East South Central Division</v>
      </c>
      <c r="F752">
        <f>INDEX('CBECS_Table B5'!$C$6:$K$6,1,MATCH('County Climates'!E752,'CBECS_Table B5'!$C$1:$K$1,0))</f>
        <v>4904</v>
      </c>
    </row>
    <row r="753" spans="1:6" x14ac:dyDescent="0.25">
      <c r="A753" t="s">
        <v>815</v>
      </c>
      <c r="B753" t="s">
        <v>816</v>
      </c>
      <c r="C753" t="s">
        <v>833</v>
      </c>
      <c r="D753" t="s">
        <v>247</v>
      </c>
      <c r="E753" t="str">
        <f>INDEX('State Codes'!$E$7:$E$70,MATCH(INDEX('State Codes'!$C$7:$C$70,MATCH('County Climates'!B753,'State Codes'!$D$7:$D$70,0),1),'State Codes'!$C$7:$C$70,0),1)</f>
        <v>East South Central Division</v>
      </c>
      <c r="F753">
        <f>INDEX('CBECS_Table B5'!$C$6:$K$6,1,MATCH('County Climates'!E753,'CBECS_Table B5'!$C$1:$K$1,0))</f>
        <v>4904</v>
      </c>
    </row>
    <row r="754" spans="1:6" x14ac:dyDescent="0.25">
      <c r="A754" t="s">
        <v>815</v>
      </c>
      <c r="B754" t="s">
        <v>816</v>
      </c>
      <c r="C754" t="s">
        <v>834</v>
      </c>
      <c r="D754" t="s">
        <v>247</v>
      </c>
      <c r="E754" t="str">
        <f>INDEX('State Codes'!$E$7:$E$70,MATCH(INDEX('State Codes'!$C$7:$C$70,MATCH('County Climates'!B754,'State Codes'!$D$7:$D$70,0),1),'State Codes'!$C$7:$C$70,0),1)</f>
        <v>East South Central Division</v>
      </c>
      <c r="F754">
        <f>INDEX('CBECS_Table B5'!$C$6:$K$6,1,MATCH('County Climates'!E754,'CBECS_Table B5'!$C$1:$K$1,0))</f>
        <v>4904</v>
      </c>
    </row>
    <row r="755" spans="1:6" x14ac:dyDescent="0.25">
      <c r="A755" t="s">
        <v>815</v>
      </c>
      <c r="B755" t="s">
        <v>816</v>
      </c>
      <c r="C755" t="s">
        <v>835</v>
      </c>
      <c r="D755" t="s">
        <v>247</v>
      </c>
      <c r="E755" t="str">
        <f>INDEX('State Codes'!$E$7:$E$70,MATCH(INDEX('State Codes'!$C$7:$C$70,MATCH('County Climates'!B755,'State Codes'!$D$7:$D$70,0),1),'State Codes'!$C$7:$C$70,0),1)</f>
        <v>East South Central Division</v>
      </c>
      <c r="F755">
        <f>INDEX('CBECS_Table B5'!$C$6:$K$6,1,MATCH('County Climates'!E755,'CBECS_Table B5'!$C$1:$K$1,0))</f>
        <v>4904</v>
      </c>
    </row>
    <row r="756" spans="1:6" x14ac:dyDescent="0.25">
      <c r="A756" t="s">
        <v>815</v>
      </c>
      <c r="B756" t="s">
        <v>816</v>
      </c>
      <c r="C756" t="s">
        <v>836</v>
      </c>
      <c r="D756" t="s">
        <v>247</v>
      </c>
      <c r="E756" t="str">
        <f>INDEX('State Codes'!$E$7:$E$70,MATCH(INDEX('State Codes'!$C$7:$C$70,MATCH('County Climates'!B756,'State Codes'!$D$7:$D$70,0),1),'State Codes'!$C$7:$C$70,0),1)</f>
        <v>East South Central Division</v>
      </c>
      <c r="F756">
        <f>INDEX('CBECS_Table B5'!$C$6:$K$6,1,MATCH('County Climates'!E756,'CBECS_Table B5'!$C$1:$K$1,0))</f>
        <v>4904</v>
      </c>
    </row>
    <row r="757" spans="1:6" x14ac:dyDescent="0.25">
      <c r="A757" t="s">
        <v>815</v>
      </c>
      <c r="B757" t="s">
        <v>816</v>
      </c>
      <c r="C757" t="s">
        <v>837</v>
      </c>
      <c r="D757" t="s">
        <v>247</v>
      </c>
      <c r="E757" t="str">
        <f>INDEX('State Codes'!$E$7:$E$70,MATCH(INDEX('State Codes'!$C$7:$C$70,MATCH('County Climates'!B757,'State Codes'!$D$7:$D$70,0),1),'State Codes'!$C$7:$C$70,0),1)</f>
        <v>East South Central Division</v>
      </c>
      <c r="F757">
        <f>INDEX('CBECS_Table B5'!$C$6:$K$6,1,MATCH('County Climates'!E757,'CBECS_Table B5'!$C$1:$K$1,0))</f>
        <v>4904</v>
      </c>
    </row>
    <row r="758" spans="1:6" x14ac:dyDescent="0.25">
      <c r="A758" t="s">
        <v>815</v>
      </c>
      <c r="B758" t="s">
        <v>816</v>
      </c>
      <c r="C758" t="s">
        <v>347</v>
      </c>
      <c r="D758" t="s">
        <v>247</v>
      </c>
      <c r="E758" t="str">
        <f>INDEX('State Codes'!$E$7:$E$70,MATCH(INDEX('State Codes'!$C$7:$C$70,MATCH('County Climates'!B758,'State Codes'!$D$7:$D$70,0),1),'State Codes'!$C$7:$C$70,0),1)</f>
        <v>East South Central Division</v>
      </c>
      <c r="F758">
        <f>INDEX('CBECS_Table B5'!$C$6:$K$6,1,MATCH('County Climates'!E758,'CBECS_Table B5'!$C$1:$K$1,0))</f>
        <v>4904</v>
      </c>
    </row>
    <row r="759" spans="1:6" x14ac:dyDescent="0.25">
      <c r="A759" t="s">
        <v>815</v>
      </c>
      <c r="B759" t="s">
        <v>816</v>
      </c>
      <c r="C759" t="s">
        <v>838</v>
      </c>
      <c r="D759" t="s">
        <v>243</v>
      </c>
      <c r="E759" t="str">
        <f>INDEX('State Codes'!$E$7:$E$70,MATCH(INDEX('State Codes'!$C$7:$C$70,MATCH('County Climates'!B759,'State Codes'!$D$7:$D$70,0),1),'State Codes'!$C$7:$C$70,0),1)</f>
        <v>East South Central Division</v>
      </c>
      <c r="F759">
        <f>INDEX('CBECS_Table B5'!$C$6:$K$6,1,MATCH('County Climates'!E759,'CBECS_Table B5'!$C$1:$K$1,0))</f>
        <v>4904</v>
      </c>
    </row>
    <row r="760" spans="1:6" x14ac:dyDescent="0.25">
      <c r="A760" t="s">
        <v>815</v>
      </c>
      <c r="B760" t="s">
        <v>816</v>
      </c>
      <c r="C760" t="s">
        <v>497</v>
      </c>
      <c r="D760" t="s">
        <v>243</v>
      </c>
      <c r="E760" t="str">
        <f>INDEX('State Codes'!$E$7:$E$70,MATCH(INDEX('State Codes'!$C$7:$C$70,MATCH('County Climates'!B760,'State Codes'!$D$7:$D$70,0),1),'State Codes'!$C$7:$C$70,0),1)</f>
        <v>East South Central Division</v>
      </c>
      <c r="F760">
        <f>INDEX('CBECS_Table B5'!$C$6:$K$6,1,MATCH('County Climates'!E760,'CBECS_Table B5'!$C$1:$K$1,0))</f>
        <v>4904</v>
      </c>
    </row>
    <row r="761" spans="1:6" x14ac:dyDescent="0.25">
      <c r="A761" t="s">
        <v>815</v>
      </c>
      <c r="B761" t="s">
        <v>816</v>
      </c>
      <c r="C761" t="s">
        <v>308</v>
      </c>
      <c r="D761" t="s">
        <v>247</v>
      </c>
      <c r="E761" t="str">
        <f>INDEX('State Codes'!$E$7:$E$70,MATCH(INDEX('State Codes'!$C$7:$C$70,MATCH('County Climates'!B761,'State Codes'!$D$7:$D$70,0),1),'State Codes'!$C$7:$C$70,0),1)</f>
        <v>East South Central Division</v>
      </c>
      <c r="F761">
        <f>INDEX('CBECS_Table B5'!$C$6:$K$6,1,MATCH('County Climates'!E761,'CBECS_Table B5'!$C$1:$K$1,0))</f>
        <v>4904</v>
      </c>
    </row>
    <row r="762" spans="1:6" x14ac:dyDescent="0.25">
      <c r="A762" t="s">
        <v>815</v>
      </c>
      <c r="B762" t="s">
        <v>816</v>
      </c>
      <c r="C762" t="s">
        <v>498</v>
      </c>
      <c r="D762" t="s">
        <v>243</v>
      </c>
      <c r="E762" t="str">
        <f>INDEX('State Codes'!$E$7:$E$70,MATCH(INDEX('State Codes'!$C$7:$C$70,MATCH('County Climates'!B762,'State Codes'!$D$7:$D$70,0),1),'State Codes'!$C$7:$C$70,0),1)</f>
        <v>East South Central Division</v>
      </c>
      <c r="F762">
        <f>INDEX('CBECS_Table B5'!$C$6:$K$6,1,MATCH('County Climates'!E762,'CBECS_Table B5'!$C$1:$K$1,0))</f>
        <v>4904</v>
      </c>
    </row>
    <row r="763" spans="1:6" x14ac:dyDescent="0.25">
      <c r="A763" t="s">
        <v>815</v>
      </c>
      <c r="B763" t="s">
        <v>816</v>
      </c>
      <c r="C763" t="s">
        <v>499</v>
      </c>
      <c r="D763" t="s">
        <v>247</v>
      </c>
      <c r="E763" t="str">
        <f>INDEX('State Codes'!$E$7:$E$70,MATCH(INDEX('State Codes'!$C$7:$C$70,MATCH('County Climates'!B763,'State Codes'!$D$7:$D$70,0),1),'State Codes'!$C$7:$C$70,0),1)</f>
        <v>East South Central Division</v>
      </c>
      <c r="F763">
        <f>INDEX('CBECS_Table B5'!$C$6:$K$6,1,MATCH('County Climates'!E763,'CBECS_Table B5'!$C$1:$K$1,0))</f>
        <v>4904</v>
      </c>
    </row>
    <row r="764" spans="1:6" x14ac:dyDescent="0.25">
      <c r="A764" t="s">
        <v>815</v>
      </c>
      <c r="B764" t="s">
        <v>816</v>
      </c>
      <c r="C764" t="s">
        <v>504</v>
      </c>
      <c r="D764" t="s">
        <v>243</v>
      </c>
      <c r="E764" t="str">
        <f>INDEX('State Codes'!$E$7:$E$70,MATCH(INDEX('State Codes'!$C$7:$C$70,MATCH('County Climates'!B764,'State Codes'!$D$7:$D$70,0),1),'State Codes'!$C$7:$C$70,0),1)</f>
        <v>East South Central Division</v>
      </c>
      <c r="F764">
        <f>INDEX('CBECS_Table B5'!$C$6:$K$6,1,MATCH('County Climates'!E764,'CBECS_Table B5'!$C$1:$K$1,0))</f>
        <v>4904</v>
      </c>
    </row>
    <row r="765" spans="1:6" x14ac:dyDescent="0.25">
      <c r="A765" t="s">
        <v>815</v>
      </c>
      <c r="B765" t="s">
        <v>816</v>
      </c>
      <c r="C765" t="s">
        <v>839</v>
      </c>
      <c r="D765" t="s">
        <v>247</v>
      </c>
      <c r="E765" t="str">
        <f>INDEX('State Codes'!$E$7:$E$70,MATCH(INDEX('State Codes'!$C$7:$C$70,MATCH('County Climates'!B765,'State Codes'!$D$7:$D$70,0),1),'State Codes'!$C$7:$C$70,0),1)</f>
        <v>East South Central Division</v>
      </c>
      <c r="F765">
        <f>INDEX('CBECS_Table B5'!$C$6:$K$6,1,MATCH('County Climates'!E765,'CBECS_Table B5'!$C$1:$K$1,0))</f>
        <v>4904</v>
      </c>
    </row>
    <row r="766" spans="1:6" x14ac:dyDescent="0.25">
      <c r="A766" t="s">
        <v>815</v>
      </c>
      <c r="B766" t="s">
        <v>816</v>
      </c>
      <c r="C766" t="s">
        <v>840</v>
      </c>
      <c r="D766" t="s">
        <v>247</v>
      </c>
      <c r="E766" t="str">
        <f>INDEX('State Codes'!$E$7:$E$70,MATCH(INDEX('State Codes'!$C$7:$C$70,MATCH('County Climates'!B766,'State Codes'!$D$7:$D$70,0),1),'State Codes'!$C$7:$C$70,0),1)</f>
        <v>East South Central Division</v>
      </c>
      <c r="F766">
        <f>INDEX('CBECS_Table B5'!$C$6:$K$6,1,MATCH('County Climates'!E766,'CBECS_Table B5'!$C$1:$K$1,0))</f>
        <v>4904</v>
      </c>
    </row>
    <row r="767" spans="1:6" x14ac:dyDescent="0.25">
      <c r="A767" t="s">
        <v>815</v>
      </c>
      <c r="B767" t="s">
        <v>816</v>
      </c>
      <c r="C767" t="s">
        <v>841</v>
      </c>
      <c r="D767" t="s">
        <v>247</v>
      </c>
      <c r="E767" t="str">
        <f>INDEX('State Codes'!$E$7:$E$70,MATCH(INDEX('State Codes'!$C$7:$C$70,MATCH('County Climates'!B767,'State Codes'!$D$7:$D$70,0),1),'State Codes'!$C$7:$C$70,0),1)</f>
        <v>East South Central Division</v>
      </c>
      <c r="F767">
        <f>INDEX('CBECS_Table B5'!$C$6:$K$6,1,MATCH('County Climates'!E767,'CBECS_Table B5'!$C$1:$K$1,0))</f>
        <v>4904</v>
      </c>
    </row>
    <row r="768" spans="1:6" x14ac:dyDescent="0.25">
      <c r="A768" t="s">
        <v>842</v>
      </c>
      <c r="B768" t="s">
        <v>843</v>
      </c>
      <c r="C768" t="s">
        <v>591</v>
      </c>
      <c r="D768" t="s">
        <v>228</v>
      </c>
      <c r="E768" t="str">
        <f>INDEX('State Codes'!$E$7:$E$70,MATCH(INDEX('State Codes'!$C$7:$C$70,MATCH('County Climates'!B768,'State Codes'!$D$7:$D$70,0),1),'State Codes'!$C$7:$C$70,0),1)</f>
        <v>West North Central Division</v>
      </c>
      <c r="F768">
        <f>INDEX('CBECS_Table B5'!$C$6:$K$6,1,MATCH('County Climates'!E768,'CBECS_Table B5'!$C$1:$K$1,0))</f>
        <v>6178</v>
      </c>
    </row>
    <row r="769" spans="1:6" x14ac:dyDescent="0.25">
      <c r="A769" t="s">
        <v>842</v>
      </c>
      <c r="B769" t="s">
        <v>843</v>
      </c>
      <c r="C769" t="s">
        <v>844</v>
      </c>
      <c r="D769" t="s">
        <v>228</v>
      </c>
      <c r="E769" t="str">
        <f>INDEX('State Codes'!$E$7:$E$70,MATCH(INDEX('State Codes'!$C$7:$C$70,MATCH('County Climates'!B769,'State Codes'!$D$7:$D$70,0),1),'State Codes'!$C$7:$C$70,0),1)</f>
        <v>West North Central Division</v>
      </c>
      <c r="F769">
        <f>INDEX('CBECS_Table B5'!$C$6:$K$6,1,MATCH('County Climates'!E769,'CBECS_Table B5'!$C$1:$K$1,0))</f>
        <v>6178</v>
      </c>
    </row>
    <row r="770" spans="1:6" x14ac:dyDescent="0.25">
      <c r="A770" t="s">
        <v>842</v>
      </c>
      <c r="B770" t="s">
        <v>843</v>
      </c>
      <c r="C770" t="s">
        <v>845</v>
      </c>
      <c r="D770" t="s">
        <v>228</v>
      </c>
      <c r="E770" t="str">
        <f>INDEX('State Codes'!$E$7:$E$70,MATCH(INDEX('State Codes'!$C$7:$C$70,MATCH('County Climates'!B770,'State Codes'!$D$7:$D$70,0),1),'State Codes'!$C$7:$C$70,0),1)</f>
        <v>West North Central Division</v>
      </c>
      <c r="F770">
        <f>INDEX('CBECS_Table B5'!$C$6:$K$6,1,MATCH('County Climates'!E770,'CBECS_Table B5'!$C$1:$K$1,0))</f>
        <v>6178</v>
      </c>
    </row>
    <row r="771" spans="1:6" x14ac:dyDescent="0.25">
      <c r="A771" t="s">
        <v>842</v>
      </c>
      <c r="B771" t="s">
        <v>843</v>
      </c>
      <c r="C771" t="s">
        <v>846</v>
      </c>
      <c r="D771" t="s">
        <v>247</v>
      </c>
      <c r="E771" t="str">
        <f>INDEX('State Codes'!$E$7:$E$70,MATCH(INDEX('State Codes'!$C$7:$C$70,MATCH('County Climates'!B771,'State Codes'!$D$7:$D$70,0),1),'State Codes'!$C$7:$C$70,0),1)</f>
        <v>West North Central Division</v>
      </c>
      <c r="F771">
        <f>INDEX('CBECS_Table B5'!$C$6:$K$6,1,MATCH('County Climates'!E771,'CBECS_Table B5'!$C$1:$K$1,0))</f>
        <v>6178</v>
      </c>
    </row>
    <row r="772" spans="1:6" x14ac:dyDescent="0.25">
      <c r="A772" t="s">
        <v>842</v>
      </c>
      <c r="B772" t="s">
        <v>843</v>
      </c>
      <c r="C772" t="s">
        <v>847</v>
      </c>
      <c r="D772" t="s">
        <v>247</v>
      </c>
      <c r="E772" t="str">
        <f>INDEX('State Codes'!$E$7:$E$70,MATCH(INDEX('State Codes'!$C$7:$C$70,MATCH('County Climates'!B772,'State Codes'!$D$7:$D$70,0),1),'State Codes'!$C$7:$C$70,0),1)</f>
        <v>West North Central Division</v>
      </c>
      <c r="F772">
        <f>INDEX('CBECS_Table B5'!$C$6:$K$6,1,MATCH('County Climates'!E772,'CBECS_Table B5'!$C$1:$K$1,0))</f>
        <v>6178</v>
      </c>
    </row>
    <row r="773" spans="1:6" x14ac:dyDescent="0.25">
      <c r="A773" t="s">
        <v>842</v>
      </c>
      <c r="B773" t="s">
        <v>843</v>
      </c>
      <c r="C773" t="s">
        <v>848</v>
      </c>
      <c r="D773" t="s">
        <v>247</v>
      </c>
      <c r="E773" t="str">
        <f>INDEX('State Codes'!$E$7:$E$70,MATCH(INDEX('State Codes'!$C$7:$C$70,MATCH('County Climates'!B773,'State Codes'!$D$7:$D$70,0),1),'State Codes'!$C$7:$C$70,0),1)</f>
        <v>West North Central Division</v>
      </c>
      <c r="F773">
        <f>INDEX('CBECS_Table B5'!$C$6:$K$6,1,MATCH('County Climates'!E773,'CBECS_Table B5'!$C$1:$K$1,0))</f>
        <v>6178</v>
      </c>
    </row>
    <row r="774" spans="1:6" x14ac:dyDescent="0.25">
      <c r="A774" t="s">
        <v>842</v>
      </c>
      <c r="B774" t="s">
        <v>843</v>
      </c>
      <c r="C774" t="s">
        <v>849</v>
      </c>
      <c r="D774" t="s">
        <v>247</v>
      </c>
      <c r="E774" t="str">
        <f>INDEX('State Codes'!$E$7:$E$70,MATCH(INDEX('State Codes'!$C$7:$C$70,MATCH('County Climates'!B774,'State Codes'!$D$7:$D$70,0),1),'State Codes'!$C$7:$C$70,0),1)</f>
        <v>West North Central Division</v>
      </c>
      <c r="F774">
        <f>INDEX('CBECS_Table B5'!$C$6:$K$6,1,MATCH('County Climates'!E774,'CBECS_Table B5'!$C$1:$K$1,0))</f>
        <v>6178</v>
      </c>
    </row>
    <row r="775" spans="1:6" x14ac:dyDescent="0.25">
      <c r="A775" t="s">
        <v>842</v>
      </c>
      <c r="B775" t="s">
        <v>843</v>
      </c>
      <c r="C775" t="s">
        <v>575</v>
      </c>
      <c r="D775" t="s">
        <v>247</v>
      </c>
      <c r="E775" t="str">
        <f>INDEX('State Codes'!$E$7:$E$70,MATCH(INDEX('State Codes'!$C$7:$C$70,MATCH('County Climates'!B775,'State Codes'!$D$7:$D$70,0),1),'State Codes'!$C$7:$C$70,0),1)</f>
        <v>West North Central Division</v>
      </c>
      <c r="F775">
        <f>INDEX('CBECS_Table B5'!$C$6:$K$6,1,MATCH('County Climates'!E775,'CBECS_Table B5'!$C$1:$K$1,0))</f>
        <v>6178</v>
      </c>
    </row>
    <row r="776" spans="1:6" x14ac:dyDescent="0.25">
      <c r="A776" t="s">
        <v>842</v>
      </c>
      <c r="B776" t="s">
        <v>843</v>
      </c>
      <c r="C776" t="s">
        <v>850</v>
      </c>
      <c r="D776" t="s">
        <v>247</v>
      </c>
      <c r="E776" t="str">
        <f>INDEX('State Codes'!$E$7:$E$70,MATCH(INDEX('State Codes'!$C$7:$C$70,MATCH('County Climates'!B776,'State Codes'!$D$7:$D$70,0),1),'State Codes'!$C$7:$C$70,0),1)</f>
        <v>West North Central Division</v>
      </c>
      <c r="F776">
        <f>INDEX('CBECS_Table B5'!$C$6:$K$6,1,MATCH('County Climates'!E776,'CBECS_Table B5'!$C$1:$K$1,0))</f>
        <v>6178</v>
      </c>
    </row>
    <row r="777" spans="1:6" x14ac:dyDescent="0.25">
      <c r="A777" t="s">
        <v>842</v>
      </c>
      <c r="B777" t="s">
        <v>843</v>
      </c>
      <c r="C777" t="s">
        <v>577</v>
      </c>
      <c r="D777" t="s">
        <v>247</v>
      </c>
      <c r="E777" t="str">
        <f>INDEX('State Codes'!$E$7:$E$70,MATCH(INDEX('State Codes'!$C$7:$C$70,MATCH('County Climates'!B777,'State Codes'!$D$7:$D$70,0),1),'State Codes'!$C$7:$C$70,0),1)</f>
        <v>West North Central Division</v>
      </c>
      <c r="F777">
        <f>INDEX('CBECS_Table B5'!$C$6:$K$6,1,MATCH('County Climates'!E777,'CBECS_Table B5'!$C$1:$K$1,0))</f>
        <v>6178</v>
      </c>
    </row>
    <row r="778" spans="1:6" x14ac:dyDescent="0.25">
      <c r="A778" t="s">
        <v>842</v>
      </c>
      <c r="B778" t="s">
        <v>843</v>
      </c>
      <c r="C778" t="s">
        <v>597</v>
      </c>
      <c r="D778" t="s">
        <v>228</v>
      </c>
      <c r="E778" t="str">
        <f>INDEX('State Codes'!$E$7:$E$70,MATCH(INDEX('State Codes'!$C$7:$C$70,MATCH('County Climates'!B778,'State Codes'!$D$7:$D$70,0),1),'State Codes'!$C$7:$C$70,0),1)</f>
        <v>West North Central Division</v>
      </c>
      <c r="F778">
        <f>INDEX('CBECS_Table B5'!$C$6:$K$6,1,MATCH('County Climates'!E778,'CBECS_Table B5'!$C$1:$K$1,0))</f>
        <v>6178</v>
      </c>
    </row>
    <row r="779" spans="1:6" x14ac:dyDescent="0.25">
      <c r="A779" t="s">
        <v>842</v>
      </c>
      <c r="B779" t="s">
        <v>843</v>
      </c>
      <c r="C779" t="s">
        <v>250</v>
      </c>
      <c r="D779" t="s">
        <v>247</v>
      </c>
      <c r="E779" t="str">
        <f>INDEX('State Codes'!$E$7:$E$70,MATCH(INDEX('State Codes'!$C$7:$C$70,MATCH('County Climates'!B779,'State Codes'!$D$7:$D$70,0),1),'State Codes'!$C$7:$C$70,0),1)</f>
        <v>West North Central Division</v>
      </c>
      <c r="F779">
        <f>INDEX('CBECS_Table B5'!$C$6:$K$6,1,MATCH('County Climates'!E779,'CBECS_Table B5'!$C$1:$K$1,0))</f>
        <v>6178</v>
      </c>
    </row>
    <row r="780" spans="1:6" x14ac:dyDescent="0.25">
      <c r="A780" t="s">
        <v>842</v>
      </c>
      <c r="B780" t="s">
        <v>843</v>
      </c>
      <c r="C780" t="s">
        <v>851</v>
      </c>
      <c r="D780" t="s">
        <v>247</v>
      </c>
      <c r="E780" t="str">
        <f>INDEX('State Codes'!$E$7:$E$70,MATCH(INDEX('State Codes'!$C$7:$C$70,MATCH('County Climates'!B780,'State Codes'!$D$7:$D$70,0),1),'State Codes'!$C$7:$C$70,0),1)</f>
        <v>West North Central Division</v>
      </c>
      <c r="F780">
        <f>INDEX('CBECS_Table B5'!$C$6:$K$6,1,MATCH('County Climates'!E780,'CBECS_Table B5'!$C$1:$K$1,0))</f>
        <v>6178</v>
      </c>
    </row>
    <row r="781" spans="1:6" x14ac:dyDescent="0.25">
      <c r="A781" t="s">
        <v>842</v>
      </c>
      <c r="B781" t="s">
        <v>843</v>
      </c>
      <c r="C781" t="s">
        <v>296</v>
      </c>
      <c r="D781" t="s">
        <v>247</v>
      </c>
      <c r="E781" t="str">
        <f>INDEX('State Codes'!$E$7:$E$70,MATCH(INDEX('State Codes'!$C$7:$C$70,MATCH('County Climates'!B781,'State Codes'!$D$7:$D$70,0),1),'State Codes'!$C$7:$C$70,0),1)</f>
        <v>West North Central Division</v>
      </c>
      <c r="F781">
        <f>INDEX('CBECS_Table B5'!$C$6:$K$6,1,MATCH('County Climates'!E781,'CBECS_Table B5'!$C$1:$K$1,0))</f>
        <v>6178</v>
      </c>
    </row>
    <row r="782" spans="1:6" x14ac:dyDescent="0.25">
      <c r="A782" t="s">
        <v>842</v>
      </c>
      <c r="B782" t="s">
        <v>843</v>
      </c>
      <c r="C782" t="s">
        <v>852</v>
      </c>
      <c r="D782" t="s">
        <v>247</v>
      </c>
      <c r="E782" t="str">
        <f>INDEX('State Codes'!$E$7:$E$70,MATCH(INDEX('State Codes'!$C$7:$C$70,MATCH('County Climates'!B782,'State Codes'!$D$7:$D$70,0),1),'State Codes'!$C$7:$C$70,0),1)</f>
        <v>West North Central Division</v>
      </c>
      <c r="F782">
        <f>INDEX('CBECS_Table B5'!$C$6:$K$6,1,MATCH('County Climates'!E782,'CBECS_Table B5'!$C$1:$K$1,0))</f>
        <v>6178</v>
      </c>
    </row>
    <row r="783" spans="1:6" x14ac:dyDescent="0.25">
      <c r="A783" t="s">
        <v>842</v>
      </c>
      <c r="B783" t="s">
        <v>843</v>
      </c>
      <c r="C783" t="s">
        <v>853</v>
      </c>
      <c r="D783" t="s">
        <v>247</v>
      </c>
      <c r="E783" t="str">
        <f>INDEX('State Codes'!$E$7:$E$70,MATCH(INDEX('State Codes'!$C$7:$C$70,MATCH('County Climates'!B783,'State Codes'!$D$7:$D$70,0),1),'State Codes'!$C$7:$C$70,0),1)</f>
        <v>West North Central Division</v>
      </c>
      <c r="F783">
        <f>INDEX('CBECS_Table B5'!$C$6:$K$6,1,MATCH('County Climates'!E783,'CBECS_Table B5'!$C$1:$K$1,0))</f>
        <v>6178</v>
      </c>
    </row>
    <row r="784" spans="1:6" x14ac:dyDescent="0.25">
      <c r="A784" t="s">
        <v>842</v>
      </c>
      <c r="B784" t="s">
        <v>843</v>
      </c>
      <c r="C784" t="s">
        <v>298</v>
      </c>
      <c r="D784" t="s">
        <v>228</v>
      </c>
      <c r="E784" t="str">
        <f>INDEX('State Codes'!$E$7:$E$70,MATCH(INDEX('State Codes'!$C$7:$C$70,MATCH('County Climates'!B784,'State Codes'!$D$7:$D$70,0),1),'State Codes'!$C$7:$C$70,0),1)</f>
        <v>West North Central Division</v>
      </c>
      <c r="F784">
        <f>INDEX('CBECS_Table B5'!$C$6:$K$6,1,MATCH('County Climates'!E784,'CBECS_Table B5'!$C$1:$K$1,0))</f>
        <v>6178</v>
      </c>
    </row>
    <row r="785" spans="1:6" x14ac:dyDescent="0.25">
      <c r="A785" t="s">
        <v>842</v>
      </c>
      <c r="B785" t="s">
        <v>843</v>
      </c>
      <c r="C785" t="s">
        <v>854</v>
      </c>
      <c r="D785" t="s">
        <v>247</v>
      </c>
      <c r="E785" t="str">
        <f>INDEX('State Codes'!$E$7:$E$70,MATCH(INDEX('State Codes'!$C$7:$C$70,MATCH('County Climates'!B785,'State Codes'!$D$7:$D$70,0),1),'State Codes'!$C$7:$C$70,0),1)</f>
        <v>West North Central Division</v>
      </c>
      <c r="F785">
        <f>INDEX('CBECS_Table B5'!$C$6:$K$6,1,MATCH('County Climates'!E785,'CBECS_Table B5'!$C$1:$K$1,0))</f>
        <v>6178</v>
      </c>
    </row>
    <row r="786" spans="1:6" x14ac:dyDescent="0.25">
      <c r="A786" t="s">
        <v>842</v>
      </c>
      <c r="B786" t="s">
        <v>843</v>
      </c>
      <c r="C786" t="s">
        <v>335</v>
      </c>
      <c r="D786" t="s">
        <v>247</v>
      </c>
      <c r="E786" t="str">
        <f>INDEX('State Codes'!$E$7:$E$70,MATCH(INDEX('State Codes'!$C$7:$C$70,MATCH('County Climates'!B786,'State Codes'!$D$7:$D$70,0),1),'State Codes'!$C$7:$C$70,0),1)</f>
        <v>West North Central Division</v>
      </c>
      <c r="F786">
        <f>INDEX('CBECS_Table B5'!$C$6:$K$6,1,MATCH('County Climates'!E786,'CBECS_Table B5'!$C$1:$K$1,0))</f>
        <v>6178</v>
      </c>
    </row>
    <row r="787" spans="1:6" x14ac:dyDescent="0.25">
      <c r="A787" t="s">
        <v>842</v>
      </c>
      <c r="B787" t="s">
        <v>843</v>
      </c>
      <c r="C787" t="s">
        <v>338</v>
      </c>
      <c r="D787" t="s">
        <v>247</v>
      </c>
      <c r="E787" t="str">
        <f>INDEX('State Codes'!$E$7:$E$70,MATCH(INDEX('State Codes'!$C$7:$C$70,MATCH('County Climates'!B787,'State Codes'!$D$7:$D$70,0),1),'State Codes'!$C$7:$C$70,0),1)</f>
        <v>West North Central Division</v>
      </c>
      <c r="F787">
        <f>INDEX('CBECS_Table B5'!$C$6:$K$6,1,MATCH('County Climates'!E787,'CBECS_Table B5'!$C$1:$K$1,0))</f>
        <v>6178</v>
      </c>
    </row>
    <row r="788" spans="1:6" x14ac:dyDescent="0.25">
      <c r="A788" t="s">
        <v>842</v>
      </c>
      <c r="B788" t="s">
        <v>843</v>
      </c>
      <c r="C788" t="s">
        <v>556</v>
      </c>
      <c r="D788" t="s">
        <v>228</v>
      </c>
      <c r="E788" t="str">
        <f>INDEX('State Codes'!$E$7:$E$70,MATCH(INDEX('State Codes'!$C$7:$C$70,MATCH('County Climates'!B788,'State Codes'!$D$7:$D$70,0),1),'State Codes'!$C$7:$C$70,0),1)</f>
        <v>West North Central Division</v>
      </c>
      <c r="F788">
        <f>INDEX('CBECS_Table B5'!$C$6:$K$6,1,MATCH('County Climates'!E788,'CBECS_Table B5'!$C$1:$K$1,0))</f>
        <v>6178</v>
      </c>
    </row>
    <row r="789" spans="1:6" x14ac:dyDescent="0.25">
      <c r="A789" t="s">
        <v>842</v>
      </c>
      <c r="B789" t="s">
        <v>843</v>
      </c>
      <c r="C789" t="s">
        <v>855</v>
      </c>
      <c r="D789" t="s">
        <v>228</v>
      </c>
      <c r="E789" t="str">
        <f>INDEX('State Codes'!$E$7:$E$70,MATCH(INDEX('State Codes'!$C$7:$C$70,MATCH('County Climates'!B789,'State Codes'!$D$7:$D$70,0),1),'State Codes'!$C$7:$C$70,0),1)</f>
        <v>West North Central Division</v>
      </c>
      <c r="F789">
        <f>INDEX('CBECS_Table B5'!$C$6:$K$6,1,MATCH('County Climates'!E789,'CBECS_Table B5'!$C$1:$K$1,0))</f>
        <v>6178</v>
      </c>
    </row>
    <row r="790" spans="1:6" x14ac:dyDescent="0.25">
      <c r="A790" t="s">
        <v>842</v>
      </c>
      <c r="B790" t="s">
        <v>843</v>
      </c>
      <c r="C790" t="s">
        <v>299</v>
      </c>
      <c r="D790" t="s">
        <v>247</v>
      </c>
      <c r="E790" t="str">
        <f>INDEX('State Codes'!$E$7:$E$70,MATCH(INDEX('State Codes'!$C$7:$C$70,MATCH('County Climates'!B790,'State Codes'!$D$7:$D$70,0),1),'State Codes'!$C$7:$C$70,0),1)</f>
        <v>West North Central Division</v>
      </c>
      <c r="F790">
        <f>INDEX('CBECS_Table B5'!$C$6:$K$6,1,MATCH('County Climates'!E790,'CBECS_Table B5'!$C$1:$K$1,0))</f>
        <v>6178</v>
      </c>
    </row>
    <row r="791" spans="1:6" x14ac:dyDescent="0.25">
      <c r="A791" t="s">
        <v>842</v>
      </c>
      <c r="B791" t="s">
        <v>843</v>
      </c>
      <c r="C791" t="s">
        <v>856</v>
      </c>
      <c r="D791" t="s">
        <v>247</v>
      </c>
      <c r="E791" t="str">
        <f>INDEX('State Codes'!$E$7:$E$70,MATCH(INDEX('State Codes'!$C$7:$C$70,MATCH('County Climates'!B791,'State Codes'!$D$7:$D$70,0),1),'State Codes'!$C$7:$C$70,0),1)</f>
        <v>West North Central Division</v>
      </c>
      <c r="F791">
        <f>INDEX('CBECS_Table B5'!$C$6:$K$6,1,MATCH('County Climates'!E791,'CBECS_Table B5'!$C$1:$K$1,0))</f>
        <v>6178</v>
      </c>
    </row>
    <row r="792" spans="1:6" x14ac:dyDescent="0.25">
      <c r="A792" t="s">
        <v>842</v>
      </c>
      <c r="B792" t="s">
        <v>843</v>
      </c>
      <c r="C792" t="s">
        <v>857</v>
      </c>
      <c r="D792" t="s">
        <v>247</v>
      </c>
      <c r="E792" t="str">
        <f>INDEX('State Codes'!$E$7:$E$70,MATCH(INDEX('State Codes'!$C$7:$C$70,MATCH('County Climates'!B792,'State Codes'!$D$7:$D$70,0),1),'State Codes'!$C$7:$C$70,0),1)</f>
        <v>West North Central Division</v>
      </c>
      <c r="F792">
        <f>INDEX('CBECS_Table B5'!$C$6:$K$6,1,MATCH('County Climates'!E792,'CBECS_Table B5'!$C$1:$K$1,0))</f>
        <v>6178</v>
      </c>
    </row>
    <row r="793" spans="1:6" x14ac:dyDescent="0.25">
      <c r="A793" t="s">
        <v>842</v>
      </c>
      <c r="B793" t="s">
        <v>843</v>
      </c>
      <c r="C793" t="s">
        <v>858</v>
      </c>
      <c r="D793" t="s">
        <v>247</v>
      </c>
      <c r="E793" t="str">
        <f>INDEX('State Codes'!$E$7:$E$70,MATCH(INDEX('State Codes'!$C$7:$C$70,MATCH('County Climates'!B793,'State Codes'!$D$7:$D$70,0),1),'State Codes'!$C$7:$C$70,0),1)</f>
        <v>West North Central Division</v>
      </c>
      <c r="F793">
        <f>INDEX('CBECS_Table B5'!$C$6:$K$6,1,MATCH('County Climates'!E793,'CBECS_Table B5'!$C$1:$K$1,0))</f>
        <v>6178</v>
      </c>
    </row>
    <row r="794" spans="1:6" x14ac:dyDescent="0.25">
      <c r="A794" t="s">
        <v>842</v>
      </c>
      <c r="B794" t="s">
        <v>843</v>
      </c>
      <c r="C794" t="s">
        <v>339</v>
      </c>
      <c r="D794" t="s">
        <v>247</v>
      </c>
      <c r="E794" t="str">
        <f>INDEX('State Codes'!$E$7:$E$70,MATCH(INDEX('State Codes'!$C$7:$C$70,MATCH('County Climates'!B794,'State Codes'!$D$7:$D$70,0),1),'State Codes'!$C$7:$C$70,0),1)</f>
        <v>West North Central Division</v>
      </c>
      <c r="F794">
        <f>INDEX('CBECS_Table B5'!$C$6:$K$6,1,MATCH('County Climates'!E794,'CBECS_Table B5'!$C$1:$K$1,0))</f>
        <v>6178</v>
      </c>
    </row>
    <row r="795" spans="1:6" x14ac:dyDescent="0.25">
      <c r="A795" t="s">
        <v>842</v>
      </c>
      <c r="B795" t="s">
        <v>843</v>
      </c>
      <c r="C795" t="s">
        <v>560</v>
      </c>
      <c r="D795" t="s">
        <v>228</v>
      </c>
      <c r="E795" t="str">
        <f>INDEX('State Codes'!$E$7:$E$70,MATCH(INDEX('State Codes'!$C$7:$C$70,MATCH('County Climates'!B795,'State Codes'!$D$7:$D$70,0),1),'State Codes'!$C$7:$C$70,0),1)</f>
        <v>West North Central Division</v>
      </c>
      <c r="F795">
        <f>INDEX('CBECS_Table B5'!$C$6:$K$6,1,MATCH('County Climates'!E795,'CBECS_Table B5'!$C$1:$K$1,0))</f>
        <v>6178</v>
      </c>
    </row>
    <row r="796" spans="1:6" x14ac:dyDescent="0.25">
      <c r="A796" t="s">
        <v>842</v>
      </c>
      <c r="B796" t="s">
        <v>843</v>
      </c>
      <c r="C796" t="s">
        <v>859</v>
      </c>
      <c r="D796" t="s">
        <v>228</v>
      </c>
      <c r="E796" t="str">
        <f>INDEX('State Codes'!$E$7:$E$70,MATCH(INDEX('State Codes'!$C$7:$C$70,MATCH('County Climates'!B796,'State Codes'!$D$7:$D$70,0),1),'State Codes'!$C$7:$C$70,0),1)</f>
        <v>West North Central Division</v>
      </c>
      <c r="F796">
        <f>INDEX('CBECS_Table B5'!$C$6:$K$6,1,MATCH('County Climates'!E796,'CBECS_Table B5'!$C$1:$K$1,0))</f>
        <v>6178</v>
      </c>
    </row>
    <row r="797" spans="1:6" x14ac:dyDescent="0.25">
      <c r="A797" t="s">
        <v>842</v>
      </c>
      <c r="B797" t="s">
        <v>843</v>
      </c>
      <c r="C797" t="s">
        <v>340</v>
      </c>
      <c r="D797" t="s">
        <v>247</v>
      </c>
      <c r="E797" t="str">
        <f>INDEX('State Codes'!$E$7:$E$70,MATCH(INDEX('State Codes'!$C$7:$C$70,MATCH('County Climates'!B797,'State Codes'!$D$7:$D$70,0),1),'State Codes'!$C$7:$C$70,0),1)</f>
        <v>West North Central Division</v>
      </c>
      <c r="F797">
        <f>INDEX('CBECS_Table B5'!$C$6:$K$6,1,MATCH('County Climates'!E797,'CBECS_Table B5'!$C$1:$K$1,0))</f>
        <v>6178</v>
      </c>
    </row>
    <row r="798" spans="1:6" x14ac:dyDescent="0.25">
      <c r="A798" t="s">
        <v>842</v>
      </c>
      <c r="B798" t="s">
        <v>843</v>
      </c>
      <c r="C798" t="s">
        <v>860</v>
      </c>
      <c r="D798" t="s">
        <v>247</v>
      </c>
      <c r="E798" t="str">
        <f>INDEX('State Codes'!$E$7:$E$70,MATCH(INDEX('State Codes'!$C$7:$C$70,MATCH('County Climates'!B798,'State Codes'!$D$7:$D$70,0),1),'State Codes'!$C$7:$C$70,0),1)</f>
        <v>West North Central Division</v>
      </c>
      <c r="F798">
        <f>INDEX('CBECS_Table B5'!$C$6:$K$6,1,MATCH('County Climates'!E798,'CBECS_Table B5'!$C$1:$K$1,0))</f>
        <v>6178</v>
      </c>
    </row>
    <row r="799" spans="1:6" x14ac:dyDescent="0.25">
      <c r="A799" t="s">
        <v>842</v>
      </c>
      <c r="B799" t="s">
        <v>843</v>
      </c>
      <c r="C799" t="s">
        <v>301</v>
      </c>
      <c r="D799" t="s">
        <v>228</v>
      </c>
      <c r="E799" t="str">
        <f>INDEX('State Codes'!$E$7:$E$70,MATCH(INDEX('State Codes'!$C$7:$C$70,MATCH('County Climates'!B799,'State Codes'!$D$7:$D$70,0),1),'State Codes'!$C$7:$C$70,0),1)</f>
        <v>West North Central Division</v>
      </c>
      <c r="F799">
        <f>INDEX('CBECS_Table B5'!$C$6:$K$6,1,MATCH('County Climates'!E799,'CBECS_Table B5'!$C$1:$K$1,0))</f>
        <v>6178</v>
      </c>
    </row>
    <row r="800" spans="1:6" x14ac:dyDescent="0.25">
      <c r="A800" t="s">
        <v>842</v>
      </c>
      <c r="B800" t="s">
        <v>843</v>
      </c>
      <c r="C800" t="s">
        <v>861</v>
      </c>
      <c r="D800" t="s">
        <v>247</v>
      </c>
      <c r="E800" t="str">
        <f>INDEX('State Codes'!$E$7:$E$70,MATCH(INDEX('State Codes'!$C$7:$C$70,MATCH('County Climates'!B800,'State Codes'!$D$7:$D$70,0),1),'State Codes'!$C$7:$C$70,0),1)</f>
        <v>West North Central Division</v>
      </c>
      <c r="F800">
        <f>INDEX('CBECS_Table B5'!$C$6:$K$6,1,MATCH('County Climates'!E800,'CBECS_Table B5'!$C$1:$K$1,0))</f>
        <v>6178</v>
      </c>
    </row>
    <row r="801" spans="1:6" x14ac:dyDescent="0.25">
      <c r="A801" t="s">
        <v>842</v>
      </c>
      <c r="B801" t="s">
        <v>843</v>
      </c>
      <c r="C801" t="s">
        <v>302</v>
      </c>
      <c r="D801" t="s">
        <v>247</v>
      </c>
      <c r="E801" t="str">
        <f>INDEX('State Codes'!$E$7:$E$70,MATCH(INDEX('State Codes'!$C$7:$C$70,MATCH('County Climates'!B801,'State Codes'!$D$7:$D$70,0),1),'State Codes'!$C$7:$C$70,0),1)</f>
        <v>West North Central Division</v>
      </c>
      <c r="F801">
        <f>INDEX('CBECS_Table B5'!$C$6:$K$6,1,MATCH('County Climates'!E801,'CBECS_Table B5'!$C$1:$K$1,0))</f>
        <v>6178</v>
      </c>
    </row>
    <row r="802" spans="1:6" x14ac:dyDescent="0.25">
      <c r="A802" t="s">
        <v>842</v>
      </c>
      <c r="B802" t="s">
        <v>843</v>
      </c>
      <c r="C802" t="s">
        <v>862</v>
      </c>
      <c r="D802" t="s">
        <v>247</v>
      </c>
      <c r="E802" t="str">
        <f>INDEX('State Codes'!$E$7:$E$70,MATCH(INDEX('State Codes'!$C$7:$C$70,MATCH('County Climates'!B802,'State Codes'!$D$7:$D$70,0),1),'State Codes'!$C$7:$C$70,0),1)</f>
        <v>West North Central Division</v>
      </c>
      <c r="F802">
        <f>INDEX('CBECS_Table B5'!$C$6:$K$6,1,MATCH('County Climates'!E802,'CBECS_Table B5'!$C$1:$K$1,0))</f>
        <v>6178</v>
      </c>
    </row>
    <row r="803" spans="1:6" x14ac:dyDescent="0.25">
      <c r="A803" t="s">
        <v>842</v>
      </c>
      <c r="B803" t="s">
        <v>843</v>
      </c>
      <c r="C803" t="s">
        <v>863</v>
      </c>
      <c r="D803" t="s">
        <v>247</v>
      </c>
      <c r="E803" t="str">
        <f>INDEX('State Codes'!$E$7:$E$70,MATCH(INDEX('State Codes'!$C$7:$C$70,MATCH('County Climates'!B803,'State Codes'!$D$7:$D$70,0),1),'State Codes'!$C$7:$C$70,0),1)</f>
        <v>West North Central Division</v>
      </c>
      <c r="F803">
        <f>INDEX('CBECS_Table B5'!$C$6:$K$6,1,MATCH('County Climates'!E803,'CBECS_Table B5'!$C$1:$K$1,0))</f>
        <v>6178</v>
      </c>
    </row>
    <row r="804" spans="1:6" x14ac:dyDescent="0.25">
      <c r="A804" t="s">
        <v>842</v>
      </c>
      <c r="B804" t="s">
        <v>843</v>
      </c>
      <c r="C804" t="s">
        <v>864</v>
      </c>
      <c r="D804" t="s">
        <v>247</v>
      </c>
      <c r="E804" t="str">
        <f>INDEX('State Codes'!$E$7:$E$70,MATCH(INDEX('State Codes'!$C$7:$C$70,MATCH('County Climates'!B804,'State Codes'!$D$7:$D$70,0),1),'State Codes'!$C$7:$C$70,0),1)</f>
        <v>West North Central Division</v>
      </c>
      <c r="F804">
        <f>INDEX('CBECS_Table B5'!$C$6:$K$6,1,MATCH('County Climates'!E804,'CBECS_Table B5'!$C$1:$K$1,0))</f>
        <v>6178</v>
      </c>
    </row>
    <row r="805" spans="1:6" x14ac:dyDescent="0.25">
      <c r="A805" t="s">
        <v>842</v>
      </c>
      <c r="B805" t="s">
        <v>843</v>
      </c>
      <c r="C805" t="s">
        <v>865</v>
      </c>
      <c r="D805" t="s">
        <v>247</v>
      </c>
      <c r="E805" t="str">
        <f>INDEX('State Codes'!$E$7:$E$70,MATCH(INDEX('State Codes'!$C$7:$C$70,MATCH('County Climates'!B805,'State Codes'!$D$7:$D$70,0),1),'State Codes'!$C$7:$C$70,0),1)</f>
        <v>West North Central Division</v>
      </c>
      <c r="F805">
        <f>INDEX('CBECS_Table B5'!$C$6:$K$6,1,MATCH('County Climates'!E805,'CBECS_Table B5'!$C$1:$K$1,0))</f>
        <v>6178</v>
      </c>
    </row>
    <row r="806" spans="1:6" x14ac:dyDescent="0.25">
      <c r="A806" t="s">
        <v>842</v>
      </c>
      <c r="B806" t="s">
        <v>843</v>
      </c>
      <c r="C806" t="s">
        <v>866</v>
      </c>
      <c r="D806" t="s">
        <v>247</v>
      </c>
      <c r="E806" t="str">
        <f>INDEX('State Codes'!$E$7:$E$70,MATCH(INDEX('State Codes'!$C$7:$C$70,MATCH('County Climates'!B806,'State Codes'!$D$7:$D$70,0),1),'State Codes'!$C$7:$C$70,0),1)</f>
        <v>West North Central Division</v>
      </c>
      <c r="F806">
        <f>INDEX('CBECS_Table B5'!$C$6:$K$6,1,MATCH('County Climates'!E806,'CBECS_Table B5'!$C$1:$K$1,0))</f>
        <v>6178</v>
      </c>
    </row>
    <row r="807" spans="1:6" x14ac:dyDescent="0.25">
      <c r="A807" t="s">
        <v>842</v>
      </c>
      <c r="B807" t="s">
        <v>843</v>
      </c>
      <c r="C807" t="s">
        <v>346</v>
      </c>
      <c r="D807" t="s">
        <v>247</v>
      </c>
      <c r="E807" t="str">
        <f>INDEX('State Codes'!$E$7:$E$70,MATCH(INDEX('State Codes'!$C$7:$C$70,MATCH('County Climates'!B807,'State Codes'!$D$7:$D$70,0),1),'State Codes'!$C$7:$C$70,0),1)</f>
        <v>West North Central Division</v>
      </c>
      <c r="F807">
        <f>INDEX('CBECS_Table B5'!$C$6:$K$6,1,MATCH('County Climates'!E807,'CBECS_Table B5'!$C$1:$K$1,0))</f>
        <v>6178</v>
      </c>
    </row>
    <row r="808" spans="1:6" x14ac:dyDescent="0.25">
      <c r="A808" t="s">
        <v>842</v>
      </c>
      <c r="B808" t="s">
        <v>843</v>
      </c>
      <c r="C808" t="s">
        <v>867</v>
      </c>
      <c r="D808" t="s">
        <v>228</v>
      </c>
      <c r="E808" t="str">
        <f>INDEX('State Codes'!$E$7:$E$70,MATCH(INDEX('State Codes'!$C$7:$C$70,MATCH('County Climates'!B808,'State Codes'!$D$7:$D$70,0),1),'State Codes'!$C$7:$C$70,0),1)</f>
        <v>West North Central Division</v>
      </c>
      <c r="F808">
        <f>INDEX('CBECS_Table B5'!$C$6:$K$6,1,MATCH('County Climates'!E808,'CBECS_Table B5'!$C$1:$K$1,0))</f>
        <v>6178</v>
      </c>
    </row>
    <row r="809" spans="1:6" x14ac:dyDescent="0.25">
      <c r="A809" t="s">
        <v>842</v>
      </c>
      <c r="B809" t="s">
        <v>843</v>
      </c>
      <c r="C809" t="s">
        <v>868</v>
      </c>
      <c r="D809" t="s">
        <v>247</v>
      </c>
      <c r="E809" t="str">
        <f>INDEX('State Codes'!$E$7:$E$70,MATCH(INDEX('State Codes'!$C$7:$C$70,MATCH('County Climates'!B809,'State Codes'!$D$7:$D$70,0),1),'State Codes'!$C$7:$C$70,0),1)</f>
        <v>West North Central Division</v>
      </c>
      <c r="F809">
        <f>INDEX('CBECS_Table B5'!$C$6:$K$6,1,MATCH('County Climates'!E809,'CBECS_Table B5'!$C$1:$K$1,0))</f>
        <v>6178</v>
      </c>
    </row>
    <row r="810" spans="1:6" x14ac:dyDescent="0.25">
      <c r="A810" t="s">
        <v>842</v>
      </c>
      <c r="B810" t="s">
        <v>843</v>
      </c>
      <c r="C810" t="s">
        <v>869</v>
      </c>
      <c r="D810" t="s">
        <v>247</v>
      </c>
      <c r="E810" t="str">
        <f>INDEX('State Codes'!$E$7:$E$70,MATCH(INDEX('State Codes'!$C$7:$C$70,MATCH('County Climates'!B810,'State Codes'!$D$7:$D$70,0),1),'State Codes'!$C$7:$C$70,0),1)</f>
        <v>West North Central Division</v>
      </c>
      <c r="F810">
        <f>INDEX('CBECS_Table B5'!$C$6:$K$6,1,MATCH('County Climates'!E810,'CBECS_Table B5'!$C$1:$K$1,0))</f>
        <v>6178</v>
      </c>
    </row>
    <row r="811" spans="1:6" x14ac:dyDescent="0.25">
      <c r="A811" t="s">
        <v>842</v>
      </c>
      <c r="B811" t="s">
        <v>843</v>
      </c>
      <c r="C811" t="s">
        <v>711</v>
      </c>
      <c r="D811" t="s">
        <v>247</v>
      </c>
      <c r="E811" t="str">
        <f>INDEX('State Codes'!$E$7:$E$70,MATCH(INDEX('State Codes'!$C$7:$C$70,MATCH('County Climates'!B811,'State Codes'!$D$7:$D$70,0),1),'State Codes'!$C$7:$C$70,0),1)</f>
        <v>West North Central Division</v>
      </c>
      <c r="F811">
        <f>INDEX('CBECS_Table B5'!$C$6:$K$6,1,MATCH('County Climates'!E811,'CBECS_Table B5'!$C$1:$K$1,0))</f>
        <v>6178</v>
      </c>
    </row>
    <row r="812" spans="1:6" x14ac:dyDescent="0.25">
      <c r="A812" t="s">
        <v>842</v>
      </c>
      <c r="B812" t="s">
        <v>843</v>
      </c>
      <c r="C812" t="s">
        <v>497</v>
      </c>
      <c r="D812" t="s">
        <v>247</v>
      </c>
      <c r="E812" t="str">
        <f>INDEX('State Codes'!$E$7:$E$70,MATCH(INDEX('State Codes'!$C$7:$C$70,MATCH('County Climates'!B812,'State Codes'!$D$7:$D$70,0),1),'State Codes'!$C$7:$C$70,0),1)</f>
        <v>West North Central Division</v>
      </c>
      <c r="F812">
        <f>INDEX('CBECS_Table B5'!$C$6:$K$6,1,MATCH('County Climates'!E812,'CBECS_Table B5'!$C$1:$K$1,0))</f>
        <v>6178</v>
      </c>
    </row>
    <row r="813" spans="1:6" x14ac:dyDescent="0.25">
      <c r="A813" t="s">
        <v>842</v>
      </c>
      <c r="B813" t="s">
        <v>843</v>
      </c>
      <c r="C813" t="s">
        <v>308</v>
      </c>
      <c r="D813" t="s">
        <v>247</v>
      </c>
      <c r="E813" t="str">
        <f>INDEX('State Codes'!$E$7:$E$70,MATCH(INDEX('State Codes'!$C$7:$C$70,MATCH('County Climates'!B813,'State Codes'!$D$7:$D$70,0),1),'State Codes'!$C$7:$C$70,0),1)</f>
        <v>West North Central Division</v>
      </c>
      <c r="F813">
        <f>INDEX('CBECS_Table B5'!$C$6:$K$6,1,MATCH('County Climates'!E813,'CBECS_Table B5'!$C$1:$K$1,0))</f>
        <v>6178</v>
      </c>
    </row>
    <row r="814" spans="1:6" x14ac:dyDescent="0.25">
      <c r="A814" t="s">
        <v>842</v>
      </c>
      <c r="B814" t="s">
        <v>843</v>
      </c>
      <c r="C814" t="s">
        <v>498</v>
      </c>
      <c r="D814" t="s">
        <v>247</v>
      </c>
      <c r="E814" t="str">
        <f>INDEX('State Codes'!$E$7:$E$70,MATCH(INDEX('State Codes'!$C$7:$C$70,MATCH('County Climates'!B814,'State Codes'!$D$7:$D$70,0),1),'State Codes'!$C$7:$C$70,0),1)</f>
        <v>West North Central Division</v>
      </c>
      <c r="F814">
        <f>INDEX('CBECS_Table B5'!$C$6:$K$6,1,MATCH('County Climates'!E814,'CBECS_Table B5'!$C$1:$K$1,0))</f>
        <v>6178</v>
      </c>
    </row>
    <row r="815" spans="1:6" x14ac:dyDescent="0.25">
      <c r="A815" t="s">
        <v>842</v>
      </c>
      <c r="B815" t="s">
        <v>843</v>
      </c>
      <c r="C815" t="s">
        <v>499</v>
      </c>
      <c r="D815" t="s">
        <v>247</v>
      </c>
      <c r="E815" t="str">
        <f>INDEX('State Codes'!$E$7:$E$70,MATCH(INDEX('State Codes'!$C$7:$C$70,MATCH('County Climates'!B815,'State Codes'!$D$7:$D$70,0),1),'State Codes'!$C$7:$C$70,0),1)</f>
        <v>West North Central Division</v>
      </c>
      <c r="F815">
        <f>INDEX('CBECS_Table B5'!$C$6:$K$6,1,MATCH('County Climates'!E815,'CBECS_Table B5'!$C$1:$K$1,0))</f>
        <v>6178</v>
      </c>
    </row>
    <row r="816" spans="1:6" x14ac:dyDescent="0.25">
      <c r="A816" t="s">
        <v>842</v>
      </c>
      <c r="B816" t="s">
        <v>843</v>
      </c>
      <c r="C816" t="s">
        <v>505</v>
      </c>
      <c r="D816" t="s">
        <v>228</v>
      </c>
      <c r="E816" t="str">
        <f>INDEX('State Codes'!$E$7:$E$70,MATCH(INDEX('State Codes'!$C$7:$C$70,MATCH('County Climates'!B816,'State Codes'!$D$7:$D$70,0),1),'State Codes'!$C$7:$C$70,0),1)</f>
        <v>West North Central Division</v>
      </c>
      <c r="F816">
        <f>INDEX('CBECS_Table B5'!$C$6:$K$6,1,MATCH('County Climates'!E816,'CBECS_Table B5'!$C$1:$K$1,0))</f>
        <v>6178</v>
      </c>
    </row>
    <row r="817" spans="1:6" x14ac:dyDescent="0.25">
      <c r="A817" t="s">
        <v>842</v>
      </c>
      <c r="B817" t="s">
        <v>843</v>
      </c>
      <c r="C817" t="s">
        <v>870</v>
      </c>
      <c r="D817" t="s">
        <v>247</v>
      </c>
      <c r="E817" t="str">
        <f>INDEX('State Codes'!$E$7:$E$70,MATCH(INDEX('State Codes'!$C$7:$C$70,MATCH('County Climates'!B817,'State Codes'!$D$7:$D$70,0),1),'State Codes'!$C$7:$C$70,0),1)</f>
        <v>West North Central Division</v>
      </c>
      <c r="F817">
        <f>INDEX('CBECS_Table B5'!$C$6:$K$6,1,MATCH('County Climates'!E817,'CBECS_Table B5'!$C$1:$K$1,0))</f>
        <v>6178</v>
      </c>
    </row>
    <row r="818" spans="1:6" x14ac:dyDescent="0.25">
      <c r="A818" t="s">
        <v>871</v>
      </c>
      <c r="B818" t="s">
        <v>872</v>
      </c>
      <c r="C818" t="s">
        <v>873</v>
      </c>
      <c r="D818" t="s">
        <v>228</v>
      </c>
      <c r="E818" t="str">
        <f>INDEX('State Codes'!$E$7:$E$70,MATCH(INDEX('State Codes'!$C$7:$C$70,MATCH('County Climates'!B818,'State Codes'!$D$7:$D$70,0),1),'State Codes'!$C$7:$C$70,0),1)</f>
        <v>Mountain Division</v>
      </c>
      <c r="F818">
        <f>INDEX('CBECS_Table B5'!$C$6:$K$6,1,MATCH('County Climates'!E818,'CBECS_Table B5'!$C$1:$K$1,0))</f>
        <v>4981</v>
      </c>
    </row>
    <row r="819" spans="1:6" x14ac:dyDescent="0.25">
      <c r="A819" t="s">
        <v>871</v>
      </c>
      <c r="B819" t="s">
        <v>872</v>
      </c>
      <c r="C819" t="s">
        <v>874</v>
      </c>
      <c r="D819" t="s">
        <v>228</v>
      </c>
      <c r="E819" t="str">
        <f>INDEX('State Codes'!$E$7:$E$70,MATCH(INDEX('State Codes'!$C$7:$C$70,MATCH('County Climates'!B819,'State Codes'!$D$7:$D$70,0),1),'State Codes'!$C$7:$C$70,0),1)</f>
        <v>Mountain Division</v>
      </c>
      <c r="F819">
        <f>INDEX('CBECS_Table B5'!$C$6:$K$6,1,MATCH('County Climates'!E819,'CBECS_Table B5'!$C$1:$K$1,0))</f>
        <v>4981</v>
      </c>
    </row>
    <row r="820" spans="1:6" x14ac:dyDescent="0.25">
      <c r="A820" t="s">
        <v>871</v>
      </c>
      <c r="B820" t="s">
        <v>872</v>
      </c>
      <c r="C820" t="s">
        <v>521</v>
      </c>
      <c r="D820" t="s">
        <v>228</v>
      </c>
      <c r="E820" t="str">
        <f>INDEX('State Codes'!$E$7:$E$70,MATCH(INDEX('State Codes'!$C$7:$C$70,MATCH('County Climates'!B820,'State Codes'!$D$7:$D$70,0),1),'State Codes'!$C$7:$C$70,0),1)</f>
        <v>Mountain Division</v>
      </c>
      <c r="F820">
        <f>INDEX('CBECS_Table B5'!$C$6:$K$6,1,MATCH('County Climates'!E820,'CBECS_Table B5'!$C$1:$K$1,0))</f>
        <v>4981</v>
      </c>
    </row>
    <row r="821" spans="1:6" x14ac:dyDescent="0.25">
      <c r="A821" t="s">
        <v>871</v>
      </c>
      <c r="B821" t="s">
        <v>872</v>
      </c>
      <c r="C821" t="s">
        <v>875</v>
      </c>
      <c r="D821" t="s">
        <v>228</v>
      </c>
      <c r="E821" t="str">
        <f>INDEX('State Codes'!$E$7:$E$70,MATCH(INDEX('State Codes'!$C$7:$C$70,MATCH('County Climates'!B821,'State Codes'!$D$7:$D$70,0),1),'State Codes'!$C$7:$C$70,0),1)</f>
        <v>Mountain Division</v>
      </c>
      <c r="F821">
        <f>INDEX('CBECS_Table B5'!$C$6:$K$6,1,MATCH('County Climates'!E821,'CBECS_Table B5'!$C$1:$K$1,0))</f>
        <v>4981</v>
      </c>
    </row>
    <row r="822" spans="1:6" x14ac:dyDescent="0.25">
      <c r="A822" t="s">
        <v>871</v>
      </c>
      <c r="B822" t="s">
        <v>872</v>
      </c>
      <c r="C822" t="s">
        <v>876</v>
      </c>
      <c r="D822" t="s">
        <v>228</v>
      </c>
      <c r="E822" t="str">
        <f>INDEX('State Codes'!$E$7:$E$70,MATCH(INDEX('State Codes'!$C$7:$C$70,MATCH('County Climates'!B822,'State Codes'!$D$7:$D$70,0),1),'State Codes'!$C$7:$C$70,0),1)</f>
        <v>Mountain Division</v>
      </c>
      <c r="F822">
        <f>INDEX('CBECS_Table B5'!$C$6:$K$6,1,MATCH('County Climates'!E822,'CBECS_Table B5'!$C$1:$K$1,0))</f>
        <v>4981</v>
      </c>
    </row>
    <row r="823" spans="1:6" x14ac:dyDescent="0.25">
      <c r="A823" t="s">
        <v>871</v>
      </c>
      <c r="B823" t="s">
        <v>872</v>
      </c>
      <c r="C823" t="s">
        <v>877</v>
      </c>
      <c r="D823" t="s">
        <v>228</v>
      </c>
      <c r="E823" t="str">
        <f>INDEX('State Codes'!$E$7:$E$70,MATCH(INDEX('State Codes'!$C$7:$C$70,MATCH('County Climates'!B823,'State Codes'!$D$7:$D$70,0),1),'State Codes'!$C$7:$C$70,0),1)</f>
        <v>Mountain Division</v>
      </c>
      <c r="F823">
        <f>INDEX('CBECS_Table B5'!$C$6:$K$6,1,MATCH('County Climates'!E823,'CBECS_Table B5'!$C$1:$K$1,0))</f>
        <v>4981</v>
      </c>
    </row>
    <row r="824" spans="1:6" x14ac:dyDescent="0.25">
      <c r="A824" t="s">
        <v>871</v>
      </c>
      <c r="B824" t="s">
        <v>872</v>
      </c>
      <c r="C824" t="s">
        <v>878</v>
      </c>
      <c r="D824" t="s">
        <v>228</v>
      </c>
      <c r="E824" t="str">
        <f>INDEX('State Codes'!$E$7:$E$70,MATCH(INDEX('State Codes'!$C$7:$C$70,MATCH('County Climates'!B824,'State Codes'!$D$7:$D$70,0),1),'State Codes'!$C$7:$C$70,0),1)</f>
        <v>Mountain Division</v>
      </c>
      <c r="F824">
        <f>INDEX('CBECS_Table B5'!$C$6:$K$6,1,MATCH('County Climates'!E824,'CBECS_Table B5'!$C$1:$K$1,0))</f>
        <v>4981</v>
      </c>
    </row>
    <row r="825" spans="1:6" x14ac:dyDescent="0.25">
      <c r="A825" t="s">
        <v>871</v>
      </c>
      <c r="B825" t="s">
        <v>872</v>
      </c>
      <c r="C825" t="s">
        <v>879</v>
      </c>
      <c r="D825" t="s">
        <v>228</v>
      </c>
      <c r="E825" t="str">
        <f>INDEX('State Codes'!$E$7:$E$70,MATCH(INDEX('State Codes'!$C$7:$C$70,MATCH('County Climates'!B825,'State Codes'!$D$7:$D$70,0),1),'State Codes'!$C$7:$C$70,0),1)</f>
        <v>Mountain Division</v>
      </c>
      <c r="F825">
        <f>INDEX('CBECS_Table B5'!$C$6:$K$6,1,MATCH('County Climates'!E825,'CBECS_Table B5'!$C$1:$K$1,0))</f>
        <v>4981</v>
      </c>
    </row>
    <row r="826" spans="1:6" x14ac:dyDescent="0.25">
      <c r="A826" t="s">
        <v>871</v>
      </c>
      <c r="B826" t="s">
        <v>872</v>
      </c>
      <c r="C826" t="s">
        <v>532</v>
      </c>
      <c r="D826" t="s">
        <v>228</v>
      </c>
      <c r="E826" t="str">
        <f>INDEX('State Codes'!$E$7:$E$70,MATCH(INDEX('State Codes'!$C$7:$C$70,MATCH('County Climates'!B826,'State Codes'!$D$7:$D$70,0),1),'State Codes'!$C$7:$C$70,0),1)</f>
        <v>Mountain Division</v>
      </c>
      <c r="F826">
        <f>INDEX('CBECS_Table B5'!$C$6:$K$6,1,MATCH('County Climates'!E826,'CBECS_Table B5'!$C$1:$K$1,0))</f>
        <v>4981</v>
      </c>
    </row>
    <row r="827" spans="1:6" x14ac:dyDescent="0.25">
      <c r="A827" t="s">
        <v>871</v>
      </c>
      <c r="B827" t="s">
        <v>872</v>
      </c>
      <c r="C827" t="s">
        <v>880</v>
      </c>
      <c r="D827" t="s">
        <v>228</v>
      </c>
      <c r="E827" t="str">
        <f>INDEX('State Codes'!$E$7:$E$70,MATCH(INDEX('State Codes'!$C$7:$C$70,MATCH('County Climates'!B827,'State Codes'!$D$7:$D$70,0),1),'State Codes'!$C$7:$C$70,0),1)</f>
        <v>Mountain Division</v>
      </c>
      <c r="F827">
        <f>INDEX('CBECS_Table B5'!$C$6:$K$6,1,MATCH('County Climates'!E827,'CBECS_Table B5'!$C$1:$K$1,0))</f>
        <v>4981</v>
      </c>
    </row>
    <row r="828" spans="1:6" x14ac:dyDescent="0.25">
      <c r="A828" t="s">
        <v>871</v>
      </c>
      <c r="B828" t="s">
        <v>872</v>
      </c>
      <c r="C828" t="s">
        <v>463</v>
      </c>
      <c r="D828" t="s">
        <v>228</v>
      </c>
      <c r="E828" t="str">
        <f>INDEX('State Codes'!$E$7:$E$70,MATCH(INDEX('State Codes'!$C$7:$C$70,MATCH('County Climates'!B828,'State Codes'!$D$7:$D$70,0),1),'State Codes'!$C$7:$C$70,0),1)</f>
        <v>Mountain Division</v>
      </c>
      <c r="F828">
        <f>INDEX('CBECS_Table B5'!$C$6:$K$6,1,MATCH('County Climates'!E828,'CBECS_Table B5'!$C$1:$K$1,0))</f>
        <v>4981</v>
      </c>
    </row>
    <row r="829" spans="1:6" x14ac:dyDescent="0.25">
      <c r="A829" t="s">
        <v>871</v>
      </c>
      <c r="B829" t="s">
        <v>872</v>
      </c>
      <c r="C829" t="s">
        <v>881</v>
      </c>
      <c r="D829" t="s">
        <v>228</v>
      </c>
      <c r="E829" t="str">
        <f>INDEX('State Codes'!$E$7:$E$70,MATCH(INDEX('State Codes'!$C$7:$C$70,MATCH('County Climates'!B829,'State Codes'!$D$7:$D$70,0),1),'State Codes'!$C$7:$C$70,0),1)</f>
        <v>Mountain Division</v>
      </c>
      <c r="F829">
        <f>INDEX('CBECS_Table B5'!$C$6:$K$6,1,MATCH('County Climates'!E829,'CBECS_Table B5'!$C$1:$K$1,0))</f>
        <v>4981</v>
      </c>
    </row>
    <row r="830" spans="1:6" x14ac:dyDescent="0.25">
      <c r="A830" t="s">
        <v>871</v>
      </c>
      <c r="B830" t="s">
        <v>872</v>
      </c>
      <c r="C830" t="s">
        <v>882</v>
      </c>
      <c r="D830" t="s">
        <v>228</v>
      </c>
      <c r="E830" t="str">
        <f>INDEX('State Codes'!$E$7:$E$70,MATCH(INDEX('State Codes'!$C$7:$C$70,MATCH('County Climates'!B830,'State Codes'!$D$7:$D$70,0),1),'State Codes'!$C$7:$C$70,0),1)</f>
        <v>Mountain Division</v>
      </c>
      <c r="F830">
        <f>INDEX('CBECS_Table B5'!$C$6:$K$6,1,MATCH('County Climates'!E830,'CBECS_Table B5'!$C$1:$K$1,0))</f>
        <v>4981</v>
      </c>
    </row>
    <row r="831" spans="1:6" x14ac:dyDescent="0.25">
      <c r="A831" t="s">
        <v>871</v>
      </c>
      <c r="B831" t="s">
        <v>872</v>
      </c>
      <c r="C831" t="s">
        <v>883</v>
      </c>
      <c r="D831" t="s">
        <v>228</v>
      </c>
      <c r="E831" t="str">
        <f>INDEX('State Codes'!$E$7:$E$70,MATCH(INDEX('State Codes'!$C$7:$C$70,MATCH('County Climates'!B831,'State Codes'!$D$7:$D$70,0),1),'State Codes'!$C$7:$C$70,0),1)</f>
        <v>Mountain Division</v>
      </c>
      <c r="F831">
        <f>INDEX('CBECS_Table B5'!$C$6:$K$6,1,MATCH('County Climates'!E831,'CBECS_Table B5'!$C$1:$K$1,0))</f>
        <v>4981</v>
      </c>
    </row>
    <row r="832" spans="1:6" x14ac:dyDescent="0.25">
      <c r="A832" t="s">
        <v>871</v>
      </c>
      <c r="B832" t="s">
        <v>872</v>
      </c>
      <c r="C832" t="s">
        <v>884</v>
      </c>
      <c r="D832" t="s">
        <v>228</v>
      </c>
      <c r="E832" t="str">
        <f>INDEX('State Codes'!$E$7:$E$70,MATCH(INDEX('State Codes'!$C$7:$C$70,MATCH('County Climates'!B832,'State Codes'!$D$7:$D$70,0),1),'State Codes'!$C$7:$C$70,0),1)</f>
        <v>Mountain Division</v>
      </c>
      <c r="F832">
        <f>INDEX('CBECS_Table B5'!$C$6:$K$6,1,MATCH('County Climates'!E832,'CBECS_Table B5'!$C$1:$K$1,0))</f>
        <v>4981</v>
      </c>
    </row>
    <row r="833" spans="1:6" x14ac:dyDescent="0.25">
      <c r="A833" t="s">
        <v>871</v>
      </c>
      <c r="B833" t="s">
        <v>872</v>
      </c>
      <c r="C833" t="s">
        <v>885</v>
      </c>
      <c r="D833" t="s">
        <v>228</v>
      </c>
      <c r="E833" t="str">
        <f>INDEX('State Codes'!$E$7:$E$70,MATCH(INDEX('State Codes'!$C$7:$C$70,MATCH('County Climates'!B833,'State Codes'!$D$7:$D$70,0),1),'State Codes'!$C$7:$C$70,0),1)</f>
        <v>Mountain Division</v>
      </c>
      <c r="F833">
        <f>INDEX('CBECS_Table B5'!$C$6:$K$6,1,MATCH('County Climates'!E833,'CBECS_Table B5'!$C$1:$K$1,0))</f>
        <v>4981</v>
      </c>
    </row>
    <row r="834" spans="1:6" x14ac:dyDescent="0.25">
      <c r="A834" t="s">
        <v>871</v>
      </c>
      <c r="B834" t="s">
        <v>872</v>
      </c>
      <c r="C834" t="s">
        <v>374</v>
      </c>
      <c r="D834" t="s">
        <v>228</v>
      </c>
      <c r="E834" t="str">
        <f>INDEX('State Codes'!$E$7:$E$70,MATCH(INDEX('State Codes'!$C$7:$C$70,MATCH('County Climates'!B834,'State Codes'!$D$7:$D$70,0),1),'State Codes'!$C$7:$C$70,0),1)</f>
        <v>Mountain Division</v>
      </c>
      <c r="F834">
        <f>INDEX('CBECS_Table B5'!$C$6:$K$6,1,MATCH('County Climates'!E834,'CBECS_Table B5'!$C$1:$K$1,0))</f>
        <v>4981</v>
      </c>
    </row>
    <row r="835" spans="1:6" x14ac:dyDescent="0.25">
      <c r="A835" t="s">
        <v>871</v>
      </c>
      <c r="B835" t="s">
        <v>872</v>
      </c>
      <c r="C835" t="s">
        <v>886</v>
      </c>
      <c r="D835" t="s">
        <v>228</v>
      </c>
      <c r="E835" t="str">
        <f>INDEX('State Codes'!$E$7:$E$70,MATCH(INDEX('State Codes'!$C$7:$C$70,MATCH('County Climates'!B835,'State Codes'!$D$7:$D$70,0),1),'State Codes'!$C$7:$C$70,0),1)</f>
        <v>Mountain Division</v>
      </c>
      <c r="F835">
        <f>INDEX('CBECS_Table B5'!$C$6:$K$6,1,MATCH('County Climates'!E835,'CBECS_Table B5'!$C$1:$K$1,0))</f>
        <v>4981</v>
      </c>
    </row>
    <row r="836" spans="1:6" x14ac:dyDescent="0.25">
      <c r="A836" t="s">
        <v>871</v>
      </c>
      <c r="B836" t="s">
        <v>872</v>
      </c>
      <c r="C836" t="s">
        <v>887</v>
      </c>
      <c r="D836" t="s">
        <v>228</v>
      </c>
      <c r="E836" t="str">
        <f>INDEX('State Codes'!$E$7:$E$70,MATCH(INDEX('State Codes'!$C$7:$C$70,MATCH('County Climates'!B836,'State Codes'!$D$7:$D$70,0),1),'State Codes'!$C$7:$C$70,0),1)</f>
        <v>Mountain Division</v>
      </c>
      <c r="F836">
        <f>INDEX('CBECS_Table B5'!$C$6:$K$6,1,MATCH('County Climates'!E836,'CBECS_Table B5'!$C$1:$K$1,0))</f>
        <v>4981</v>
      </c>
    </row>
    <row r="837" spans="1:6" x14ac:dyDescent="0.25">
      <c r="A837" t="s">
        <v>871</v>
      </c>
      <c r="B837" t="s">
        <v>872</v>
      </c>
      <c r="C837" t="s">
        <v>888</v>
      </c>
      <c r="D837" t="s">
        <v>228</v>
      </c>
      <c r="E837" t="str">
        <f>INDEX('State Codes'!$E$7:$E$70,MATCH(INDEX('State Codes'!$C$7:$C$70,MATCH('County Climates'!B837,'State Codes'!$D$7:$D$70,0),1),'State Codes'!$C$7:$C$70,0),1)</f>
        <v>Mountain Division</v>
      </c>
      <c r="F837">
        <f>INDEX('CBECS_Table B5'!$C$6:$K$6,1,MATCH('County Climates'!E837,'CBECS_Table B5'!$C$1:$K$1,0))</f>
        <v>4981</v>
      </c>
    </row>
    <row r="838" spans="1:6" x14ac:dyDescent="0.25">
      <c r="A838" t="s">
        <v>871</v>
      </c>
      <c r="B838" t="s">
        <v>872</v>
      </c>
      <c r="C838" t="s">
        <v>889</v>
      </c>
      <c r="D838" t="s">
        <v>228</v>
      </c>
      <c r="E838" t="str">
        <f>INDEX('State Codes'!$E$7:$E$70,MATCH(INDEX('State Codes'!$C$7:$C$70,MATCH('County Climates'!B838,'State Codes'!$D$7:$D$70,0),1),'State Codes'!$C$7:$C$70,0),1)</f>
        <v>Mountain Division</v>
      </c>
      <c r="F838">
        <f>INDEX('CBECS_Table B5'!$C$6:$K$6,1,MATCH('County Climates'!E838,'CBECS_Table B5'!$C$1:$K$1,0))</f>
        <v>4981</v>
      </c>
    </row>
    <row r="839" spans="1:6" x14ac:dyDescent="0.25">
      <c r="A839" t="s">
        <v>871</v>
      </c>
      <c r="B839" t="s">
        <v>872</v>
      </c>
      <c r="C839" t="s">
        <v>280</v>
      </c>
      <c r="D839" t="s">
        <v>228</v>
      </c>
      <c r="E839" t="str">
        <f>INDEX('State Codes'!$E$7:$E$70,MATCH(INDEX('State Codes'!$C$7:$C$70,MATCH('County Climates'!B839,'State Codes'!$D$7:$D$70,0),1),'State Codes'!$C$7:$C$70,0),1)</f>
        <v>Mountain Division</v>
      </c>
      <c r="F839">
        <f>INDEX('CBECS_Table B5'!$C$6:$K$6,1,MATCH('County Climates'!E839,'CBECS_Table B5'!$C$1:$K$1,0))</f>
        <v>4981</v>
      </c>
    </row>
    <row r="840" spans="1:6" x14ac:dyDescent="0.25">
      <c r="A840" t="s">
        <v>871</v>
      </c>
      <c r="B840" t="s">
        <v>872</v>
      </c>
      <c r="C840" t="s">
        <v>890</v>
      </c>
      <c r="D840" t="s">
        <v>228</v>
      </c>
      <c r="E840" t="str">
        <f>INDEX('State Codes'!$E$7:$E$70,MATCH(INDEX('State Codes'!$C$7:$C$70,MATCH('County Climates'!B840,'State Codes'!$D$7:$D$70,0),1),'State Codes'!$C$7:$C$70,0),1)</f>
        <v>Mountain Division</v>
      </c>
      <c r="F840">
        <f>INDEX('CBECS_Table B5'!$C$6:$K$6,1,MATCH('County Climates'!E840,'CBECS_Table B5'!$C$1:$K$1,0))</f>
        <v>4981</v>
      </c>
    </row>
    <row r="841" spans="1:6" x14ac:dyDescent="0.25">
      <c r="A841" t="s">
        <v>871</v>
      </c>
      <c r="B841" t="s">
        <v>872</v>
      </c>
      <c r="C841" t="s">
        <v>383</v>
      </c>
      <c r="D841" t="s">
        <v>228</v>
      </c>
      <c r="E841" t="str">
        <f>INDEX('State Codes'!$E$7:$E$70,MATCH(INDEX('State Codes'!$C$7:$C$70,MATCH('County Climates'!B841,'State Codes'!$D$7:$D$70,0),1),'State Codes'!$C$7:$C$70,0),1)</f>
        <v>Mountain Division</v>
      </c>
      <c r="F841">
        <f>INDEX('CBECS_Table B5'!$C$6:$K$6,1,MATCH('County Climates'!E841,'CBECS_Table B5'!$C$1:$K$1,0))</f>
        <v>4981</v>
      </c>
    </row>
    <row r="842" spans="1:6" x14ac:dyDescent="0.25">
      <c r="A842" t="s">
        <v>871</v>
      </c>
      <c r="B842" t="s">
        <v>872</v>
      </c>
      <c r="C842" t="s">
        <v>891</v>
      </c>
      <c r="D842" t="s">
        <v>228</v>
      </c>
      <c r="E842" t="str">
        <f>INDEX('State Codes'!$E$7:$E$70,MATCH(INDEX('State Codes'!$C$7:$C$70,MATCH('County Climates'!B842,'State Codes'!$D$7:$D$70,0),1),'State Codes'!$C$7:$C$70,0),1)</f>
        <v>Mountain Division</v>
      </c>
      <c r="F842">
        <f>INDEX('CBECS_Table B5'!$C$6:$K$6,1,MATCH('County Climates'!E842,'CBECS_Table B5'!$C$1:$K$1,0))</f>
        <v>4981</v>
      </c>
    </row>
    <row r="843" spans="1:6" x14ac:dyDescent="0.25">
      <c r="A843" t="s">
        <v>871</v>
      </c>
      <c r="B843" t="s">
        <v>872</v>
      </c>
      <c r="C843" t="s">
        <v>892</v>
      </c>
      <c r="D843" t="s">
        <v>228</v>
      </c>
      <c r="E843" t="str">
        <f>INDEX('State Codes'!$E$7:$E$70,MATCH(INDEX('State Codes'!$C$7:$C$70,MATCH('County Climates'!B843,'State Codes'!$D$7:$D$70,0),1),'State Codes'!$C$7:$C$70,0),1)</f>
        <v>Mountain Division</v>
      </c>
      <c r="F843">
        <f>INDEX('CBECS_Table B5'!$C$6:$K$6,1,MATCH('County Climates'!E843,'CBECS_Table B5'!$C$1:$K$1,0))</f>
        <v>4981</v>
      </c>
    </row>
    <row r="844" spans="1:6" x14ac:dyDescent="0.25">
      <c r="A844" t="s">
        <v>871</v>
      </c>
      <c r="B844" t="s">
        <v>872</v>
      </c>
      <c r="C844" t="s">
        <v>324</v>
      </c>
      <c r="D844" t="s">
        <v>228</v>
      </c>
      <c r="E844" t="str">
        <f>INDEX('State Codes'!$E$7:$E$70,MATCH(INDEX('State Codes'!$C$7:$C$70,MATCH('County Climates'!B844,'State Codes'!$D$7:$D$70,0),1),'State Codes'!$C$7:$C$70,0),1)</f>
        <v>Mountain Division</v>
      </c>
      <c r="F844">
        <f>INDEX('CBECS_Table B5'!$C$6:$K$6,1,MATCH('County Climates'!E844,'CBECS_Table B5'!$C$1:$K$1,0))</f>
        <v>4981</v>
      </c>
    </row>
    <row r="845" spans="1:6" x14ac:dyDescent="0.25">
      <c r="A845" t="s">
        <v>893</v>
      </c>
      <c r="B845" t="s">
        <v>894</v>
      </c>
      <c r="C845" t="s">
        <v>895</v>
      </c>
      <c r="D845" t="s">
        <v>228</v>
      </c>
      <c r="E845" t="str">
        <f>INDEX('State Codes'!$E$7:$E$70,MATCH(INDEX('State Codes'!$C$7:$C$70,MATCH('County Climates'!B845,'State Codes'!$D$7:$D$70,0),1),'State Codes'!$C$7:$C$70,0),1)</f>
        <v>West North Central Division</v>
      </c>
      <c r="F845">
        <f>INDEX('CBECS_Table B5'!$C$6:$K$6,1,MATCH('County Climates'!E845,'CBECS_Table B5'!$C$1:$K$1,0))</f>
        <v>6178</v>
      </c>
    </row>
    <row r="846" spans="1:6" x14ac:dyDescent="0.25">
      <c r="A846" t="s">
        <v>893</v>
      </c>
      <c r="B846" t="s">
        <v>894</v>
      </c>
      <c r="C846" t="s">
        <v>316</v>
      </c>
      <c r="D846" t="s">
        <v>228</v>
      </c>
      <c r="E846" t="str">
        <f>INDEX('State Codes'!$E$7:$E$70,MATCH(INDEX('State Codes'!$C$7:$C$70,MATCH('County Climates'!B846,'State Codes'!$D$7:$D$70,0),1),'State Codes'!$C$7:$C$70,0),1)</f>
        <v>West North Central Division</v>
      </c>
      <c r="F846">
        <f>INDEX('CBECS_Table B5'!$C$6:$K$6,1,MATCH('County Climates'!E846,'CBECS_Table B5'!$C$1:$K$1,0))</f>
        <v>6178</v>
      </c>
    </row>
    <row r="847" spans="1:6" x14ac:dyDescent="0.25">
      <c r="A847" t="s">
        <v>893</v>
      </c>
      <c r="B847" t="s">
        <v>894</v>
      </c>
      <c r="C847" t="s">
        <v>632</v>
      </c>
      <c r="D847" t="s">
        <v>228</v>
      </c>
      <c r="E847" t="str">
        <f>INDEX('State Codes'!$E$7:$E$70,MATCH(INDEX('State Codes'!$C$7:$C$70,MATCH('County Climates'!B847,'State Codes'!$D$7:$D$70,0),1),'State Codes'!$C$7:$C$70,0),1)</f>
        <v>West North Central Division</v>
      </c>
      <c r="F847">
        <f>INDEX('CBECS_Table B5'!$C$6:$K$6,1,MATCH('County Climates'!E847,'CBECS_Table B5'!$C$1:$K$1,0))</f>
        <v>6178</v>
      </c>
    </row>
    <row r="848" spans="1:6" x14ac:dyDescent="0.25">
      <c r="A848" t="s">
        <v>893</v>
      </c>
      <c r="B848" t="s">
        <v>894</v>
      </c>
      <c r="C848" t="s">
        <v>896</v>
      </c>
      <c r="D848" t="s">
        <v>228</v>
      </c>
      <c r="E848" t="str">
        <f>INDEX('State Codes'!$E$7:$E$70,MATCH(INDEX('State Codes'!$C$7:$C$70,MATCH('County Climates'!B848,'State Codes'!$D$7:$D$70,0),1),'State Codes'!$C$7:$C$70,0),1)</f>
        <v>West North Central Division</v>
      </c>
      <c r="F848">
        <f>INDEX('CBECS_Table B5'!$C$6:$K$6,1,MATCH('County Climates'!E848,'CBECS_Table B5'!$C$1:$K$1,0))</f>
        <v>6178</v>
      </c>
    </row>
    <row r="849" spans="1:6" x14ac:dyDescent="0.25">
      <c r="A849" t="s">
        <v>893</v>
      </c>
      <c r="B849" t="s">
        <v>894</v>
      </c>
      <c r="C849" t="s">
        <v>609</v>
      </c>
      <c r="D849" t="s">
        <v>228</v>
      </c>
      <c r="E849" t="str">
        <f>INDEX('State Codes'!$E$7:$E$70,MATCH(INDEX('State Codes'!$C$7:$C$70,MATCH('County Climates'!B849,'State Codes'!$D$7:$D$70,0),1),'State Codes'!$C$7:$C$70,0),1)</f>
        <v>West North Central Division</v>
      </c>
      <c r="F849">
        <f>INDEX('CBECS_Table B5'!$C$6:$K$6,1,MATCH('County Climates'!E849,'CBECS_Table B5'!$C$1:$K$1,0))</f>
        <v>6178</v>
      </c>
    </row>
    <row r="850" spans="1:6" x14ac:dyDescent="0.25">
      <c r="A850" t="s">
        <v>893</v>
      </c>
      <c r="B850" t="s">
        <v>894</v>
      </c>
      <c r="C850" t="s">
        <v>671</v>
      </c>
      <c r="D850" t="s">
        <v>228</v>
      </c>
      <c r="E850" t="str">
        <f>INDEX('State Codes'!$E$7:$E$70,MATCH(INDEX('State Codes'!$C$7:$C$70,MATCH('County Climates'!B850,'State Codes'!$D$7:$D$70,0),1),'State Codes'!$C$7:$C$70,0),1)</f>
        <v>West North Central Division</v>
      </c>
      <c r="F850">
        <f>INDEX('CBECS_Table B5'!$C$6:$K$6,1,MATCH('County Climates'!E850,'CBECS_Table B5'!$C$1:$K$1,0))</f>
        <v>6178</v>
      </c>
    </row>
    <row r="851" spans="1:6" x14ac:dyDescent="0.25">
      <c r="A851" t="s">
        <v>893</v>
      </c>
      <c r="B851" t="s">
        <v>894</v>
      </c>
      <c r="C851" t="s">
        <v>897</v>
      </c>
      <c r="D851" t="s">
        <v>228</v>
      </c>
      <c r="E851" t="str">
        <f>INDEX('State Codes'!$E$7:$E$70,MATCH(INDEX('State Codes'!$C$7:$C$70,MATCH('County Climates'!B851,'State Codes'!$D$7:$D$70,0),1),'State Codes'!$C$7:$C$70,0),1)</f>
        <v>West North Central Division</v>
      </c>
      <c r="F851">
        <f>INDEX('CBECS_Table B5'!$C$6:$K$6,1,MATCH('County Climates'!E851,'CBECS_Table B5'!$C$1:$K$1,0))</f>
        <v>6178</v>
      </c>
    </row>
    <row r="852" spans="1:6" x14ac:dyDescent="0.25">
      <c r="A852" t="s">
        <v>893</v>
      </c>
      <c r="B852" t="s">
        <v>894</v>
      </c>
      <c r="C852" t="s">
        <v>898</v>
      </c>
      <c r="D852" t="s">
        <v>228</v>
      </c>
      <c r="E852" t="str">
        <f>INDEX('State Codes'!$E$7:$E$70,MATCH(INDEX('State Codes'!$C$7:$C$70,MATCH('County Climates'!B852,'State Codes'!$D$7:$D$70,0),1),'State Codes'!$C$7:$C$70,0),1)</f>
        <v>West North Central Division</v>
      </c>
      <c r="F852">
        <f>INDEX('CBECS_Table B5'!$C$6:$K$6,1,MATCH('County Climates'!E852,'CBECS_Table B5'!$C$1:$K$1,0))</f>
        <v>6178</v>
      </c>
    </row>
    <row r="853" spans="1:6" x14ac:dyDescent="0.25">
      <c r="A853" t="s">
        <v>893</v>
      </c>
      <c r="B853" t="s">
        <v>894</v>
      </c>
      <c r="C853" t="s">
        <v>899</v>
      </c>
      <c r="D853" t="s">
        <v>228</v>
      </c>
      <c r="E853" t="str">
        <f>INDEX('State Codes'!$E$7:$E$70,MATCH(INDEX('State Codes'!$C$7:$C$70,MATCH('County Climates'!B853,'State Codes'!$D$7:$D$70,0),1),'State Codes'!$C$7:$C$70,0),1)</f>
        <v>West North Central Division</v>
      </c>
      <c r="F853">
        <f>INDEX('CBECS_Table B5'!$C$6:$K$6,1,MATCH('County Climates'!E853,'CBECS_Table B5'!$C$1:$K$1,0))</f>
        <v>6178</v>
      </c>
    </row>
    <row r="854" spans="1:6" x14ac:dyDescent="0.25">
      <c r="A854" t="s">
        <v>893</v>
      </c>
      <c r="B854" t="s">
        <v>894</v>
      </c>
      <c r="C854" t="s">
        <v>900</v>
      </c>
      <c r="D854" t="s">
        <v>228</v>
      </c>
      <c r="E854" t="str">
        <f>INDEX('State Codes'!$E$7:$E$70,MATCH(INDEX('State Codes'!$C$7:$C$70,MATCH('County Climates'!B854,'State Codes'!$D$7:$D$70,0),1),'State Codes'!$C$7:$C$70,0),1)</f>
        <v>West North Central Division</v>
      </c>
      <c r="F854">
        <f>INDEX('CBECS_Table B5'!$C$6:$K$6,1,MATCH('County Climates'!E854,'CBECS_Table B5'!$C$1:$K$1,0))</f>
        <v>6178</v>
      </c>
    </row>
    <row r="855" spans="1:6" x14ac:dyDescent="0.25">
      <c r="A855" t="s">
        <v>893</v>
      </c>
      <c r="B855" t="s">
        <v>894</v>
      </c>
      <c r="C855" t="s">
        <v>319</v>
      </c>
      <c r="D855" t="s">
        <v>228</v>
      </c>
      <c r="E855" t="str">
        <f>INDEX('State Codes'!$E$7:$E$70,MATCH(INDEX('State Codes'!$C$7:$C$70,MATCH('County Climates'!B855,'State Codes'!$D$7:$D$70,0),1),'State Codes'!$C$7:$C$70,0),1)</f>
        <v>West North Central Division</v>
      </c>
      <c r="F855">
        <f>INDEX('CBECS_Table B5'!$C$6:$K$6,1,MATCH('County Climates'!E855,'CBECS_Table B5'!$C$1:$K$1,0))</f>
        <v>6178</v>
      </c>
    </row>
    <row r="856" spans="1:6" x14ac:dyDescent="0.25">
      <c r="A856" t="s">
        <v>893</v>
      </c>
      <c r="B856" t="s">
        <v>894</v>
      </c>
      <c r="C856" t="s">
        <v>280</v>
      </c>
      <c r="D856" t="s">
        <v>228</v>
      </c>
      <c r="E856" t="str">
        <f>INDEX('State Codes'!$E$7:$E$70,MATCH(INDEX('State Codes'!$C$7:$C$70,MATCH('County Climates'!B856,'State Codes'!$D$7:$D$70,0),1),'State Codes'!$C$7:$C$70,0),1)</f>
        <v>West North Central Division</v>
      </c>
      <c r="F856">
        <f>INDEX('CBECS_Table B5'!$C$6:$K$6,1,MATCH('County Climates'!E856,'CBECS_Table B5'!$C$1:$K$1,0))</f>
        <v>6178</v>
      </c>
    </row>
    <row r="857" spans="1:6" x14ac:dyDescent="0.25">
      <c r="A857" t="s">
        <v>893</v>
      </c>
      <c r="B857" t="s">
        <v>894</v>
      </c>
      <c r="C857" t="s">
        <v>322</v>
      </c>
      <c r="D857" t="s">
        <v>228</v>
      </c>
      <c r="E857" t="str">
        <f>INDEX('State Codes'!$E$7:$E$70,MATCH(INDEX('State Codes'!$C$7:$C$70,MATCH('County Climates'!B857,'State Codes'!$D$7:$D$70,0),1),'State Codes'!$C$7:$C$70,0),1)</f>
        <v>West North Central Division</v>
      </c>
      <c r="F857">
        <f>INDEX('CBECS_Table B5'!$C$6:$K$6,1,MATCH('County Climates'!E857,'CBECS_Table B5'!$C$1:$K$1,0))</f>
        <v>6178</v>
      </c>
    </row>
    <row r="858" spans="1:6" x14ac:dyDescent="0.25">
      <c r="A858" t="s">
        <v>893</v>
      </c>
      <c r="B858" t="s">
        <v>894</v>
      </c>
      <c r="C858" t="s">
        <v>901</v>
      </c>
      <c r="D858" t="s">
        <v>228</v>
      </c>
      <c r="E858" t="str">
        <f>INDEX('State Codes'!$E$7:$E$70,MATCH(INDEX('State Codes'!$C$7:$C$70,MATCH('County Climates'!B858,'State Codes'!$D$7:$D$70,0),1),'State Codes'!$C$7:$C$70,0),1)</f>
        <v>West North Central Division</v>
      </c>
      <c r="F858">
        <f>INDEX('CBECS_Table B5'!$C$6:$K$6,1,MATCH('County Climates'!E858,'CBECS_Table B5'!$C$1:$K$1,0))</f>
        <v>6178</v>
      </c>
    </row>
    <row r="859" spans="1:6" x14ac:dyDescent="0.25">
      <c r="A859" t="s">
        <v>893</v>
      </c>
      <c r="B859" t="s">
        <v>894</v>
      </c>
      <c r="C859" t="s">
        <v>902</v>
      </c>
      <c r="D859" t="s">
        <v>228</v>
      </c>
      <c r="E859" t="str">
        <f>INDEX('State Codes'!$E$7:$E$70,MATCH(INDEX('State Codes'!$C$7:$C$70,MATCH('County Climates'!B859,'State Codes'!$D$7:$D$70,0),1),'State Codes'!$C$7:$C$70,0),1)</f>
        <v>West North Central Division</v>
      </c>
      <c r="F859">
        <f>INDEX('CBECS_Table B5'!$C$6:$K$6,1,MATCH('County Climates'!E859,'CBECS_Table B5'!$C$1:$K$1,0))</f>
        <v>6178</v>
      </c>
    </row>
    <row r="860" spans="1:6" x14ac:dyDescent="0.25">
      <c r="A860" t="s">
        <v>893</v>
      </c>
      <c r="B860" t="s">
        <v>894</v>
      </c>
      <c r="C860" t="s">
        <v>903</v>
      </c>
      <c r="D860" t="s">
        <v>228</v>
      </c>
      <c r="E860" t="str">
        <f>INDEX('State Codes'!$E$7:$E$70,MATCH(INDEX('State Codes'!$C$7:$C$70,MATCH('County Climates'!B860,'State Codes'!$D$7:$D$70,0),1),'State Codes'!$C$7:$C$70,0),1)</f>
        <v>West North Central Division</v>
      </c>
      <c r="F860">
        <f>INDEX('CBECS_Table B5'!$C$6:$K$6,1,MATCH('County Climates'!E860,'CBECS_Table B5'!$C$1:$K$1,0))</f>
        <v>6178</v>
      </c>
    </row>
    <row r="861" spans="1:6" x14ac:dyDescent="0.25">
      <c r="A861" t="s">
        <v>893</v>
      </c>
      <c r="B861" t="s">
        <v>894</v>
      </c>
      <c r="C861" t="s">
        <v>904</v>
      </c>
      <c r="D861" t="s">
        <v>228</v>
      </c>
      <c r="E861" t="str">
        <f>INDEX('State Codes'!$E$7:$E$70,MATCH(INDEX('State Codes'!$C$7:$C$70,MATCH('County Climates'!B861,'State Codes'!$D$7:$D$70,0),1),'State Codes'!$C$7:$C$70,0),1)</f>
        <v>West North Central Division</v>
      </c>
      <c r="F861">
        <f>INDEX('CBECS_Table B5'!$C$6:$K$6,1,MATCH('County Climates'!E861,'CBECS_Table B5'!$C$1:$K$1,0))</f>
        <v>6178</v>
      </c>
    </row>
    <row r="862" spans="1:6" x14ac:dyDescent="0.25">
      <c r="A862" t="s">
        <v>893</v>
      </c>
      <c r="B862" t="s">
        <v>894</v>
      </c>
      <c r="C862" t="s">
        <v>679</v>
      </c>
      <c r="D862" t="s">
        <v>228</v>
      </c>
      <c r="E862" t="str">
        <f>INDEX('State Codes'!$E$7:$E$70,MATCH(INDEX('State Codes'!$C$7:$C$70,MATCH('County Climates'!B862,'State Codes'!$D$7:$D$70,0),1),'State Codes'!$C$7:$C$70,0),1)</f>
        <v>West North Central Division</v>
      </c>
      <c r="F862">
        <f>INDEX('CBECS_Table B5'!$C$6:$K$6,1,MATCH('County Climates'!E862,'CBECS_Table B5'!$C$1:$K$1,0))</f>
        <v>6178</v>
      </c>
    </row>
    <row r="863" spans="1:6" x14ac:dyDescent="0.25">
      <c r="A863" t="s">
        <v>893</v>
      </c>
      <c r="B863" t="s">
        <v>894</v>
      </c>
      <c r="C863" t="s">
        <v>905</v>
      </c>
      <c r="D863" t="s">
        <v>228</v>
      </c>
      <c r="E863" t="str">
        <f>INDEX('State Codes'!$E$7:$E$70,MATCH(INDEX('State Codes'!$C$7:$C$70,MATCH('County Climates'!B863,'State Codes'!$D$7:$D$70,0),1),'State Codes'!$C$7:$C$70,0),1)</f>
        <v>West North Central Division</v>
      </c>
      <c r="F863">
        <f>INDEX('CBECS_Table B5'!$C$6:$K$6,1,MATCH('County Climates'!E863,'CBECS_Table B5'!$C$1:$K$1,0))</f>
        <v>6178</v>
      </c>
    </row>
    <row r="864" spans="1:6" x14ac:dyDescent="0.25">
      <c r="A864" t="s">
        <v>893</v>
      </c>
      <c r="B864" t="s">
        <v>894</v>
      </c>
      <c r="C864" t="s">
        <v>324</v>
      </c>
      <c r="D864" t="s">
        <v>228</v>
      </c>
      <c r="E864" t="str">
        <f>INDEX('State Codes'!$E$7:$E$70,MATCH(INDEX('State Codes'!$C$7:$C$70,MATCH('County Climates'!B864,'State Codes'!$D$7:$D$70,0),1),'State Codes'!$C$7:$C$70,0),1)</f>
        <v>West North Central Division</v>
      </c>
      <c r="F864">
        <f>INDEX('CBECS_Table B5'!$C$6:$K$6,1,MATCH('County Climates'!E864,'CBECS_Table B5'!$C$1:$K$1,0))</f>
        <v>6178</v>
      </c>
    </row>
    <row r="865" spans="1:6" x14ac:dyDescent="0.25">
      <c r="A865" t="s">
        <v>893</v>
      </c>
      <c r="B865" t="s">
        <v>894</v>
      </c>
      <c r="C865" t="s">
        <v>326</v>
      </c>
      <c r="D865" t="s">
        <v>228</v>
      </c>
      <c r="E865" t="str">
        <f>INDEX('State Codes'!$E$7:$E$70,MATCH(INDEX('State Codes'!$C$7:$C$70,MATCH('County Climates'!B865,'State Codes'!$D$7:$D$70,0),1),'State Codes'!$C$7:$C$70,0),1)</f>
        <v>West North Central Division</v>
      </c>
      <c r="F865">
        <f>INDEX('CBECS_Table B5'!$C$6:$K$6,1,MATCH('County Climates'!E865,'CBECS_Table B5'!$C$1:$K$1,0))</f>
        <v>6178</v>
      </c>
    </row>
    <row r="866" spans="1:6" x14ac:dyDescent="0.25">
      <c r="A866" t="s">
        <v>893</v>
      </c>
      <c r="B866" t="s">
        <v>894</v>
      </c>
      <c r="C866" t="s">
        <v>906</v>
      </c>
      <c r="D866" t="s">
        <v>228</v>
      </c>
      <c r="E866" t="str">
        <f>INDEX('State Codes'!$E$7:$E$70,MATCH(INDEX('State Codes'!$C$7:$C$70,MATCH('County Climates'!B866,'State Codes'!$D$7:$D$70,0),1),'State Codes'!$C$7:$C$70,0),1)</f>
        <v>West North Central Division</v>
      </c>
      <c r="F866">
        <f>INDEX('CBECS_Table B5'!$C$6:$K$6,1,MATCH('County Climates'!E866,'CBECS_Table B5'!$C$1:$K$1,0))</f>
        <v>6178</v>
      </c>
    </row>
    <row r="867" spans="1:6" x14ac:dyDescent="0.25">
      <c r="A867" t="s">
        <v>893</v>
      </c>
      <c r="B867" t="s">
        <v>894</v>
      </c>
      <c r="C867" t="s">
        <v>288</v>
      </c>
      <c r="D867" t="s">
        <v>228</v>
      </c>
      <c r="E867" t="str">
        <f>INDEX('State Codes'!$E$7:$E$70,MATCH(INDEX('State Codes'!$C$7:$C$70,MATCH('County Climates'!B867,'State Codes'!$D$7:$D$70,0),1),'State Codes'!$C$7:$C$70,0),1)</f>
        <v>West North Central Division</v>
      </c>
      <c r="F867">
        <f>INDEX('CBECS_Table B5'!$C$6:$K$6,1,MATCH('County Climates'!E867,'CBECS_Table B5'!$C$1:$K$1,0))</f>
        <v>6178</v>
      </c>
    </row>
    <row r="868" spans="1:6" x14ac:dyDescent="0.25">
      <c r="A868" t="s">
        <v>893</v>
      </c>
      <c r="B868" t="s">
        <v>894</v>
      </c>
      <c r="C868" t="s">
        <v>646</v>
      </c>
      <c r="D868" t="s">
        <v>228</v>
      </c>
      <c r="E868" t="str">
        <f>INDEX('State Codes'!$E$7:$E$70,MATCH(INDEX('State Codes'!$C$7:$C$70,MATCH('County Climates'!B868,'State Codes'!$D$7:$D$70,0),1),'State Codes'!$C$7:$C$70,0),1)</f>
        <v>West North Central Division</v>
      </c>
      <c r="F868">
        <f>INDEX('CBECS_Table B5'!$C$6:$K$6,1,MATCH('County Climates'!E868,'CBECS_Table B5'!$C$1:$K$1,0))</f>
        <v>6178</v>
      </c>
    </row>
    <row r="869" spans="1:6" x14ac:dyDescent="0.25">
      <c r="A869" t="s">
        <v>893</v>
      </c>
      <c r="B869" t="s">
        <v>894</v>
      </c>
      <c r="C869" t="s">
        <v>907</v>
      </c>
      <c r="D869" t="s">
        <v>228</v>
      </c>
      <c r="E869" t="str">
        <f>INDEX('State Codes'!$E$7:$E$70,MATCH(INDEX('State Codes'!$C$7:$C$70,MATCH('County Climates'!B869,'State Codes'!$D$7:$D$70,0),1),'State Codes'!$C$7:$C$70,0),1)</f>
        <v>West North Central Division</v>
      </c>
      <c r="F869">
        <f>INDEX('CBECS_Table B5'!$C$6:$K$6,1,MATCH('County Climates'!E869,'CBECS_Table B5'!$C$1:$K$1,0))</f>
        <v>6178</v>
      </c>
    </row>
    <row r="870" spans="1:6" x14ac:dyDescent="0.25">
      <c r="A870" t="s">
        <v>893</v>
      </c>
      <c r="B870" t="s">
        <v>894</v>
      </c>
      <c r="C870" t="s">
        <v>908</v>
      </c>
      <c r="D870" t="s">
        <v>228</v>
      </c>
      <c r="E870" t="str">
        <f>INDEX('State Codes'!$E$7:$E$70,MATCH(INDEX('State Codes'!$C$7:$C$70,MATCH('County Climates'!B870,'State Codes'!$D$7:$D$70,0),1),'State Codes'!$C$7:$C$70,0),1)</f>
        <v>West North Central Division</v>
      </c>
      <c r="F870">
        <f>INDEX('CBECS_Table B5'!$C$6:$K$6,1,MATCH('County Climates'!E870,'CBECS_Table B5'!$C$1:$K$1,0))</f>
        <v>6178</v>
      </c>
    </row>
    <row r="871" spans="1:6" x14ac:dyDescent="0.25">
      <c r="A871" t="s">
        <v>893</v>
      </c>
      <c r="B871" t="s">
        <v>894</v>
      </c>
      <c r="C871" t="s">
        <v>909</v>
      </c>
      <c r="D871" t="s">
        <v>228</v>
      </c>
      <c r="E871" t="str">
        <f>INDEX('State Codes'!$E$7:$E$70,MATCH(INDEX('State Codes'!$C$7:$C$70,MATCH('County Climates'!B871,'State Codes'!$D$7:$D$70,0),1),'State Codes'!$C$7:$C$70,0),1)</f>
        <v>West North Central Division</v>
      </c>
      <c r="F871">
        <f>INDEX('CBECS_Table B5'!$C$6:$K$6,1,MATCH('County Climates'!E871,'CBECS_Table B5'!$C$1:$K$1,0))</f>
        <v>6178</v>
      </c>
    </row>
    <row r="872" spans="1:6" x14ac:dyDescent="0.25">
      <c r="A872" t="s">
        <v>893</v>
      </c>
      <c r="B872" t="s">
        <v>894</v>
      </c>
      <c r="C872" t="s">
        <v>652</v>
      </c>
      <c r="D872" t="s">
        <v>228</v>
      </c>
      <c r="E872" t="str">
        <f>INDEX('State Codes'!$E$7:$E$70,MATCH(INDEX('State Codes'!$C$7:$C$70,MATCH('County Climates'!B872,'State Codes'!$D$7:$D$70,0),1),'State Codes'!$C$7:$C$70,0),1)</f>
        <v>West North Central Division</v>
      </c>
      <c r="F872">
        <f>INDEX('CBECS_Table B5'!$C$6:$K$6,1,MATCH('County Climates'!E872,'CBECS_Table B5'!$C$1:$K$1,0))</f>
        <v>6178</v>
      </c>
    </row>
    <row r="873" spans="1:6" x14ac:dyDescent="0.25">
      <c r="A873" t="s">
        <v>893</v>
      </c>
      <c r="B873" t="s">
        <v>894</v>
      </c>
      <c r="C873" t="s">
        <v>910</v>
      </c>
      <c r="D873" t="s">
        <v>228</v>
      </c>
      <c r="E873" t="str">
        <f>INDEX('State Codes'!$E$7:$E$70,MATCH(INDEX('State Codes'!$C$7:$C$70,MATCH('County Climates'!B873,'State Codes'!$D$7:$D$70,0),1),'State Codes'!$C$7:$C$70,0),1)</f>
        <v>West North Central Division</v>
      </c>
      <c r="F873">
        <f>INDEX('CBECS_Table B5'!$C$6:$K$6,1,MATCH('County Climates'!E873,'CBECS_Table B5'!$C$1:$K$1,0))</f>
        <v>6178</v>
      </c>
    </row>
    <row r="874" spans="1:6" x14ac:dyDescent="0.25">
      <c r="A874" t="s">
        <v>893</v>
      </c>
      <c r="B874" t="s">
        <v>894</v>
      </c>
      <c r="C874" t="s">
        <v>911</v>
      </c>
      <c r="D874" t="s">
        <v>228</v>
      </c>
      <c r="E874" t="str">
        <f>INDEX('State Codes'!$E$7:$E$70,MATCH(INDEX('State Codes'!$C$7:$C$70,MATCH('County Climates'!B874,'State Codes'!$D$7:$D$70,0),1),'State Codes'!$C$7:$C$70,0),1)</f>
        <v>West North Central Division</v>
      </c>
      <c r="F874">
        <f>INDEX('CBECS_Table B5'!$C$6:$K$6,1,MATCH('County Climates'!E874,'CBECS_Table B5'!$C$1:$K$1,0))</f>
        <v>6178</v>
      </c>
    </row>
    <row r="875" spans="1:6" x14ac:dyDescent="0.25">
      <c r="A875" t="s">
        <v>893</v>
      </c>
      <c r="B875" t="s">
        <v>894</v>
      </c>
      <c r="C875" t="s">
        <v>659</v>
      </c>
      <c r="D875" t="s">
        <v>228</v>
      </c>
      <c r="E875" t="str">
        <f>INDEX('State Codes'!$E$7:$E$70,MATCH(INDEX('State Codes'!$C$7:$C$70,MATCH('County Climates'!B875,'State Codes'!$D$7:$D$70,0),1),'State Codes'!$C$7:$C$70,0),1)</f>
        <v>West North Central Division</v>
      </c>
      <c r="F875">
        <f>INDEX('CBECS_Table B5'!$C$6:$K$6,1,MATCH('County Climates'!E875,'CBECS_Table B5'!$C$1:$K$1,0))</f>
        <v>6178</v>
      </c>
    </row>
    <row r="876" spans="1:6" x14ac:dyDescent="0.25">
      <c r="A876" t="s">
        <v>893</v>
      </c>
      <c r="B876" t="s">
        <v>894</v>
      </c>
      <c r="C876" t="s">
        <v>912</v>
      </c>
      <c r="D876" t="s">
        <v>228</v>
      </c>
      <c r="E876" t="str">
        <f>INDEX('State Codes'!$E$7:$E$70,MATCH(INDEX('State Codes'!$C$7:$C$70,MATCH('County Climates'!B876,'State Codes'!$D$7:$D$70,0),1),'State Codes'!$C$7:$C$70,0),1)</f>
        <v>West North Central Division</v>
      </c>
      <c r="F876">
        <f>INDEX('CBECS_Table B5'!$C$6:$K$6,1,MATCH('County Climates'!E876,'CBECS_Table B5'!$C$1:$K$1,0))</f>
        <v>6178</v>
      </c>
    </row>
    <row r="877" spans="1:6" x14ac:dyDescent="0.25">
      <c r="A877" t="s">
        <v>893</v>
      </c>
      <c r="B877" t="s">
        <v>894</v>
      </c>
      <c r="C877" t="s">
        <v>853</v>
      </c>
      <c r="D877" t="s">
        <v>228</v>
      </c>
      <c r="E877" t="str">
        <f>INDEX('State Codes'!$E$7:$E$70,MATCH(INDEX('State Codes'!$C$7:$C$70,MATCH('County Climates'!B877,'State Codes'!$D$7:$D$70,0),1),'State Codes'!$C$7:$C$70,0),1)</f>
        <v>West North Central Division</v>
      </c>
      <c r="F877">
        <f>INDEX('CBECS_Table B5'!$C$6:$K$6,1,MATCH('County Climates'!E877,'CBECS_Table B5'!$C$1:$K$1,0))</f>
        <v>6178</v>
      </c>
    </row>
    <row r="878" spans="1:6" x14ac:dyDescent="0.25">
      <c r="A878" t="s">
        <v>893</v>
      </c>
      <c r="B878" t="s">
        <v>894</v>
      </c>
      <c r="C878" t="s">
        <v>913</v>
      </c>
      <c r="D878" t="s">
        <v>228</v>
      </c>
      <c r="E878" t="str">
        <f>INDEX('State Codes'!$E$7:$E$70,MATCH(INDEX('State Codes'!$C$7:$C$70,MATCH('County Climates'!B878,'State Codes'!$D$7:$D$70,0),1),'State Codes'!$C$7:$C$70,0),1)</f>
        <v>West North Central Division</v>
      </c>
      <c r="F878">
        <f>INDEX('CBECS_Table B5'!$C$6:$K$6,1,MATCH('County Climates'!E878,'CBECS_Table B5'!$C$1:$K$1,0))</f>
        <v>6178</v>
      </c>
    </row>
    <row r="879" spans="1:6" x14ac:dyDescent="0.25">
      <c r="A879" t="s">
        <v>893</v>
      </c>
      <c r="B879" t="s">
        <v>894</v>
      </c>
      <c r="C879" t="s">
        <v>854</v>
      </c>
      <c r="D879" t="s">
        <v>228</v>
      </c>
      <c r="E879" t="str">
        <f>INDEX('State Codes'!$E$7:$E$70,MATCH(INDEX('State Codes'!$C$7:$C$70,MATCH('County Climates'!B879,'State Codes'!$D$7:$D$70,0),1),'State Codes'!$C$7:$C$70,0),1)</f>
        <v>West North Central Division</v>
      </c>
      <c r="F879">
        <f>INDEX('CBECS_Table B5'!$C$6:$K$6,1,MATCH('County Climates'!E879,'CBECS_Table B5'!$C$1:$K$1,0))</f>
        <v>6178</v>
      </c>
    </row>
    <row r="880" spans="1:6" x14ac:dyDescent="0.25">
      <c r="A880" t="s">
        <v>893</v>
      </c>
      <c r="B880" t="s">
        <v>894</v>
      </c>
      <c r="C880" t="s">
        <v>335</v>
      </c>
      <c r="D880" t="s">
        <v>228</v>
      </c>
      <c r="E880" t="str">
        <f>INDEX('State Codes'!$E$7:$E$70,MATCH(INDEX('State Codes'!$C$7:$C$70,MATCH('County Climates'!B880,'State Codes'!$D$7:$D$70,0),1),'State Codes'!$C$7:$C$70,0),1)</f>
        <v>West North Central Division</v>
      </c>
      <c r="F880">
        <f>INDEX('CBECS_Table B5'!$C$6:$K$6,1,MATCH('County Climates'!E880,'CBECS_Table B5'!$C$1:$K$1,0))</f>
        <v>6178</v>
      </c>
    </row>
    <row r="881" spans="1:6" x14ac:dyDescent="0.25">
      <c r="A881" t="s">
        <v>893</v>
      </c>
      <c r="B881" t="s">
        <v>894</v>
      </c>
      <c r="C881" t="s">
        <v>914</v>
      </c>
      <c r="D881" t="s">
        <v>228</v>
      </c>
      <c r="E881" t="str">
        <f>INDEX('State Codes'!$E$7:$E$70,MATCH(INDEX('State Codes'!$C$7:$C$70,MATCH('County Climates'!B881,'State Codes'!$D$7:$D$70,0),1),'State Codes'!$C$7:$C$70,0),1)</f>
        <v>West North Central Division</v>
      </c>
      <c r="F881">
        <f>INDEX('CBECS_Table B5'!$C$6:$K$6,1,MATCH('County Climates'!E881,'CBECS_Table B5'!$C$1:$K$1,0))</f>
        <v>6178</v>
      </c>
    </row>
    <row r="882" spans="1:6" x14ac:dyDescent="0.25">
      <c r="A882" t="s">
        <v>893</v>
      </c>
      <c r="B882" t="s">
        <v>894</v>
      </c>
      <c r="C882" t="s">
        <v>915</v>
      </c>
      <c r="D882" t="s">
        <v>228</v>
      </c>
      <c r="E882" t="str">
        <f>INDEX('State Codes'!$E$7:$E$70,MATCH(INDEX('State Codes'!$C$7:$C$70,MATCH('County Climates'!B882,'State Codes'!$D$7:$D$70,0),1),'State Codes'!$C$7:$C$70,0),1)</f>
        <v>West North Central Division</v>
      </c>
      <c r="F882">
        <f>INDEX('CBECS_Table B5'!$C$6:$K$6,1,MATCH('County Climates'!E882,'CBECS_Table B5'!$C$1:$K$1,0))</f>
        <v>6178</v>
      </c>
    </row>
    <row r="883" spans="1:6" x14ac:dyDescent="0.25">
      <c r="A883" t="s">
        <v>893</v>
      </c>
      <c r="B883" t="s">
        <v>894</v>
      </c>
      <c r="C883" t="s">
        <v>916</v>
      </c>
      <c r="D883" t="s">
        <v>228</v>
      </c>
      <c r="E883" t="str">
        <f>INDEX('State Codes'!$E$7:$E$70,MATCH(INDEX('State Codes'!$C$7:$C$70,MATCH('County Climates'!B883,'State Codes'!$D$7:$D$70,0),1),'State Codes'!$C$7:$C$70,0),1)</f>
        <v>West North Central Division</v>
      </c>
      <c r="F883">
        <f>INDEX('CBECS_Table B5'!$C$6:$K$6,1,MATCH('County Climates'!E883,'CBECS_Table B5'!$C$1:$K$1,0))</f>
        <v>6178</v>
      </c>
    </row>
    <row r="884" spans="1:6" x14ac:dyDescent="0.25">
      <c r="A884" t="s">
        <v>893</v>
      </c>
      <c r="B884" t="s">
        <v>894</v>
      </c>
      <c r="C884" t="s">
        <v>339</v>
      </c>
      <c r="D884" t="s">
        <v>228</v>
      </c>
      <c r="E884" t="str">
        <f>INDEX('State Codes'!$E$7:$E$70,MATCH(INDEX('State Codes'!$C$7:$C$70,MATCH('County Climates'!B884,'State Codes'!$D$7:$D$70,0),1),'State Codes'!$C$7:$C$70,0),1)</f>
        <v>West North Central Division</v>
      </c>
      <c r="F884">
        <f>INDEX('CBECS_Table B5'!$C$6:$K$6,1,MATCH('County Climates'!E884,'CBECS_Table B5'!$C$1:$K$1,0))</f>
        <v>6178</v>
      </c>
    </row>
    <row r="885" spans="1:6" x14ac:dyDescent="0.25">
      <c r="A885" t="s">
        <v>893</v>
      </c>
      <c r="B885" t="s">
        <v>894</v>
      </c>
      <c r="C885" t="s">
        <v>917</v>
      </c>
      <c r="D885" t="s">
        <v>228</v>
      </c>
      <c r="E885" t="str">
        <f>INDEX('State Codes'!$E$7:$E$70,MATCH(INDEX('State Codes'!$C$7:$C$70,MATCH('County Climates'!B885,'State Codes'!$D$7:$D$70,0),1),'State Codes'!$C$7:$C$70,0),1)</f>
        <v>West North Central Division</v>
      </c>
      <c r="F885">
        <f>INDEX('CBECS_Table B5'!$C$6:$K$6,1,MATCH('County Climates'!E885,'CBECS_Table B5'!$C$1:$K$1,0))</f>
        <v>6178</v>
      </c>
    </row>
    <row r="886" spans="1:6" x14ac:dyDescent="0.25">
      <c r="A886" t="s">
        <v>893</v>
      </c>
      <c r="B886" t="s">
        <v>894</v>
      </c>
      <c r="C886" t="s">
        <v>918</v>
      </c>
      <c r="D886" t="s">
        <v>228</v>
      </c>
      <c r="E886" t="str">
        <f>INDEX('State Codes'!$E$7:$E$70,MATCH(INDEX('State Codes'!$C$7:$C$70,MATCH('County Climates'!B886,'State Codes'!$D$7:$D$70,0),1),'State Codes'!$C$7:$C$70,0),1)</f>
        <v>West North Central Division</v>
      </c>
      <c r="F886">
        <f>INDEX('CBECS_Table B5'!$C$6:$K$6,1,MATCH('County Climates'!E886,'CBECS_Table B5'!$C$1:$K$1,0))</f>
        <v>6178</v>
      </c>
    </row>
    <row r="887" spans="1:6" x14ac:dyDescent="0.25">
      <c r="A887" t="s">
        <v>893</v>
      </c>
      <c r="B887" t="s">
        <v>894</v>
      </c>
      <c r="C887" t="s">
        <v>919</v>
      </c>
      <c r="D887" t="s">
        <v>228</v>
      </c>
      <c r="E887" t="str">
        <f>INDEX('State Codes'!$E$7:$E$70,MATCH(INDEX('State Codes'!$C$7:$C$70,MATCH('County Climates'!B887,'State Codes'!$D$7:$D$70,0),1),'State Codes'!$C$7:$C$70,0),1)</f>
        <v>West North Central Division</v>
      </c>
      <c r="F887">
        <f>INDEX('CBECS_Table B5'!$C$6:$K$6,1,MATCH('County Climates'!E887,'CBECS_Table B5'!$C$1:$K$1,0))</f>
        <v>6178</v>
      </c>
    </row>
    <row r="888" spans="1:6" x14ac:dyDescent="0.25">
      <c r="A888" t="s">
        <v>893</v>
      </c>
      <c r="B888" t="s">
        <v>894</v>
      </c>
      <c r="C888" t="s">
        <v>920</v>
      </c>
      <c r="D888" t="s">
        <v>228</v>
      </c>
      <c r="E888" t="str">
        <f>INDEX('State Codes'!$E$7:$E$70,MATCH(INDEX('State Codes'!$C$7:$C$70,MATCH('County Climates'!B888,'State Codes'!$D$7:$D$70,0),1),'State Codes'!$C$7:$C$70,0),1)</f>
        <v>West North Central Division</v>
      </c>
      <c r="F888">
        <f>INDEX('CBECS_Table B5'!$C$6:$K$6,1,MATCH('County Climates'!E888,'CBECS_Table B5'!$C$1:$K$1,0))</f>
        <v>6178</v>
      </c>
    </row>
    <row r="889" spans="1:6" x14ac:dyDescent="0.25">
      <c r="A889" t="s">
        <v>893</v>
      </c>
      <c r="B889" t="s">
        <v>894</v>
      </c>
      <c r="C889" t="s">
        <v>921</v>
      </c>
      <c r="D889" t="s">
        <v>228</v>
      </c>
      <c r="E889" t="str">
        <f>INDEX('State Codes'!$E$7:$E$70,MATCH(INDEX('State Codes'!$C$7:$C$70,MATCH('County Climates'!B889,'State Codes'!$D$7:$D$70,0),1),'State Codes'!$C$7:$C$70,0),1)</f>
        <v>West North Central Division</v>
      </c>
      <c r="F889">
        <f>INDEX('CBECS_Table B5'!$C$6:$K$6,1,MATCH('County Climates'!E889,'CBECS_Table B5'!$C$1:$K$1,0))</f>
        <v>6178</v>
      </c>
    </row>
    <row r="890" spans="1:6" x14ac:dyDescent="0.25">
      <c r="A890" t="s">
        <v>893</v>
      </c>
      <c r="B890" t="s">
        <v>894</v>
      </c>
      <c r="C890" t="s">
        <v>922</v>
      </c>
      <c r="D890" t="s">
        <v>228</v>
      </c>
      <c r="E890" t="str">
        <f>INDEX('State Codes'!$E$7:$E$70,MATCH(INDEX('State Codes'!$C$7:$C$70,MATCH('County Climates'!B890,'State Codes'!$D$7:$D$70,0),1),'State Codes'!$C$7:$C$70,0),1)</f>
        <v>West North Central Division</v>
      </c>
      <c r="F890">
        <f>INDEX('CBECS_Table B5'!$C$6:$K$6,1,MATCH('County Climates'!E890,'CBECS_Table B5'!$C$1:$K$1,0))</f>
        <v>6178</v>
      </c>
    </row>
    <row r="891" spans="1:6" x14ac:dyDescent="0.25">
      <c r="A891" t="s">
        <v>893</v>
      </c>
      <c r="B891" t="s">
        <v>894</v>
      </c>
      <c r="C891" t="s">
        <v>923</v>
      </c>
      <c r="D891" t="s">
        <v>228</v>
      </c>
      <c r="E891" t="str">
        <f>INDEX('State Codes'!$E$7:$E$70,MATCH(INDEX('State Codes'!$C$7:$C$70,MATCH('County Climates'!B891,'State Codes'!$D$7:$D$70,0),1),'State Codes'!$C$7:$C$70,0),1)</f>
        <v>West North Central Division</v>
      </c>
      <c r="F891">
        <f>INDEX('CBECS_Table B5'!$C$6:$K$6,1,MATCH('County Climates'!E891,'CBECS_Table B5'!$C$1:$K$1,0))</f>
        <v>6178</v>
      </c>
    </row>
    <row r="892" spans="1:6" x14ac:dyDescent="0.25">
      <c r="A892" t="s">
        <v>893</v>
      </c>
      <c r="B892" t="s">
        <v>894</v>
      </c>
      <c r="C892" t="s">
        <v>924</v>
      </c>
      <c r="D892" t="s">
        <v>228</v>
      </c>
      <c r="E892" t="str">
        <f>INDEX('State Codes'!$E$7:$E$70,MATCH(INDEX('State Codes'!$C$7:$C$70,MATCH('County Climates'!B892,'State Codes'!$D$7:$D$70,0),1),'State Codes'!$C$7:$C$70,0),1)</f>
        <v>West North Central Division</v>
      </c>
      <c r="F892">
        <f>INDEX('CBECS_Table B5'!$C$6:$K$6,1,MATCH('County Climates'!E892,'CBECS_Table B5'!$C$1:$K$1,0))</f>
        <v>6178</v>
      </c>
    </row>
    <row r="893" spans="1:6" x14ac:dyDescent="0.25">
      <c r="A893" t="s">
        <v>893</v>
      </c>
      <c r="B893" t="s">
        <v>894</v>
      </c>
      <c r="C893" t="s">
        <v>925</v>
      </c>
      <c r="D893" t="s">
        <v>228</v>
      </c>
      <c r="E893" t="str">
        <f>INDEX('State Codes'!$E$7:$E$70,MATCH(INDEX('State Codes'!$C$7:$C$70,MATCH('County Climates'!B893,'State Codes'!$D$7:$D$70,0),1),'State Codes'!$C$7:$C$70,0),1)</f>
        <v>West North Central Division</v>
      </c>
      <c r="F893">
        <f>INDEX('CBECS_Table B5'!$C$6:$K$6,1,MATCH('County Climates'!E893,'CBECS_Table B5'!$C$1:$K$1,0))</f>
        <v>6178</v>
      </c>
    </row>
    <row r="894" spans="1:6" x14ac:dyDescent="0.25">
      <c r="A894" t="s">
        <v>893</v>
      </c>
      <c r="B894" t="s">
        <v>894</v>
      </c>
      <c r="C894" t="s">
        <v>486</v>
      </c>
      <c r="D894" t="s">
        <v>228</v>
      </c>
      <c r="E894" t="str">
        <f>INDEX('State Codes'!$E$7:$E$70,MATCH(INDEX('State Codes'!$C$7:$C$70,MATCH('County Climates'!B894,'State Codes'!$D$7:$D$70,0),1),'State Codes'!$C$7:$C$70,0),1)</f>
        <v>West North Central Division</v>
      </c>
      <c r="F894">
        <f>INDEX('CBECS_Table B5'!$C$6:$K$6,1,MATCH('County Climates'!E894,'CBECS_Table B5'!$C$1:$K$1,0))</f>
        <v>6178</v>
      </c>
    </row>
    <row r="895" spans="1:6" x14ac:dyDescent="0.25">
      <c r="A895" t="s">
        <v>893</v>
      </c>
      <c r="B895" t="s">
        <v>894</v>
      </c>
      <c r="C895" t="s">
        <v>926</v>
      </c>
      <c r="D895" t="s">
        <v>228</v>
      </c>
      <c r="E895" t="str">
        <f>INDEX('State Codes'!$E$7:$E$70,MATCH(INDEX('State Codes'!$C$7:$C$70,MATCH('County Climates'!B895,'State Codes'!$D$7:$D$70,0),1),'State Codes'!$C$7:$C$70,0),1)</f>
        <v>West North Central Division</v>
      </c>
      <c r="F895">
        <f>INDEX('CBECS_Table B5'!$C$6:$K$6,1,MATCH('County Climates'!E895,'CBECS_Table B5'!$C$1:$K$1,0))</f>
        <v>6178</v>
      </c>
    </row>
    <row r="896" spans="1:6" x14ac:dyDescent="0.25">
      <c r="A896" t="s">
        <v>893</v>
      </c>
      <c r="B896" t="s">
        <v>894</v>
      </c>
      <c r="C896" t="s">
        <v>927</v>
      </c>
      <c r="D896" t="s">
        <v>228</v>
      </c>
      <c r="E896" t="str">
        <f>INDEX('State Codes'!$E$7:$E$70,MATCH(INDEX('State Codes'!$C$7:$C$70,MATCH('County Climates'!B896,'State Codes'!$D$7:$D$70,0),1),'State Codes'!$C$7:$C$70,0),1)</f>
        <v>West North Central Division</v>
      </c>
      <c r="F896">
        <f>INDEX('CBECS_Table B5'!$C$6:$K$6,1,MATCH('County Climates'!E896,'CBECS_Table B5'!$C$1:$K$1,0))</f>
        <v>6178</v>
      </c>
    </row>
    <row r="897" spans="1:6" x14ac:dyDescent="0.25">
      <c r="A897" t="s">
        <v>893</v>
      </c>
      <c r="B897" t="s">
        <v>894</v>
      </c>
      <c r="C897" t="s">
        <v>308</v>
      </c>
      <c r="D897" t="s">
        <v>228</v>
      </c>
      <c r="E897" t="str">
        <f>INDEX('State Codes'!$E$7:$E$70,MATCH(INDEX('State Codes'!$C$7:$C$70,MATCH('County Climates'!B897,'State Codes'!$D$7:$D$70,0),1),'State Codes'!$C$7:$C$70,0),1)</f>
        <v>West North Central Division</v>
      </c>
      <c r="F897">
        <f>INDEX('CBECS_Table B5'!$C$6:$K$6,1,MATCH('County Climates'!E897,'CBECS_Table B5'!$C$1:$K$1,0))</f>
        <v>6178</v>
      </c>
    </row>
    <row r="898" spans="1:6" x14ac:dyDescent="0.25">
      <c r="A898" t="s">
        <v>893</v>
      </c>
      <c r="B898" t="s">
        <v>894</v>
      </c>
      <c r="C898" t="s">
        <v>498</v>
      </c>
      <c r="D898" t="s">
        <v>228</v>
      </c>
      <c r="E898" t="str">
        <f>INDEX('State Codes'!$E$7:$E$70,MATCH(INDEX('State Codes'!$C$7:$C$70,MATCH('County Climates'!B898,'State Codes'!$D$7:$D$70,0),1),'State Codes'!$C$7:$C$70,0),1)</f>
        <v>West North Central Division</v>
      </c>
      <c r="F898">
        <f>INDEX('CBECS_Table B5'!$C$6:$K$6,1,MATCH('County Climates'!E898,'CBECS_Table B5'!$C$1:$K$1,0))</f>
        <v>6178</v>
      </c>
    </row>
    <row r="899" spans="1:6" x14ac:dyDescent="0.25">
      <c r="A899" t="s">
        <v>893</v>
      </c>
      <c r="B899" t="s">
        <v>894</v>
      </c>
      <c r="C899" t="s">
        <v>499</v>
      </c>
      <c r="D899" t="s">
        <v>228</v>
      </c>
      <c r="E899" t="str">
        <f>INDEX('State Codes'!$E$7:$E$70,MATCH(INDEX('State Codes'!$C$7:$C$70,MATCH('County Climates'!B899,'State Codes'!$D$7:$D$70,0),1),'State Codes'!$C$7:$C$70,0),1)</f>
        <v>West North Central Division</v>
      </c>
      <c r="F899">
        <f>INDEX('CBECS_Table B5'!$C$6:$K$6,1,MATCH('County Climates'!E899,'CBECS_Table B5'!$C$1:$K$1,0))</f>
        <v>6178</v>
      </c>
    </row>
    <row r="900" spans="1:6" x14ac:dyDescent="0.25">
      <c r="A900" t="s">
        <v>893</v>
      </c>
      <c r="B900" t="s">
        <v>894</v>
      </c>
      <c r="C900" t="s">
        <v>500</v>
      </c>
      <c r="D900" t="s">
        <v>228</v>
      </c>
      <c r="E900" t="str">
        <f>INDEX('State Codes'!$E$7:$E$70,MATCH(INDEX('State Codes'!$C$7:$C$70,MATCH('County Climates'!B900,'State Codes'!$D$7:$D$70,0),1),'State Codes'!$C$7:$C$70,0),1)</f>
        <v>West North Central Division</v>
      </c>
      <c r="F900">
        <f>INDEX('CBECS_Table B5'!$C$6:$K$6,1,MATCH('County Climates'!E900,'CBECS_Table B5'!$C$1:$K$1,0))</f>
        <v>6178</v>
      </c>
    </row>
    <row r="901" spans="1:6" x14ac:dyDescent="0.25">
      <c r="A901" t="s">
        <v>893</v>
      </c>
      <c r="B901" t="s">
        <v>894</v>
      </c>
      <c r="C901" t="s">
        <v>728</v>
      </c>
      <c r="D901" t="s">
        <v>228</v>
      </c>
      <c r="E901" t="str">
        <f>INDEX('State Codes'!$E$7:$E$70,MATCH(INDEX('State Codes'!$C$7:$C$70,MATCH('County Climates'!B901,'State Codes'!$D$7:$D$70,0),1),'State Codes'!$C$7:$C$70,0),1)</f>
        <v>West North Central Division</v>
      </c>
      <c r="F901">
        <f>INDEX('CBECS_Table B5'!$C$6:$K$6,1,MATCH('County Climates'!E901,'CBECS_Table B5'!$C$1:$K$1,0))</f>
        <v>6178</v>
      </c>
    </row>
    <row r="902" spans="1:6" x14ac:dyDescent="0.25">
      <c r="A902" t="s">
        <v>928</v>
      </c>
      <c r="B902" t="s">
        <v>929</v>
      </c>
      <c r="C902" t="s">
        <v>930</v>
      </c>
      <c r="D902" t="s">
        <v>228</v>
      </c>
      <c r="E902" t="str">
        <f>INDEX('State Codes'!$E$7:$E$70,MATCH(INDEX('State Codes'!$C$7:$C$70,MATCH('County Climates'!B902,'State Codes'!$D$7:$D$70,0),1),'State Codes'!$C$7:$C$70,0),1)</f>
        <v>Mountain Division</v>
      </c>
      <c r="F902">
        <f>INDEX('CBECS_Table B5'!$C$6:$K$6,1,MATCH('County Climates'!E902,'CBECS_Table B5'!$C$1:$K$1,0))</f>
        <v>4981</v>
      </c>
    </row>
    <row r="903" spans="1:6" x14ac:dyDescent="0.25">
      <c r="A903" t="s">
        <v>928</v>
      </c>
      <c r="B903" t="s">
        <v>929</v>
      </c>
      <c r="C903" t="s">
        <v>931</v>
      </c>
      <c r="D903" t="s">
        <v>228</v>
      </c>
      <c r="E903" t="str">
        <f>INDEX('State Codes'!$E$7:$E$70,MATCH(INDEX('State Codes'!$C$7:$C$70,MATCH('County Climates'!B903,'State Codes'!$D$7:$D$70,0),1),'State Codes'!$C$7:$C$70,0),1)</f>
        <v>Mountain Division</v>
      </c>
      <c r="F903">
        <f>INDEX('CBECS_Table B5'!$C$6:$K$6,1,MATCH('County Climates'!E903,'CBECS_Table B5'!$C$1:$K$1,0))</f>
        <v>4981</v>
      </c>
    </row>
    <row r="904" spans="1:6" x14ac:dyDescent="0.25">
      <c r="A904" t="s">
        <v>928</v>
      </c>
      <c r="B904" t="s">
        <v>929</v>
      </c>
      <c r="C904" t="s">
        <v>530</v>
      </c>
      <c r="D904" t="s">
        <v>359</v>
      </c>
      <c r="E904" t="str">
        <f>INDEX('State Codes'!$E$7:$E$70,MATCH(INDEX('State Codes'!$C$7:$C$70,MATCH('County Climates'!B904,'State Codes'!$D$7:$D$70,0),1),'State Codes'!$C$7:$C$70,0),1)</f>
        <v>Mountain Division</v>
      </c>
      <c r="F904">
        <f>INDEX('CBECS_Table B5'!$C$6:$K$6,1,MATCH('County Climates'!E904,'CBECS_Table B5'!$C$1:$K$1,0))</f>
        <v>4981</v>
      </c>
    </row>
    <row r="905" spans="1:6" x14ac:dyDescent="0.25">
      <c r="A905" t="s">
        <v>928</v>
      </c>
      <c r="B905" t="s">
        <v>929</v>
      </c>
      <c r="C905" t="s">
        <v>369</v>
      </c>
      <c r="D905" t="s">
        <v>228</v>
      </c>
      <c r="E905" t="str">
        <f>INDEX('State Codes'!$E$7:$E$70,MATCH(INDEX('State Codes'!$C$7:$C$70,MATCH('County Climates'!B905,'State Codes'!$D$7:$D$70,0),1),'State Codes'!$C$7:$C$70,0),1)</f>
        <v>Mountain Division</v>
      </c>
      <c r="F905">
        <f>INDEX('CBECS_Table B5'!$C$6:$K$6,1,MATCH('County Climates'!E905,'CBECS_Table B5'!$C$1:$K$1,0))</f>
        <v>4981</v>
      </c>
    </row>
    <row r="906" spans="1:6" x14ac:dyDescent="0.25">
      <c r="A906" t="s">
        <v>928</v>
      </c>
      <c r="B906" t="s">
        <v>929</v>
      </c>
      <c r="C906" t="s">
        <v>932</v>
      </c>
      <c r="D906" t="s">
        <v>228</v>
      </c>
      <c r="E906" t="str">
        <f>INDEX('State Codes'!$E$7:$E$70,MATCH(INDEX('State Codes'!$C$7:$C$70,MATCH('County Climates'!B906,'State Codes'!$D$7:$D$70,0),1),'State Codes'!$C$7:$C$70,0),1)</f>
        <v>Mountain Division</v>
      </c>
      <c r="F906">
        <f>INDEX('CBECS_Table B5'!$C$6:$K$6,1,MATCH('County Climates'!E906,'CBECS_Table B5'!$C$1:$K$1,0))</f>
        <v>4981</v>
      </c>
    </row>
    <row r="907" spans="1:6" x14ac:dyDescent="0.25">
      <c r="A907" t="s">
        <v>928</v>
      </c>
      <c r="B907" t="s">
        <v>929</v>
      </c>
      <c r="C907" t="s">
        <v>933</v>
      </c>
      <c r="D907" t="s">
        <v>228</v>
      </c>
      <c r="E907" t="str">
        <f>INDEX('State Codes'!$E$7:$E$70,MATCH(INDEX('State Codes'!$C$7:$C$70,MATCH('County Climates'!B907,'State Codes'!$D$7:$D$70,0),1),'State Codes'!$C$7:$C$70,0),1)</f>
        <v>Mountain Division</v>
      </c>
      <c r="F907">
        <f>INDEX('CBECS_Table B5'!$C$6:$K$6,1,MATCH('County Climates'!E907,'CBECS_Table B5'!$C$1:$K$1,0))</f>
        <v>4981</v>
      </c>
    </row>
    <row r="908" spans="1:6" x14ac:dyDescent="0.25">
      <c r="A908" t="s">
        <v>928</v>
      </c>
      <c r="B908" t="s">
        <v>929</v>
      </c>
      <c r="C908" t="s">
        <v>934</v>
      </c>
      <c r="D908" t="s">
        <v>228</v>
      </c>
      <c r="E908" t="str">
        <f>INDEX('State Codes'!$E$7:$E$70,MATCH(INDEX('State Codes'!$C$7:$C$70,MATCH('County Climates'!B908,'State Codes'!$D$7:$D$70,0),1),'State Codes'!$C$7:$C$70,0),1)</f>
        <v>Mountain Division</v>
      </c>
      <c r="F908">
        <f>INDEX('CBECS_Table B5'!$C$6:$K$6,1,MATCH('County Climates'!E908,'CBECS_Table B5'!$C$1:$K$1,0))</f>
        <v>4981</v>
      </c>
    </row>
    <row r="909" spans="1:6" x14ac:dyDescent="0.25">
      <c r="A909" t="s">
        <v>928</v>
      </c>
      <c r="B909" t="s">
        <v>929</v>
      </c>
      <c r="C909" t="s">
        <v>613</v>
      </c>
      <c r="D909" t="s">
        <v>228</v>
      </c>
      <c r="E909" t="str">
        <f>INDEX('State Codes'!$E$7:$E$70,MATCH(INDEX('State Codes'!$C$7:$C$70,MATCH('County Climates'!B909,'State Codes'!$D$7:$D$70,0),1),'State Codes'!$C$7:$C$70,0),1)</f>
        <v>Mountain Division</v>
      </c>
      <c r="F909">
        <f>INDEX('CBECS_Table B5'!$C$6:$K$6,1,MATCH('County Climates'!E909,'CBECS_Table B5'!$C$1:$K$1,0))</f>
        <v>4981</v>
      </c>
    </row>
    <row r="910" spans="1:6" x14ac:dyDescent="0.25">
      <c r="A910" t="s">
        <v>935</v>
      </c>
      <c r="B910" t="s">
        <v>936</v>
      </c>
      <c r="C910" t="s">
        <v>937</v>
      </c>
      <c r="D910" t="s">
        <v>228</v>
      </c>
      <c r="E910" t="str">
        <f>INDEX('State Codes'!$E$7:$E$70,MATCH(INDEX('State Codes'!$C$7:$C$70,MATCH('County Climates'!B910,'State Codes'!$D$7:$D$70,0),1),'State Codes'!$C$7:$C$70,0),1)</f>
        <v>Mountain Division</v>
      </c>
      <c r="F910">
        <f>INDEX('CBECS_Table B5'!$C$6:$K$6,1,MATCH('County Climates'!E910,'CBECS_Table B5'!$C$1:$K$1,0))</f>
        <v>4981</v>
      </c>
    </row>
    <row r="911" spans="1:6" x14ac:dyDescent="0.25">
      <c r="A911" t="s">
        <v>935</v>
      </c>
      <c r="B911" t="s">
        <v>936</v>
      </c>
      <c r="C911" t="s">
        <v>938</v>
      </c>
      <c r="D911" t="s">
        <v>228</v>
      </c>
      <c r="E911" t="str">
        <f>INDEX('State Codes'!$E$7:$E$70,MATCH(INDEX('State Codes'!$C$7:$C$70,MATCH('County Climates'!B911,'State Codes'!$D$7:$D$70,0),1),'State Codes'!$C$7:$C$70,0),1)</f>
        <v>Mountain Division</v>
      </c>
      <c r="F911">
        <f>INDEX('CBECS_Table B5'!$C$6:$K$6,1,MATCH('County Climates'!E911,'CBECS_Table B5'!$C$1:$K$1,0))</f>
        <v>4981</v>
      </c>
    </row>
    <row r="912" spans="1:6" x14ac:dyDescent="0.25">
      <c r="A912" t="s">
        <v>935</v>
      </c>
      <c r="B912" t="s">
        <v>936</v>
      </c>
      <c r="C912" t="s">
        <v>939</v>
      </c>
      <c r="D912" t="s">
        <v>357</v>
      </c>
      <c r="E912" t="str">
        <f>INDEX('State Codes'!$E$7:$E$70,MATCH(INDEX('State Codes'!$C$7:$C$70,MATCH('County Climates'!B912,'State Codes'!$D$7:$D$70,0),1),'State Codes'!$C$7:$C$70,0),1)</f>
        <v>Mountain Division</v>
      </c>
      <c r="F912">
        <f>INDEX('CBECS_Table B5'!$C$6:$K$6,1,MATCH('County Climates'!E912,'CBECS_Table B5'!$C$1:$K$1,0))</f>
        <v>4981</v>
      </c>
    </row>
    <row r="913" spans="1:6" x14ac:dyDescent="0.25">
      <c r="A913" t="s">
        <v>935</v>
      </c>
      <c r="B913" t="s">
        <v>936</v>
      </c>
      <c r="C913" t="s">
        <v>940</v>
      </c>
      <c r="D913" t="s">
        <v>357</v>
      </c>
      <c r="E913" t="str">
        <f>INDEX('State Codes'!$E$7:$E$70,MATCH(INDEX('State Codes'!$C$7:$C$70,MATCH('County Climates'!B913,'State Codes'!$D$7:$D$70,0),1),'State Codes'!$C$7:$C$70,0),1)</f>
        <v>Mountain Division</v>
      </c>
      <c r="F913">
        <f>INDEX('CBECS_Table B5'!$C$6:$K$6,1,MATCH('County Climates'!E913,'CBECS_Table B5'!$C$1:$K$1,0))</f>
        <v>4981</v>
      </c>
    </row>
    <row r="914" spans="1:6" x14ac:dyDescent="0.25">
      <c r="A914" t="s">
        <v>935</v>
      </c>
      <c r="B914" t="s">
        <v>936</v>
      </c>
      <c r="C914" t="s">
        <v>941</v>
      </c>
      <c r="D914" t="s">
        <v>228</v>
      </c>
      <c r="E914" t="str">
        <f>INDEX('State Codes'!$E$7:$E$70,MATCH(INDEX('State Codes'!$C$7:$C$70,MATCH('County Climates'!B914,'State Codes'!$D$7:$D$70,0),1),'State Codes'!$C$7:$C$70,0),1)</f>
        <v>Mountain Division</v>
      </c>
      <c r="F914">
        <f>INDEX('CBECS_Table B5'!$C$6:$K$6,1,MATCH('County Climates'!E914,'CBECS_Table B5'!$C$1:$K$1,0))</f>
        <v>4981</v>
      </c>
    </row>
    <row r="915" spans="1:6" x14ac:dyDescent="0.25">
      <c r="A915" t="s">
        <v>935</v>
      </c>
      <c r="B915" t="s">
        <v>936</v>
      </c>
      <c r="C915" t="s">
        <v>942</v>
      </c>
      <c r="D915" t="s">
        <v>228</v>
      </c>
      <c r="E915" t="str">
        <f>INDEX('State Codes'!$E$7:$E$70,MATCH(INDEX('State Codes'!$C$7:$C$70,MATCH('County Climates'!B915,'State Codes'!$D$7:$D$70,0),1),'State Codes'!$C$7:$C$70,0),1)</f>
        <v>Mountain Division</v>
      </c>
      <c r="F915">
        <f>INDEX('CBECS_Table B5'!$C$6:$K$6,1,MATCH('County Climates'!E915,'CBECS_Table B5'!$C$1:$K$1,0))</f>
        <v>4981</v>
      </c>
    </row>
    <row r="916" spans="1:6" x14ac:dyDescent="0.25">
      <c r="A916" t="s">
        <v>935</v>
      </c>
      <c r="B916" t="s">
        <v>936</v>
      </c>
      <c r="C916" t="s">
        <v>347</v>
      </c>
      <c r="D916" t="s">
        <v>357</v>
      </c>
      <c r="E916" t="str">
        <f>INDEX('State Codes'!$E$7:$E$70,MATCH(INDEX('State Codes'!$C$7:$C$70,MATCH('County Climates'!B916,'State Codes'!$D$7:$D$70,0),1),'State Codes'!$C$7:$C$70,0),1)</f>
        <v>Mountain Division</v>
      </c>
      <c r="F916">
        <f>INDEX('CBECS_Table B5'!$C$6:$K$6,1,MATCH('County Climates'!E916,'CBECS_Table B5'!$C$1:$K$1,0))</f>
        <v>4981</v>
      </c>
    </row>
    <row r="917" spans="1:6" x14ac:dyDescent="0.25">
      <c r="A917" t="s">
        <v>935</v>
      </c>
      <c r="B917" t="s">
        <v>936</v>
      </c>
      <c r="C917" t="s">
        <v>943</v>
      </c>
      <c r="D917" t="s">
        <v>357</v>
      </c>
      <c r="E917" t="str">
        <f>INDEX('State Codes'!$E$7:$E$70,MATCH(INDEX('State Codes'!$C$7:$C$70,MATCH('County Climates'!B917,'State Codes'!$D$7:$D$70,0),1),'State Codes'!$C$7:$C$70,0),1)</f>
        <v>Mountain Division</v>
      </c>
      <c r="F917">
        <f>INDEX('CBECS_Table B5'!$C$6:$K$6,1,MATCH('County Climates'!E917,'CBECS_Table B5'!$C$1:$K$1,0))</f>
        <v>4981</v>
      </c>
    </row>
    <row r="918" spans="1:6" x14ac:dyDescent="0.25">
      <c r="A918" t="s">
        <v>944</v>
      </c>
      <c r="B918" t="s">
        <v>945</v>
      </c>
      <c r="C918" t="s">
        <v>946</v>
      </c>
      <c r="D918" t="s">
        <v>228</v>
      </c>
      <c r="E918" t="str">
        <f>INDEX('State Codes'!$E$7:$E$70,MATCH(INDEX('State Codes'!$C$7:$C$70,MATCH('County Climates'!B918,'State Codes'!$D$7:$D$70,0),1),'State Codes'!$C$7:$C$70,0),1)</f>
        <v>Middle Atlantic Division</v>
      </c>
      <c r="F918">
        <f>INDEX('CBECS_Table B5'!$C$6:$K$6,1,MATCH('County Climates'!E918,'CBECS_Table B5'!$C$1:$K$1,0))</f>
        <v>11232</v>
      </c>
    </row>
    <row r="919" spans="1:6" x14ac:dyDescent="0.25">
      <c r="A919" t="s">
        <v>944</v>
      </c>
      <c r="B919" t="s">
        <v>945</v>
      </c>
      <c r="C919" t="s">
        <v>731</v>
      </c>
      <c r="D919" t="s">
        <v>228</v>
      </c>
      <c r="E919" t="str">
        <f>INDEX('State Codes'!$E$7:$E$70,MATCH(INDEX('State Codes'!$C$7:$C$70,MATCH('County Climates'!B919,'State Codes'!$D$7:$D$70,0),1),'State Codes'!$C$7:$C$70,0),1)</f>
        <v>Middle Atlantic Division</v>
      </c>
      <c r="F919">
        <f>INDEX('CBECS_Table B5'!$C$6:$K$6,1,MATCH('County Climates'!E919,'CBECS_Table B5'!$C$1:$K$1,0))</f>
        <v>11232</v>
      </c>
    </row>
    <row r="920" spans="1:6" x14ac:dyDescent="0.25">
      <c r="A920" t="s">
        <v>944</v>
      </c>
      <c r="B920" t="s">
        <v>945</v>
      </c>
      <c r="C920" t="s">
        <v>947</v>
      </c>
      <c r="D920" t="s">
        <v>247</v>
      </c>
      <c r="E920" t="str">
        <f>INDEX('State Codes'!$E$7:$E$70,MATCH(INDEX('State Codes'!$C$7:$C$70,MATCH('County Climates'!B920,'State Codes'!$D$7:$D$70,0),1),'State Codes'!$C$7:$C$70,0),1)</f>
        <v>Middle Atlantic Division</v>
      </c>
      <c r="F920">
        <f>INDEX('CBECS_Table B5'!$C$6:$K$6,1,MATCH('County Climates'!E920,'CBECS_Table B5'!$C$1:$K$1,0))</f>
        <v>11232</v>
      </c>
    </row>
    <row r="921" spans="1:6" x14ac:dyDescent="0.25">
      <c r="A921" t="s">
        <v>944</v>
      </c>
      <c r="B921" t="s">
        <v>945</v>
      </c>
      <c r="C921" t="s">
        <v>948</v>
      </c>
      <c r="D921" t="s">
        <v>228</v>
      </c>
      <c r="E921" t="str">
        <f>INDEX('State Codes'!$E$7:$E$70,MATCH(INDEX('State Codes'!$C$7:$C$70,MATCH('County Climates'!B921,'State Codes'!$D$7:$D$70,0),1),'State Codes'!$C$7:$C$70,0),1)</f>
        <v>Middle Atlantic Division</v>
      </c>
      <c r="F921">
        <f>INDEX('CBECS_Table B5'!$C$6:$K$6,1,MATCH('County Climates'!E921,'CBECS_Table B5'!$C$1:$K$1,0))</f>
        <v>11232</v>
      </c>
    </row>
    <row r="922" spans="1:6" x14ac:dyDescent="0.25">
      <c r="A922" t="s">
        <v>944</v>
      </c>
      <c r="B922" t="s">
        <v>945</v>
      </c>
      <c r="C922" t="s">
        <v>949</v>
      </c>
      <c r="D922" t="s">
        <v>228</v>
      </c>
      <c r="E922" t="str">
        <f>INDEX('State Codes'!$E$7:$E$70,MATCH(INDEX('State Codes'!$C$7:$C$70,MATCH('County Climates'!B922,'State Codes'!$D$7:$D$70,0),1),'State Codes'!$C$7:$C$70,0),1)</f>
        <v>Middle Atlantic Division</v>
      </c>
      <c r="F922">
        <f>INDEX('CBECS_Table B5'!$C$6:$K$6,1,MATCH('County Climates'!E922,'CBECS_Table B5'!$C$1:$K$1,0))</f>
        <v>11232</v>
      </c>
    </row>
    <row r="923" spans="1:6" x14ac:dyDescent="0.25">
      <c r="A923" t="s">
        <v>944</v>
      </c>
      <c r="B923" t="s">
        <v>945</v>
      </c>
      <c r="C923" t="s">
        <v>950</v>
      </c>
      <c r="D923" t="s">
        <v>228</v>
      </c>
      <c r="E923" t="str">
        <f>INDEX('State Codes'!$E$7:$E$70,MATCH(INDEX('State Codes'!$C$7:$C$70,MATCH('County Climates'!B923,'State Codes'!$D$7:$D$70,0),1),'State Codes'!$C$7:$C$70,0),1)</f>
        <v>Middle Atlantic Division</v>
      </c>
      <c r="F923">
        <f>INDEX('CBECS_Table B5'!$C$6:$K$6,1,MATCH('County Climates'!E923,'CBECS_Table B5'!$C$1:$K$1,0))</f>
        <v>11232</v>
      </c>
    </row>
    <row r="924" spans="1:6" x14ac:dyDescent="0.25">
      <c r="A924" t="s">
        <v>944</v>
      </c>
      <c r="B924" t="s">
        <v>945</v>
      </c>
      <c r="C924" t="s">
        <v>951</v>
      </c>
      <c r="D924" t="s">
        <v>228</v>
      </c>
      <c r="E924" t="str">
        <f>INDEX('State Codes'!$E$7:$E$70,MATCH(INDEX('State Codes'!$C$7:$C$70,MATCH('County Climates'!B924,'State Codes'!$D$7:$D$70,0),1),'State Codes'!$C$7:$C$70,0),1)</f>
        <v>Middle Atlantic Division</v>
      </c>
      <c r="F924">
        <f>INDEX('CBECS_Table B5'!$C$6:$K$6,1,MATCH('County Climates'!E924,'CBECS_Table B5'!$C$1:$K$1,0))</f>
        <v>11232</v>
      </c>
    </row>
    <row r="925" spans="1:6" x14ac:dyDescent="0.25">
      <c r="A925" t="s">
        <v>944</v>
      </c>
      <c r="B925" t="s">
        <v>945</v>
      </c>
      <c r="C925" t="s">
        <v>952</v>
      </c>
      <c r="D925" t="s">
        <v>228</v>
      </c>
      <c r="E925" t="str">
        <f>INDEX('State Codes'!$E$7:$E$70,MATCH(INDEX('State Codes'!$C$7:$C$70,MATCH('County Climates'!B925,'State Codes'!$D$7:$D$70,0),1),'State Codes'!$C$7:$C$70,0),1)</f>
        <v>Middle Atlantic Division</v>
      </c>
      <c r="F925">
        <f>INDEX('CBECS_Table B5'!$C$6:$K$6,1,MATCH('County Climates'!E925,'CBECS_Table B5'!$C$1:$K$1,0))</f>
        <v>11232</v>
      </c>
    </row>
    <row r="926" spans="1:6" x14ac:dyDescent="0.25">
      <c r="A926" t="s">
        <v>944</v>
      </c>
      <c r="B926" t="s">
        <v>945</v>
      </c>
      <c r="C926" t="s">
        <v>953</v>
      </c>
      <c r="D926" t="s">
        <v>228</v>
      </c>
      <c r="E926" t="str">
        <f>INDEX('State Codes'!$E$7:$E$70,MATCH(INDEX('State Codes'!$C$7:$C$70,MATCH('County Climates'!B926,'State Codes'!$D$7:$D$70,0),1),'State Codes'!$C$7:$C$70,0),1)</f>
        <v>Middle Atlantic Division</v>
      </c>
      <c r="F926">
        <f>INDEX('CBECS_Table B5'!$C$6:$K$6,1,MATCH('County Climates'!E926,'CBECS_Table B5'!$C$1:$K$1,0))</f>
        <v>11232</v>
      </c>
    </row>
    <row r="927" spans="1:6" x14ac:dyDescent="0.25">
      <c r="A927" t="s">
        <v>944</v>
      </c>
      <c r="B927" t="s">
        <v>945</v>
      </c>
      <c r="C927" t="s">
        <v>580</v>
      </c>
      <c r="D927" t="s">
        <v>228</v>
      </c>
      <c r="E927" t="str">
        <f>INDEX('State Codes'!$E$7:$E$70,MATCH(INDEX('State Codes'!$C$7:$C$70,MATCH('County Climates'!B927,'State Codes'!$D$7:$D$70,0),1),'State Codes'!$C$7:$C$70,0),1)</f>
        <v>Middle Atlantic Division</v>
      </c>
      <c r="F927">
        <f>INDEX('CBECS_Table B5'!$C$6:$K$6,1,MATCH('County Climates'!E927,'CBECS_Table B5'!$C$1:$K$1,0))</f>
        <v>11232</v>
      </c>
    </row>
    <row r="928" spans="1:6" x14ac:dyDescent="0.25">
      <c r="A928" t="s">
        <v>944</v>
      </c>
      <c r="B928" t="s">
        <v>945</v>
      </c>
      <c r="C928" t="s">
        <v>457</v>
      </c>
      <c r="D928" t="s">
        <v>228</v>
      </c>
      <c r="E928" t="str">
        <f>INDEX('State Codes'!$E$7:$E$70,MATCH(INDEX('State Codes'!$C$7:$C$70,MATCH('County Climates'!B928,'State Codes'!$D$7:$D$70,0),1),'State Codes'!$C$7:$C$70,0),1)</f>
        <v>Middle Atlantic Division</v>
      </c>
      <c r="F928">
        <f>INDEX('CBECS_Table B5'!$C$6:$K$6,1,MATCH('County Climates'!E928,'CBECS_Table B5'!$C$1:$K$1,0))</f>
        <v>11232</v>
      </c>
    </row>
    <row r="929" spans="1:6" x14ac:dyDescent="0.25">
      <c r="A929" t="s">
        <v>944</v>
      </c>
      <c r="B929" t="s">
        <v>945</v>
      </c>
      <c r="C929" t="s">
        <v>954</v>
      </c>
      <c r="D929" t="s">
        <v>228</v>
      </c>
      <c r="E929" t="str">
        <f>INDEX('State Codes'!$E$7:$E$70,MATCH(INDEX('State Codes'!$C$7:$C$70,MATCH('County Climates'!B929,'State Codes'!$D$7:$D$70,0),1),'State Codes'!$C$7:$C$70,0),1)</f>
        <v>Middle Atlantic Division</v>
      </c>
      <c r="F929">
        <f>INDEX('CBECS_Table B5'!$C$6:$K$6,1,MATCH('County Climates'!E929,'CBECS_Table B5'!$C$1:$K$1,0))</f>
        <v>11232</v>
      </c>
    </row>
    <row r="930" spans="1:6" x14ac:dyDescent="0.25">
      <c r="A930" t="s">
        <v>944</v>
      </c>
      <c r="B930" t="s">
        <v>945</v>
      </c>
      <c r="C930" t="s">
        <v>584</v>
      </c>
      <c r="D930" t="s">
        <v>228</v>
      </c>
      <c r="E930" t="str">
        <f>INDEX('State Codes'!$E$7:$E$70,MATCH(INDEX('State Codes'!$C$7:$C$70,MATCH('County Climates'!B930,'State Codes'!$D$7:$D$70,0),1),'State Codes'!$C$7:$C$70,0),1)</f>
        <v>Middle Atlantic Division</v>
      </c>
      <c r="F930">
        <f>INDEX('CBECS_Table B5'!$C$6:$K$6,1,MATCH('County Climates'!E930,'CBECS_Table B5'!$C$1:$K$1,0))</f>
        <v>11232</v>
      </c>
    </row>
    <row r="931" spans="1:6" x14ac:dyDescent="0.25">
      <c r="A931" t="s">
        <v>944</v>
      </c>
      <c r="B931" t="s">
        <v>945</v>
      </c>
      <c r="C931" t="s">
        <v>955</v>
      </c>
      <c r="D931" t="s">
        <v>228</v>
      </c>
      <c r="E931" t="str">
        <f>INDEX('State Codes'!$E$7:$E$70,MATCH(INDEX('State Codes'!$C$7:$C$70,MATCH('County Climates'!B931,'State Codes'!$D$7:$D$70,0),1),'State Codes'!$C$7:$C$70,0),1)</f>
        <v>Middle Atlantic Division</v>
      </c>
      <c r="F931">
        <f>INDEX('CBECS_Table B5'!$C$6:$K$6,1,MATCH('County Climates'!E931,'CBECS_Table B5'!$C$1:$K$1,0))</f>
        <v>11232</v>
      </c>
    </row>
    <row r="932" spans="1:6" x14ac:dyDescent="0.25">
      <c r="A932" t="s">
        <v>944</v>
      </c>
      <c r="B932" t="s">
        <v>945</v>
      </c>
      <c r="C932" t="s">
        <v>956</v>
      </c>
      <c r="D932" t="s">
        <v>228</v>
      </c>
      <c r="E932" t="str">
        <f>INDEX('State Codes'!$E$7:$E$70,MATCH(INDEX('State Codes'!$C$7:$C$70,MATCH('County Climates'!B932,'State Codes'!$D$7:$D$70,0),1),'State Codes'!$C$7:$C$70,0),1)</f>
        <v>Middle Atlantic Division</v>
      </c>
      <c r="F932">
        <f>INDEX('CBECS_Table B5'!$C$6:$K$6,1,MATCH('County Climates'!E932,'CBECS_Table B5'!$C$1:$K$1,0))</f>
        <v>11232</v>
      </c>
    </row>
    <row r="933" spans="1:6" x14ac:dyDescent="0.25">
      <c r="A933" t="s">
        <v>944</v>
      </c>
      <c r="B933" t="s">
        <v>945</v>
      </c>
      <c r="C933" t="s">
        <v>755</v>
      </c>
      <c r="D933" t="s">
        <v>228</v>
      </c>
      <c r="E933" t="str">
        <f>INDEX('State Codes'!$E$7:$E$70,MATCH(INDEX('State Codes'!$C$7:$C$70,MATCH('County Climates'!B933,'State Codes'!$D$7:$D$70,0),1),'State Codes'!$C$7:$C$70,0),1)</f>
        <v>Middle Atlantic Division</v>
      </c>
      <c r="F933">
        <f>INDEX('CBECS_Table B5'!$C$6:$K$6,1,MATCH('County Climates'!E933,'CBECS_Table B5'!$C$1:$K$1,0))</f>
        <v>11232</v>
      </c>
    </row>
    <row r="934" spans="1:6" x14ac:dyDescent="0.25">
      <c r="A934" t="s">
        <v>944</v>
      </c>
      <c r="B934" t="s">
        <v>945</v>
      </c>
      <c r="C934" t="s">
        <v>273</v>
      </c>
      <c r="D934" t="s">
        <v>228</v>
      </c>
      <c r="E934" t="str">
        <f>INDEX('State Codes'!$E$7:$E$70,MATCH(INDEX('State Codes'!$C$7:$C$70,MATCH('County Climates'!B934,'State Codes'!$D$7:$D$70,0),1),'State Codes'!$C$7:$C$70,0),1)</f>
        <v>Middle Atlantic Division</v>
      </c>
      <c r="F934">
        <f>INDEX('CBECS_Table B5'!$C$6:$K$6,1,MATCH('County Climates'!E934,'CBECS_Table B5'!$C$1:$K$1,0))</f>
        <v>11232</v>
      </c>
    </row>
    <row r="935" spans="1:6" x14ac:dyDescent="0.25">
      <c r="A935" t="s">
        <v>944</v>
      </c>
      <c r="B935" t="s">
        <v>945</v>
      </c>
      <c r="C935" t="s">
        <v>314</v>
      </c>
      <c r="D935" t="s">
        <v>228</v>
      </c>
      <c r="E935" t="str">
        <f>INDEX('State Codes'!$E$7:$E$70,MATCH(INDEX('State Codes'!$C$7:$C$70,MATCH('County Climates'!B935,'State Codes'!$D$7:$D$70,0),1),'State Codes'!$C$7:$C$70,0),1)</f>
        <v>Middle Atlantic Division</v>
      </c>
      <c r="F935">
        <f>INDEX('CBECS_Table B5'!$C$6:$K$6,1,MATCH('County Climates'!E935,'CBECS_Table B5'!$C$1:$K$1,0))</f>
        <v>11232</v>
      </c>
    </row>
    <row r="936" spans="1:6" x14ac:dyDescent="0.25">
      <c r="A936" t="s">
        <v>944</v>
      </c>
      <c r="B936" t="s">
        <v>945</v>
      </c>
      <c r="C936" t="s">
        <v>957</v>
      </c>
      <c r="D936" t="s">
        <v>228</v>
      </c>
      <c r="E936" t="str">
        <f>INDEX('State Codes'!$E$7:$E$70,MATCH(INDEX('State Codes'!$C$7:$C$70,MATCH('County Climates'!B936,'State Codes'!$D$7:$D$70,0),1),'State Codes'!$C$7:$C$70,0),1)</f>
        <v>Middle Atlantic Division</v>
      </c>
      <c r="F936">
        <f>INDEX('CBECS_Table B5'!$C$6:$K$6,1,MATCH('County Climates'!E936,'CBECS_Table B5'!$C$1:$K$1,0))</f>
        <v>11232</v>
      </c>
    </row>
    <row r="937" spans="1:6" x14ac:dyDescent="0.25">
      <c r="A937" t="s">
        <v>944</v>
      </c>
      <c r="B937" t="s">
        <v>945</v>
      </c>
      <c r="C937" t="s">
        <v>275</v>
      </c>
      <c r="D937" t="s">
        <v>228</v>
      </c>
      <c r="E937" t="str">
        <f>INDEX('State Codes'!$E$7:$E$70,MATCH(INDEX('State Codes'!$C$7:$C$70,MATCH('County Climates'!B937,'State Codes'!$D$7:$D$70,0),1),'State Codes'!$C$7:$C$70,0),1)</f>
        <v>Middle Atlantic Division</v>
      </c>
      <c r="F937">
        <f>INDEX('CBECS_Table B5'!$C$6:$K$6,1,MATCH('County Climates'!E937,'CBECS_Table B5'!$C$1:$K$1,0))</f>
        <v>11232</v>
      </c>
    </row>
    <row r="938" spans="1:6" x14ac:dyDescent="0.25">
      <c r="A938" t="s">
        <v>944</v>
      </c>
      <c r="B938" t="s">
        <v>945</v>
      </c>
      <c r="C938" t="s">
        <v>609</v>
      </c>
      <c r="D938" t="s">
        <v>228</v>
      </c>
      <c r="E938" t="str">
        <f>INDEX('State Codes'!$E$7:$E$70,MATCH(INDEX('State Codes'!$C$7:$C$70,MATCH('County Climates'!B938,'State Codes'!$D$7:$D$70,0),1),'State Codes'!$C$7:$C$70,0),1)</f>
        <v>Middle Atlantic Division</v>
      </c>
      <c r="F938">
        <f>INDEX('CBECS_Table B5'!$C$6:$K$6,1,MATCH('County Climates'!E938,'CBECS_Table B5'!$C$1:$K$1,0))</f>
        <v>11232</v>
      </c>
    </row>
    <row r="939" spans="1:6" x14ac:dyDescent="0.25">
      <c r="A939" t="s">
        <v>944</v>
      </c>
      <c r="B939" t="s">
        <v>945</v>
      </c>
      <c r="C939" t="s">
        <v>958</v>
      </c>
      <c r="D939" t="s">
        <v>228</v>
      </c>
      <c r="E939" t="str">
        <f>INDEX('State Codes'!$E$7:$E$70,MATCH(INDEX('State Codes'!$C$7:$C$70,MATCH('County Climates'!B939,'State Codes'!$D$7:$D$70,0),1),'State Codes'!$C$7:$C$70,0),1)</f>
        <v>Middle Atlantic Division</v>
      </c>
      <c r="F939">
        <f>INDEX('CBECS_Table B5'!$C$6:$K$6,1,MATCH('County Climates'!E939,'CBECS_Table B5'!$C$1:$K$1,0))</f>
        <v>11232</v>
      </c>
    </row>
    <row r="940" spans="1:6" x14ac:dyDescent="0.25">
      <c r="A940" t="s">
        <v>944</v>
      </c>
      <c r="B940" t="s">
        <v>945</v>
      </c>
      <c r="C940" t="s">
        <v>280</v>
      </c>
      <c r="D940" t="s">
        <v>228</v>
      </c>
      <c r="E940" t="str">
        <f>INDEX('State Codes'!$E$7:$E$70,MATCH(INDEX('State Codes'!$C$7:$C$70,MATCH('County Climates'!B940,'State Codes'!$D$7:$D$70,0),1),'State Codes'!$C$7:$C$70,0),1)</f>
        <v>Middle Atlantic Division</v>
      </c>
      <c r="F940">
        <f>INDEX('CBECS_Table B5'!$C$6:$K$6,1,MATCH('County Climates'!E940,'CBECS_Table B5'!$C$1:$K$1,0))</f>
        <v>11232</v>
      </c>
    </row>
    <row r="941" spans="1:6" x14ac:dyDescent="0.25">
      <c r="A941" t="s">
        <v>944</v>
      </c>
      <c r="B941" t="s">
        <v>945</v>
      </c>
      <c r="C941" t="s">
        <v>959</v>
      </c>
      <c r="D941" t="s">
        <v>247</v>
      </c>
      <c r="E941" t="str">
        <f>INDEX('State Codes'!$E$7:$E$70,MATCH(INDEX('State Codes'!$C$7:$C$70,MATCH('County Climates'!B941,'State Codes'!$D$7:$D$70,0),1),'State Codes'!$C$7:$C$70,0),1)</f>
        <v>Middle Atlantic Division</v>
      </c>
      <c r="F941">
        <f>INDEX('CBECS_Table B5'!$C$6:$K$6,1,MATCH('County Climates'!E941,'CBECS_Table B5'!$C$1:$K$1,0))</f>
        <v>11232</v>
      </c>
    </row>
    <row r="942" spans="1:6" x14ac:dyDescent="0.25">
      <c r="A942" t="s">
        <v>944</v>
      </c>
      <c r="B942" t="s">
        <v>945</v>
      </c>
      <c r="C942" t="s">
        <v>540</v>
      </c>
      <c r="D942" t="s">
        <v>228</v>
      </c>
      <c r="E942" t="str">
        <f>INDEX('State Codes'!$E$7:$E$70,MATCH(INDEX('State Codes'!$C$7:$C$70,MATCH('County Climates'!B942,'State Codes'!$D$7:$D$70,0),1),'State Codes'!$C$7:$C$70,0),1)</f>
        <v>Middle Atlantic Division</v>
      </c>
      <c r="F942">
        <f>INDEX('CBECS_Table B5'!$C$6:$K$6,1,MATCH('County Climates'!E942,'CBECS_Table B5'!$C$1:$K$1,0))</f>
        <v>11232</v>
      </c>
    </row>
    <row r="943" spans="1:6" x14ac:dyDescent="0.25">
      <c r="A943" t="s">
        <v>944</v>
      </c>
      <c r="B943" t="s">
        <v>945</v>
      </c>
      <c r="C943" t="s">
        <v>684</v>
      </c>
      <c r="D943" t="s">
        <v>228</v>
      </c>
      <c r="E943" t="str">
        <f>INDEX('State Codes'!$E$7:$E$70,MATCH(INDEX('State Codes'!$C$7:$C$70,MATCH('County Climates'!B943,'State Codes'!$D$7:$D$70,0),1),'State Codes'!$C$7:$C$70,0),1)</f>
        <v>Middle Atlantic Division</v>
      </c>
      <c r="F943">
        <f>INDEX('CBECS_Table B5'!$C$6:$K$6,1,MATCH('County Climates'!E943,'CBECS_Table B5'!$C$1:$K$1,0))</f>
        <v>11232</v>
      </c>
    </row>
    <row r="944" spans="1:6" x14ac:dyDescent="0.25">
      <c r="A944" t="s">
        <v>944</v>
      </c>
      <c r="B944" t="s">
        <v>945</v>
      </c>
      <c r="C944" t="s">
        <v>288</v>
      </c>
      <c r="D944" t="s">
        <v>228</v>
      </c>
      <c r="E944" t="str">
        <f>INDEX('State Codes'!$E$7:$E$70,MATCH(INDEX('State Codes'!$C$7:$C$70,MATCH('County Climates'!B944,'State Codes'!$D$7:$D$70,0),1),'State Codes'!$C$7:$C$70,0),1)</f>
        <v>Middle Atlantic Division</v>
      </c>
      <c r="F944">
        <f>INDEX('CBECS_Table B5'!$C$6:$K$6,1,MATCH('County Climates'!E944,'CBECS_Table B5'!$C$1:$K$1,0))</f>
        <v>11232</v>
      </c>
    </row>
    <row r="945" spans="1:6" x14ac:dyDescent="0.25">
      <c r="A945" t="s">
        <v>944</v>
      </c>
      <c r="B945" t="s">
        <v>945</v>
      </c>
      <c r="C945" t="s">
        <v>293</v>
      </c>
      <c r="D945" t="s">
        <v>228</v>
      </c>
      <c r="E945" t="str">
        <f>INDEX('State Codes'!$E$7:$E$70,MATCH(INDEX('State Codes'!$C$7:$C$70,MATCH('County Climates'!B945,'State Codes'!$D$7:$D$70,0),1),'State Codes'!$C$7:$C$70,0),1)</f>
        <v>Middle Atlantic Division</v>
      </c>
      <c r="F945">
        <f>INDEX('CBECS_Table B5'!$C$6:$K$6,1,MATCH('County Climates'!E945,'CBECS_Table B5'!$C$1:$K$1,0))</f>
        <v>11232</v>
      </c>
    </row>
    <row r="946" spans="1:6" x14ac:dyDescent="0.25">
      <c r="A946" t="s">
        <v>944</v>
      </c>
      <c r="B946" t="s">
        <v>945</v>
      </c>
      <c r="C946" t="s">
        <v>294</v>
      </c>
      <c r="D946" t="s">
        <v>228</v>
      </c>
      <c r="E946" t="str">
        <f>INDEX('State Codes'!$E$7:$E$70,MATCH(INDEX('State Codes'!$C$7:$C$70,MATCH('County Climates'!B946,'State Codes'!$D$7:$D$70,0),1),'State Codes'!$C$7:$C$70,0),1)</f>
        <v>Middle Atlantic Division</v>
      </c>
      <c r="F946">
        <f>INDEX('CBECS_Table B5'!$C$6:$K$6,1,MATCH('County Climates'!E946,'CBECS_Table B5'!$C$1:$K$1,0))</f>
        <v>11232</v>
      </c>
    </row>
    <row r="947" spans="1:6" x14ac:dyDescent="0.25">
      <c r="A947" t="s">
        <v>944</v>
      </c>
      <c r="B947" t="s">
        <v>945</v>
      </c>
      <c r="C947" t="s">
        <v>960</v>
      </c>
      <c r="D947" t="s">
        <v>247</v>
      </c>
      <c r="E947" t="str">
        <f>INDEX('State Codes'!$E$7:$E$70,MATCH(INDEX('State Codes'!$C$7:$C$70,MATCH('County Climates'!B947,'State Codes'!$D$7:$D$70,0),1),'State Codes'!$C$7:$C$70,0),1)</f>
        <v>Middle Atlantic Division</v>
      </c>
      <c r="F947">
        <f>INDEX('CBECS_Table B5'!$C$6:$K$6,1,MATCH('County Climates'!E947,'CBECS_Table B5'!$C$1:$K$1,0))</f>
        <v>11232</v>
      </c>
    </row>
    <row r="948" spans="1:6" x14ac:dyDescent="0.25">
      <c r="A948" t="s">
        <v>944</v>
      </c>
      <c r="B948" t="s">
        <v>945</v>
      </c>
      <c r="C948" t="s">
        <v>961</v>
      </c>
      <c r="D948" t="s">
        <v>247</v>
      </c>
      <c r="E948" t="str">
        <f>INDEX('State Codes'!$E$7:$E$70,MATCH(INDEX('State Codes'!$C$7:$C$70,MATCH('County Climates'!B948,'State Codes'!$D$7:$D$70,0),1),'State Codes'!$C$7:$C$70,0),1)</f>
        <v>Middle Atlantic Division</v>
      </c>
      <c r="F948">
        <f>INDEX('CBECS_Table B5'!$C$6:$K$6,1,MATCH('County Climates'!E948,'CBECS_Table B5'!$C$1:$K$1,0))</f>
        <v>11232</v>
      </c>
    </row>
    <row r="949" spans="1:6" x14ac:dyDescent="0.25">
      <c r="A949" t="s">
        <v>944</v>
      </c>
      <c r="B949" t="s">
        <v>945</v>
      </c>
      <c r="C949" t="s">
        <v>962</v>
      </c>
      <c r="D949" t="s">
        <v>228</v>
      </c>
      <c r="E949" t="str">
        <f>INDEX('State Codes'!$E$7:$E$70,MATCH(INDEX('State Codes'!$C$7:$C$70,MATCH('County Climates'!B949,'State Codes'!$D$7:$D$70,0),1),'State Codes'!$C$7:$C$70,0),1)</f>
        <v>Middle Atlantic Division</v>
      </c>
      <c r="F949">
        <f>INDEX('CBECS_Table B5'!$C$6:$K$6,1,MATCH('County Climates'!E949,'CBECS_Table B5'!$C$1:$K$1,0))</f>
        <v>11232</v>
      </c>
    </row>
    <row r="950" spans="1:6" x14ac:dyDescent="0.25">
      <c r="A950" t="s">
        <v>944</v>
      </c>
      <c r="B950" t="s">
        <v>945</v>
      </c>
      <c r="C950" t="s">
        <v>963</v>
      </c>
      <c r="D950" t="s">
        <v>228</v>
      </c>
      <c r="E950" t="str">
        <f>INDEX('State Codes'!$E$7:$E$70,MATCH(INDEX('State Codes'!$C$7:$C$70,MATCH('County Climates'!B950,'State Codes'!$D$7:$D$70,0),1),'State Codes'!$C$7:$C$70,0),1)</f>
        <v>Middle Atlantic Division</v>
      </c>
      <c r="F950">
        <f>INDEX('CBECS_Table B5'!$C$6:$K$6,1,MATCH('County Climates'!E950,'CBECS_Table B5'!$C$1:$K$1,0))</f>
        <v>11232</v>
      </c>
    </row>
    <row r="951" spans="1:6" x14ac:dyDescent="0.25">
      <c r="A951" t="s">
        <v>944</v>
      </c>
      <c r="B951" t="s">
        <v>945</v>
      </c>
      <c r="C951" t="s">
        <v>964</v>
      </c>
      <c r="D951" t="s">
        <v>228</v>
      </c>
      <c r="E951" t="str">
        <f>INDEX('State Codes'!$E$7:$E$70,MATCH(INDEX('State Codes'!$C$7:$C$70,MATCH('County Climates'!B951,'State Codes'!$D$7:$D$70,0),1),'State Codes'!$C$7:$C$70,0),1)</f>
        <v>Middle Atlantic Division</v>
      </c>
      <c r="F951">
        <f>INDEX('CBECS_Table B5'!$C$6:$K$6,1,MATCH('County Climates'!E951,'CBECS_Table B5'!$C$1:$K$1,0))</f>
        <v>11232</v>
      </c>
    </row>
    <row r="952" spans="1:6" x14ac:dyDescent="0.25">
      <c r="A952" t="s">
        <v>944</v>
      </c>
      <c r="B952" t="s">
        <v>945</v>
      </c>
      <c r="C952" t="s">
        <v>965</v>
      </c>
      <c r="D952" t="s">
        <v>228</v>
      </c>
      <c r="E952" t="str">
        <f>INDEX('State Codes'!$E$7:$E$70,MATCH(INDEX('State Codes'!$C$7:$C$70,MATCH('County Climates'!B952,'State Codes'!$D$7:$D$70,0),1),'State Codes'!$C$7:$C$70,0),1)</f>
        <v>Middle Atlantic Division</v>
      </c>
      <c r="F952">
        <f>INDEX('CBECS_Table B5'!$C$6:$K$6,1,MATCH('County Climates'!E952,'CBECS_Table B5'!$C$1:$K$1,0))</f>
        <v>11232</v>
      </c>
    </row>
    <row r="953" spans="1:6" x14ac:dyDescent="0.25">
      <c r="A953" t="s">
        <v>944</v>
      </c>
      <c r="B953" t="s">
        <v>945</v>
      </c>
      <c r="C953" t="s">
        <v>966</v>
      </c>
      <c r="D953" t="s">
        <v>228</v>
      </c>
      <c r="E953" t="str">
        <f>INDEX('State Codes'!$E$7:$E$70,MATCH(INDEX('State Codes'!$C$7:$C$70,MATCH('County Climates'!B953,'State Codes'!$D$7:$D$70,0),1),'State Codes'!$C$7:$C$70,0),1)</f>
        <v>Middle Atlantic Division</v>
      </c>
      <c r="F953">
        <f>INDEX('CBECS_Table B5'!$C$6:$K$6,1,MATCH('County Climates'!E953,'CBECS_Table B5'!$C$1:$K$1,0))</f>
        <v>11232</v>
      </c>
    </row>
    <row r="954" spans="1:6" x14ac:dyDescent="0.25">
      <c r="A954" t="s">
        <v>944</v>
      </c>
      <c r="B954" t="s">
        <v>945</v>
      </c>
      <c r="C954" t="s">
        <v>967</v>
      </c>
      <c r="D954" t="s">
        <v>228</v>
      </c>
      <c r="E954" t="str">
        <f>INDEX('State Codes'!$E$7:$E$70,MATCH(INDEX('State Codes'!$C$7:$C$70,MATCH('County Climates'!B954,'State Codes'!$D$7:$D$70,0),1),'State Codes'!$C$7:$C$70,0),1)</f>
        <v>Middle Atlantic Division</v>
      </c>
      <c r="F954">
        <f>INDEX('CBECS_Table B5'!$C$6:$K$6,1,MATCH('County Climates'!E954,'CBECS_Table B5'!$C$1:$K$1,0))</f>
        <v>11232</v>
      </c>
    </row>
    <row r="955" spans="1:6" x14ac:dyDescent="0.25">
      <c r="A955" t="s">
        <v>944</v>
      </c>
      <c r="B955" t="s">
        <v>945</v>
      </c>
      <c r="C955" t="s">
        <v>968</v>
      </c>
      <c r="D955" t="s">
        <v>228</v>
      </c>
      <c r="E955" t="str">
        <f>INDEX('State Codes'!$E$7:$E$70,MATCH(INDEX('State Codes'!$C$7:$C$70,MATCH('County Climates'!B955,'State Codes'!$D$7:$D$70,0),1),'State Codes'!$C$7:$C$70,0),1)</f>
        <v>Middle Atlantic Division</v>
      </c>
      <c r="F955">
        <f>INDEX('CBECS_Table B5'!$C$6:$K$6,1,MATCH('County Climates'!E955,'CBECS_Table B5'!$C$1:$K$1,0))</f>
        <v>11232</v>
      </c>
    </row>
    <row r="956" spans="1:6" x14ac:dyDescent="0.25">
      <c r="A956" t="s">
        <v>944</v>
      </c>
      <c r="B956" t="s">
        <v>945</v>
      </c>
      <c r="C956" t="s">
        <v>969</v>
      </c>
      <c r="D956" t="s">
        <v>228</v>
      </c>
      <c r="E956" t="str">
        <f>INDEX('State Codes'!$E$7:$E$70,MATCH(INDEX('State Codes'!$C$7:$C$70,MATCH('County Climates'!B956,'State Codes'!$D$7:$D$70,0),1),'State Codes'!$C$7:$C$70,0),1)</f>
        <v>Middle Atlantic Division</v>
      </c>
      <c r="F956">
        <f>INDEX('CBECS_Table B5'!$C$6:$K$6,1,MATCH('County Climates'!E956,'CBECS_Table B5'!$C$1:$K$1,0))</f>
        <v>11232</v>
      </c>
    </row>
    <row r="957" spans="1:6" x14ac:dyDescent="0.25">
      <c r="A957" t="s">
        <v>944</v>
      </c>
      <c r="B957" t="s">
        <v>945</v>
      </c>
      <c r="C957" t="s">
        <v>556</v>
      </c>
      <c r="D957" t="s">
        <v>228</v>
      </c>
      <c r="E957" t="str">
        <f>INDEX('State Codes'!$E$7:$E$70,MATCH(INDEX('State Codes'!$C$7:$C$70,MATCH('County Climates'!B957,'State Codes'!$D$7:$D$70,0),1),'State Codes'!$C$7:$C$70,0),1)</f>
        <v>Middle Atlantic Division</v>
      </c>
      <c r="F957">
        <f>INDEX('CBECS_Table B5'!$C$6:$K$6,1,MATCH('County Climates'!E957,'CBECS_Table B5'!$C$1:$K$1,0))</f>
        <v>11232</v>
      </c>
    </row>
    <row r="958" spans="1:6" x14ac:dyDescent="0.25">
      <c r="A958" t="s">
        <v>944</v>
      </c>
      <c r="B958" t="s">
        <v>945</v>
      </c>
      <c r="C958" t="s">
        <v>970</v>
      </c>
      <c r="D958" t="s">
        <v>247</v>
      </c>
      <c r="E958" t="str">
        <f>INDEX('State Codes'!$E$7:$E$70,MATCH(INDEX('State Codes'!$C$7:$C$70,MATCH('County Climates'!B958,'State Codes'!$D$7:$D$70,0),1),'State Codes'!$C$7:$C$70,0),1)</f>
        <v>Middle Atlantic Division</v>
      </c>
      <c r="F958">
        <f>INDEX('CBECS_Table B5'!$C$6:$K$6,1,MATCH('County Climates'!E958,'CBECS_Table B5'!$C$1:$K$1,0))</f>
        <v>11232</v>
      </c>
    </row>
    <row r="959" spans="1:6" x14ac:dyDescent="0.25">
      <c r="A959" t="s">
        <v>944</v>
      </c>
      <c r="B959" t="s">
        <v>945</v>
      </c>
      <c r="C959" t="s">
        <v>971</v>
      </c>
      <c r="D959" t="s">
        <v>228</v>
      </c>
      <c r="E959" t="str">
        <f>INDEX('State Codes'!$E$7:$E$70,MATCH(INDEX('State Codes'!$C$7:$C$70,MATCH('County Climates'!B959,'State Codes'!$D$7:$D$70,0),1),'State Codes'!$C$7:$C$70,0),1)</f>
        <v>Middle Atlantic Division</v>
      </c>
      <c r="F959">
        <f>INDEX('CBECS_Table B5'!$C$6:$K$6,1,MATCH('County Climates'!E959,'CBECS_Table B5'!$C$1:$K$1,0))</f>
        <v>11232</v>
      </c>
    </row>
    <row r="960" spans="1:6" x14ac:dyDescent="0.25">
      <c r="A960" t="s">
        <v>944</v>
      </c>
      <c r="B960" t="s">
        <v>945</v>
      </c>
      <c r="C960" t="s">
        <v>972</v>
      </c>
      <c r="D960" t="s">
        <v>247</v>
      </c>
      <c r="E960" t="str">
        <f>INDEX('State Codes'!$E$7:$E$70,MATCH(INDEX('State Codes'!$C$7:$C$70,MATCH('County Climates'!B960,'State Codes'!$D$7:$D$70,0),1),'State Codes'!$C$7:$C$70,0),1)</f>
        <v>Middle Atlantic Division</v>
      </c>
      <c r="F960">
        <f>INDEX('CBECS_Table B5'!$C$6:$K$6,1,MATCH('County Climates'!E960,'CBECS_Table B5'!$C$1:$K$1,0))</f>
        <v>11232</v>
      </c>
    </row>
    <row r="961" spans="1:6" x14ac:dyDescent="0.25">
      <c r="A961" t="s">
        <v>944</v>
      </c>
      <c r="B961" t="s">
        <v>945</v>
      </c>
      <c r="C961" t="s">
        <v>973</v>
      </c>
      <c r="D961" t="s">
        <v>228</v>
      </c>
      <c r="E961" t="str">
        <f>INDEX('State Codes'!$E$7:$E$70,MATCH(INDEX('State Codes'!$C$7:$C$70,MATCH('County Climates'!B961,'State Codes'!$D$7:$D$70,0),1),'State Codes'!$C$7:$C$70,0),1)</f>
        <v>Middle Atlantic Division</v>
      </c>
      <c r="F961">
        <f>INDEX('CBECS_Table B5'!$C$6:$K$6,1,MATCH('County Climates'!E961,'CBECS_Table B5'!$C$1:$K$1,0))</f>
        <v>11232</v>
      </c>
    </row>
    <row r="962" spans="1:6" x14ac:dyDescent="0.25">
      <c r="A962" t="s">
        <v>944</v>
      </c>
      <c r="B962" t="s">
        <v>945</v>
      </c>
      <c r="C962" t="s">
        <v>974</v>
      </c>
      <c r="D962" t="s">
        <v>228</v>
      </c>
      <c r="E962" t="str">
        <f>INDEX('State Codes'!$E$7:$E$70,MATCH(INDEX('State Codes'!$C$7:$C$70,MATCH('County Climates'!B962,'State Codes'!$D$7:$D$70,0),1),'State Codes'!$C$7:$C$70,0),1)</f>
        <v>Middle Atlantic Division</v>
      </c>
      <c r="F962">
        <f>INDEX('CBECS_Table B5'!$C$6:$K$6,1,MATCH('County Climates'!E962,'CBECS_Table B5'!$C$1:$K$1,0))</f>
        <v>11232</v>
      </c>
    </row>
    <row r="963" spans="1:6" x14ac:dyDescent="0.25">
      <c r="A963" t="s">
        <v>944</v>
      </c>
      <c r="B963" t="s">
        <v>945</v>
      </c>
      <c r="C963" t="s">
        <v>975</v>
      </c>
      <c r="D963" t="s">
        <v>228</v>
      </c>
      <c r="E963" t="str">
        <f>INDEX('State Codes'!$E$7:$E$70,MATCH(INDEX('State Codes'!$C$7:$C$70,MATCH('County Climates'!B963,'State Codes'!$D$7:$D$70,0),1),'State Codes'!$C$7:$C$70,0),1)</f>
        <v>Middle Atlantic Division</v>
      </c>
      <c r="F963">
        <f>INDEX('CBECS_Table B5'!$C$6:$K$6,1,MATCH('County Climates'!E963,'CBECS_Table B5'!$C$1:$K$1,0))</f>
        <v>11232</v>
      </c>
    </row>
    <row r="964" spans="1:6" x14ac:dyDescent="0.25">
      <c r="A964" t="s">
        <v>944</v>
      </c>
      <c r="B964" t="s">
        <v>945</v>
      </c>
      <c r="C964" t="s">
        <v>976</v>
      </c>
      <c r="D964" t="s">
        <v>228</v>
      </c>
      <c r="E964" t="str">
        <f>INDEX('State Codes'!$E$7:$E$70,MATCH(INDEX('State Codes'!$C$7:$C$70,MATCH('County Climates'!B964,'State Codes'!$D$7:$D$70,0),1),'State Codes'!$C$7:$C$70,0),1)</f>
        <v>Middle Atlantic Division</v>
      </c>
      <c r="F964">
        <f>INDEX('CBECS_Table B5'!$C$6:$K$6,1,MATCH('County Climates'!E964,'CBECS_Table B5'!$C$1:$K$1,0))</f>
        <v>11232</v>
      </c>
    </row>
    <row r="965" spans="1:6" x14ac:dyDescent="0.25">
      <c r="A965" t="s">
        <v>944</v>
      </c>
      <c r="B965" t="s">
        <v>945</v>
      </c>
      <c r="C965" t="s">
        <v>560</v>
      </c>
      <c r="D965" t="s">
        <v>228</v>
      </c>
      <c r="E965" t="str">
        <f>INDEX('State Codes'!$E$7:$E$70,MATCH(INDEX('State Codes'!$C$7:$C$70,MATCH('County Climates'!B965,'State Codes'!$D$7:$D$70,0),1),'State Codes'!$C$7:$C$70,0),1)</f>
        <v>Middle Atlantic Division</v>
      </c>
      <c r="F965">
        <f>INDEX('CBECS_Table B5'!$C$6:$K$6,1,MATCH('County Climates'!E965,'CBECS_Table B5'!$C$1:$K$1,0))</f>
        <v>11232</v>
      </c>
    </row>
    <row r="966" spans="1:6" x14ac:dyDescent="0.25">
      <c r="A966" t="s">
        <v>944</v>
      </c>
      <c r="B966" t="s">
        <v>945</v>
      </c>
      <c r="C966" t="s">
        <v>977</v>
      </c>
      <c r="D966" t="s">
        <v>228</v>
      </c>
      <c r="E966" t="str">
        <f>INDEX('State Codes'!$E$7:$E$70,MATCH(INDEX('State Codes'!$C$7:$C$70,MATCH('County Climates'!B966,'State Codes'!$D$7:$D$70,0),1),'State Codes'!$C$7:$C$70,0),1)</f>
        <v>Middle Atlantic Division</v>
      </c>
      <c r="F966">
        <f>INDEX('CBECS_Table B5'!$C$6:$K$6,1,MATCH('County Climates'!E966,'CBECS_Table B5'!$C$1:$K$1,0))</f>
        <v>11232</v>
      </c>
    </row>
    <row r="967" spans="1:6" x14ac:dyDescent="0.25">
      <c r="A967" t="s">
        <v>944</v>
      </c>
      <c r="B967" t="s">
        <v>945</v>
      </c>
      <c r="C967" t="s">
        <v>978</v>
      </c>
      <c r="D967" t="s">
        <v>228</v>
      </c>
      <c r="E967" t="str">
        <f>INDEX('State Codes'!$E$7:$E$70,MATCH(INDEX('State Codes'!$C$7:$C$70,MATCH('County Climates'!B967,'State Codes'!$D$7:$D$70,0),1),'State Codes'!$C$7:$C$70,0),1)</f>
        <v>Middle Atlantic Division</v>
      </c>
      <c r="F967">
        <f>INDEX('CBECS_Table B5'!$C$6:$K$6,1,MATCH('County Climates'!E967,'CBECS_Table B5'!$C$1:$K$1,0))</f>
        <v>11232</v>
      </c>
    </row>
    <row r="968" spans="1:6" x14ac:dyDescent="0.25">
      <c r="A968" t="s">
        <v>944</v>
      </c>
      <c r="B968" t="s">
        <v>945</v>
      </c>
      <c r="C968" t="s">
        <v>979</v>
      </c>
      <c r="D968" t="s">
        <v>228</v>
      </c>
      <c r="E968" t="str">
        <f>INDEX('State Codes'!$E$7:$E$70,MATCH(INDEX('State Codes'!$C$7:$C$70,MATCH('County Climates'!B968,'State Codes'!$D$7:$D$70,0),1),'State Codes'!$C$7:$C$70,0),1)</f>
        <v>Middle Atlantic Division</v>
      </c>
      <c r="F968">
        <f>INDEX('CBECS_Table B5'!$C$6:$K$6,1,MATCH('County Climates'!E968,'CBECS_Table B5'!$C$1:$K$1,0))</f>
        <v>11232</v>
      </c>
    </row>
    <row r="969" spans="1:6" x14ac:dyDescent="0.25">
      <c r="A969" t="s">
        <v>944</v>
      </c>
      <c r="B969" t="s">
        <v>945</v>
      </c>
      <c r="C969" t="s">
        <v>761</v>
      </c>
      <c r="D969" t="s">
        <v>247</v>
      </c>
      <c r="E969" t="str">
        <f>INDEX('State Codes'!$E$7:$E$70,MATCH(INDEX('State Codes'!$C$7:$C$70,MATCH('County Climates'!B969,'State Codes'!$D$7:$D$70,0),1),'State Codes'!$C$7:$C$70,0),1)</f>
        <v>Middle Atlantic Division</v>
      </c>
      <c r="F969">
        <f>INDEX('CBECS_Table B5'!$C$6:$K$6,1,MATCH('County Climates'!E969,'CBECS_Table B5'!$C$1:$K$1,0))</f>
        <v>11232</v>
      </c>
    </row>
    <row r="970" spans="1:6" x14ac:dyDescent="0.25">
      <c r="A970" t="s">
        <v>944</v>
      </c>
      <c r="B970" t="s">
        <v>945</v>
      </c>
      <c r="C970" t="s">
        <v>867</v>
      </c>
      <c r="D970" t="s">
        <v>228</v>
      </c>
      <c r="E970" t="str">
        <f>INDEX('State Codes'!$E$7:$E$70,MATCH(INDEX('State Codes'!$C$7:$C$70,MATCH('County Climates'!B970,'State Codes'!$D$7:$D$70,0),1),'State Codes'!$C$7:$C$70,0),1)</f>
        <v>Middle Atlantic Division</v>
      </c>
      <c r="F970">
        <f>INDEX('CBECS_Table B5'!$C$6:$K$6,1,MATCH('County Climates'!E970,'CBECS_Table B5'!$C$1:$K$1,0))</f>
        <v>11232</v>
      </c>
    </row>
    <row r="971" spans="1:6" x14ac:dyDescent="0.25">
      <c r="A971" t="s">
        <v>944</v>
      </c>
      <c r="B971" t="s">
        <v>945</v>
      </c>
      <c r="C971" t="s">
        <v>980</v>
      </c>
      <c r="D971" t="s">
        <v>228</v>
      </c>
      <c r="E971" t="str">
        <f>INDEX('State Codes'!$E$7:$E$70,MATCH(INDEX('State Codes'!$C$7:$C$70,MATCH('County Climates'!B971,'State Codes'!$D$7:$D$70,0),1),'State Codes'!$C$7:$C$70,0),1)</f>
        <v>Middle Atlantic Division</v>
      </c>
      <c r="F971">
        <f>INDEX('CBECS_Table B5'!$C$6:$K$6,1,MATCH('County Climates'!E971,'CBECS_Table B5'!$C$1:$K$1,0))</f>
        <v>11232</v>
      </c>
    </row>
    <row r="972" spans="1:6" x14ac:dyDescent="0.25">
      <c r="A972" t="s">
        <v>944</v>
      </c>
      <c r="B972" t="s">
        <v>945</v>
      </c>
      <c r="C972" t="s">
        <v>981</v>
      </c>
      <c r="D972" t="s">
        <v>228</v>
      </c>
      <c r="E972" t="str">
        <f>INDEX('State Codes'!$E$7:$E$70,MATCH(INDEX('State Codes'!$C$7:$C$70,MATCH('County Climates'!B972,'State Codes'!$D$7:$D$70,0),1),'State Codes'!$C$7:$C$70,0),1)</f>
        <v>Middle Atlantic Division</v>
      </c>
      <c r="F972">
        <f>INDEX('CBECS_Table B5'!$C$6:$K$6,1,MATCH('County Climates'!E972,'CBECS_Table B5'!$C$1:$K$1,0))</f>
        <v>11232</v>
      </c>
    </row>
    <row r="973" spans="1:6" x14ac:dyDescent="0.25">
      <c r="A973" t="s">
        <v>944</v>
      </c>
      <c r="B973" t="s">
        <v>945</v>
      </c>
      <c r="C973" t="s">
        <v>982</v>
      </c>
      <c r="D973" t="s">
        <v>228</v>
      </c>
      <c r="E973" t="str">
        <f>INDEX('State Codes'!$E$7:$E$70,MATCH(INDEX('State Codes'!$C$7:$C$70,MATCH('County Climates'!B973,'State Codes'!$D$7:$D$70,0),1),'State Codes'!$C$7:$C$70,0),1)</f>
        <v>Middle Atlantic Division</v>
      </c>
      <c r="F973">
        <f>INDEX('CBECS_Table B5'!$C$6:$K$6,1,MATCH('County Climates'!E973,'CBECS_Table B5'!$C$1:$K$1,0))</f>
        <v>11232</v>
      </c>
    </row>
    <row r="974" spans="1:6" x14ac:dyDescent="0.25">
      <c r="A974" t="s">
        <v>944</v>
      </c>
      <c r="B974" t="s">
        <v>945</v>
      </c>
      <c r="C974" t="s">
        <v>497</v>
      </c>
      <c r="D974" t="s">
        <v>228</v>
      </c>
      <c r="E974" t="str">
        <f>INDEX('State Codes'!$E$7:$E$70,MATCH(INDEX('State Codes'!$C$7:$C$70,MATCH('County Climates'!B974,'State Codes'!$D$7:$D$70,0),1),'State Codes'!$C$7:$C$70,0),1)</f>
        <v>Middle Atlantic Division</v>
      </c>
      <c r="F974">
        <f>INDEX('CBECS_Table B5'!$C$6:$K$6,1,MATCH('County Climates'!E974,'CBECS_Table B5'!$C$1:$K$1,0))</f>
        <v>11232</v>
      </c>
    </row>
    <row r="975" spans="1:6" x14ac:dyDescent="0.25">
      <c r="A975" t="s">
        <v>983</v>
      </c>
      <c r="B975" t="s">
        <v>984</v>
      </c>
      <c r="C975" t="s">
        <v>649</v>
      </c>
      <c r="D975" t="s">
        <v>228</v>
      </c>
      <c r="E975" t="str">
        <f>INDEX('State Codes'!$E$7:$E$70,MATCH(INDEX('State Codes'!$C$7:$C$70,MATCH('County Climates'!B975,'State Codes'!$D$7:$D$70,0),1),'State Codes'!$C$7:$C$70,0),1)</f>
        <v>South Atlantic Division</v>
      </c>
      <c r="F975">
        <f>INDEX('CBECS_Table B5'!$C$6:$K$6,1,MATCH('County Climates'!E975,'CBECS_Table B5'!$C$1:$K$1,0))</f>
        <v>17981</v>
      </c>
    </row>
    <row r="976" spans="1:6" x14ac:dyDescent="0.25">
      <c r="A976" t="s">
        <v>983</v>
      </c>
      <c r="B976" t="s">
        <v>984</v>
      </c>
      <c r="C976" t="s">
        <v>294</v>
      </c>
      <c r="D976" t="s">
        <v>247</v>
      </c>
      <c r="E976" t="str">
        <f>INDEX('State Codes'!$E$7:$E$70,MATCH(INDEX('State Codes'!$C$7:$C$70,MATCH('County Climates'!B976,'State Codes'!$D$7:$D$70,0),1),'State Codes'!$C$7:$C$70,0),1)</f>
        <v>South Atlantic Division</v>
      </c>
      <c r="F976">
        <f>INDEX('CBECS_Table B5'!$C$6:$K$6,1,MATCH('County Climates'!E976,'CBECS_Table B5'!$C$1:$K$1,0))</f>
        <v>17981</v>
      </c>
    </row>
    <row r="977" spans="1:6" x14ac:dyDescent="0.25">
      <c r="A977" t="s">
        <v>983</v>
      </c>
      <c r="B977" t="s">
        <v>984</v>
      </c>
      <c r="C977" t="s">
        <v>985</v>
      </c>
      <c r="D977" t="s">
        <v>247</v>
      </c>
      <c r="E977" t="str">
        <f>INDEX('State Codes'!$E$7:$E$70,MATCH(INDEX('State Codes'!$C$7:$C$70,MATCH('County Climates'!B977,'State Codes'!$D$7:$D$70,0),1),'State Codes'!$C$7:$C$70,0),1)</f>
        <v>South Atlantic Division</v>
      </c>
      <c r="F977">
        <f>INDEX('CBECS_Table B5'!$C$6:$K$6,1,MATCH('County Climates'!E977,'CBECS_Table B5'!$C$1:$K$1,0))</f>
        <v>17981</v>
      </c>
    </row>
    <row r="978" spans="1:6" x14ac:dyDescent="0.25">
      <c r="A978" t="s">
        <v>983</v>
      </c>
      <c r="B978" t="s">
        <v>984</v>
      </c>
      <c r="C978" t="s">
        <v>986</v>
      </c>
      <c r="D978" t="s">
        <v>247</v>
      </c>
      <c r="E978" t="str">
        <f>INDEX('State Codes'!$E$7:$E$70,MATCH(INDEX('State Codes'!$C$7:$C$70,MATCH('County Climates'!B978,'State Codes'!$D$7:$D$70,0),1),'State Codes'!$C$7:$C$70,0),1)</f>
        <v>South Atlantic Division</v>
      </c>
      <c r="F978">
        <f>INDEX('CBECS_Table B5'!$C$6:$K$6,1,MATCH('County Climates'!E978,'CBECS_Table B5'!$C$1:$K$1,0))</f>
        <v>17981</v>
      </c>
    </row>
    <row r="979" spans="1:6" x14ac:dyDescent="0.25">
      <c r="A979" t="s">
        <v>983</v>
      </c>
      <c r="B979" t="s">
        <v>984</v>
      </c>
      <c r="C979" t="s">
        <v>987</v>
      </c>
      <c r="D979" t="s">
        <v>243</v>
      </c>
      <c r="E979" t="str">
        <f>INDEX('State Codes'!$E$7:$E$70,MATCH(INDEX('State Codes'!$C$7:$C$70,MATCH('County Climates'!B979,'State Codes'!$D$7:$D$70,0),1),'State Codes'!$C$7:$C$70,0),1)</f>
        <v>South Atlantic Division</v>
      </c>
      <c r="F979">
        <f>INDEX('CBECS_Table B5'!$C$6:$K$6,1,MATCH('County Climates'!E979,'CBECS_Table B5'!$C$1:$K$1,0))</f>
        <v>17981</v>
      </c>
    </row>
    <row r="980" spans="1:6" x14ac:dyDescent="0.25">
      <c r="A980" t="s">
        <v>983</v>
      </c>
      <c r="B980" t="s">
        <v>984</v>
      </c>
      <c r="C980" t="s">
        <v>988</v>
      </c>
      <c r="D980" t="s">
        <v>247</v>
      </c>
      <c r="E980" t="str">
        <f>INDEX('State Codes'!$E$7:$E$70,MATCH(INDEX('State Codes'!$C$7:$C$70,MATCH('County Climates'!B980,'State Codes'!$D$7:$D$70,0),1),'State Codes'!$C$7:$C$70,0),1)</f>
        <v>South Atlantic Division</v>
      </c>
      <c r="F980">
        <f>INDEX('CBECS_Table B5'!$C$6:$K$6,1,MATCH('County Climates'!E980,'CBECS_Table B5'!$C$1:$K$1,0))</f>
        <v>17981</v>
      </c>
    </row>
    <row r="981" spans="1:6" x14ac:dyDescent="0.25">
      <c r="A981" t="s">
        <v>983</v>
      </c>
      <c r="B981" t="s">
        <v>984</v>
      </c>
      <c r="C981" t="s">
        <v>989</v>
      </c>
      <c r="D981" t="s">
        <v>243</v>
      </c>
      <c r="E981" t="str">
        <f>INDEX('State Codes'!$E$7:$E$70,MATCH(INDEX('State Codes'!$C$7:$C$70,MATCH('County Climates'!B981,'State Codes'!$D$7:$D$70,0),1),'State Codes'!$C$7:$C$70,0),1)</f>
        <v>South Atlantic Division</v>
      </c>
      <c r="F981">
        <f>INDEX('CBECS_Table B5'!$C$6:$K$6,1,MATCH('County Climates'!E981,'CBECS_Table B5'!$C$1:$K$1,0))</f>
        <v>17981</v>
      </c>
    </row>
    <row r="982" spans="1:6" x14ac:dyDescent="0.25">
      <c r="A982" t="s">
        <v>983</v>
      </c>
      <c r="B982" t="s">
        <v>984</v>
      </c>
      <c r="C982" t="s">
        <v>966</v>
      </c>
      <c r="D982" t="s">
        <v>247</v>
      </c>
      <c r="E982" t="str">
        <f>INDEX('State Codes'!$E$7:$E$70,MATCH(INDEX('State Codes'!$C$7:$C$70,MATCH('County Climates'!B982,'State Codes'!$D$7:$D$70,0),1),'State Codes'!$C$7:$C$70,0),1)</f>
        <v>South Atlantic Division</v>
      </c>
      <c r="F982">
        <f>INDEX('CBECS_Table B5'!$C$6:$K$6,1,MATCH('County Climates'!E982,'CBECS_Table B5'!$C$1:$K$1,0))</f>
        <v>17981</v>
      </c>
    </row>
    <row r="983" spans="1:6" x14ac:dyDescent="0.25">
      <c r="A983" t="s">
        <v>983</v>
      </c>
      <c r="B983" t="s">
        <v>984</v>
      </c>
      <c r="C983" t="s">
        <v>990</v>
      </c>
      <c r="D983" t="s">
        <v>247</v>
      </c>
      <c r="E983" t="str">
        <f>INDEX('State Codes'!$E$7:$E$70,MATCH(INDEX('State Codes'!$C$7:$C$70,MATCH('County Climates'!B983,'State Codes'!$D$7:$D$70,0),1),'State Codes'!$C$7:$C$70,0),1)</f>
        <v>South Atlantic Division</v>
      </c>
      <c r="F983">
        <f>INDEX('CBECS_Table B5'!$C$6:$K$6,1,MATCH('County Climates'!E983,'CBECS_Table B5'!$C$1:$K$1,0))</f>
        <v>17981</v>
      </c>
    </row>
    <row r="984" spans="1:6" x14ac:dyDescent="0.25">
      <c r="A984" t="s">
        <v>983</v>
      </c>
      <c r="B984" t="s">
        <v>984</v>
      </c>
      <c r="C984" t="s">
        <v>991</v>
      </c>
      <c r="D984" t="s">
        <v>247</v>
      </c>
      <c r="E984" t="str">
        <f>INDEX('State Codes'!$E$7:$E$70,MATCH(INDEX('State Codes'!$C$7:$C$70,MATCH('County Climates'!B984,'State Codes'!$D$7:$D$70,0),1),'State Codes'!$C$7:$C$70,0),1)</f>
        <v>South Atlantic Division</v>
      </c>
      <c r="F984">
        <f>INDEX('CBECS_Table B5'!$C$6:$K$6,1,MATCH('County Climates'!E984,'CBECS_Table B5'!$C$1:$K$1,0))</f>
        <v>17981</v>
      </c>
    </row>
    <row r="985" spans="1:6" x14ac:dyDescent="0.25">
      <c r="A985" t="s">
        <v>983</v>
      </c>
      <c r="B985" t="s">
        <v>984</v>
      </c>
      <c r="C985" t="s">
        <v>992</v>
      </c>
      <c r="D985" t="s">
        <v>243</v>
      </c>
      <c r="E985" t="str">
        <f>INDEX('State Codes'!$E$7:$E$70,MATCH(INDEX('State Codes'!$C$7:$C$70,MATCH('County Climates'!B985,'State Codes'!$D$7:$D$70,0),1),'State Codes'!$C$7:$C$70,0),1)</f>
        <v>South Atlantic Division</v>
      </c>
      <c r="F985">
        <f>INDEX('CBECS_Table B5'!$C$6:$K$6,1,MATCH('County Climates'!E985,'CBECS_Table B5'!$C$1:$K$1,0))</f>
        <v>17981</v>
      </c>
    </row>
    <row r="986" spans="1:6" x14ac:dyDescent="0.25">
      <c r="A986" t="s">
        <v>983</v>
      </c>
      <c r="B986" t="s">
        <v>984</v>
      </c>
      <c r="C986" t="s">
        <v>993</v>
      </c>
      <c r="D986" t="s">
        <v>247</v>
      </c>
      <c r="E986" t="str">
        <f>INDEX('State Codes'!$E$7:$E$70,MATCH(INDEX('State Codes'!$C$7:$C$70,MATCH('County Climates'!B986,'State Codes'!$D$7:$D$70,0),1),'State Codes'!$C$7:$C$70,0),1)</f>
        <v>South Atlantic Division</v>
      </c>
      <c r="F986">
        <f>INDEX('CBECS_Table B5'!$C$6:$K$6,1,MATCH('County Climates'!E986,'CBECS_Table B5'!$C$1:$K$1,0))</f>
        <v>17981</v>
      </c>
    </row>
    <row r="987" spans="1:6" x14ac:dyDescent="0.25">
      <c r="A987" t="s">
        <v>983</v>
      </c>
      <c r="B987" t="s">
        <v>984</v>
      </c>
      <c r="C987" t="s">
        <v>994</v>
      </c>
      <c r="D987" t="s">
        <v>247</v>
      </c>
      <c r="E987" t="str">
        <f>INDEX('State Codes'!$E$7:$E$70,MATCH(INDEX('State Codes'!$C$7:$C$70,MATCH('County Climates'!B987,'State Codes'!$D$7:$D$70,0),1),'State Codes'!$C$7:$C$70,0),1)</f>
        <v>South Atlantic Division</v>
      </c>
      <c r="F987">
        <f>INDEX('CBECS_Table B5'!$C$6:$K$6,1,MATCH('County Climates'!E987,'CBECS_Table B5'!$C$1:$K$1,0))</f>
        <v>17981</v>
      </c>
    </row>
    <row r="988" spans="1:6" x14ac:dyDescent="0.25">
      <c r="A988" t="s">
        <v>983</v>
      </c>
      <c r="B988" t="s">
        <v>984</v>
      </c>
      <c r="C988" t="s">
        <v>995</v>
      </c>
      <c r="D988" t="s">
        <v>247</v>
      </c>
      <c r="E988" t="str">
        <f>INDEX('State Codes'!$E$7:$E$70,MATCH(INDEX('State Codes'!$C$7:$C$70,MATCH('County Climates'!B988,'State Codes'!$D$7:$D$70,0),1),'State Codes'!$C$7:$C$70,0),1)</f>
        <v>South Atlantic Division</v>
      </c>
      <c r="F988">
        <f>INDEX('CBECS_Table B5'!$C$6:$K$6,1,MATCH('County Climates'!E988,'CBECS_Table B5'!$C$1:$K$1,0))</f>
        <v>17981</v>
      </c>
    </row>
    <row r="989" spans="1:6" x14ac:dyDescent="0.25">
      <c r="A989" t="s">
        <v>983</v>
      </c>
      <c r="B989" t="s">
        <v>984</v>
      </c>
      <c r="C989" t="s">
        <v>335</v>
      </c>
      <c r="D989" t="s">
        <v>247</v>
      </c>
      <c r="E989" t="str">
        <f>INDEX('State Codes'!$E$7:$E$70,MATCH(INDEX('State Codes'!$C$7:$C$70,MATCH('County Climates'!B989,'State Codes'!$D$7:$D$70,0),1),'State Codes'!$C$7:$C$70,0),1)</f>
        <v>South Atlantic Division</v>
      </c>
      <c r="F989">
        <f>INDEX('CBECS_Table B5'!$C$6:$K$6,1,MATCH('County Climates'!E989,'CBECS_Table B5'!$C$1:$K$1,0))</f>
        <v>17981</v>
      </c>
    </row>
    <row r="990" spans="1:6" x14ac:dyDescent="0.25">
      <c r="A990" t="s">
        <v>983</v>
      </c>
      <c r="B990" t="s">
        <v>984</v>
      </c>
      <c r="C990" t="s">
        <v>299</v>
      </c>
      <c r="D990" t="s">
        <v>247</v>
      </c>
      <c r="E990" t="str">
        <f>INDEX('State Codes'!$E$7:$E$70,MATCH(INDEX('State Codes'!$C$7:$C$70,MATCH('County Climates'!B990,'State Codes'!$D$7:$D$70,0),1),'State Codes'!$C$7:$C$70,0),1)</f>
        <v>South Atlantic Division</v>
      </c>
      <c r="F990">
        <f>INDEX('CBECS_Table B5'!$C$6:$K$6,1,MATCH('County Climates'!E990,'CBECS_Table B5'!$C$1:$K$1,0))</f>
        <v>17981</v>
      </c>
    </row>
    <row r="991" spans="1:6" x14ac:dyDescent="0.25">
      <c r="A991" t="s">
        <v>983</v>
      </c>
      <c r="B991" t="s">
        <v>984</v>
      </c>
      <c r="C991" t="s">
        <v>972</v>
      </c>
      <c r="D991" t="s">
        <v>247</v>
      </c>
      <c r="E991" t="str">
        <f>INDEX('State Codes'!$E$7:$E$70,MATCH(INDEX('State Codes'!$C$7:$C$70,MATCH('County Climates'!B991,'State Codes'!$D$7:$D$70,0),1),'State Codes'!$C$7:$C$70,0),1)</f>
        <v>South Atlantic Division</v>
      </c>
      <c r="F991">
        <f>INDEX('CBECS_Table B5'!$C$6:$K$6,1,MATCH('County Climates'!E991,'CBECS_Table B5'!$C$1:$K$1,0))</f>
        <v>17981</v>
      </c>
    </row>
    <row r="992" spans="1:6" x14ac:dyDescent="0.25">
      <c r="A992" t="s">
        <v>983</v>
      </c>
      <c r="B992" t="s">
        <v>984</v>
      </c>
      <c r="C992" t="s">
        <v>996</v>
      </c>
      <c r="D992" t="s">
        <v>247</v>
      </c>
      <c r="E992" t="str">
        <f>INDEX('State Codes'!$E$7:$E$70,MATCH(INDEX('State Codes'!$C$7:$C$70,MATCH('County Climates'!B992,'State Codes'!$D$7:$D$70,0),1),'State Codes'!$C$7:$C$70,0),1)</f>
        <v>South Atlantic Division</v>
      </c>
      <c r="F992">
        <f>INDEX('CBECS_Table B5'!$C$6:$K$6,1,MATCH('County Climates'!E992,'CBECS_Table B5'!$C$1:$K$1,0))</f>
        <v>17981</v>
      </c>
    </row>
    <row r="993" spans="1:6" x14ac:dyDescent="0.25">
      <c r="A993" t="s">
        <v>983</v>
      </c>
      <c r="B993" t="s">
        <v>984</v>
      </c>
      <c r="C993" t="s">
        <v>997</v>
      </c>
      <c r="D993" t="s">
        <v>247</v>
      </c>
      <c r="E993" t="str">
        <f>INDEX('State Codes'!$E$7:$E$70,MATCH(INDEX('State Codes'!$C$7:$C$70,MATCH('County Climates'!B993,'State Codes'!$D$7:$D$70,0),1),'State Codes'!$C$7:$C$70,0),1)</f>
        <v>South Atlantic Division</v>
      </c>
      <c r="F993">
        <f>INDEX('CBECS_Table B5'!$C$6:$K$6,1,MATCH('County Climates'!E993,'CBECS_Table B5'!$C$1:$K$1,0))</f>
        <v>17981</v>
      </c>
    </row>
    <row r="994" spans="1:6" x14ac:dyDescent="0.25">
      <c r="A994" t="s">
        <v>983</v>
      </c>
      <c r="B994" t="s">
        <v>984</v>
      </c>
      <c r="C994" t="s">
        <v>702</v>
      </c>
      <c r="D994" t="s">
        <v>247</v>
      </c>
      <c r="E994" t="str">
        <f>INDEX('State Codes'!$E$7:$E$70,MATCH(INDEX('State Codes'!$C$7:$C$70,MATCH('County Climates'!B994,'State Codes'!$D$7:$D$70,0),1),'State Codes'!$C$7:$C$70,0),1)</f>
        <v>South Atlantic Division</v>
      </c>
      <c r="F994">
        <f>INDEX('CBECS_Table B5'!$C$6:$K$6,1,MATCH('County Climates'!E994,'CBECS_Table B5'!$C$1:$K$1,0))</f>
        <v>17981</v>
      </c>
    </row>
    <row r="995" spans="1:6" x14ac:dyDescent="0.25">
      <c r="A995" t="s">
        <v>983</v>
      </c>
      <c r="B995" t="s">
        <v>984</v>
      </c>
      <c r="C995" t="s">
        <v>998</v>
      </c>
      <c r="D995" t="s">
        <v>247</v>
      </c>
      <c r="E995" t="str">
        <f>INDEX('State Codes'!$E$7:$E$70,MATCH(INDEX('State Codes'!$C$7:$C$70,MATCH('County Climates'!B995,'State Codes'!$D$7:$D$70,0),1),'State Codes'!$C$7:$C$70,0),1)</f>
        <v>South Atlantic Division</v>
      </c>
      <c r="F995">
        <f>INDEX('CBECS_Table B5'!$C$6:$K$6,1,MATCH('County Climates'!E995,'CBECS_Table B5'!$C$1:$K$1,0))</f>
        <v>17981</v>
      </c>
    </row>
    <row r="996" spans="1:6" x14ac:dyDescent="0.25">
      <c r="A996" t="s">
        <v>983</v>
      </c>
      <c r="B996" t="s">
        <v>984</v>
      </c>
      <c r="C996" t="s">
        <v>999</v>
      </c>
      <c r="D996" t="s">
        <v>247</v>
      </c>
      <c r="E996" t="str">
        <f>INDEX('State Codes'!$E$7:$E$70,MATCH(INDEX('State Codes'!$C$7:$C$70,MATCH('County Climates'!B996,'State Codes'!$D$7:$D$70,0),1),'State Codes'!$C$7:$C$70,0),1)</f>
        <v>South Atlantic Division</v>
      </c>
      <c r="F996">
        <f>INDEX('CBECS_Table B5'!$C$6:$K$6,1,MATCH('County Climates'!E996,'CBECS_Table B5'!$C$1:$K$1,0))</f>
        <v>17981</v>
      </c>
    </row>
    <row r="997" spans="1:6" x14ac:dyDescent="0.25">
      <c r="A997" t="s">
        <v>983</v>
      </c>
      <c r="B997" t="s">
        <v>984</v>
      </c>
      <c r="C997" t="s">
        <v>859</v>
      </c>
      <c r="D997" t="s">
        <v>247</v>
      </c>
      <c r="E997" t="str">
        <f>INDEX('State Codes'!$E$7:$E$70,MATCH(INDEX('State Codes'!$C$7:$C$70,MATCH('County Climates'!B997,'State Codes'!$D$7:$D$70,0),1),'State Codes'!$C$7:$C$70,0),1)</f>
        <v>South Atlantic Division</v>
      </c>
      <c r="F997">
        <f>INDEX('CBECS_Table B5'!$C$6:$K$6,1,MATCH('County Climates'!E997,'CBECS_Table B5'!$C$1:$K$1,0))</f>
        <v>17981</v>
      </c>
    </row>
    <row r="998" spans="1:6" x14ac:dyDescent="0.25">
      <c r="A998" t="s">
        <v>983</v>
      </c>
      <c r="B998" t="s">
        <v>984</v>
      </c>
      <c r="C998" t="s">
        <v>1000</v>
      </c>
      <c r="D998" t="s">
        <v>247</v>
      </c>
      <c r="E998" t="str">
        <f>INDEX('State Codes'!$E$7:$E$70,MATCH(INDEX('State Codes'!$C$7:$C$70,MATCH('County Climates'!B998,'State Codes'!$D$7:$D$70,0),1),'State Codes'!$C$7:$C$70,0),1)</f>
        <v>South Atlantic Division</v>
      </c>
      <c r="F998">
        <f>INDEX('CBECS_Table B5'!$C$6:$K$6,1,MATCH('County Climates'!E998,'CBECS_Table B5'!$C$1:$K$1,0))</f>
        <v>17981</v>
      </c>
    </row>
    <row r="999" spans="1:6" x14ac:dyDescent="0.25">
      <c r="A999" t="s">
        <v>983</v>
      </c>
      <c r="B999" t="s">
        <v>984</v>
      </c>
      <c r="C999" t="s">
        <v>1001</v>
      </c>
      <c r="D999" t="s">
        <v>247</v>
      </c>
      <c r="E999" t="str">
        <f>INDEX('State Codes'!$E$7:$E$70,MATCH(INDEX('State Codes'!$C$7:$C$70,MATCH('County Climates'!B999,'State Codes'!$D$7:$D$70,0),1),'State Codes'!$C$7:$C$70,0),1)</f>
        <v>South Atlantic Division</v>
      </c>
      <c r="F999">
        <f>INDEX('CBECS_Table B5'!$C$6:$K$6,1,MATCH('County Climates'!E999,'CBECS_Table B5'!$C$1:$K$1,0))</f>
        <v>17981</v>
      </c>
    </row>
    <row r="1000" spans="1:6" x14ac:dyDescent="0.25">
      <c r="A1000" t="s">
        <v>983</v>
      </c>
      <c r="B1000" t="s">
        <v>984</v>
      </c>
      <c r="C1000" t="s">
        <v>1002</v>
      </c>
      <c r="D1000" t="s">
        <v>247</v>
      </c>
      <c r="E1000" t="str">
        <f>INDEX('State Codes'!$E$7:$E$70,MATCH(INDEX('State Codes'!$C$7:$C$70,MATCH('County Climates'!B1000,'State Codes'!$D$7:$D$70,0),1),'State Codes'!$C$7:$C$70,0),1)</f>
        <v>South Atlantic Division</v>
      </c>
      <c r="F1000">
        <f>INDEX('CBECS_Table B5'!$C$6:$K$6,1,MATCH('County Climates'!E1000,'CBECS_Table B5'!$C$1:$K$1,0))</f>
        <v>17981</v>
      </c>
    </row>
    <row r="1001" spans="1:6" x14ac:dyDescent="0.25">
      <c r="A1001" t="s">
        <v>983</v>
      </c>
      <c r="B1001" t="s">
        <v>984</v>
      </c>
      <c r="C1001" t="s">
        <v>1003</v>
      </c>
      <c r="D1001" t="s">
        <v>247</v>
      </c>
      <c r="E1001" t="str">
        <f>INDEX('State Codes'!$E$7:$E$70,MATCH(INDEX('State Codes'!$C$7:$C$70,MATCH('County Climates'!B1001,'State Codes'!$D$7:$D$70,0),1),'State Codes'!$C$7:$C$70,0),1)</f>
        <v>South Atlantic Division</v>
      </c>
      <c r="F1001">
        <f>INDEX('CBECS_Table B5'!$C$6:$K$6,1,MATCH('County Climates'!E1001,'CBECS_Table B5'!$C$1:$K$1,0))</f>
        <v>17981</v>
      </c>
    </row>
    <row r="1002" spans="1:6" x14ac:dyDescent="0.25">
      <c r="A1002" t="s">
        <v>983</v>
      </c>
      <c r="B1002" t="s">
        <v>984</v>
      </c>
      <c r="C1002" t="s">
        <v>1004</v>
      </c>
      <c r="D1002" t="s">
        <v>247</v>
      </c>
      <c r="E1002" t="str">
        <f>INDEX('State Codes'!$E$7:$E$70,MATCH(INDEX('State Codes'!$C$7:$C$70,MATCH('County Climates'!B1002,'State Codes'!$D$7:$D$70,0),1),'State Codes'!$C$7:$C$70,0),1)</f>
        <v>South Atlantic Division</v>
      </c>
      <c r="F1002">
        <f>INDEX('CBECS_Table B5'!$C$6:$K$6,1,MATCH('County Climates'!E1002,'CBECS_Table B5'!$C$1:$K$1,0))</f>
        <v>17981</v>
      </c>
    </row>
    <row r="1003" spans="1:6" x14ac:dyDescent="0.25">
      <c r="A1003" t="s">
        <v>983</v>
      </c>
      <c r="B1003" t="s">
        <v>984</v>
      </c>
      <c r="C1003" t="s">
        <v>1005</v>
      </c>
      <c r="D1003" t="s">
        <v>247</v>
      </c>
      <c r="E1003" t="str">
        <f>INDEX('State Codes'!$E$7:$E$70,MATCH(INDEX('State Codes'!$C$7:$C$70,MATCH('County Climates'!B1003,'State Codes'!$D$7:$D$70,0),1),'State Codes'!$C$7:$C$70,0),1)</f>
        <v>South Atlantic Division</v>
      </c>
      <c r="F1003">
        <f>INDEX('CBECS_Table B5'!$C$6:$K$6,1,MATCH('County Climates'!E1003,'CBECS_Table B5'!$C$1:$K$1,0))</f>
        <v>17981</v>
      </c>
    </row>
    <row r="1004" spans="1:6" x14ac:dyDescent="0.25">
      <c r="A1004" t="s">
        <v>983</v>
      </c>
      <c r="B1004" t="s">
        <v>984</v>
      </c>
      <c r="C1004" t="s">
        <v>347</v>
      </c>
      <c r="D1004" t="s">
        <v>247</v>
      </c>
      <c r="E1004" t="str">
        <f>INDEX('State Codes'!$E$7:$E$70,MATCH(INDEX('State Codes'!$C$7:$C$70,MATCH('County Climates'!B1004,'State Codes'!$D$7:$D$70,0),1),'State Codes'!$C$7:$C$70,0),1)</f>
        <v>South Atlantic Division</v>
      </c>
      <c r="F1004">
        <f>INDEX('CBECS_Table B5'!$C$6:$K$6,1,MATCH('County Climates'!E1004,'CBECS_Table B5'!$C$1:$K$1,0))</f>
        <v>17981</v>
      </c>
    </row>
    <row r="1005" spans="1:6" x14ac:dyDescent="0.25">
      <c r="A1005" t="s">
        <v>983</v>
      </c>
      <c r="B1005" t="s">
        <v>984</v>
      </c>
      <c r="C1005" t="s">
        <v>1006</v>
      </c>
      <c r="D1005" t="s">
        <v>247</v>
      </c>
      <c r="E1005" t="str">
        <f>INDEX('State Codes'!$E$7:$E$70,MATCH(INDEX('State Codes'!$C$7:$C$70,MATCH('County Climates'!B1005,'State Codes'!$D$7:$D$70,0),1),'State Codes'!$C$7:$C$70,0),1)</f>
        <v>South Atlantic Division</v>
      </c>
      <c r="F1005">
        <f>INDEX('CBECS_Table B5'!$C$6:$K$6,1,MATCH('County Climates'!E1005,'CBECS_Table B5'!$C$1:$K$1,0))</f>
        <v>17981</v>
      </c>
    </row>
    <row r="1006" spans="1:6" x14ac:dyDescent="0.25">
      <c r="A1006" t="s">
        <v>983</v>
      </c>
      <c r="B1006" t="s">
        <v>984</v>
      </c>
      <c r="C1006" t="s">
        <v>1007</v>
      </c>
      <c r="D1006" t="s">
        <v>247</v>
      </c>
      <c r="E1006" t="str">
        <f>INDEX('State Codes'!$E$7:$E$70,MATCH(INDEX('State Codes'!$C$7:$C$70,MATCH('County Climates'!B1006,'State Codes'!$D$7:$D$70,0),1),'State Codes'!$C$7:$C$70,0),1)</f>
        <v>South Atlantic Division</v>
      </c>
      <c r="F1006">
        <f>INDEX('CBECS_Table B5'!$C$6:$K$6,1,MATCH('County Climates'!E1006,'CBECS_Table B5'!$C$1:$K$1,0))</f>
        <v>17981</v>
      </c>
    </row>
    <row r="1007" spans="1:6" x14ac:dyDescent="0.25">
      <c r="A1007" t="s">
        <v>983</v>
      </c>
      <c r="B1007" t="s">
        <v>984</v>
      </c>
      <c r="C1007" t="s">
        <v>497</v>
      </c>
      <c r="D1007" t="s">
        <v>247</v>
      </c>
      <c r="E1007" t="str">
        <f>INDEX('State Codes'!$E$7:$E$70,MATCH(INDEX('State Codes'!$C$7:$C$70,MATCH('County Climates'!B1007,'State Codes'!$D$7:$D$70,0),1),'State Codes'!$C$7:$C$70,0),1)</f>
        <v>South Atlantic Division</v>
      </c>
      <c r="F1007">
        <f>INDEX('CBECS_Table B5'!$C$6:$K$6,1,MATCH('County Climates'!E1007,'CBECS_Table B5'!$C$1:$K$1,0))</f>
        <v>17981</v>
      </c>
    </row>
    <row r="1008" spans="1:6" x14ac:dyDescent="0.25">
      <c r="A1008" t="s">
        <v>983</v>
      </c>
      <c r="B1008" t="s">
        <v>984</v>
      </c>
      <c r="C1008" t="s">
        <v>308</v>
      </c>
      <c r="D1008" t="s">
        <v>247</v>
      </c>
      <c r="E1008" t="str">
        <f>INDEX('State Codes'!$E$7:$E$70,MATCH(INDEX('State Codes'!$C$7:$C$70,MATCH('County Climates'!B1008,'State Codes'!$D$7:$D$70,0),1),'State Codes'!$C$7:$C$70,0),1)</f>
        <v>South Atlantic Division</v>
      </c>
      <c r="F1008">
        <f>INDEX('CBECS_Table B5'!$C$6:$K$6,1,MATCH('County Climates'!E1008,'CBECS_Table B5'!$C$1:$K$1,0))</f>
        <v>17981</v>
      </c>
    </row>
    <row r="1009" spans="1:6" x14ac:dyDescent="0.25">
      <c r="A1009" t="s">
        <v>983</v>
      </c>
      <c r="B1009" t="s">
        <v>984</v>
      </c>
      <c r="C1009" t="s">
        <v>1008</v>
      </c>
      <c r="D1009" t="s">
        <v>228</v>
      </c>
      <c r="E1009" t="str">
        <f>INDEX('State Codes'!$E$7:$E$70,MATCH(INDEX('State Codes'!$C$7:$C$70,MATCH('County Climates'!B1009,'State Codes'!$D$7:$D$70,0),1),'State Codes'!$C$7:$C$70,0),1)</f>
        <v>South Atlantic Division</v>
      </c>
      <c r="F1009">
        <f>INDEX('CBECS_Table B5'!$C$6:$K$6,1,MATCH('County Climates'!E1009,'CBECS_Table B5'!$C$1:$K$1,0))</f>
        <v>17981</v>
      </c>
    </row>
    <row r="1010" spans="1:6" x14ac:dyDescent="0.25">
      <c r="A1010" t="s">
        <v>983</v>
      </c>
      <c r="B1010" t="s">
        <v>984</v>
      </c>
      <c r="C1010" t="s">
        <v>498</v>
      </c>
      <c r="D1010" t="s">
        <v>247</v>
      </c>
      <c r="E1010" t="str">
        <f>INDEX('State Codes'!$E$7:$E$70,MATCH(INDEX('State Codes'!$C$7:$C$70,MATCH('County Climates'!B1010,'State Codes'!$D$7:$D$70,0),1),'State Codes'!$C$7:$C$70,0),1)</f>
        <v>South Atlantic Division</v>
      </c>
      <c r="F1010">
        <f>INDEX('CBECS_Table B5'!$C$6:$K$6,1,MATCH('County Climates'!E1010,'CBECS_Table B5'!$C$1:$K$1,0))</f>
        <v>17981</v>
      </c>
    </row>
    <row r="1011" spans="1:6" x14ac:dyDescent="0.25">
      <c r="A1011" t="s">
        <v>983</v>
      </c>
      <c r="B1011" t="s">
        <v>984</v>
      </c>
      <c r="C1011" t="s">
        <v>503</v>
      </c>
      <c r="D1011" t="s">
        <v>247</v>
      </c>
      <c r="E1011" t="str">
        <f>INDEX('State Codes'!$E$7:$E$70,MATCH(INDEX('State Codes'!$C$7:$C$70,MATCH('County Climates'!B1011,'State Codes'!$D$7:$D$70,0),1),'State Codes'!$C$7:$C$70,0),1)</f>
        <v>South Atlantic Division</v>
      </c>
      <c r="F1011">
        <f>INDEX('CBECS_Table B5'!$C$6:$K$6,1,MATCH('County Climates'!E1011,'CBECS_Table B5'!$C$1:$K$1,0))</f>
        <v>17981</v>
      </c>
    </row>
    <row r="1012" spans="1:6" x14ac:dyDescent="0.25">
      <c r="A1012" t="s">
        <v>983</v>
      </c>
      <c r="B1012" t="s">
        <v>984</v>
      </c>
      <c r="C1012" t="s">
        <v>1009</v>
      </c>
      <c r="D1012" t="s">
        <v>247</v>
      </c>
      <c r="E1012" t="str">
        <f>INDEX('State Codes'!$E$7:$E$70,MATCH(INDEX('State Codes'!$C$7:$C$70,MATCH('County Climates'!B1012,'State Codes'!$D$7:$D$70,0),1),'State Codes'!$C$7:$C$70,0),1)</f>
        <v>South Atlantic Division</v>
      </c>
      <c r="F1012">
        <f>INDEX('CBECS_Table B5'!$C$6:$K$6,1,MATCH('County Climates'!E1012,'CBECS_Table B5'!$C$1:$K$1,0))</f>
        <v>17981</v>
      </c>
    </row>
    <row r="1013" spans="1:6" x14ac:dyDescent="0.25">
      <c r="A1013" t="s">
        <v>983</v>
      </c>
      <c r="B1013" t="s">
        <v>984</v>
      </c>
      <c r="C1013" t="s">
        <v>1010</v>
      </c>
      <c r="D1013" t="s">
        <v>247</v>
      </c>
      <c r="E1013" t="str">
        <f>INDEX('State Codes'!$E$7:$E$70,MATCH(INDEX('State Codes'!$C$7:$C$70,MATCH('County Climates'!B1013,'State Codes'!$D$7:$D$70,0),1),'State Codes'!$C$7:$C$70,0),1)</f>
        <v>South Atlantic Division</v>
      </c>
      <c r="F1013">
        <f>INDEX('CBECS_Table B5'!$C$6:$K$6,1,MATCH('County Climates'!E1013,'CBECS_Table B5'!$C$1:$K$1,0))</f>
        <v>17981</v>
      </c>
    </row>
    <row r="1014" spans="1:6" x14ac:dyDescent="0.25">
      <c r="A1014" t="s">
        <v>983</v>
      </c>
      <c r="B1014" t="s">
        <v>984</v>
      </c>
      <c r="C1014" t="s">
        <v>1011</v>
      </c>
      <c r="D1014" t="s">
        <v>228</v>
      </c>
      <c r="E1014" t="str">
        <f>INDEX('State Codes'!$E$7:$E$70,MATCH(INDEX('State Codes'!$C$7:$C$70,MATCH('County Climates'!B1014,'State Codes'!$D$7:$D$70,0),1),'State Codes'!$C$7:$C$70,0),1)</f>
        <v>South Atlantic Division</v>
      </c>
      <c r="F1014">
        <f>INDEX('CBECS_Table B5'!$C$6:$K$6,1,MATCH('County Climates'!E1014,'CBECS_Table B5'!$C$1:$K$1,0))</f>
        <v>17981</v>
      </c>
    </row>
    <row r="1015" spans="1:6" x14ac:dyDescent="0.25">
      <c r="A1015" t="s">
        <v>1012</v>
      </c>
      <c r="B1015" t="s">
        <v>1013</v>
      </c>
      <c r="C1015" t="s">
        <v>516</v>
      </c>
      <c r="D1015" t="s">
        <v>228</v>
      </c>
      <c r="E1015" t="str">
        <f>INDEX('State Codes'!$E$7:$E$70,MATCH(INDEX('State Codes'!$C$7:$C$70,MATCH('County Climates'!B1015,'State Codes'!$D$7:$D$70,0),1),'State Codes'!$C$7:$C$70,0),1)</f>
        <v>West North Central Division</v>
      </c>
      <c r="F1015">
        <f>INDEX('CBECS_Table B5'!$C$6:$K$6,1,MATCH('County Climates'!E1015,'CBECS_Table B5'!$C$1:$K$1,0))</f>
        <v>6178</v>
      </c>
    </row>
    <row r="1016" spans="1:6" x14ac:dyDescent="0.25">
      <c r="A1016" t="s">
        <v>1012</v>
      </c>
      <c r="B1016" t="s">
        <v>1013</v>
      </c>
      <c r="C1016" t="s">
        <v>1014</v>
      </c>
      <c r="D1016" t="s">
        <v>229</v>
      </c>
      <c r="E1016" t="str">
        <f>INDEX('State Codes'!$E$7:$E$70,MATCH(INDEX('State Codes'!$C$7:$C$70,MATCH('County Climates'!B1016,'State Codes'!$D$7:$D$70,0),1),'State Codes'!$C$7:$C$70,0),1)</f>
        <v>West North Central Division</v>
      </c>
      <c r="F1016">
        <f>INDEX('CBECS_Table B5'!$C$6:$K$6,1,MATCH('County Climates'!E1016,'CBECS_Table B5'!$C$1:$K$1,0))</f>
        <v>6178</v>
      </c>
    </row>
    <row r="1017" spans="1:6" x14ac:dyDescent="0.25">
      <c r="A1017" t="s">
        <v>1012</v>
      </c>
      <c r="B1017" t="s">
        <v>1013</v>
      </c>
      <c r="C1017" t="s">
        <v>1015</v>
      </c>
      <c r="D1017" t="s">
        <v>229</v>
      </c>
      <c r="E1017" t="str">
        <f>INDEX('State Codes'!$E$7:$E$70,MATCH(INDEX('State Codes'!$C$7:$C$70,MATCH('County Climates'!B1017,'State Codes'!$D$7:$D$70,0),1),'State Codes'!$C$7:$C$70,0),1)</f>
        <v>West North Central Division</v>
      </c>
      <c r="F1017">
        <f>INDEX('CBECS_Table B5'!$C$6:$K$6,1,MATCH('County Climates'!E1017,'CBECS_Table B5'!$C$1:$K$1,0))</f>
        <v>6178</v>
      </c>
    </row>
    <row r="1018" spans="1:6" x14ac:dyDescent="0.25">
      <c r="A1018" t="s">
        <v>1012</v>
      </c>
      <c r="B1018" t="s">
        <v>1013</v>
      </c>
      <c r="C1018" t="s">
        <v>1016</v>
      </c>
      <c r="D1018" t="s">
        <v>228</v>
      </c>
      <c r="E1018" t="str">
        <f>INDEX('State Codes'!$E$7:$E$70,MATCH(INDEX('State Codes'!$C$7:$C$70,MATCH('County Climates'!B1018,'State Codes'!$D$7:$D$70,0),1),'State Codes'!$C$7:$C$70,0),1)</f>
        <v>West North Central Division</v>
      </c>
      <c r="F1018">
        <f>INDEX('CBECS_Table B5'!$C$6:$K$6,1,MATCH('County Climates'!E1018,'CBECS_Table B5'!$C$1:$K$1,0))</f>
        <v>6178</v>
      </c>
    </row>
    <row r="1019" spans="1:6" x14ac:dyDescent="0.25">
      <c r="A1019" t="s">
        <v>1012</v>
      </c>
      <c r="B1019" t="s">
        <v>1013</v>
      </c>
      <c r="C1019" t="s">
        <v>1017</v>
      </c>
      <c r="D1019" t="s">
        <v>229</v>
      </c>
      <c r="E1019" t="str">
        <f>INDEX('State Codes'!$E$7:$E$70,MATCH(INDEX('State Codes'!$C$7:$C$70,MATCH('County Climates'!B1019,'State Codes'!$D$7:$D$70,0),1),'State Codes'!$C$7:$C$70,0),1)</f>
        <v>West North Central Division</v>
      </c>
      <c r="F1019">
        <f>INDEX('CBECS_Table B5'!$C$6:$K$6,1,MATCH('County Climates'!E1019,'CBECS_Table B5'!$C$1:$K$1,0))</f>
        <v>6178</v>
      </c>
    </row>
    <row r="1020" spans="1:6" x14ac:dyDescent="0.25">
      <c r="A1020" t="s">
        <v>1012</v>
      </c>
      <c r="B1020" t="s">
        <v>1013</v>
      </c>
      <c r="C1020" t="s">
        <v>1018</v>
      </c>
      <c r="D1020" t="s">
        <v>228</v>
      </c>
      <c r="E1020" t="str">
        <f>INDEX('State Codes'!$E$7:$E$70,MATCH(INDEX('State Codes'!$C$7:$C$70,MATCH('County Climates'!B1020,'State Codes'!$D$7:$D$70,0),1),'State Codes'!$C$7:$C$70,0),1)</f>
        <v>West North Central Division</v>
      </c>
      <c r="F1020">
        <f>INDEX('CBECS_Table B5'!$C$6:$K$6,1,MATCH('County Climates'!E1020,'CBECS_Table B5'!$C$1:$K$1,0))</f>
        <v>6178</v>
      </c>
    </row>
    <row r="1021" spans="1:6" x14ac:dyDescent="0.25">
      <c r="A1021" t="s">
        <v>1012</v>
      </c>
      <c r="B1021" t="s">
        <v>1013</v>
      </c>
      <c r="C1021" t="s">
        <v>443</v>
      </c>
      <c r="D1021" t="s">
        <v>229</v>
      </c>
      <c r="E1021" t="str">
        <f>INDEX('State Codes'!$E$7:$E$70,MATCH(INDEX('State Codes'!$C$7:$C$70,MATCH('County Climates'!B1021,'State Codes'!$D$7:$D$70,0),1),'State Codes'!$C$7:$C$70,0),1)</f>
        <v>West North Central Division</v>
      </c>
      <c r="F1021">
        <f>INDEX('CBECS_Table B5'!$C$6:$K$6,1,MATCH('County Climates'!E1021,'CBECS_Table B5'!$C$1:$K$1,0))</f>
        <v>6178</v>
      </c>
    </row>
    <row r="1022" spans="1:6" x14ac:dyDescent="0.25">
      <c r="A1022" t="s">
        <v>1012</v>
      </c>
      <c r="B1022" t="s">
        <v>1013</v>
      </c>
      <c r="C1022" t="s">
        <v>1019</v>
      </c>
      <c r="D1022" t="s">
        <v>228</v>
      </c>
      <c r="E1022" t="str">
        <f>INDEX('State Codes'!$E$7:$E$70,MATCH(INDEX('State Codes'!$C$7:$C$70,MATCH('County Climates'!B1022,'State Codes'!$D$7:$D$70,0),1),'State Codes'!$C$7:$C$70,0),1)</f>
        <v>West North Central Division</v>
      </c>
      <c r="F1022">
        <f>INDEX('CBECS_Table B5'!$C$6:$K$6,1,MATCH('County Climates'!E1022,'CBECS_Table B5'!$C$1:$K$1,0))</f>
        <v>6178</v>
      </c>
    </row>
    <row r="1023" spans="1:6" x14ac:dyDescent="0.25">
      <c r="A1023" t="s">
        <v>1012</v>
      </c>
      <c r="B1023" t="s">
        <v>1013</v>
      </c>
      <c r="C1023" t="s">
        <v>579</v>
      </c>
      <c r="D1023" t="s">
        <v>229</v>
      </c>
      <c r="E1023" t="str">
        <f>INDEX('State Codes'!$E$7:$E$70,MATCH(INDEX('State Codes'!$C$7:$C$70,MATCH('County Climates'!B1023,'State Codes'!$D$7:$D$70,0),1),'State Codes'!$C$7:$C$70,0),1)</f>
        <v>West North Central Division</v>
      </c>
      <c r="F1023">
        <f>INDEX('CBECS_Table B5'!$C$6:$K$6,1,MATCH('County Climates'!E1023,'CBECS_Table B5'!$C$1:$K$1,0))</f>
        <v>6178</v>
      </c>
    </row>
    <row r="1024" spans="1:6" x14ac:dyDescent="0.25">
      <c r="A1024" t="s">
        <v>1012</v>
      </c>
      <c r="B1024" t="s">
        <v>1013</v>
      </c>
      <c r="C1024" t="s">
        <v>1020</v>
      </c>
      <c r="D1024" t="s">
        <v>229</v>
      </c>
      <c r="E1024" t="str">
        <f>INDEX('State Codes'!$E$7:$E$70,MATCH(INDEX('State Codes'!$C$7:$C$70,MATCH('County Climates'!B1024,'State Codes'!$D$7:$D$70,0),1),'State Codes'!$C$7:$C$70,0),1)</f>
        <v>West North Central Division</v>
      </c>
      <c r="F1024">
        <f>INDEX('CBECS_Table B5'!$C$6:$K$6,1,MATCH('County Climates'!E1024,'CBECS_Table B5'!$C$1:$K$1,0))</f>
        <v>6178</v>
      </c>
    </row>
    <row r="1025" spans="1:6" x14ac:dyDescent="0.25">
      <c r="A1025" t="s">
        <v>1012</v>
      </c>
      <c r="B1025" t="s">
        <v>1013</v>
      </c>
      <c r="C1025" t="s">
        <v>1021</v>
      </c>
      <c r="D1025" t="s">
        <v>228</v>
      </c>
      <c r="E1025" t="str">
        <f>INDEX('State Codes'!$E$7:$E$70,MATCH(INDEX('State Codes'!$C$7:$C$70,MATCH('County Climates'!B1025,'State Codes'!$D$7:$D$70,0),1),'State Codes'!$C$7:$C$70,0),1)</f>
        <v>West North Central Division</v>
      </c>
      <c r="F1025">
        <f>INDEX('CBECS_Table B5'!$C$6:$K$6,1,MATCH('County Climates'!E1025,'CBECS_Table B5'!$C$1:$K$1,0))</f>
        <v>6178</v>
      </c>
    </row>
    <row r="1026" spans="1:6" x14ac:dyDescent="0.25">
      <c r="A1026" t="s">
        <v>1012</v>
      </c>
      <c r="B1026" t="s">
        <v>1013</v>
      </c>
      <c r="C1026" t="s">
        <v>1022</v>
      </c>
      <c r="D1026" t="s">
        <v>229</v>
      </c>
      <c r="E1026" t="str">
        <f>INDEX('State Codes'!$E$7:$E$70,MATCH(INDEX('State Codes'!$C$7:$C$70,MATCH('County Climates'!B1026,'State Codes'!$D$7:$D$70,0),1),'State Codes'!$C$7:$C$70,0),1)</f>
        <v>West North Central Division</v>
      </c>
      <c r="F1026">
        <f>INDEX('CBECS_Table B5'!$C$6:$K$6,1,MATCH('County Climates'!E1026,'CBECS_Table B5'!$C$1:$K$1,0))</f>
        <v>6178</v>
      </c>
    </row>
    <row r="1027" spans="1:6" x14ac:dyDescent="0.25">
      <c r="A1027" t="s">
        <v>1012</v>
      </c>
      <c r="B1027" t="s">
        <v>1013</v>
      </c>
      <c r="C1027" t="s">
        <v>1023</v>
      </c>
      <c r="D1027" t="s">
        <v>228</v>
      </c>
      <c r="E1027" t="str">
        <f>INDEX('State Codes'!$E$7:$E$70,MATCH(INDEX('State Codes'!$C$7:$C$70,MATCH('County Climates'!B1027,'State Codes'!$D$7:$D$70,0),1),'State Codes'!$C$7:$C$70,0),1)</f>
        <v>West North Central Division</v>
      </c>
      <c r="F1027">
        <f>INDEX('CBECS_Table B5'!$C$6:$K$6,1,MATCH('County Climates'!E1027,'CBECS_Table B5'!$C$1:$K$1,0))</f>
        <v>6178</v>
      </c>
    </row>
    <row r="1028" spans="1:6" x14ac:dyDescent="0.25">
      <c r="A1028" t="s">
        <v>1012</v>
      </c>
      <c r="B1028" t="s">
        <v>1013</v>
      </c>
      <c r="C1028" t="s">
        <v>1024</v>
      </c>
      <c r="D1028" t="s">
        <v>229</v>
      </c>
      <c r="E1028" t="str">
        <f>INDEX('State Codes'!$E$7:$E$70,MATCH(INDEX('State Codes'!$C$7:$C$70,MATCH('County Climates'!B1028,'State Codes'!$D$7:$D$70,0),1),'State Codes'!$C$7:$C$70,0),1)</f>
        <v>West North Central Division</v>
      </c>
      <c r="F1028">
        <f>INDEX('CBECS_Table B5'!$C$6:$K$6,1,MATCH('County Climates'!E1028,'CBECS_Table B5'!$C$1:$K$1,0))</f>
        <v>6178</v>
      </c>
    </row>
    <row r="1029" spans="1:6" x14ac:dyDescent="0.25">
      <c r="A1029" t="s">
        <v>1012</v>
      </c>
      <c r="B1029" t="s">
        <v>1013</v>
      </c>
      <c r="C1029" t="s">
        <v>1025</v>
      </c>
      <c r="D1029" t="s">
        <v>228</v>
      </c>
      <c r="E1029" t="str">
        <f>INDEX('State Codes'!$E$7:$E$70,MATCH(INDEX('State Codes'!$C$7:$C$70,MATCH('County Climates'!B1029,'State Codes'!$D$7:$D$70,0),1),'State Codes'!$C$7:$C$70,0),1)</f>
        <v>West North Central Division</v>
      </c>
      <c r="F1029">
        <f>INDEX('CBECS_Table B5'!$C$6:$K$6,1,MATCH('County Climates'!E1029,'CBECS_Table B5'!$C$1:$K$1,0))</f>
        <v>6178</v>
      </c>
    </row>
    <row r="1030" spans="1:6" x14ac:dyDescent="0.25">
      <c r="A1030" t="s">
        <v>1012</v>
      </c>
      <c r="B1030" t="s">
        <v>1013</v>
      </c>
      <c r="C1030" t="s">
        <v>1026</v>
      </c>
      <c r="D1030" t="s">
        <v>229</v>
      </c>
      <c r="E1030" t="str">
        <f>INDEX('State Codes'!$E$7:$E$70,MATCH(INDEX('State Codes'!$C$7:$C$70,MATCH('County Climates'!B1030,'State Codes'!$D$7:$D$70,0),1),'State Codes'!$C$7:$C$70,0),1)</f>
        <v>West North Central Division</v>
      </c>
      <c r="F1030">
        <f>INDEX('CBECS_Table B5'!$C$6:$K$6,1,MATCH('County Climates'!E1030,'CBECS_Table B5'!$C$1:$K$1,0))</f>
        <v>6178</v>
      </c>
    </row>
    <row r="1031" spans="1:6" x14ac:dyDescent="0.25">
      <c r="A1031" t="s">
        <v>1012</v>
      </c>
      <c r="B1031" t="s">
        <v>1013</v>
      </c>
      <c r="C1031" t="s">
        <v>887</v>
      </c>
      <c r="D1031" t="s">
        <v>228</v>
      </c>
      <c r="E1031" t="str">
        <f>INDEX('State Codes'!$E$7:$E$70,MATCH(INDEX('State Codes'!$C$7:$C$70,MATCH('County Climates'!B1031,'State Codes'!$D$7:$D$70,0),1),'State Codes'!$C$7:$C$70,0),1)</f>
        <v>West North Central Division</v>
      </c>
      <c r="F1031">
        <f>INDEX('CBECS_Table B5'!$C$6:$K$6,1,MATCH('County Climates'!E1031,'CBECS_Table B5'!$C$1:$K$1,0))</f>
        <v>6178</v>
      </c>
    </row>
    <row r="1032" spans="1:6" x14ac:dyDescent="0.25">
      <c r="A1032" t="s">
        <v>1012</v>
      </c>
      <c r="B1032" t="s">
        <v>1013</v>
      </c>
      <c r="C1032" t="s">
        <v>1027</v>
      </c>
      <c r="D1032" t="s">
        <v>229</v>
      </c>
      <c r="E1032" t="str">
        <f>INDEX('State Codes'!$E$7:$E$70,MATCH(INDEX('State Codes'!$C$7:$C$70,MATCH('County Climates'!B1032,'State Codes'!$D$7:$D$70,0),1),'State Codes'!$C$7:$C$70,0),1)</f>
        <v>West North Central Division</v>
      </c>
      <c r="F1032">
        <f>INDEX('CBECS_Table B5'!$C$6:$K$6,1,MATCH('County Climates'!E1032,'CBECS_Table B5'!$C$1:$K$1,0))</f>
        <v>6178</v>
      </c>
    </row>
    <row r="1033" spans="1:6" x14ac:dyDescent="0.25">
      <c r="A1033" t="s">
        <v>1012</v>
      </c>
      <c r="B1033" t="s">
        <v>1013</v>
      </c>
      <c r="C1033" t="s">
        <v>316</v>
      </c>
      <c r="D1033" t="s">
        <v>228</v>
      </c>
      <c r="E1033" t="str">
        <f>INDEX('State Codes'!$E$7:$E$70,MATCH(INDEX('State Codes'!$C$7:$C$70,MATCH('County Climates'!B1033,'State Codes'!$D$7:$D$70,0),1),'State Codes'!$C$7:$C$70,0),1)</f>
        <v>West North Central Division</v>
      </c>
      <c r="F1033">
        <f>INDEX('CBECS_Table B5'!$C$6:$K$6,1,MATCH('County Climates'!E1033,'CBECS_Table B5'!$C$1:$K$1,0))</f>
        <v>6178</v>
      </c>
    </row>
    <row r="1034" spans="1:6" x14ac:dyDescent="0.25">
      <c r="A1034" t="s">
        <v>1012</v>
      </c>
      <c r="B1034" t="s">
        <v>1013</v>
      </c>
      <c r="C1034" t="s">
        <v>1028</v>
      </c>
      <c r="D1034" t="s">
        <v>229</v>
      </c>
      <c r="E1034" t="str">
        <f>INDEX('State Codes'!$E$7:$E$70,MATCH(INDEX('State Codes'!$C$7:$C$70,MATCH('County Climates'!B1034,'State Codes'!$D$7:$D$70,0),1),'State Codes'!$C$7:$C$70,0),1)</f>
        <v>West North Central Division</v>
      </c>
      <c r="F1034">
        <f>INDEX('CBECS_Table B5'!$C$6:$K$6,1,MATCH('County Climates'!E1034,'CBECS_Table B5'!$C$1:$K$1,0))</f>
        <v>6178</v>
      </c>
    </row>
    <row r="1035" spans="1:6" x14ac:dyDescent="0.25">
      <c r="A1035" t="s">
        <v>1012</v>
      </c>
      <c r="B1035" t="s">
        <v>1013</v>
      </c>
      <c r="C1035" t="s">
        <v>1029</v>
      </c>
      <c r="D1035" t="s">
        <v>228</v>
      </c>
      <c r="E1035" t="str">
        <f>INDEX('State Codes'!$E$7:$E$70,MATCH(INDEX('State Codes'!$C$7:$C$70,MATCH('County Climates'!B1035,'State Codes'!$D$7:$D$70,0),1),'State Codes'!$C$7:$C$70,0),1)</f>
        <v>West North Central Division</v>
      </c>
      <c r="F1035">
        <f>INDEX('CBECS_Table B5'!$C$6:$K$6,1,MATCH('County Climates'!E1035,'CBECS_Table B5'!$C$1:$K$1,0))</f>
        <v>6178</v>
      </c>
    </row>
    <row r="1036" spans="1:6" x14ac:dyDescent="0.25">
      <c r="A1036" t="s">
        <v>1012</v>
      </c>
      <c r="B1036" t="s">
        <v>1013</v>
      </c>
      <c r="C1036" t="s">
        <v>1030</v>
      </c>
      <c r="D1036" t="s">
        <v>229</v>
      </c>
      <c r="E1036" t="str">
        <f>INDEX('State Codes'!$E$7:$E$70,MATCH(INDEX('State Codes'!$C$7:$C$70,MATCH('County Climates'!B1036,'State Codes'!$D$7:$D$70,0),1),'State Codes'!$C$7:$C$70,0),1)</f>
        <v>West North Central Division</v>
      </c>
      <c r="F1036">
        <f>INDEX('CBECS_Table B5'!$C$6:$K$6,1,MATCH('County Climates'!E1036,'CBECS_Table B5'!$C$1:$K$1,0))</f>
        <v>6178</v>
      </c>
    </row>
    <row r="1037" spans="1:6" x14ac:dyDescent="0.25">
      <c r="A1037" t="s">
        <v>1012</v>
      </c>
      <c r="B1037" t="s">
        <v>1013</v>
      </c>
      <c r="C1037" t="s">
        <v>1031</v>
      </c>
      <c r="D1037" t="s">
        <v>228</v>
      </c>
      <c r="E1037" t="str">
        <f>INDEX('State Codes'!$E$7:$E$70,MATCH(INDEX('State Codes'!$C$7:$C$70,MATCH('County Climates'!B1037,'State Codes'!$D$7:$D$70,0),1),'State Codes'!$C$7:$C$70,0),1)</f>
        <v>West North Central Division</v>
      </c>
      <c r="F1037">
        <f>INDEX('CBECS_Table B5'!$C$6:$K$6,1,MATCH('County Climates'!E1037,'CBECS_Table B5'!$C$1:$K$1,0))</f>
        <v>6178</v>
      </c>
    </row>
    <row r="1038" spans="1:6" x14ac:dyDescent="0.25">
      <c r="A1038" t="s">
        <v>1012</v>
      </c>
      <c r="B1038" t="s">
        <v>1013</v>
      </c>
      <c r="C1038" t="s">
        <v>326</v>
      </c>
      <c r="D1038" t="s">
        <v>228</v>
      </c>
      <c r="E1038" t="str">
        <f>INDEX('State Codes'!$E$7:$E$70,MATCH(INDEX('State Codes'!$C$7:$C$70,MATCH('County Climates'!B1038,'State Codes'!$D$7:$D$70,0),1),'State Codes'!$C$7:$C$70,0),1)</f>
        <v>West North Central Division</v>
      </c>
      <c r="F1038">
        <f>INDEX('CBECS_Table B5'!$C$6:$K$6,1,MATCH('County Climates'!E1038,'CBECS_Table B5'!$C$1:$K$1,0))</f>
        <v>6178</v>
      </c>
    </row>
    <row r="1039" spans="1:6" x14ac:dyDescent="0.25">
      <c r="A1039" t="s">
        <v>1012</v>
      </c>
      <c r="B1039" t="s">
        <v>1013</v>
      </c>
      <c r="C1039" t="s">
        <v>548</v>
      </c>
      <c r="D1039" t="s">
        <v>229</v>
      </c>
      <c r="E1039" t="str">
        <f>INDEX('State Codes'!$E$7:$E$70,MATCH(INDEX('State Codes'!$C$7:$C$70,MATCH('County Climates'!B1039,'State Codes'!$D$7:$D$70,0),1),'State Codes'!$C$7:$C$70,0),1)</f>
        <v>West North Central Division</v>
      </c>
      <c r="F1039">
        <f>INDEX('CBECS_Table B5'!$C$6:$K$6,1,MATCH('County Climates'!E1039,'CBECS_Table B5'!$C$1:$K$1,0))</f>
        <v>6178</v>
      </c>
    </row>
    <row r="1040" spans="1:6" x14ac:dyDescent="0.25">
      <c r="A1040" t="s">
        <v>1032</v>
      </c>
      <c r="B1040" t="s">
        <v>1033</v>
      </c>
      <c r="C1040" t="s">
        <v>1034</v>
      </c>
      <c r="D1040" t="s">
        <v>228</v>
      </c>
      <c r="E1040" t="str">
        <f>INDEX('State Codes'!$E$7:$E$70,MATCH(INDEX('State Codes'!$C$7:$C$70,MATCH('County Climates'!B1040,'State Codes'!$D$7:$D$70,0),1),'State Codes'!$C$7:$C$70,0),1)</f>
        <v>East North Central Division</v>
      </c>
      <c r="F1040">
        <f>INDEX('CBECS_Table B5'!$C$6:$K$6,1,MATCH('County Climates'!E1040,'CBECS_Table B5'!$C$1:$K$1,0))</f>
        <v>12742</v>
      </c>
    </row>
    <row r="1041" spans="1:6" x14ac:dyDescent="0.25">
      <c r="A1041" t="s">
        <v>1032</v>
      </c>
      <c r="B1041" t="s">
        <v>1033</v>
      </c>
      <c r="C1041" t="s">
        <v>1035</v>
      </c>
      <c r="D1041" t="s">
        <v>228</v>
      </c>
      <c r="E1041" t="str">
        <f>INDEX('State Codes'!$E$7:$E$70,MATCH(INDEX('State Codes'!$C$7:$C$70,MATCH('County Climates'!B1041,'State Codes'!$D$7:$D$70,0),1),'State Codes'!$C$7:$C$70,0),1)</f>
        <v>East North Central Division</v>
      </c>
      <c r="F1041">
        <f>INDEX('CBECS_Table B5'!$C$6:$K$6,1,MATCH('County Climates'!E1041,'CBECS_Table B5'!$C$1:$K$1,0))</f>
        <v>12742</v>
      </c>
    </row>
    <row r="1042" spans="1:6" x14ac:dyDescent="0.25">
      <c r="A1042" t="s">
        <v>1032</v>
      </c>
      <c r="B1042" t="s">
        <v>1033</v>
      </c>
      <c r="C1042" t="s">
        <v>279</v>
      </c>
      <c r="D1042" t="s">
        <v>228</v>
      </c>
      <c r="E1042" t="str">
        <f>INDEX('State Codes'!$E$7:$E$70,MATCH(INDEX('State Codes'!$C$7:$C$70,MATCH('County Climates'!B1042,'State Codes'!$D$7:$D$70,0),1),'State Codes'!$C$7:$C$70,0),1)</f>
        <v>East North Central Division</v>
      </c>
      <c r="F1042">
        <f>INDEX('CBECS_Table B5'!$C$6:$K$6,1,MATCH('County Climates'!E1042,'CBECS_Table B5'!$C$1:$K$1,0))</f>
        <v>12742</v>
      </c>
    </row>
    <row r="1043" spans="1:6" x14ac:dyDescent="0.25">
      <c r="A1043" t="s">
        <v>1032</v>
      </c>
      <c r="B1043" t="s">
        <v>1033</v>
      </c>
      <c r="C1043" t="s">
        <v>280</v>
      </c>
      <c r="D1043" t="s">
        <v>228</v>
      </c>
      <c r="E1043" t="str">
        <f>INDEX('State Codes'!$E$7:$E$70,MATCH(INDEX('State Codes'!$C$7:$C$70,MATCH('County Climates'!B1043,'State Codes'!$D$7:$D$70,0),1),'State Codes'!$C$7:$C$70,0),1)</f>
        <v>East North Central Division</v>
      </c>
      <c r="F1043">
        <f>INDEX('CBECS_Table B5'!$C$6:$K$6,1,MATCH('County Climates'!E1043,'CBECS_Table B5'!$C$1:$K$1,0))</f>
        <v>12742</v>
      </c>
    </row>
    <row r="1044" spans="1:6" x14ac:dyDescent="0.25">
      <c r="A1044" t="s">
        <v>1032</v>
      </c>
      <c r="B1044" t="s">
        <v>1033</v>
      </c>
      <c r="C1044" t="s">
        <v>679</v>
      </c>
      <c r="D1044" t="s">
        <v>228</v>
      </c>
      <c r="E1044" t="str">
        <f>INDEX('State Codes'!$E$7:$E$70,MATCH(INDEX('State Codes'!$C$7:$C$70,MATCH('County Climates'!B1044,'State Codes'!$D$7:$D$70,0),1),'State Codes'!$C$7:$C$70,0),1)</f>
        <v>East North Central Division</v>
      </c>
      <c r="F1044">
        <f>INDEX('CBECS_Table B5'!$C$6:$K$6,1,MATCH('County Climates'!E1044,'CBECS_Table B5'!$C$1:$K$1,0))</f>
        <v>12742</v>
      </c>
    </row>
    <row r="1045" spans="1:6" x14ac:dyDescent="0.25">
      <c r="A1045" t="s">
        <v>1032</v>
      </c>
      <c r="B1045" t="s">
        <v>1033</v>
      </c>
      <c r="C1045" t="s">
        <v>383</v>
      </c>
      <c r="D1045" t="s">
        <v>228</v>
      </c>
      <c r="E1045" t="str">
        <f>INDEX('State Codes'!$E$7:$E$70,MATCH(INDEX('State Codes'!$C$7:$C$70,MATCH('County Climates'!B1045,'State Codes'!$D$7:$D$70,0),1),'State Codes'!$C$7:$C$70,0),1)</f>
        <v>East North Central Division</v>
      </c>
      <c r="F1045">
        <f>INDEX('CBECS_Table B5'!$C$6:$K$6,1,MATCH('County Climates'!E1045,'CBECS_Table B5'!$C$1:$K$1,0))</f>
        <v>12742</v>
      </c>
    </row>
    <row r="1046" spans="1:6" x14ac:dyDescent="0.25">
      <c r="A1046" t="s">
        <v>1032</v>
      </c>
      <c r="B1046" t="s">
        <v>1033</v>
      </c>
      <c r="C1046" t="s">
        <v>283</v>
      </c>
      <c r="D1046" t="s">
        <v>247</v>
      </c>
      <c r="E1046" t="str">
        <f>INDEX('State Codes'!$E$7:$E$70,MATCH(INDEX('State Codes'!$C$7:$C$70,MATCH('County Climates'!B1046,'State Codes'!$D$7:$D$70,0),1),'State Codes'!$C$7:$C$70,0),1)</f>
        <v>East North Central Division</v>
      </c>
      <c r="F1046">
        <f>INDEX('CBECS_Table B5'!$C$6:$K$6,1,MATCH('County Climates'!E1046,'CBECS_Table B5'!$C$1:$K$1,0))</f>
        <v>12742</v>
      </c>
    </row>
    <row r="1047" spans="1:6" x14ac:dyDescent="0.25">
      <c r="A1047" t="s">
        <v>1032</v>
      </c>
      <c r="B1047" t="s">
        <v>1033</v>
      </c>
      <c r="C1047" t="s">
        <v>1036</v>
      </c>
      <c r="D1047" t="s">
        <v>228</v>
      </c>
      <c r="E1047" t="str">
        <f>INDEX('State Codes'!$E$7:$E$70,MATCH(INDEX('State Codes'!$C$7:$C$70,MATCH('County Climates'!B1047,'State Codes'!$D$7:$D$70,0),1),'State Codes'!$C$7:$C$70,0),1)</f>
        <v>East North Central Division</v>
      </c>
      <c r="F1047">
        <f>INDEX('CBECS_Table B5'!$C$6:$K$6,1,MATCH('County Climates'!E1047,'CBECS_Table B5'!$C$1:$K$1,0))</f>
        <v>12742</v>
      </c>
    </row>
    <row r="1048" spans="1:6" x14ac:dyDescent="0.25">
      <c r="A1048" t="s">
        <v>1032</v>
      </c>
      <c r="B1048" t="s">
        <v>1033</v>
      </c>
      <c r="C1048" t="s">
        <v>326</v>
      </c>
      <c r="D1048" t="s">
        <v>228</v>
      </c>
      <c r="E1048" t="str">
        <f>INDEX('State Codes'!$E$7:$E$70,MATCH(INDEX('State Codes'!$C$7:$C$70,MATCH('County Climates'!B1048,'State Codes'!$D$7:$D$70,0),1),'State Codes'!$C$7:$C$70,0),1)</f>
        <v>East North Central Division</v>
      </c>
      <c r="F1048">
        <f>INDEX('CBECS_Table B5'!$C$6:$K$6,1,MATCH('County Climates'!E1048,'CBECS_Table B5'!$C$1:$K$1,0))</f>
        <v>12742</v>
      </c>
    </row>
    <row r="1049" spans="1:6" x14ac:dyDescent="0.25">
      <c r="A1049" t="s">
        <v>1032</v>
      </c>
      <c r="B1049" t="s">
        <v>1033</v>
      </c>
      <c r="C1049" t="s">
        <v>1037</v>
      </c>
      <c r="D1049" t="s">
        <v>228</v>
      </c>
      <c r="E1049" t="str">
        <f>INDEX('State Codes'!$E$7:$E$70,MATCH(INDEX('State Codes'!$C$7:$C$70,MATCH('County Climates'!B1049,'State Codes'!$D$7:$D$70,0),1),'State Codes'!$C$7:$C$70,0),1)</f>
        <v>East North Central Division</v>
      </c>
      <c r="F1049">
        <f>INDEX('CBECS_Table B5'!$C$6:$K$6,1,MATCH('County Climates'!E1049,'CBECS_Table B5'!$C$1:$K$1,0))</f>
        <v>12742</v>
      </c>
    </row>
    <row r="1050" spans="1:6" x14ac:dyDescent="0.25">
      <c r="A1050" t="s">
        <v>1032</v>
      </c>
      <c r="B1050" t="s">
        <v>1033</v>
      </c>
      <c r="C1050" t="s">
        <v>1038</v>
      </c>
      <c r="D1050" t="s">
        <v>228</v>
      </c>
      <c r="E1050" t="str">
        <f>INDEX('State Codes'!$E$7:$E$70,MATCH(INDEX('State Codes'!$C$7:$C$70,MATCH('County Climates'!B1050,'State Codes'!$D$7:$D$70,0),1),'State Codes'!$C$7:$C$70,0),1)</f>
        <v>East North Central Division</v>
      </c>
      <c r="F1050">
        <f>INDEX('CBECS_Table B5'!$C$6:$K$6,1,MATCH('County Climates'!E1050,'CBECS_Table B5'!$C$1:$K$1,0))</f>
        <v>12742</v>
      </c>
    </row>
    <row r="1051" spans="1:6" x14ac:dyDescent="0.25">
      <c r="A1051" t="s">
        <v>1032</v>
      </c>
      <c r="B1051" t="s">
        <v>1033</v>
      </c>
      <c r="C1051" t="s">
        <v>288</v>
      </c>
      <c r="D1051" t="s">
        <v>228</v>
      </c>
      <c r="E1051" t="str">
        <f>INDEX('State Codes'!$E$7:$E$70,MATCH(INDEX('State Codes'!$C$7:$C$70,MATCH('County Climates'!B1051,'State Codes'!$D$7:$D$70,0),1),'State Codes'!$C$7:$C$70,0),1)</f>
        <v>East North Central Division</v>
      </c>
      <c r="F1051">
        <f>INDEX('CBECS_Table B5'!$C$6:$K$6,1,MATCH('County Climates'!E1051,'CBECS_Table B5'!$C$1:$K$1,0))</f>
        <v>12742</v>
      </c>
    </row>
    <row r="1052" spans="1:6" x14ac:dyDescent="0.25">
      <c r="A1052" t="s">
        <v>1032</v>
      </c>
      <c r="B1052" t="s">
        <v>1033</v>
      </c>
      <c r="C1052" t="s">
        <v>1039</v>
      </c>
      <c r="D1052" t="s">
        <v>228</v>
      </c>
      <c r="E1052" t="str">
        <f>INDEX('State Codes'!$E$7:$E$70,MATCH(INDEX('State Codes'!$C$7:$C$70,MATCH('County Climates'!B1052,'State Codes'!$D$7:$D$70,0),1),'State Codes'!$C$7:$C$70,0),1)</f>
        <v>East North Central Division</v>
      </c>
      <c r="F1052">
        <f>INDEX('CBECS_Table B5'!$C$6:$K$6,1,MATCH('County Climates'!E1052,'CBECS_Table B5'!$C$1:$K$1,0))</f>
        <v>12742</v>
      </c>
    </row>
    <row r="1053" spans="1:6" x14ac:dyDescent="0.25">
      <c r="A1053" t="s">
        <v>1032</v>
      </c>
      <c r="B1053" t="s">
        <v>1033</v>
      </c>
      <c r="C1053" t="s">
        <v>290</v>
      </c>
      <c r="D1053" t="s">
        <v>228</v>
      </c>
      <c r="E1053" t="str">
        <f>INDEX('State Codes'!$E$7:$E$70,MATCH(INDEX('State Codes'!$C$7:$C$70,MATCH('County Climates'!B1053,'State Codes'!$D$7:$D$70,0),1),'State Codes'!$C$7:$C$70,0),1)</f>
        <v>East North Central Division</v>
      </c>
      <c r="F1053">
        <f>INDEX('CBECS_Table B5'!$C$6:$K$6,1,MATCH('County Climates'!E1053,'CBECS_Table B5'!$C$1:$K$1,0))</f>
        <v>12742</v>
      </c>
    </row>
    <row r="1054" spans="1:6" x14ac:dyDescent="0.25">
      <c r="A1054" t="s">
        <v>1032</v>
      </c>
      <c r="B1054" t="s">
        <v>1033</v>
      </c>
      <c r="C1054" t="s">
        <v>1040</v>
      </c>
      <c r="D1054" t="s">
        <v>228</v>
      </c>
      <c r="E1054" t="str">
        <f>INDEX('State Codes'!$E$7:$E$70,MATCH(INDEX('State Codes'!$C$7:$C$70,MATCH('County Climates'!B1054,'State Codes'!$D$7:$D$70,0),1),'State Codes'!$C$7:$C$70,0),1)</f>
        <v>East North Central Division</v>
      </c>
      <c r="F1054">
        <f>INDEX('CBECS_Table B5'!$C$6:$K$6,1,MATCH('County Climates'!E1054,'CBECS_Table B5'!$C$1:$K$1,0))</f>
        <v>12742</v>
      </c>
    </row>
    <row r="1055" spans="1:6" x14ac:dyDescent="0.25">
      <c r="A1055" t="s">
        <v>1032</v>
      </c>
      <c r="B1055" t="s">
        <v>1033</v>
      </c>
      <c r="C1055" t="s">
        <v>1041</v>
      </c>
      <c r="D1055" t="s">
        <v>228</v>
      </c>
      <c r="E1055" t="str">
        <f>INDEX('State Codes'!$E$7:$E$70,MATCH(INDEX('State Codes'!$C$7:$C$70,MATCH('County Climates'!B1055,'State Codes'!$D$7:$D$70,0),1),'State Codes'!$C$7:$C$70,0),1)</f>
        <v>East North Central Division</v>
      </c>
      <c r="F1055">
        <f>INDEX('CBECS_Table B5'!$C$6:$K$6,1,MATCH('County Climates'!E1055,'CBECS_Table B5'!$C$1:$K$1,0))</f>
        <v>12742</v>
      </c>
    </row>
    <row r="1056" spans="1:6" x14ac:dyDescent="0.25">
      <c r="A1056" t="s">
        <v>1032</v>
      </c>
      <c r="B1056" t="s">
        <v>1033</v>
      </c>
      <c r="C1056" t="s">
        <v>551</v>
      </c>
      <c r="D1056" t="s">
        <v>228</v>
      </c>
      <c r="E1056" t="str">
        <f>INDEX('State Codes'!$E$7:$E$70,MATCH(INDEX('State Codes'!$C$7:$C$70,MATCH('County Climates'!B1056,'State Codes'!$D$7:$D$70,0),1),'State Codes'!$C$7:$C$70,0),1)</f>
        <v>East North Central Division</v>
      </c>
      <c r="F1056">
        <f>INDEX('CBECS_Table B5'!$C$6:$K$6,1,MATCH('County Climates'!E1056,'CBECS_Table B5'!$C$1:$K$1,0))</f>
        <v>12742</v>
      </c>
    </row>
    <row r="1057" spans="1:6" x14ac:dyDescent="0.25">
      <c r="A1057" t="s">
        <v>1032</v>
      </c>
      <c r="B1057" t="s">
        <v>1033</v>
      </c>
      <c r="C1057" t="s">
        <v>648</v>
      </c>
      <c r="D1057" t="s">
        <v>228</v>
      </c>
      <c r="E1057" t="str">
        <f>INDEX('State Codes'!$E$7:$E$70,MATCH(INDEX('State Codes'!$C$7:$C$70,MATCH('County Climates'!B1057,'State Codes'!$D$7:$D$70,0),1),'State Codes'!$C$7:$C$70,0),1)</f>
        <v>East North Central Division</v>
      </c>
      <c r="F1057">
        <f>INDEX('CBECS_Table B5'!$C$6:$K$6,1,MATCH('County Climates'!E1057,'CBECS_Table B5'!$C$1:$K$1,0))</f>
        <v>12742</v>
      </c>
    </row>
    <row r="1058" spans="1:6" x14ac:dyDescent="0.25">
      <c r="A1058" t="s">
        <v>1032</v>
      </c>
      <c r="B1058" t="s">
        <v>1033</v>
      </c>
      <c r="C1058" t="s">
        <v>293</v>
      </c>
      <c r="D1058" t="s">
        <v>228</v>
      </c>
      <c r="E1058" t="str">
        <f>INDEX('State Codes'!$E$7:$E$70,MATCH(INDEX('State Codes'!$C$7:$C$70,MATCH('County Climates'!B1058,'State Codes'!$D$7:$D$70,0),1),'State Codes'!$C$7:$C$70,0),1)</f>
        <v>East North Central Division</v>
      </c>
      <c r="F1058">
        <f>INDEX('CBECS_Table B5'!$C$6:$K$6,1,MATCH('County Climates'!E1058,'CBECS_Table B5'!$C$1:$K$1,0))</f>
        <v>12742</v>
      </c>
    </row>
    <row r="1059" spans="1:6" x14ac:dyDescent="0.25">
      <c r="A1059" t="s">
        <v>1032</v>
      </c>
      <c r="B1059" t="s">
        <v>1033</v>
      </c>
      <c r="C1059" t="s">
        <v>294</v>
      </c>
      <c r="D1059" t="s">
        <v>228</v>
      </c>
      <c r="E1059" t="str">
        <f>INDEX('State Codes'!$E$7:$E$70,MATCH(INDEX('State Codes'!$C$7:$C$70,MATCH('County Climates'!B1059,'State Codes'!$D$7:$D$70,0),1),'State Codes'!$C$7:$C$70,0),1)</f>
        <v>East North Central Division</v>
      </c>
      <c r="F1059">
        <f>INDEX('CBECS_Table B5'!$C$6:$K$6,1,MATCH('County Climates'!E1059,'CBECS_Table B5'!$C$1:$K$1,0))</f>
        <v>12742</v>
      </c>
    </row>
    <row r="1060" spans="1:6" x14ac:dyDescent="0.25">
      <c r="A1060" t="s">
        <v>1032</v>
      </c>
      <c r="B1060" t="s">
        <v>1033</v>
      </c>
      <c r="C1060" t="s">
        <v>295</v>
      </c>
      <c r="D1060" t="s">
        <v>228</v>
      </c>
      <c r="E1060" t="str">
        <f>INDEX('State Codes'!$E$7:$E$70,MATCH(INDEX('State Codes'!$C$7:$C$70,MATCH('County Climates'!B1060,'State Codes'!$D$7:$D$70,0),1),'State Codes'!$C$7:$C$70,0),1)</f>
        <v>East North Central Division</v>
      </c>
      <c r="F1060">
        <f>INDEX('CBECS_Table B5'!$C$6:$K$6,1,MATCH('County Climates'!E1060,'CBECS_Table B5'!$C$1:$K$1,0))</f>
        <v>12742</v>
      </c>
    </row>
    <row r="1061" spans="1:6" x14ac:dyDescent="0.25">
      <c r="A1061" t="s">
        <v>1032</v>
      </c>
      <c r="B1061" t="s">
        <v>1033</v>
      </c>
      <c r="C1061" t="s">
        <v>1042</v>
      </c>
      <c r="D1061" t="s">
        <v>228</v>
      </c>
      <c r="E1061" t="str">
        <f>INDEX('State Codes'!$E$7:$E$70,MATCH(INDEX('State Codes'!$C$7:$C$70,MATCH('County Climates'!B1061,'State Codes'!$D$7:$D$70,0),1),'State Codes'!$C$7:$C$70,0),1)</f>
        <v>East North Central Division</v>
      </c>
      <c r="F1061">
        <f>INDEX('CBECS_Table B5'!$C$6:$K$6,1,MATCH('County Climates'!E1061,'CBECS_Table B5'!$C$1:$K$1,0))</f>
        <v>12742</v>
      </c>
    </row>
    <row r="1062" spans="1:6" x14ac:dyDescent="0.25">
      <c r="A1062" t="s">
        <v>1032</v>
      </c>
      <c r="B1062" t="s">
        <v>1033</v>
      </c>
      <c r="C1062" t="s">
        <v>1043</v>
      </c>
      <c r="D1062" t="s">
        <v>228</v>
      </c>
      <c r="E1062" t="str">
        <f>INDEX('State Codes'!$E$7:$E$70,MATCH(INDEX('State Codes'!$C$7:$C$70,MATCH('County Climates'!B1062,'State Codes'!$D$7:$D$70,0),1),'State Codes'!$C$7:$C$70,0),1)</f>
        <v>East North Central Division</v>
      </c>
      <c r="F1062">
        <f>INDEX('CBECS_Table B5'!$C$6:$K$6,1,MATCH('County Climates'!E1062,'CBECS_Table B5'!$C$1:$K$1,0))</f>
        <v>12742</v>
      </c>
    </row>
    <row r="1063" spans="1:6" x14ac:dyDescent="0.25">
      <c r="A1063" t="s">
        <v>1032</v>
      </c>
      <c r="B1063" t="s">
        <v>1033</v>
      </c>
      <c r="C1063" t="s">
        <v>1044</v>
      </c>
      <c r="D1063" t="s">
        <v>228</v>
      </c>
      <c r="E1063" t="str">
        <f>INDEX('State Codes'!$E$7:$E$70,MATCH(INDEX('State Codes'!$C$7:$C$70,MATCH('County Climates'!B1063,'State Codes'!$D$7:$D$70,0),1),'State Codes'!$C$7:$C$70,0),1)</f>
        <v>East North Central Division</v>
      </c>
      <c r="F1063">
        <f>INDEX('CBECS_Table B5'!$C$6:$K$6,1,MATCH('County Climates'!E1063,'CBECS_Table B5'!$C$1:$K$1,0))</f>
        <v>12742</v>
      </c>
    </row>
    <row r="1064" spans="1:6" x14ac:dyDescent="0.25">
      <c r="A1064" t="s">
        <v>1032</v>
      </c>
      <c r="B1064" t="s">
        <v>1033</v>
      </c>
      <c r="C1064" t="s">
        <v>658</v>
      </c>
      <c r="D1064" t="s">
        <v>228</v>
      </c>
      <c r="E1064" t="str">
        <f>INDEX('State Codes'!$E$7:$E$70,MATCH(INDEX('State Codes'!$C$7:$C$70,MATCH('County Climates'!B1064,'State Codes'!$D$7:$D$70,0),1),'State Codes'!$C$7:$C$70,0),1)</f>
        <v>East North Central Division</v>
      </c>
      <c r="F1064">
        <f>INDEX('CBECS_Table B5'!$C$6:$K$6,1,MATCH('County Climates'!E1064,'CBECS_Table B5'!$C$1:$K$1,0))</f>
        <v>12742</v>
      </c>
    </row>
    <row r="1065" spans="1:6" x14ac:dyDescent="0.25">
      <c r="A1065" t="s">
        <v>1032</v>
      </c>
      <c r="B1065" t="s">
        <v>1033</v>
      </c>
      <c r="C1065" t="s">
        <v>1045</v>
      </c>
      <c r="D1065" t="s">
        <v>228</v>
      </c>
      <c r="E1065" t="str">
        <f>INDEX('State Codes'!$E$7:$E$70,MATCH(INDEX('State Codes'!$C$7:$C$70,MATCH('County Climates'!B1065,'State Codes'!$D$7:$D$70,0),1),'State Codes'!$C$7:$C$70,0),1)</f>
        <v>East North Central Division</v>
      </c>
      <c r="F1065">
        <f>INDEX('CBECS_Table B5'!$C$6:$K$6,1,MATCH('County Climates'!E1065,'CBECS_Table B5'!$C$1:$K$1,0))</f>
        <v>12742</v>
      </c>
    </row>
    <row r="1066" spans="1:6" x14ac:dyDescent="0.25">
      <c r="A1066" t="s">
        <v>1032</v>
      </c>
      <c r="B1066" t="s">
        <v>1033</v>
      </c>
      <c r="C1066" t="s">
        <v>296</v>
      </c>
      <c r="D1066" t="s">
        <v>228</v>
      </c>
      <c r="E1066" t="str">
        <f>INDEX('State Codes'!$E$7:$E$70,MATCH(INDEX('State Codes'!$C$7:$C$70,MATCH('County Climates'!B1066,'State Codes'!$D$7:$D$70,0),1),'State Codes'!$C$7:$C$70,0),1)</f>
        <v>East North Central Division</v>
      </c>
      <c r="F1066">
        <f>INDEX('CBECS_Table B5'!$C$6:$K$6,1,MATCH('County Climates'!E1066,'CBECS_Table B5'!$C$1:$K$1,0))</f>
        <v>12742</v>
      </c>
    </row>
    <row r="1067" spans="1:6" x14ac:dyDescent="0.25">
      <c r="A1067" t="s">
        <v>1032</v>
      </c>
      <c r="B1067" t="s">
        <v>1033</v>
      </c>
      <c r="C1067" t="s">
        <v>1046</v>
      </c>
      <c r="D1067" t="s">
        <v>228</v>
      </c>
      <c r="E1067" t="str">
        <f>INDEX('State Codes'!$E$7:$E$70,MATCH(INDEX('State Codes'!$C$7:$C$70,MATCH('County Climates'!B1067,'State Codes'!$D$7:$D$70,0),1),'State Codes'!$C$7:$C$70,0),1)</f>
        <v>East North Central Division</v>
      </c>
      <c r="F1067">
        <f>INDEX('CBECS_Table B5'!$C$6:$K$6,1,MATCH('County Climates'!E1067,'CBECS_Table B5'!$C$1:$K$1,0))</f>
        <v>12742</v>
      </c>
    </row>
    <row r="1068" spans="1:6" x14ac:dyDescent="0.25">
      <c r="A1068" t="s">
        <v>1032</v>
      </c>
      <c r="B1068" t="s">
        <v>1033</v>
      </c>
      <c r="C1068" t="s">
        <v>298</v>
      </c>
      <c r="D1068" t="s">
        <v>247</v>
      </c>
      <c r="E1068" t="str">
        <f>INDEX('State Codes'!$E$7:$E$70,MATCH(INDEX('State Codes'!$C$7:$C$70,MATCH('County Climates'!B1068,'State Codes'!$D$7:$D$70,0),1),'State Codes'!$C$7:$C$70,0),1)</f>
        <v>East North Central Division</v>
      </c>
      <c r="F1068">
        <f>INDEX('CBECS_Table B5'!$C$6:$K$6,1,MATCH('County Climates'!E1068,'CBECS_Table B5'!$C$1:$K$1,0))</f>
        <v>12742</v>
      </c>
    </row>
    <row r="1069" spans="1:6" x14ac:dyDescent="0.25">
      <c r="A1069" t="s">
        <v>1032</v>
      </c>
      <c r="B1069" t="s">
        <v>1033</v>
      </c>
      <c r="C1069" t="s">
        <v>1047</v>
      </c>
      <c r="D1069" t="s">
        <v>228</v>
      </c>
      <c r="E1069" t="str">
        <f>INDEX('State Codes'!$E$7:$E$70,MATCH(INDEX('State Codes'!$C$7:$C$70,MATCH('County Climates'!B1069,'State Codes'!$D$7:$D$70,0),1),'State Codes'!$C$7:$C$70,0),1)</f>
        <v>East North Central Division</v>
      </c>
      <c r="F1069">
        <f>INDEX('CBECS_Table B5'!$C$6:$K$6,1,MATCH('County Climates'!E1069,'CBECS_Table B5'!$C$1:$K$1,0))</f>
        <v>12742</v>
      </c>
    </row>
    <row r="1070" spans="1:6" x14ac:dyDescent="0.25">
      <c r="A1070" t="s">
        <v>1032</v>
      </c>
      <c r="B1070" t="s">
        <v>1033</v>
      </c>
      <c r="C1070" t="s">
        <v>1048</v>
      </c>
      <c r="D1070" t="s">
        <v>228</v>
      </c>
      <c r="E1070" t="str">
        <f>INDEX('State Codes'!$E$7:$E$70,MATCH(INDEX('State Codes'!$C$7:$C$70,MATCH('County Climates'!B1070,'State Codes'!$D$7:$D$70,0),1),'State Codes'!$C$7:$C$70,0),1)</f>
        <v>East North Central Division</v>
      </c>
      <c r="F1070">
        <f>INDEX('CBECS_Table B5'!$C$6:$K$6,1,MATCH('County Climates'!E1070,'CBECS_Table B5'!$C$1:$K$1,0))</f>
        <v>12742</v>
      </c>
    </row>
    <row r="1071" spans="1:6" x14ac:dyDescent="0.25">
      <c r="A1071" t="s">
        <v>1032</v>
      </c>
      <c r="B1071" t="s">
        <v>1033</v>
      </c>
      <c r="C1071" t="s">
        <v>556</v>
      </c>
      <c r="D1071" t="s">
        <v>228</v>
      </c>
      <c r="E1071" t="str">
        <f>INDEX('State Codes'!$E$7:$E$70,MATCH(INDEX('State Codes'!$C$7:$C$70,MATCH('County Climates'!B1071,'State Codes'!$D$7:$D$70,0),1),'State Codes'!$C$7:$C$70,0),1)</f>
        <v>East North Central Division</v>
      </c>
      <c r="F1071">
        <f>INDEX('CBECS_Table B5'!$C$6:$K$6,1,MATCH('County Climates'!E1071,'CBECS_Table B5'!$C$1:$K$1,0))</f>
        <v>12742</v>
      </c>
    </row>
    <row r="1072" spans="1:6" x14ac:dyDescent="0.25">
      <c r="A1072" t="s">
        <v>1032</v>
      </c>
      <c r="B1072" t="s">
        <v>1033</v>
      </c>
      <c r="C1072" t="s">
        <v>557</v>
      </c>
      <c r="D1072" t="s">
        <v>228</v>
      </c>
      <c r="E1072" t="str">
        <f>INDEX('State Codes'!$E$7:$E$70,MATCH(INDEX('State Codes'!$C$7:$C$70,MATCH('County Climates'!B1072,'State Codes'!$D$7:$D$70,0),1),'State Codes'!$C$7:$C$70,0),1)</f>
        <v>East North Central Division</v>
      </c>
      <c r="F1072">
        <f>INDEX('CBECS_Table B5'!$C$6:$K$6,1,MATCH('County Climates'!E1072,'CBECS_Table B5'!$C$1:$K$1,0))</f>
        <v>12742</v>
      </c>
    </row>
    <row r="1073" spans="1:6" x14ac:dyDescent="0.25">
      <c r="A1073" t="s">
        <v>1032</v>
      </c>
      <c r="B1073" t="s">
        <v>1033</v>
      </c>
      <c r="C1073" t="s">
        <v>1049</v>
      </c>
      <c r="D1073" t="s">
        <v>228</v>
      </c>
      <c r="E1073" t="str">
        <f>INDEX('State Codes'!$E$7:$E$70,MATCH(INDEX('State Codes'!$C$7:$C$70,MATCH('County Climates'!B1073,'State Codes'!$D$7:$D$70,0),1),'State Codes'!$C$7:$C$70,0),1)</f>
        <v>East North Central Division</v>
      </c>
      <c r="F1073">
        <f>INDEX('CBECS_Table B5'!$C$6:$K$6,1,MATCH('County Climates'!E1073,'CBECS_Table B5'!$C$1:$K$1,0))</f>
        <v>12742</v>
      </c>
    </row>
    <row r="1074" spans="1:6" x14ac:dyDescent="0.25">
      <c r="A1074" t="s">
        <v>1032</v>
      </c>
      <c r="B1074" t="s">
        <v>1033</v>
      </c>
      <c r="C1074" t="s">
        <v>1050</v>
      </c>
      <c r="D1074" t="s">
        <v>228</v>
      </c>
      <c r="E1074" t="str">
        <f>INDEX('State Codes'!$E$7:$E$70,MATCH(INDEX('State Codes'!$C$7:$C$70,MATCH('County Climates'!B1074,'State Codes'!$D$7:$D$70,0),1),'State Codes'!$C$7:$C$70,0),1)</f>
        <v>East North Central Division</v>
      </c>
      <c r="F1074">
        <f>INDEX('CBECS_Table B5'!$C$6:$K$6,1,MATCH('County Climates'!E1074,'CBECS_Table B5'!$C$1:$K$1,0))</f>
        <v>12742</v>
      </c>
    </row>
    <row r="1075" spans="1:6" x14ac:dyDescent="0.25">
      <c r="A1075" t="s">
        <v>1032</v>
      </c>
      <c r="B1075" t="s">
        <v>1033</v>
      </c>
      <c r="C1075" t="s">
        <v>1051</v>
      </c>
      <c r="D1075" t="s">
        <v>247</v>
      </c>
      <c r="E1075" t="str">
        <f>INDEX('State Codes'!$E$7:$E$70,MATCH(INDEX('State Codes'!$C$7:$C$70,MATCH('County Climates'!B1075,'State Codes'!$D$7:$D$70,0),1),'State Codes'!$C$7:$C$70,0),1)</f>
        <v>East North Central Division</v>
      </c>
      <c r="F1075">
        <f>INDEX('CBECS_Table B5'!$C$6:$K$6,1,MATCH('County Climates'!E1075,'CBECS_Table B5'!$C$1:$K$1,0))</f>
        <v>12742</v>
      </c>
    </row>
    <row r="1076" spans="1:6" x14ac:dyDescent="0.25">
      <c r="A1076" t="s">
        <v>1032</v>
      </c>
      <c r="B1076" t="s">
        <v>1033</v>
      </c>
      <c r="C1076" t="s">
        <v>977</v>
      </c>
      <c r="D1076" t="s">
        <v>228</v>
      </c>
      <c r="E1076" t="str">
        <f>INDEX('State Codes'!$E$7:$E$70,MATCH(INDEX('State Codes'!$C$7:$C$70,MATCH('County Climates'!B1076,'State Codes'!$D$7:$D$70,0),1),'State Codes'!$C$7:$C$70,0),1)</f>
        <v>East North Central Division</v>
      </c>
      <c r="F1076">
        <f>INDEX('CBECS_Table B5'!$C$6:$K$6,1,MATCH('County Climates'!E1076,'CBECS_Table B5'!$C$1:$K$1,0))</f>
        <v>12742</v>
      </c>
    </row>
    <row r="1077" spans="1:6" x14ac:dyDescent="0.25">
      <c r="A1077" t="s">
        <v>1032</v>
      </c>
      <c r="B1077" t="s">
        <v>1033</v>
      </c>
      <c r="C1077" t="s">
        <v>301</v>
      </c>
      <c r="D1077" t="s">
        <v>228</v>
      </c>
      <c r="E1077" t="str">
        <f>INDEX('State Codes'!$E$7:$E$70,MATCH(INDEX('State Codes'!$C$7:$C$70,MATCH('County Climates'!B1077,'State Codes'!$D$7:$D$70,0),1),'State Codes'!$C$7:$C$70,0),1)</f>
        <v>East North Central Division</v>
      </c>
      <c r="F1077">
        <f>INDEX('CBECS_Table B5'!$C$6:$K$6,1,MATCH('County Climates'!E1077,'CBECS_Table B5'!$C$1:$K$1,0))</f>
        <v>12742</v>
      </c>
    </row>
    <row r="1078" spans="1:6" x14ac:dyDescent="0.25">
      <c r="A1078" t="s">
        <v>1032</v>
      </c>
      <c r="B1078" t="s">
        <v>1033</v>
      </c>
      <c r="C1078" t="s">
        <v>561</v>
      </c>
      <c r="D1078" t="s">
        <v>228</v>
      </c>
      <c r="E1078" t="str">
        <f>INDEX('State Codes'!$E$7:$E$70,MATCH(INDEX('State Codes'!$C$7:$C$70,MATCH('County Climates'!B1078,'State Codes'!$D$7:$D$70,0),1),'State Codes'!$C$7:$C$70,0),1)</f>
        <v>East North Central Division</v>
      </c>
      <c r="F1078">
        <f>INDEX('CBECS_Table B5'!$C$6:$K$6,1,MATCH('County Climates'!E1078,'CBECS_Table B5'!$C$1:$K$1,0))</f>
        <v>12742</v>
      </c>
    </row>
    <row r="1079" spans="1:6" x14ac:dyDescent="0.25">
      <c r="A1079" t="s">
        <v>1032</v>
      </c>
      <c r="B1079" t="s">
        <v>1033</v>
      </c>
      <c r="C1079" t="s">
        <v>404</v>
      </c>
      <c r="D1079" t="s">
        <v>228</v>
      </c>
      <c r="E1079" t="str">
        <f>INDEX('State Codes'!$E$7:$E$70,MATCH(INDEX('State Codes'!$C$7:$C$70,MATCH('County Climates'!B1079,'State Codes'!$D$7:$D$70,0),1),'State Codes'!$C$7:$C$70,0),1)</f>
        <v>East North Central Division</v>
      </c>
      <c r="F1079">
        <f>INDEX('CBECS_Table B5'!$C$6:$K$6,1,MATCH('County Climates'!E1079,'CBECS_Table B5'!$C$1:$K$1,0))</f>
        <v>12742</v>
      </c>
    </row>
    <row r="1080" spans="1:6" x14ac:dyDescent="0.25">
      <c r="A1080" t="s">
        <v>1032</v>
      </c>
      <c r="B1080" t="s">
        <v>1033</v>
      </c>
      <c r="C1080" t="s">
        <v>1052</v>
      </c>
      <c r="D1080" t="s">
        <v>228</v>
      </c>
      <c r="E1080" t="str">
        <f>INDEX('State Codes'!$E$7:$E$70,MATCH(INDEX('State Codes'!$C$7:$C$70,MATCH('County Climates'!B1080,'State Codes'!$D$7:$D$70,0),1),'State Codes'!$C$7:$C$70,0),1)</f>
        <v>East North Central Division</v>
      </c>
      <c r="F1080">
        <f>INDEX('CBECS_Table B5'!$C$6:$K$6,1,MATCH('County Climates'!E1080,'CBECS_Table B5'!$C$1:$K$1,0))</f>
        <v>12742</v>
      </c>
    </row>
    <row r="1081" spans="1:6" x14ac:dyDescent="0.25">
      <c r="A1081" t="s">
        <v>1032</v>
      </c>
      <c r="B1081" t="s">
        <v>1033</v>
      </c>
      <c r="C1081" t="s">
        <v>1053</v>
      </c>
      <c r="D1081" t="s">
        <v>228</v>
      </c>
      <c r="E1081" t="str">
        <f>INDEX('State Codes'!$E$7:$E$70,MATCH(INDEX('State Codes'!$C$7:$C$70,MATCH('County Climates'!B1081,'State Codes'!$D$7:$D$70,0),1),'State Codes'!$C$7:$C$70,0),1)</f>
        <v>East North Central Division</v>
      </c>
      <c r="F1081">
        <f>INDEX('CBECS_Table B5'!$C$6:$K$6,1,MATCH('County Climates'!E1081,'CBECS_Table B5'!$C$1:$K$1,0))</f>
        <v>12742</v>
      </c>
    </row>
    <row r="1082" spans="1:6" x14ac:dyDescent="0.25">
      <c r="A1082" t="s">
        <v>1032</v>
      </c>
      <c r="B1082" t="s">
        <v>1033</v>
      </c>
      <c r="C1082" t="s">
        <v>347</v>
      </c>
      <c r="D1082" t="s">
        <v>228</v>
      </c>
      <c r="E1082" t="str">
        <f>INDEX('State Codes'!$E$7:$E$70,MATCH(INDEX('State Codes'!$C$7:$C$70,MATCH('County Climates'!B1082,'State Codes'!$D$7:$D$70,0),1),'State Codes'!$C$7:$C$70,0),1)</f>
        <v>East North Central Division</v>
      </c>
      <c r="F1082">
        <f>INDEX('CBECS_Table B5'!$C$6:$K$6,1,MATCH('County Climates'!E1082,'CBECS_Table B5'!$C$1:$K$1,0))</f>
        <v>12742</v>
      </c>
    </row>
    <row r="1083" spans="1:6" x14ac:dyDescent="0.25">
      <c r="A1083" t="s">
        <v>1032</v>
      </c>
      <c r="B1083" t="s">
        <v>1033</v>
      </c>
      <c r="C1083" t="s">
        <v>1054</v>
      </c>
      <c r="D1083" t="s">
        <v>228</v>
      </c>
      <c r="E1083" t="str">
        <f>INDEX('State Codes'!$E$7:$E$70,MATCH(INDEX('State Codes'!$C$7:$C$70,MATCH('County Climates'!B1083,'State Codes'!$D$7:$D$70,0),1),'State Codes'!$C$7:$C$70,0),1)</f>
        <v>East North Central Division</v>
      </c>
      <c r="F1083">
        <f>INDEX('CBECS_Table B5'!$C$6:$K$6,1,MATCH('County Climates'!E1083,'CBECS_Table B5'!$C$1:$K$1,0))</f>
        <v>12742</v>
      </c>
    </row>
    <row r="1084" spans="1:6" x14ac:dyDescent="0.25">
      <c r="A1084" t="s">
        <v>1032</v>
      </c>
      <c r="B1084" t="s">
        <v>1033</v>
      </c>
      <c r="C1084" t="s">
        <v>1055</v>
      </c>
      <c r="D1084" t="s">
        <v>228</v>
      </c>
      <c r="E1084" t="str">
        <f>INDEX('State Codes'!$E$7:$E$70,MATCH(INDEX('State Codes'!$C$7:$C$70,MATCH('County Climates'!B1084,'State Codes'!$D$7:$D$70,0),1),'State Codes'!$C$7:$C$70,0),1)</f>
        <v>East North Central Division</v>
      </c>
      <c r="F1084">
        <f>INDEX('CBECS_Table B5'!$C$6:$K$6,1,MATCH('County Climates'!E1084,'CBECS_Table B5'!$C$1:$K$1,0))</f>
        <v>12742</v>
      </c>
    </row>
    <row r="1085" spans="1:6" x14ac:dyDescent="0.25">
      <c r="A1085" t="s">
        <v>1032</v>
      </c>
      <c r="B1085" t="s">
        <v>1033</v>
      </c>
      <c r="C1085" t="s">
        <v>497</v>
      </c>
      <c r="D1085" t="s">
        <v>228</v>
      </c>
      <c r="E1085" t="str">
        <f>INDEX('State Codes'!$E$7:$E$70,MATCH(INDEX('State Codes'!$C$7:$C$70,MATCH('County Climates'!B1085,'State Codes'!$D$7:$D$70,0),1),'State Codes'!$C$7:$C$70,0),1)</f>
        <v>East North Central Division</v>
      </c>
      <c r="F1085">
        <f>INDEX('CBECS_Table B5'!$C$6:$K$6,1,MATCH('County Climates'!E1085,'CBECS_Table B5'!$C$1:$K$1,0))</f>
        <v>12742</v>
      </c>
    </row>
    <row r="1086" spans="1:6" x14ac:dyDescent="0.25">
      <c r="A1086" t="s">
        <v>1032</v>
      </c>
      <c r="B1086" t="s">
        <v>1033</v>
      </c>
      <c r="C1086" t="s">
        <v>308</v>
      </c>
      <c r="D1086" t="s">
        <v>247</v>
      </c>
      <c r="E1086" t="str">
        <f>INDEX('State Codes'!$E$7:$E$70,MATCH(INDEX('State Codes'!$C$7:$C$70,MATCH('County Climates'!B1086,'State Codes'!$D$7:$D$70,0),1),'State Codes'!$C$7:$C$70,0),1)</f>
        <v>East North Central Division</v>
      </c>
      <c r="F1086">
        <f>INDEX('CBECS_Table B5'!$C$6:$K$6,1,MATCH('County Climates'!E1086,'CBECS_Table B5'!$C$1:$K$1,0))</f>
        <v>12742</v>
      </c>
    </row>
    <row r="1087" spans="1:6" x14ac:dyDescent="0.25">
      <c r="A1087" t="s">
        <v>1032</v>
      </c>
      <c r="B1087" t="s">
        <v>1033</v>
      </c>
      <c r="C1087" t="s">
        <v>498</v>
      </c>
      <c r="D1087" t="s">
        <v>228</v>
      </c>
      <c r="E1087" t="str">
        <f>INDEX('State Codes'!$E$7:$E$70,MATCH(INDEX('State Codes'!$C$7:$C$70,MATCH('County Climates'!B1087,'State Codes'!$D$7:$D$70,0),1),'State Codes'!$C$7:$C$70,0),1)</f>
        <v>East North Central Division</v>
      </c>
      <c r="F1087">
        <f>INDEX('CBECS_Table B5'!$C$6:$K$6,1,MATCH('County Climates'!E1087,'CBECS_Table B5'!$C$1:$K$1,0))</f>
        <v>12742</v>
      </c>
    </row>
    <row r="1088" spans="1:6" x14ac:dyDescent="0.25">
      <c r="A1088" t="s">
        <v>1032</v>
      </c>
      <c r="B1088" t="s">
        <v>1033</v>
      </c>
      <c r="C1088" t="s">
        <v>1056</v>
      </c>
      <c r="D1088" t="s">
        <v>228</v>
      </c>
      <c r="E1088" t="str">
        <f>INDEX('State Codes'!$E$7:$E$70,MATCH(INDEX('State Codes'!$C$7:$C$70,MATCH('County Climates'!B1088,'State Codes'!$D$7:$D$70,0),1),'State Codes'!$C$7:$C$70,0),1)</f>
        <v>East North Central Division</v>
      </c>
      <c r="F1088">
        <f>INDEX('CBECS_Table B5'!$C$6:$K$6,1,MATCH('County Climates'!E1088,'CBECS_Table B5'!$C$1:$K$1,0))</f>
        <v>12742</v>
      </c>
    </row>
    <row r="1089" spans="1:6" x14ac:dyDescent="0.25">
      <c r="A1089" t="s">
        <v>1032</v>
      </c>
      <c r="B1089" t="s">
        <v>1033</v>
      </c>
      <c r="C1089" t="s">
        <v>1057</v>
      </c>
      <c r="D1089" t="s">
        <v>228</v>
      </c>
      <c r="E1089" t="str">
        <f>INDEX('State Codes'!$E$7:$E$70,MATCH(INDEX('State Codes'!$C$7:$C$70,MATCH('County Climates'!B1089,'State Codes'!$D$7:$D$70,0),1),'State Codes'!$C$7:$C$70,0),1)</f>
        <v>East North Central Division</v>
      </c>
      <c r="F1089">
        <f>INDEX('CBECS_Table B5'!$C$6:$K$6,1,MATCH('County Climates'!E1089,'CBECS_Table B5'!$C$1:$K$1,0))</f>
        <v>12742</v>
      </c>
    </row>
    <row r="1090" spans="1:6" x14ac:dyDescent="0.25">
      <c r="A1090" t="s">
        <v>1032</v>
      </c>
      <c r="B1090" t="s">
        <v>1033</v>
      </c>
      <c r="C1090" t="s">
        <v>1058</v>
      </c>
      <c r="D1090" t="s">
        <v>228</v>
      </c>
      <c r="E1090" t="str">
        <f>INDEX('State Codes'!$E$7:$E$70,MATCH(INDEX('State Codes'!$C$7:$C$70,MATCH('County Climates'!B1090,'State Codes'!$D$7:$D$70,0),1),'State Codes'!$C$7:$C$70,0),1)</f>
        <v>East North Central Division</v>
      </c>
      <c r="F1090">
        <f>INDEX('CBECS_Table B5'!$C$6:$K$6,1,MATCH('County Climates'!E1090,'CBECS_Table B5'!$C$1:$K$1,0))</f>
        <v>12742</v>
      </c>
    </row>
    <row r="1091" spans="1:6" x14ac:dyDescent="0.25">
      <c r="A1091" t="s">
        <v>1059</v>
      </c>
      <c r="B1091" t="s">
        <v>1060</v>
      </c>
      <c r="C1091" t="s">
        <v>591</v>
      </c>
      <c r="D1091" t="s">
        <v>247</v>
      </c>
      <c r="E1091" t="str">
        <f>INDEX('State Codes'!$E$7:$E$70,MATCH(INDEX('State Codes'!$C$7:$C$70,MATCH('County Climates'!B1091,'State Codes'!$D$7:$D$70,0),1),'State Codes'!$C$7:$C$70,0),1)</f>
        <v>West South Central Division</v>
      </c>
      <c r="F1091">
        <f>INDEX('CBECS_Table B5'!$C$6:$K$6,1,MATCH('County Climates'!E1091,'CBECS_Table B5'!$C$1:$K$1,0))</f>
        <v>11394</v>
      </c>
    </row>
    <row r="1092" spans="1:6" x14ac:dyDescent="0.25">
      <c r="A1092" t="s">
        <v>1059</v>
      </c>
      <c r="B1092" t="s">
        <v>1060</v>
      </c>
      <c r="C1092" t="s">
        <v>1061</v>
      </c>
      <c r="D1092" t="s">
        <v>247</v>
      </c>
      <c r="E1092" t="str">
        <f>INDEX('State Codes'!$E$7:$E$70,MATCH(INDEX('State Codes'!$C$7:$C$70,MATCH('County Climates'!B1092,'State Codes'!$D$7:$D$70,0),1),'State Codes'!$C$7:$C$70,0),1)</f>
        <v>West South Central Division</v>
      </c>
      <c r="F1092">
        <f>INDEX('CBECS_Table B5'!$C$6:$K$6,1,MATCH('County Climates'!E1092,'CBECS_Table B5'!$C$1:$K$1,0))</f>
        <v>11394</v>
      </c>
    </row>
    <row r="1093" spans="1:6" x14ac:dyDescent="0.25">
      <c r="A1093" t="s">
        <v>1059</v>
      </c>
      <c r="B1093" t="s">
        <v>1060</v>
      </c>
      <c r="C1093" t="s">
        <v>1062</v>
      </c>
      <c r="D1093" t="s">
        <v>247</v>
      </c>
      <c r="E1093" t="str">
        <f>INDEX('State Codes'!$E$7:$E$70,MATCH(INDEX('State Codes'!$C$7:$C$70,MATCH('County Climates'!B1093,'State Codes'!$D$7:$D$70,0),1),'State Codes'!$C$7:$C$70,0),1)</f>
        <v>West South Central Division</v>
      </c>
      <c r="F1093">
        <f>INDEX('CBECS_Table B5'!$C$6:$K$6,1,MATCH('County Climates'!E1093,'CBECS_Table B5'!$C$1:$K$1,0))</f>
        <v>11394</v>
      </c>
    </row>
    <row r="1094" spans="1:6" x14ac:dyDescent="0.25">
      <c r="A1094" t="s">
        <v>1059</v>
      </c>
      <c r="B1094" t="s">
        <v>1060</v>
      </c>
      <c r="C1094" t="s">
        <v>1063</v>
      </c>
      <c r="D1094" t="s">
        <v>357</v>
      </c>
      <c r="E1094" t="str">
        <f>INDEX('State Codes'!$E$7:$E$70,MATCH(INDEX('State Codes'!$C$7:$C$70,MATCH('County Climates'!B1094,'State Codes'!$D$7:$D$70,0),1),'State Codes'!$C$7:$C$70,0),1)</f>
        <v>West South Central Division</v>
      </c>
      <c r="F1094">
        <f>INDEX('CBECS_Table B5'!$C$6:$K$6,1,MATCH('County Climates'!E1094,'CBECS_Table B5'!$C$1:$K$1,0))</f>
        <v>11394</v>
      </c>
    </row>
    <row r="1095" spans="1:6" x14ac:dyDescent="0.25">
      <c r="A1095" t="s">
        <v>1059</v>
      </c>
      <c r="B1095" t="s">
        <v>1060</v>
      </c>
      <c r="C1095" t="s">
        <v>1064</v>
      </c>
      <c r="D1095" t="s">
        <v>247</v>
      </c>
      <c r="E1095" t="str">
        <f>INDEX('State Codes'!$E$7:$E$70,MATCH(INDEX('State Codes'!$C$7:$C$70,MATCH('County Climates'!B1095,'State Codes'!$D$7:$D$70,0),1),'State Codes'!$C$7:$C$70,0),1)</f>
        <v>West South Central Division</v>
      </c>
      <c r="F1095">
        <f>INDEX('CBECS_Table B5'!$C$6:$K$6,1,MATCH('County Climates'!E1095,'CBECS_Table B5'!$C$1:$K$1,0))</f>
        <v>11394</v>
      </c>
    </row>
    <row r="1096" spans="1:6" x14ac:dyDescent="0.25">
      <c r="A1096" t="s">
        <v>1059</v>
      </c>
      <c r="B1096" t="s">
        <v>1060</v>
      </c>
      <c r="C1096" t="s">
        <v>521</v>
      </c>
      <c r="D1096" t="s">
        <v>247</v>
      </c>
      <c r="E1096" t="str">
        <f>INDEX('State Codes'!$E$7:$E$70,MATCH(INDEX('State Codes'!$C$7:$C$70,MATCH('County Climates'!B1096,'State Codes'!$D$7:$D$70,0),1),'State Codes'!$C$7:$C$70,0),1)</f>
        <v>West South Central Division</v>
      </c>
      <c r="F1096">
        <f>INDEX('CBECS_Table B5'!$C$6:$K$6,1,MATCH('County Climates'!E1096,'CBECS_Table B5'!$C$1:$K$1,0))</f>
        <v>11394</v>
      </c>
    </row>
    <row r="1097" spans="1:6" x14ac:dyDescent="0.25">
      <c r="A1097" t="s">
        <v>1059</v>
      </c>
      <c r="B1097" t="s">
        <v>1060</v>
      </c>
      <c r="C1097" t="s">
        <v>441</v>
      </c>
      <c r="D1097" t="s">
        <v>247</v>
      </c>
      <c r="E1097" t="str">
        <f>INDEX('State Codes'!$E$7:$E$70,MATCH(INDEX('State Codes'!$C$7:$C$70,MATCH('County Climates'!B1097,'State Codes'!$D$7:$D$70,0),1),'State Codes'!$C$7:$C$70,0),1)</f>
        <v>West South Central Division</v>
      </c>
      <c r="F1097">
        <f>INDEX('CBECS_Table B5'!$C$6:$K$6,1,MATCH('County Climates'!E1097,'CBECS_Table B5'!$C$1:$K$1,0))</f>
        <v>11394</v>
      </c>
    </row>
    <row r="1098" spans="1:6" x14ac:dyDescent="0.25">
      <c r="A1098" t="s">
        <v>1059</v>
      </c>
      <c r="B1098" t="s">
        <v>1060</v>
      </c>
      <c r="C1098" t="s">
        <v>1065</v>
      </c>
      <c r="D1098" t="s">
        <v>247</v>
      </c>
      <c r="E1098" t="str">
        <f>INDEX('State Codes'!$E$7:$E$70,MATCH(INDEX('State Codes'!$C$7:$C$70,MATCH('County Climates'!B1098,'State Codes'!$D$7:$D$70,0),1),'State Codes'!$C$7:$C$70,0),1)</f>
        <v>West South Central Division</v>
      </c>
      <c r="F1098">
        <f>INDEX('CBECS_Table B5'!$C$6:$K$6,1,MATCH('County Climates'!E1098,'CBECS_Table B5'!$C$1:$K$1,0))</f>
        <v>11394</v>
      </c>
    </row>
    <row r="1099" spans="1:6" x14ac:dyDescent="0.25">
      <c r="A1099" t="s">
        <v>1059</v>
      </c>
      <c r="B1099" t="s">
        <v>1060</v>
      </c>
      <c r="C1099" t="s">
        <v>1066</v>
      </c>
      <c r="D1099" t="s">
        <v>247</v>
      </c>
      <c r="E1099" t="str">
        <f>INDEX('State Codes'!$E$7:$E$70,MATCH(INDEX('State Codes'!$C$7:$C$70,MATCH('County Climates'!B1099,'State Codes'!$D$7:$D$70,0),1),'State Codes'!$C$7:$C$70,0),1)</f>
        <v>West South Central Division</v>
      </c>
      <c r="F1099">
        <f>INDEX('CBECS_Table B5'!$C$6:$K$6,1,MATCH('County Climates'!E1099,'CBECS_Table B5'!$C$1:$K$1,0))</f>
        <v>11394</v>
      </c>
    </row>
    <row r="1100" spans="1:6" x14ac:dyDescent="0.25">
      <c r="A1100" t="s">
        <v>1059</v>
      </c>
      <c r="B1100" t="s">
        <v>1060</v>
      </c>
      <c r="C1100" t="s">
        <v>877</v>
      </c>
      <c r="D1100" t="s">
        <v>247</v>
      </c>
      <c r="E1100" t="str">
        <f>INDEX('State Codes'!$E$7:$E$70,MATCH(INDEX('State Codes'!$C$7:$C$70,MATCH('County Climates'!B1100,'State Codes'!$D$7:$D$70,0),1),'State Codes'!$C$7:$C$70,0),1)</f>
        <v>West South Central Division</v>
      </c>
      <c r="F1100">
        <f>INDEX('CBECS_Table B5'!$C$6:$K$6,1,MATCH('County Climates'!E1100,'CBECS_Table B5'!$C$1:$K$1,0))</f>
        <v>11394</v>
      </c>
    </row>
    <row r="1101" spans="1:6" x14ac:dyDescent="0.25">
      <c r="A1101" t="s">
        <v>1059</v>
      </c>
      <c r="B1101" t="s">
        <v>1060</v>
      </c>
      <c r="C1101" t="s">
        <v>253</v>
      </c>
      <c r="D1101" t="s">
        <v>247</v>
      </c>
      <c r="E1101" t="str">
        <f>INDEX('State Codes'!$E$7:$E$70,MATCH(INDEX('State Codes'!$C$7:$C$70,MATCH('County Climates'!B1101,'State Codes'!$D$7:$D$70,0),1),'State Codes'!$C$7:$C$70,0),1)</f>
        <v>West South Central Division</v>
      </c>
      <c r="F1101">
        <f>INDEX('CBECS_Table B5'!$C$6:$K$6,1,MATCH('County Climates'!E1101,'CBECS_Table B5'!$C$1:$K$1,0))</f>
        <v>11394</v>
      </c>
    </row>
    <row r="1102" spans="1:6" x14ac:dyDescent="0.25">
      <c r="A1102" t="s">
        <v>1059</v>
      </c>
      <c r="B1102" t="s">
        <v>1060</v>
      </c>
      <c r="C1102" t="s">
        <v>255</v>
      </c>
      <c r="D1102" t="s">
        <v>247</v>
      </c>
      <c r="E1102" t="str">
        <f>INDEX('State Codes'!$E$7:$E$70,MATCH(INDEX('State Codes'!$C$7:$C$70,MATCH('County Climates'!B1102,'State Codes'!$D$7:$D$70,0),1),'State Codes'!$C$7:$C$70,0),1)</f>
        <v>West South Central Division</v>
      </c>
      <c r="F1102">
        <f>INDEX('CBECS_Table B5'!$C$6:$K$6,1,MATCH('County Climates'!E1102,'CBECS_Table B5'!$C$1:$K$1,0))</f>
        <v>11394</v>
      </c>
    </row>
    <row r="1103" spans="1:6" x14ac:dyDescent="0.25">
      <c r="A1103" t="s">
        <v>1059</v>
      </c>
      <c r="B1103" t="s">
        <v>1060</v>
      </c>
      <c r="C1103" t="s">
        <v>1067</v>
      </c>
      <c r="D1103" t="s">
        <v>357</v>
      </c>
      <c r="E1103" t="str">
        <f>INDEX('State Codes'!$E$7:$E$70,MATCH(INDEX('State Codes'!$C$7:$C$70,MATCH('County Climates'!B1103,'State Codes'!$D$7:$D$70,0),1),'State Codes'!$C$7:$C$70,0),1)</f>
        <v>West South Central Division</v>
      </c>
      <c r="F1103">
        <f>INDEX('CBECS_Table B5'!$C$6:$K$6,1,MATCH('County Climates'!E1103,'CBECS_Table B5'!$C$1:$K$1,0))</f>
        <v>11394</v>
      </c>
    </row>
    <row r="1104" spans="1:6" x14ac:dyDescent="0.25">
      <c r="A1104" t="s">
        <v>1059</v>
      </c>
      <c r="B1104" t="s">
        <v>1060</v>
      </c>
      <c r="C1104" t="s">
        <v>1068</v>
      </c>
      <c r="D1104" t="s">
        <v>247</v>
      </c>
      <c r="E1104" t="str">
        <f>INDEX('State Codes'!$E$7:$E$70,MATCH(INDEX('State Codes'!$C$7:$C$70,MATCH('County Climates'!B1104,'State Codes'!$D$7:$D$70,0),1),'State Codes'!$C$7:$C$70,0),1)</f>
        <v>West South Central Division</v>
      </c>
      <c r="F1104">
        <f>INDEX('CBECS_Table B5'!$C$6:$K$6,1,MATCH('County Climates'!E1104,'CBECS_Table B5'!$C$1:$K$1,0))</f>
        <v>11394</v>
      </c>
    </row>
    <row r="1105" spans="1:6" x14ac:dyDescent="0.25">
      <c r="A1105" t="s">
        <v>1069</v>
      </c>
      <c r="B1105" t="s">
        <v>1070</v>
      </c>
      <c r="C1105" t="s">
        <v>1071</v>
      </c>
      <c r="D1105" t="s">
        <v>227</v>
      </c>
      <c r="E1105" t="str">
        <f>INDEX('State Codes'!$E$7:$E$70,MATCH(INDEX('State Codes'!$C$7:$C$70,MATCH('County Climates'!B1105,'State Codes'!$D$7:$D$70,0),1),'State Codes'!$C$7:$C$70,0),1)</f>
        <v>Pacific Division</v>
      </c>
      <c r="F1105">
        <f>INDEX('CBECS_Table B5'!$C$6:$K$6,1,MATCH('County Climates'!E1105,'CBECS_Table B5'!$C$1:$K$1,0))</f>
        <v>13379</v>
      </c>
    </row>
    <row r="1106" spans="1:6" x14ac:dyDescent="0.25">
      <c r="A1106" t="s">
        <v>1069</v>
      </c>
      <c r="B1106" t="s">
        <v>1070</v>
      </c>
      <c r="C1106" t="s">
        <v>1072</v>
      </c>
      <c r="D1106" t="s">
        <v>227</v>
      </c>
      <c r="E1106" t="str">
        <f>INDEX('State Codes'!$E$7:$E$70,MATCH(INDEX('State Codes'!$C$7:$C$70,MATCH('County Climates'!B1106,'State Codes'!$D$7:$D$70,0),1),'State Codes'!$C$7:$C$70,0),1)</f>
        <v>Pacific Division</v>
      </c>
      <c r="F1106">
        <f>INDEX('CBECS_Table B5'!$C$6:$K$6,1,MATCH('County Climates'!E1106,'CBECS_Table B5'!$C$1:$K$1,0))</f>
        <v>13379</v>
      </c>
    </row>
    <row r="1107" spans="1:6" x14ac:dyDescent="0.25">
      <c r="A1107" t="s">
        <v>1069</v>
      </c>
      <c r="B1107" t="s">
        <v>1070</v>
      </c>
      <c r="C1107" t="s">
        <v>457</v>
      </c>
      <c r="D1107" t="s">
        <v>227</v>
      </c>
      <c r="E1107" t="str">
        <f>INDEX('State Codes'!$E$7:$E$70,MATCH(INDEX('State Codes'!$C$7:$C$70,MATCH('County Climates'!B1107,'State Codes'!$D$7:$D$70,0),1),'State Codes'!$C$7:$C$70,0),1)</f>
        <v>Pacific Division</v>
      </c>
      <c r="F1107">
        <f>INDEX('CBECS_Table B5'!$C$6:$K$6,1,MATCH('County Climates'!E1107,'CBECS_Table B5'!$C$1:$K$1,0))</f>
        <v>13379</v>
      </c>
    </row>
    <row r="1108" spans="1:6" x14ac:dyDescent="0.25">
      <c r="A1108" t="s">
        <v>1069</v>
      </c>
      <c r="B1108" t="s">
        <v>1070</v>
      </c>
      <c r="C1108" t="s">
        <v>1073</v>
      </c>
      <c r="D1108" t="s">
        <v>227</v>
      </c>
      <c r="E1108" t="str">
        <f>INDEX('State Codes'!$E$7:$E$70,MATCH(INDEX('State Codes'!$C$7:$C$70,MATCH('County Climates'!B1108,'State Codes'!$D$7:$D$70,0),1),'State Codes'!$C$7:$C$70,0),1)</f>
        <v>Pacific Division</v>
      </c>
      <c r="F1108">
        <f>INDEX('CBECS_Table B5'!$C$6:$K$6,1,MATCH('County Climates'!E1108,'CBECS_Table B5'!$C$1:$K$1,0))</f>
        <v>13379</v>
      </c>
    </row>
    <row r="1109" spans="1:6" x14ac:dyDescent="0.25">
      <c r="A1109" t="s">
        <v>1069</v>
      </c>
      <c r="B1109" t="s">
        <v>1070</v>
      </c>
      <c r="C1109" t="s">
        <v>1074</v>
      </c>
      <c r="D1109" t="s">
        <v>228</v>
      </c>
      <c r="E1109" t="str">
        <f>INDEX('State Codes'!$E$7:$E$70,MATCH(INDEX('State Codes'!$C$7:$C$70,MATCH('County Climates'!B1109,'State Codes'!$D$7:$D$70,0),1),'State Codes'!$C$7:$C$70,0),1)</f>
        <v>Pacific Division</v>
      </c>
      <c r="F1109">
        <f>INDEX('CBECS_Table B5'!$C$6:$K$6,1,MATCH('County Climates'!E1109,'CBECS_Table B5'!$C$1:$K$1,0))</f>
        <v>13379</v>
      </c>
    </row>
    <row r="1110" spans="1:6" x14ac:dyDescent="0.25">
      <c r="A1110" t="s">
        <v>1069</v>
      </c>
      <c r="B1110" t="s">
        <v>1070</v>
      </c>
      <c r="C1110" t="s">
        <v>1075</v>
      </c>
      <c r="D1110" t="s">
        <v>227</v>
      </c>
      <c r="E1110" t="str">
        <f>INDEX('State Codes'!$E$7:$E$70,MATCH(INDEX('State Codes'!$C$7:$C$70,MATCH('County Climates'!B1110,'State Codes'!$D$7:$D$70,0),1),'State Codes'!$C$7:$C$70,0),1)</f>
        <v>Pacific Division</v>
      </c>
      <c r="F1110">
        <f>INDEX('CBECS_Table B5'!$C$6:$K$6,1,MATCH('County Climates'!E1110,'CBECS_Table B5'!$C$1:$K$1,0))</f>
        <v>13379</v>
      </c>
    </row>
    <row r="1111" spans="1:6" x14ac:dyDescent="0.25">
      <c r="A1111" t="s">
        <v>1069</v>
      </c>
      <c r="B1111" t="s">
        <v>1070</v>
      </c>
      <c r="C1111" t="s">
        <v>1076</v>
      </c>
      <c r="D1111" t="s">
        <v>228</v>
      </c>
      <c r="E1111" t="str">
        <f>INDEX('State Codes'!$E$7:$E$70,MATCH(INDEX('State Codes'!$C$7:$C$70,MATCH('County Climates'!B1111,'State Codes'!$D$7:$D$70,0),1),'State Codes'!$C$7:$C$70,0),1)</f>
        <v>Pacific Division</v>
      </c>
      <c r="F1111">
        <f>INDEX('CBECS_Table B5'!$C$6:$K$6,1,MATCH('County Climates'!E1111,'CBECS_Table B5'!$C$1:$K$1,0))</f>
        <v>13379</v>
      </c>
    </row>
    <row r="1112" spans="1:6" x14ac:dyDescent="0.25">
      <c r="A1112" t="s">
        <v>1069</v>
      </c>
      <c r="B1112" t="s">
        <v>1070</v>
      </c>
      <c r="C1112" t="s">
        <v>369</v>
      </c>
      <c r="D1112" t="s">
        <v>227</v>
      </c>
      <c r="E1112" t="str">
        <f>INDEX('State Codes'!$E$7:$E$70,MATCH(INDEX('State Codes'!$C$7:$C$70,MATCH('County Climates'!B1112,'State Codes'!$D$7:$D$70,0),1),'State Codes'!$C$7:$C$70,0),1)</f>
        <v>Pacific Division</v>
      </c>
      <c r="F1112">
        <f>INDEX('CBECS_Table B5'!$C$6:$K$6,1,MATCH('County Climates'!E1112,'CBECS_Table B5'!$C$1:$K$1,0))</f>
        <v>13379</v>
      </c>
    </row>
    <row r="1113" spans="1:6" x14ac:dyDescent="0.25">
      <c r="A1113" t="s">
        <v>1069</v>
      </c>
      <c r="B1113" t="s">
        <v>1070</v>
      </c>
      <c r="C1113" t="s">
        <v>1077</v>
      </c>
      <c r="D1113" t="s">
        <v>228</v>
      </c>
      <c r="E1113" t="str">
        <f>INDEX('State Codes'!$E$7:$E$70,MATCH(INDEX('State Codes'!$C$7:$C$70,MATCH('County Climates'!B1113,'State Codes'!$D$7:$D$70,0),1),'State Codes'!$C$7:$C$70,0),1)</f>
        <v>Pacific Division</v>
      </c>
      <c r="F1113">
        <f>INDEX('CBECS_Table B5'!$C$6:$K$6,1,MATCH('County Climates'!E1113,'CBECS_Table B5'!$C$1:$K$1,0))</f>
        <v>13379</v>
      </c>
    </row>
    <row r="1114" spans="1:6" x14ac:dyDescent="0.25">
      <c r="A1114" t="s">
        <v>1069</v>
      </c>
      <c r="B1114" t="s">
        <v>1070</v>
      </c>
      <c r="C1114" t="s">
        <v>316</v>
      </c>
      <c r="D1114" t="s">
        <v>228</v>
      </c>
      <c r="E1114" t="str">
        <f>INDEX('State Codes'!$E$7:$E$70,MATCH(INDEX('State Codes'!$C$7:$C$70,MATCH('County Climates'!B1114,'State Codes'!$D$7:$D$70,0),1),'State Codes'!$C$7:$C$70,0),1)</f>
        <v>Pacific Division</v>
      </c>
      <c r="F1114">
        <f>INDEX('CBECS_Table B5'!$C$6:$K$6,1,MATCH('County Climates'!E1114,'CBECS_Table B5'!$C$1:$K$1,0))</f>
        <v>13379</v>
      </c>
    </row>
    <row r="1115" spans="1:6" x14ac:dyDescent="0.25">
      <c r="A1115" t="s">
        <v>1069</v>
      </c>
      <c r="B1115" t="s">
        <v>1070</v>
      </c>
      <c r="C1115" t="s">
        <v>1078</v>
      </c>
      <c r="D1115" t="s">
        <v>228</v>
      </c>
      <c r="E1115" t="str">
        <f>INDEX('State Codes'!$E$7:$E$70,MATCH(INDEX('State Codes'!$C$7:$C$70,MATCH('County Climates'!B1115,'State Codes'!$D$7:$D$70,0),1),'State Codes'!$C$7:$C$70,0),1)</f>
        <v>Pacific Division</v>
      </c>
      <c r="F1115">
        <f>INDEX('CBECS_Table B5'!$C$6:$K$6,1,MATCH('County Climates'!E1115,'CBECS_Table B5'!$C$1:$K$1,0))</f>
        <v>13379</v>
      </c>
    </row>
    <row r="1116" spans="1:6" x14ac:dyDescent="0.25">
      <c r="A1116" t="s">
        <v>1069</v>
      </c>
      <c r="B1116" t="s">
        <v>1070</v>
      </c>
      <c r="C1116" t="s">
        <v>1079</v>
      </c>
      <c r="D1116" t="s">
        <v>228</v>
      </c>
      <c r="E1116" t="str">
        <f>INDEX('State Codes'!$E$7:$E$70,MATCH(INDEX('State Codes'!$C$7:$C$70,MATCH('County Climates'!B1116,'State Codes'!$D$7:$D$70,0),1),'State Codes'!$C$7:$C$70,0),1)</f>
        <v>Pacific Division</v>
      </c>
      <c r="F1116">
        <f>INDEX('CBECS_Table B5'!$C$6:$K$6,1,MATCH('County Climates'!E1116,'CBECS_Table B5'!$C$1:$K$1,0))</f>
        <v>13379</v>
      </c>
    </row>
    <row r="1117" spans="1:6" x14ac:dyDescent="0.25">
      <c r="A1117" t="s">
        <v>1069</v>
      </c>
      <c r="B1117" t="s">
        <v>1070</v>
      </c>
      <c r="C1117" t="s">
        <v>279</v>
      </c>
      <c r="D1117" t="s">
        <v>227</v>
      </c>
      <c r="E1117" t="str">
        <f>INDEX('State Codes'!$E$7:$E$70,MATCH(INDEX('State Codes'!$C$7:$C$70,MATCH('County Climates'!B1117,'State Codes'!$D$7:$D$70,0),1),'State Codes'!$C$7:$C$70,0),1)</f>
        <v>Pacific Division</v>
      </c>
      <c r="F1117">
        <f>INDEX('CBECS_Table B5'!$C$6:$K$6,1,MATCH('County Climates'!E1117,'CBECS_Table B5'!$C$1:$K$1,0))</f>
        <v>13379</v>
      </c>
    </row>
    <row r="1118" spans="1:6" x14ac:dyDescent="0.25">
      <c r="A1118" t="s">
        <v>1069</v>
      </c>
      <c r="B1118" t="s">
        <v>1070</v>
      </c>
      <c r="C1118" t="s">
        <v>280</v>
      </c>
      <c r="D1118" t="s">
        <v>228</v>
      </c>
      <c r="E1118" t="str">
        <f>INDEX('State Codes'!$E$7:$E$70,MATCH(INDEX('State Codes'!$C$7:$C$70,MATCH('County Climates'!B1118,'State Codes'!$D$7:$D$70,0),1),'State Codes'!$C$7:$C$70,0),1)</f>
        <v>Pacific Division</v>
      </c>
      <c r="F1118">
        <f>INDEX('CBECS_Table B5'!$C$6:$K$6,1,MATCH('County Climates'!E1118,'CBECS_Table B5'!$C$1:$K$1,0))</f>
        <v>13379</v>
      </c>
    </row>
    <row r="1119" spans="1:6" x14ac:dyDescent="0.25">
      <c r="A1119" t="s">
        <v>1069</v>
      </c>
      <c r="B1119" t="s">
        <v>1070</v>
      </c>
      <c r="C1119" t="s">
        <v>1080</v>
      </c>
      <c r="D1119" t="s">
        <v>227</v>
      </c>
      <c r="E1119" t="str">
        <f>INDEX('State Codes'!$E$7:$E$70,MATCH(INDEX('State Codes'!$C$7:$C$70,MATCH('County Climates'!B1119,'State Codes'!$D$7:$D$70,0),1),'State Codes'!$C$7:$C$70,0),1)</f>
        <v>Pacific Division</v>
      </c>
      <c r="F1119">
        <f>INDEX('CBECS_Table B5'!$C$6:$K$6,1,MATCH('County Climates'!E1119,'CBECS_Table B5'!$C$1:$K$1,0))</f>
        <v>13379</v>
      </c>
    </row>
    <row r="1120" spans="1:6" x14ac:dyDescent="0.25">
      <c r="A1120" t="s">
        <v>1069</v>
      </c>
      <c r="B1120" t="s">
        <v>1070</v>
      </c>
      <c r="C1120" t="s">
        <v>1081</v>
      </c>
      <c r="D1120" t="s">
        <v>228</v>
      </c>
      <c r="E1120" t="str">
        <f>INDEX('State Codes'!$E$7:$E$70,MATCH(INDEX('State Codes'!$C$7:$C$70,MATCH('County Climates'!B1120,'State Codes'!$D$7:$D$70,0),1),'State Codes'!$C$7:$C$70,0),1)</f>
        <v>Pacific Division</v>
      </c>
      <c r="F1120">
        <f>INDEX('CBECS_Table B5'!$C$6:$K$6,1,MATCH('County Climates'!E1120,'CBECS_Table B5'!$C$1:$K$1,0))</f>
        <v>13379</v>
      </c>
    </row>
    <row r="1121" spans="1:6" x14ac:dyDescent="0.25">
      <c r="A1121" t="s">
        <v>1069</v>
      </c>
      <c r="B1121" t="s">
        <v>1070</v>
      </c>
      <c r="C1121" t="s">
        <v>383</v>
      </c>
      <c r="D1121" t="s">
        <v>228</v>
      </c>
      <c r="E1121" t="str">
        <f>INDEX('State Codes'!$E$7:$E$70,MATCH(INDEX('State Codes'!$C$7:$C$70,MATCH('County Climates'!B1121,'State Codes'!$D$7:$D$70,0),1),'State Codes'!$C$7:$C$70,0),1)</f>
        <v>Pacific Division</v>
      </c>
      <c r="F1121">
        <f>INDEX('CBECS_Table B5'!$C$6:$K$6,1,MATCH('County Climates'!E1121,'CBECS_Table B5'!$C$1:$K$1,0))</f>
        <v>13379</v>
      </c>
    </row>
    <row r="1122" spans="1:6" x14ac:dyDescent="0.25">
      <c r="A1122" t="s">
        <v>1069</v>
      </c>
      <c r="B1122" t="s">
        <v>1070</v>
      </c>
      <c r="C1122" t="s">
        <v>642</v>
      </c>
      <c r="D1122" t="s">
        <v>227</v>
      </c>
      <c r="E1122" t="str">
        <f>INDEX('State Codes'!$E$7:$E$70,MATCH(INDEX('State Codes'!$C$7:$C$70,MATCH('County Climates'!B1122,'State Codes'!$D$7:$D$70,0),1),'State Codes'!$C$7:$C$70,0),1)</f>
        <v>Pacific Division</v>
      </c>
      <c r="F1122">
        <f>INDEX('CBECS_Table B5'!$C$6:$K$6,1,MATCH('County Climates'!E1122,'CBECS_Table B5'!$C$1:$K$1,0))</f>
        <v>13379</v>
      </c>
    </row>
    <row r="1123" spans="1:6" x14ac:dyDescent="0.25">
      <c r="A1123" t="s">
        <v>1069</v>
      </c>
      <c r="B1123" t="s">
        <v>1070</v>
      </c>
      <c r="C1123" t="s">
        <v>324</v>
      </c>
      <c r="D1123" t="s">
        <v>227</v>
      </c>
      <c r="E1123" t="str">
        <f>INDEX('State Codes'!$E$7:$E$70,MATCH(INDEX('State Codes'!$C$7:$C$70,MATCH('County Climates'!B1123,'State Codes'!$D$7:$D$70,0),1),'State Codes'!$C$7:$C$70,0),1)</f>
        <v>Pacific Division</v>
      </c>
      <c r="F1123">
        <f>INDEX('CBECS_Table B5'!$C$6:$K$6,1,MATCH('County Climates'!E1123,'CBECS_Table B5'!$C$1:$K$1,0))</f>
        <v>13379</v>
      </c>
    </row>
    <row r="1124" spans="1:6" x14ac:dyDescent="0.25">
      <c r="A1124" t="s">
        <v>1069</v>
      </c>
      <c r="B1124" t="s">
        <v>1070</v>
      </c>
      <c r="C1124" t="s">
        <v>644</v>
      </c>
      <c r="D1124" t="s">
        <v>227</v>
      </c>
      <c r="E1124" t="str">
        <f>INDEX('State Codes'!$E$7:$E$70,MATCH(INDEX('State Codes'!$C$7:$C$70,MATCH('County Climates'!B1124,'State Codes'!$D$7:$D$70,0),1),'State Codes'!$C$7:$C$70,0),1)</f>
        <v>Pacific Division</v>
      </c>
      <c r="F1124">
        <f>INDEX('CBECS_Table B5'!$C$6:$K$6,1,MATCH('County Climates'!E1124,'CBECS_Table B5'!$C$1:$K$1,0))</f>
        <v>13379</v>
      </c>
    </row>
    <row r="1125" spans="1:6" x14ac:dyDescent="0.25">
      <c r="A1125" t="s">
        <v>1069</v>
      </c>
      <c r="B1125" t="s">
        <v>1070</v>
      </c>
      <c r="C1125" t="s">
        <v>1082</v>
      </c>
      <c r="D1125" t="s">
        <v>228</v>
      </c>
      <c r="E1125" t="str">
        <f>INDEX('State Codes'!$E$7:$E$70,MATCH(INDEX('State Codes'!$C$7:$C$70,MATCH('County Climates'!B1125,'State Codes'!$D$7:$D$70,0),1),'State Codes'!$C$7:$C$70,0),1)</f>
        <v>Pacific Division</v>
      </c>
      <c r="F1125">
        <f>INDEX('CBECS_Table B5'!$C$6:$K$6,1,MATCH('County Climates'!E1125,'CBECS_Table B5'!$C$1:$K$1,0))</f>
        <v>13379</v>
      </c>
    </row>
    <row r="1126" spans="1:6" x14ac:dyDescent="0.25">
      <c r="A1126" t="s">
        <v>1069</v>
      </c>
      <c r="B1126" t="s">
        <v>1070</v>
      </c>
      <c r="C1126" t="s">
        <v>290</v>
      </c>
      <c r="D1126" t="s">
        <v>227</v>
      </c>
      <c r="E1126" t="str">
        <f>INDEX('State Codes'!$E$7:$E$70,MATCH(INDEX('State Codes'!$C$7:$C$70,MATCH('County Climates'!B1126,'State Codes'!$D$7:$D$70,0),1),'State Codes'!$C$7:$C$70,0),1)</f>
        <v>Pacific Division</v>
      </c>
      <c r="F1126">
        <f>INDEX('CBECS_Table B5'!$C$6:$K$6,1,MATCH('County Climates'!E1126,'CBECS_Table B5'!$C$1:$K$1,0))</f>
        <v>13379</v>
      </c>
    </row>
    <row r="1127" spans="1:6" x14ac:dyDescent="0.25">
      <c r="A1127" t="s">
        <v>1069</v>
      </c>
      <c r="B1127" t="s">
        <v>1070</v>
      </c>
      <c r="C1127" t="s">
        <v>1042</v>
      </c>
      <c r="D1127" t="s">
        <v>228</v>
      </c>
      <c r="E1127" t="str">
        <f>INDEX('State Codes'!$E$7:$E$70,MATCH(INDEX('State Codes'!$C$7:$C$70,MATCH('County Climates'!B1127,'State Codes'!$D$7:$D$70,0),1),'State Codes'!$C$7:$C$70,0),1)</f>
        <v>Pacific Division</v>
      </c>
      <c r="F1127">
        <f>INDEX('CBECS_Table B5'!$C$6:$K$6,1,MATCH('County Climates'!E1127,'CBECS_Table B5'!$C$1:$K$1,0))</f>
        <v>13379</v>
      </c>
    </row>
    <row r="1128" spans="1:6" x14ac:dyDescent="0.25">
      <c r="A1128" t="s">
        <v>1069</v>
      </c>
      <c r="B1128" t="s">
        <v>1070</v>
      </c>
      <c r="C1128" t="s">
        <v>1083</v>
      </c>
      <c r="D1128" t="s">
        <v>227</v>
      </c>
      <c r="E1128" t="str">
        <f>INDEX('State Codes'!$E$7:$E$70,MATCH(INDEX('State Codes'!$C$7:$C$70,MATCH('County Climates'!B1128,'State Codes'!$D$7:$D$70,0),1),'State Codes'!$C$7:$C$70,0),1)</f>
        <v>Pacific Division</v>
      </c>
      <c r="F1128">
        <f>INDEX('CBECS_Table B5'!$C$6:$K$6,1,MATCH('County Climates'!E1128,'CBECS_Table B5'!$C$1:$K$1,0))</f>
        <v>13379</v>
      </c>
    </row>
    <row r="1129" spans="1:6" x14ac:dyDescent="0.25">
      <c r="A1129" t="s">
        <v>1069</v>
      </c>
      <c r="B1129" t="s">
        <v>1070</v>
      </c>
      <c r="C1129" t="s">
        <v>335</v>
      </c>
      <c r="D1129" t="s">
        <v>227</v>
      </c>
      <c r="E1129" t="str">
        <f>INDEX('State Codes'!$E$7:$E$70,MATCH(INDEX('State Codes'!$C$7:$C$70,MATCH('County Climates'!B1129,'State Codes'!$D$7:$D$70,0),1),'State Codes'!$C$7:$C$70,0),1)</f>
        <v>Pacific Division</v>
      </c>
      <c r="F1129">
        <f>INDEX('CBECS_Table B5'!$C$6:$K$6,1,MATCH('County Climates'!E1129,'CBECS_Table B5'!$C$1:$K$1,0))</f>
        <v>13379</v>
      </c>
    </row>
    <row r="1130" spans="1:6" x14ac:dyDescent="0.25">
      <c r="A1130" t="s">
        <v>1069</v>
      </c>
      <c r="B1130" t="s">
        <v>1070</v>
      </c>
      <c r="C1130" t="s">
        <v>922</v>
      </c>
      <c r="D1130" t="s">
        <v>228</v>
      </c>
      <c r="E1130" t="str">
        <f>INDEX('State Codes'!$E$7:$E$70,MATCH(INDEX('State Codes'!$C$7:$C$70,MATCH('County Climates'!B1130,'State Codes'!$D$7:$D$70,0),1),'State Codes'!$C$7:$C$70,0),1)</f>
        <v>Pacific Division</v>
      </c>
      <c r="F1130">
        <f>INDEX('CBECS_Table B5'!$C$6:$K$6,1,MATCH('County Climates'!E1130,'CBECS_Table B5'!$C$1:$K$1,0))</f>
        <v>13379</v>
      </c>
    </row>
    <row r="1131" spans="1:6" x14ac:dyDescent="0.25">
      <c r="A1131" t="s">
        <v>1069</v>
      </c>
      <c r="B1131" t="s">
        <v>1070</v>
      </c>
      <c r="C1131" t="s">
        <v>1084</v>
      </c>
      <c r="D1131" t="s">
        <v>227</v>
      </c>
      <c r="E1131" t="str">
        <f>INDEX('State Codes'!$E$7:$E$70,MATCH(INDEX('State Codes'!$C$7:$C$70,MATCH('County Climates'!B1131,'State Codes'!$D$7:$D$70,0),1),'State Codes'!$C$7:$C$70,0),1)</f>
        <v>Pacific Division</v>
      </c>
      <c r="F1131">
        <f>INDEX('CBECS_Table B5'!$C$6:$K$6,1,MATCH('County Climates'!E1131,'CBECS_Table B5'!$C$1:$K$1,0))</f>
        <v>13379</v>
      </c>
    </row>
    <row r="1132" spans="1:6" x14ac:dyDescent="0.25">
      <c r="A1132" t="s">
        <v>1069</v>
      </c>
      <c r="B1132" t="s">
        <v>1070</v>
      </c>
      <c r="C1132" t="s">
        <v>1085</v>
      </c>
      <c r="D1132" t="s">
        <v>228</v>
      </c>
      <c r="E1132" t="str">
        <f>INDEX('State Codes'!$E$7:$E$70,MATCH(INDEX('State Codes'!$C$7:$C$70,MATCH('County Climates'!B1132,'State Codes'!$D$7:$D$70,0),1),'State Codes'!$C$7:$C$70,0),1)</f>
        <v>Pacific Division</v>
      </c>
      <c r="F1132">
        <f>INDEX('CBECS_Table B5'!$C$6:$K$6,1,MATCH('County Climates'!E1132,'CBECS_Table B5'!$C$1:$K$1,0))</f>
        <v>13379</v>
      </c>
    </row>
    <row r="1133" spans="1:6" x14ac:dyDescent="0.25">
      <c r="A1133" t="s">
        <v>1069</v>
      </c>
      <c r="B1133" t="s">
        <v>1070</v>
      </c>
      <c r="C1133" t="s">
        <v>347</v>
      </c>
      <c r="D1133" t="s">
        <v>228</v>
      </c>
      <c r="E1133" t="str">
        <f>INDEX('State Codes'!$E$7:$E$70,MATCH(INDEX('State Codes'!$C$7:$C$70,MATCH('County Climates'!B1133,'State Codes'!$D$7:$D$70,0),1),'State Codes'!$C$7:$C$70,0),1)</f>
        <v>Pacific Division</v>
      </c>
      <c r="F1133">
        <f>INDEX('CBECS_Table B5'!$C$6:$K$6,1,MATCH('County Climates'!E1133,'CBECS_Table B5'!$C$1:$K$1,0))</f>
        <v>13379</v>
      </c>
    </row>
    <row r="1134" spans="1:6" x14ac:dyDescent="0.25">
      <c r="A1134" t="s">
        <v>1069</v>
      </c>
      <c r="B1134" t="s">
        <v>1070</v>
      </c>
      <c r="C1134" t="s">
        <v>1086</v>
      </c>
      <c r="D1134" t="s">
        <v>228</v>
      </c>
      <c r="E1134" t="str">
        <f>INDEX('State Codes'!$E$7:$E$70,MATCH(INDEX('State Codes'!$C$7:$C$70,MATCH('County Climates'!B1134,'State Codes'!$D$7:$D$70,0),1),'State Codes'!$C$7:$C$70,0),1)</f>
        <v>Pacific Division</v>
      </c>
      <c r="F1134">
        <f>INDEX('CBECS_Table B5'!$C$6:$K$6,1,MATCH('County Climates'!E1134,'CBECS_Table B5'!$C$1:$K$1,0))</f>
        <v>13379</v>
      </c>
    </row>
    <row r="1135" spans="1:6" x14ac:dyDescent="0.25">
      <c r="A1135" t="s">
        <v>1069</v>
      </c>
      <c r="B1135" t="s">
        <v>1070</v>
      </c>
      <c r="C1135" t="s">
        <v>1087</v>
      </c>
      <c r="D1135" t="s">
        <v>228</v>
      </c>
      <c r="E1135" t="str">
        <f>INDEX('State Codes'!$E$7:$E$70,MATCH(INDEX('State Codes'!$C$7:$C$70,MATCH('County Climates'!B1135,'State Codes'!$D$7:$D$70,0),1),'State Codes'!$C$7:$C$70,0),1)</f>
        <v>Pacific Division</v>
      </c>
      <c r="F1135">
        <f>INDEX('CBECS_Table B5'!$C$6:$K$6,1,MATCH('County Climates'!E1135,'CBECS_Table B5'!$C$1:$K$1,0))</f>
        <v>13379</v>
      </c>
    </row>
    <row r="1136" spans="1:6" x14ac:dyDescent="0.25">
      <c r="A1136" t="s">
        <v>1069</v>
      </c>
      <c r="B1136" t="s">
        <v>1070</v>
      </c>
      <c r="C1136" t="s">
        <v>308</v>
      </c>
      <c r="D1136" t="s">
        <v>227</v>
      </c>
      <c r="E1136" t="str">
        <f>INDEX('State Codes'!$E$7:$E$70,MATCH(INDEX('State Codes'!$C$7:$C$70,MATCH('County Climates'!B1136,'State Codes'!$D$7:$D$70,0),1),'State Codes'!$C$7:$C$70,0),1)</f>
        <v>Pacific Division</v>
      </c>
      <c r="F1136">
        <f>INDEX('CBECS_Table B5'!$C$6:$K$6,1,MATCH('County Climates'!E1136,'CBECS_Table B5'!$C$1:$K$1,0))</f>
        <v>13379</v>
      </c>
    </row>
    <row r="1137" spans="1:6" x14ac:dyDescent="0.25">
      <c r="A1137" t="s">
        <v>1069</v>
      </c>
      <c r="B1137" t="s">
        <v>1070</v>
      </c>
      <c r="C1137" t="s">
        <v>500</v>
      </c>
      <c r="D1137" t="s">
        <v>228</v>
      </c>
      <c r="E1137" t="str">
        <f>INDEX('State Codes'!$E$7:$E$70,MATCH(INDEX('State Codes'!$C$7:$C$70,MATCH('County Climates'!B1137,'State Codes'!$D$7:$D$70,0),1),'State Codes'!$C$7:$C$70,0),1)</f>
        <v>Pacific Division</v>
      </c>
      <c r="F1137">
        <f>INDEX('CBECS_Table B5'!$C$6:$K$6,1,MATCH('County Climates'!E1137,'CBECS_Table B5'!$C$1:$K$1,0))</f>
        <v>13379</v>
      </c>
    </row>
    <row r="1138" spans="1:6" x14ac:dyDescent="0.25">
      <c r="A1138" t="s">
        <v>1069</v>
      </c>
      <c r="B1138" t="s">
        <v>1070</v>
      </c>
      <c r="C1138" t="s">
        <v>1088</v>
      </c>
      <c r="D1138" t="s">
        <v>227</v>
      </c>
      <c r="E1138" t="str">
        <f>INDEX('State Codes'!$E$7:$E$70,MATCH(INDEX('State Codes'!$C$7:$C$70,MATCH('County Climates'!B1138,'State Codes'!$D$7:$D$70,0),1),'State Codes'!$C$7:$C$70,0),1)</f>
        <v>Pacific Division</v>
      </c>
      <c r="F1138">
        <f>INDEX('CBECS_Table B5'!$C$6:$K$6,1,MATCH('County Climates'!E1138,'CBECS_Table B5'!$C$1:$K$1,0))</f>
        <v>13379</v>
      </c>
    </row>
    <row r="1139" spans="1:6" x14ac:dyDescent="0.25">
      <c r="A1139" t="s">
        <v>1089</v>
      </c>
      <c r="B1139" t="s">
        <v>1090</v>
      </c>
      <c r="C1139" t="s">
        <v>516</v>
      </c>
      <c r="D1139" t="s">
        <v>228</v>
      </c>
      <c r="E1139" t="str">
        <f>INDEX('State Codes'!$E$7:$E$70,MATCH(INDEX('State Codes'!$C$7:$C$70,MATCH('County Climates'!B1139,'State Codes'!$D$7:$D$70,0),1),'State Codes'!$C$7:$C$70,0),1)</f>
        <v>Middle Atlantic Division</v>
      </c>
      <c r="F1139">
        <f>INDEX('CBECS_Table B5'!$C$6:$K$6,1,MATCH('County Climates'!E1139,'CBECS_Table B5'!$C$1:$K$1,0))</f>
        <v>11232</v>
      </c>
    </row>
    <row r="1140" spans="1:6" x14ac:dyDescent="0.25">
      <c r="A1140" t="s">
        <v>1089</v>
      </c>
      <c r="B1140" t="s">
        <v>1090</v>
      </c>
      <c r="C1140" t="s">
        <v>1091</v>
      </c>
      <c r="D1140" t="s">
        <v>228</v>
      </c>
      <c r="E1140" t="str">
        <f>INDEX('State Codes'!$E$7:$E$70,MATCH(INDEX('State Codes'!$C$7:$C$70,MATCH('County Climates'!B1140,'State Codes'!$D$7:$D$70,0),1),'State Codes'!$C$7:$C$70,0),1)</f>
        <v>Middle Atlantic Division</v>
      </c>
      <c r="F1140">
        <f>INDEX('CBECS_Table B5'!$C$6:$K$6,1,MATCH('County Climates'!E1140,'CBECS_Table B5'!$C$1:$K$1,0))</f>
        <v>11232</v>
      </c>
    </row>
    <row r="1141" spans="1:6" x14ac:dyDescent="0.25">
      <c r="A1141" t="s">
        <v>1089</v>
      </c>
      <c r="B1141" t="s">
        <v>1090</v>
      </c>
      <c r="C1141" t="s">
        <v>1092</v>
      </c>
      <c r="D1141" t="s">
        <v>228</v>
      </c>
      <c r="E1141" t="str">
        <f>INDEX('State Codes'!$E$7:$E$70,MATCH(INDEX('State Codes'!$C$7:$C$70,MATCH('County Climates'!B1141,'State Codes'!$D$7:$D$70,0),1),'State Codes'!$C$7:$C$70,0),1)</f>
        <v>Middle Atlantic Division</v>
      </c>
      <c r="F1141">
        <f>INDEX('CBECS_Table B5'!$C$6:$K$6,1,MATCH('County Climates'!E1141,'CBECS_Table B5'!$C$1:$K$1,0))</f>
        <v>11232</v>
      </c>
    </row>
    <row r="1142" spans="1:6" x14ac:dyDescent="0.25">
      <c r="A1142" t="s">
        <v>1089</v>
      </c>
      <c r="B1142" t="s">
        <v>1090</v>
      </c>
      <c r="C1142" t="s">
        <v>1063</v>
      </c>
      <c r="D1142" t="s">
        <v>228</v>
      </c>
      <c r="E1142" t="str">
        <f>INDEX('State Codes'!$E$7:$E$70,MATCH(INDEX('State Codes'!$C$7:$C$70,MATCH('County Climates'!B1142,'State Codes'!$D$7:$D$70,0),1),'State Codes'!$C$7:$C$70,0),1)</f>
        <v>Middle Atlantic Division</v>
      </c>
      <c r="F1142">
        <f>INDEX('CBECS_Table B5'!$C$6:$K$6,1,MATCH('County Climates'!E1142,'CBECS_Table B5'!$C$1:$K$1,0))</f>
        <v>11232</v>
      </c>
    </row>
    <row r="1143" spans="1:6" x14ac:dyDescent="0.25">
      <c r="A1143" t="s">
        <v>1089</v>
      </c>
      <c r="B1143" t="s">
        <v>1090</v>
      </c>
      <c r="C1143" t="s">
        <v>1093</v>
      </c>
      <c r="D1143" t="s">
        <v>228</v>
      </c>
      <c r="E1143" t="str">
        <f>INDEX('State Codes'!$E$7:$E$70,MATCH(INDEX('State Codes'!$C$7:$C$70,MATCH('County Climates'!B1143,'State Codes'!$D$7:$D$70,0),1),'State Codes'!$C$7:$C$70,0),1)</f>
        <v>Middle Atlantic Division</v>
      </c>
      <c r="F1143">
        <f>INDEX('CBECS_Table B5'!$C$6:$K$6,1,MATCH('County Climates'!E1143,'CBECS_Table B5'!$C$1:$K$1,0))</f>
        <v>11232</v>
      </c>
    </row>
    <row r="1144" spans="1:6" x14ac:dyDescent="0.25">
      <c r="A1144" t="s">
        <v>1089</v>
      </c>
      <c r="B1144" t="s">
        <v>1090</v>
      </c>
      <c r="C1144" t="s">
        <v>1094</v>
      </c>
      <c r="D1144" t="s">
        <v>228</v>
      </c>
      <c r="E1144" t="str">
        <f>INDEX('State Codes'!$E$7:$E$70,MATCH(INDEX('State Codes'!$C$7:$C$70,MATCH('County Climates'!B1144,'State Codes'!$D$7:$D$70,0),1),'State Codes'!$C$7:$C$70,0),1)</f>
        <v>Middle Atlantic Division</v>
      </c>
      <c r="F1144">
        <f>INDEX('CBECS_Table B5'!$C$6:$K$6,1,MATCH('County Climates'!E1144,'CBECS_Table B5'!$C$1:$K$1,0))</f>
        <v>11232</v>
      </c>
    </row>
    <row r="1145" spans="1:6" x14ac:dyDescent="0.25">
      <c r="A1145" t="s">
        <v>1089</v>
      </c>
      <c r="B1145" t="s">
        <v>1090</v>
      </c>
      <c r="C1145" t="s">
        <v>1095</v>
      </c>
      <c r="D1145" t="s">
        <v>228</v>
      </c>
      <c r="E1145" t="str">
        <f>INDEX('State Codes'!$E$7:$E$70,MATCH(INDEX('State Codes'!$C$7:$C$70,MATCH('County Climates'!B1145,'State Codes'!$D$7:$D$70,0),1),'State Codes'!$C$7:$C$70,0),1)</f>
        <v>Middle Atlantic Division</v>
      </c>
      <c r="F1145">
        <f>INDEX('CBECS_Table B5'!$C$6:$K$6,1,MATCH('County Climates'!E1145,'CBECS_Table B5'!$C$1:$K$1,0))</f>
        <v>11232</v>
      </c>
    </row>
    <row r="1146" spans="1:6" x14ac:dyDescent="0.25">
      <c r="A1146" t="s">
        <v>1089</v>
      </c>
      <c r="B1146" t="s">
        <v>1090</v>
      </c>
      <c r="C1146" t="s">
        <v>429</v>
      </c>
      <c r="D1146" t="s">
        <v>228</v>
      </c>
      <c r="E1146" t="str">
        <f>INDEX('State Codes'!$E$7:$E$70,MATCH(INDEX('State Codes'!$C$7:$C$70,MATCH('County Climates'!B1146,'State Codes'!$D$7:$D$70,0),1),'State Codes'!$C$7:$C$70,0),1)</f>
        <v>Middle Atlantic Division</v>
      </c>
      <c r="F1146">
        <f>INDEX('CBECS_Table B5'!$C$6:$K$6,1,MATCH('County Climates'!E1146,'CBECS_Table B5'!$C$1:$K$1,0))</f>
        <v>11232</v>
      </c>
    </row>
    <row r="1147" spans="1:6" x14ac:dyDescent="0.25">
      <c r="A1147" t="s">
        <v>1089</v>
      </c>
      <c r="B1147" t="s">
        <v>1090</v>
      </c>
      <c r="C1147" t="s">
        <v>1096</v>
      </c>
      <c r="D1147" t="s">
        <v>247</v>
      </c>
      <c r="E1147" t="str">
        <f>INDEX('State Codes'!$E$7:$E$70,MATCH(INDEX('State Codes'!$C$7:$C$70,MATCH('County Climates'!B1147,'State Codes'!$D$7:$D$70,0),1),'State Codes'!$C$7:$C$70,0),1)</f>
        <v>Middle Atlantic Division</v>
      </c>
      <c r="F1147">
        <f>INDEX('CBECS_Table B5'!$C$6:$K$6,1,MATCH('County Climates'!E1147,'CBECS_Table B5'!$C$1:$K$1,0))</f>
        <v>11232</v>
      </c>
    </row>
    <row r="1148" spans="1:6" x14ac:dyDescent="0.25">
      <c r="A1148" t="s">
        <v>1089</v>
      </c>
      <c r="B1148" t="s">
        <v>1090</v>
      </c>
      <c r="C1148" t="s">
        <v>250</v>
      </c>
      <c r="D1148" t="s">
        <v>228</v>
      </c>
      <c r="E1148" t="str">
        <f>INDEX('State Codes'!$E$7:$E$70,MATCH(INDEX('State Codes'!$C$7:$C$70,MATCH('County Climates'!B1148,'State Codes'!$D$7:$D$70,0),1),'State Codes'!$C$7:$C$70,0),1)</f>
        <v>Middle Atlantic Division</v>
      </c>
      <c r="F1148">
        <f>INDEX('CBECS_Table B5'!$C$6:$K$6,1,MATCH('County Climates'!E1148,'CBECS_Table B5'!$C$1:$K$1,0))</f>
        <v>11232</v>
      </c>
    </row>
    <row r="1149" spans="1:6" x14ac:dyDescent="0.25">
      <c r="A1149" t="s">
        <v>1089</v>
      </c>
      <c r="B1149" t="s">
        <v>1090</v>
      </c>
      <c r="C1149" t="s">
        <v>1097</v>
      </c>
      <c r="D1149" t="s">
        <v>228</v>
      </c>
      <c r="E1149" t="str">
        <f>INDEX('State Codes'!$E$7:$E$70,MATCH(INDEX('State Codes'!$C$7:$C$70,MATCH('County Climates'!B1149,'State Codes'!$D$7:$D$70,0),1),'State Codes'!$C$7:$C$70,0),1)</f>
        <v>Middle Atlantic Division</v>
      </c>
      <c r="F1149">
        <f>INDEX('CBECS_Table B5'!$C$6:$K$6,1,MATCH('County Climates'!E1149,'CBECS_Table B5'!$C$1:$K$1,0))</f>
        <v>11232</v>
      </c>
    </row>
    <row r="1150" spans="1:6" x14ac:dyDescent="0.25">
      <c r="A1150" t="s">
        <v>1089</v>
      </c>
      <c r="B1150" t="s">
        <v>1090</v>
      </c>
      <c r="C1150" t="s">
        <v>1098</v>
      </c>
      <c r="D1150" t="s">
        <v>228</v>
      </c>
      <c r="E1150" t="str">
        <f>INDEX('State Codes'!$E$7:$E$70,MATCH(INDEX('State Codes'!$C$7:$C$70,MATCH('County Climates'!B1150,'State Codes'!$D$7:$D$70,0),1),'State Codes'!$C$7:$C$70,0),1)</f>
        <v>Middle Atlantic Division</v>
      </c>
      <c r="F1150">
        <f>INDEX('CBECS_Table B5'!$C$6:$K$6,1,MATCH('County Climates'!E1150,'CBECS_Table B5'!$C$1:$K$1,0))</f>
        <v>11232</v>
      </c>
    </row>
    <row r="1151" spans="1:6" x14ac:dyDescent="0.25">
      <c r="A1151" t="s">
        <v>1089</v>
      </c>
      <c r="B1151" t="s">
        <v>1090</v>
      </c>
      <c r="C1151" t="s">
        <v>876</v>
      </c>
      <c r="D1151" t="s">
        <v>228</v>
      </c>
      <c r="E1151" t="str">
        <f>INDEX('State Codes'!$E$7:$E$70,MATCH(INDEX('State Codes'!$C$7:$C$70,MATCH('County Climates'!B1151,'State Codes'!$D$7:$D$70,0),1),'State Codes'!$C$7:$C$70,0),1)</f>
        <v>Middle Atlantic Division</v>
      </c>
      <c r="F1151">
        <f>INDEX('CBECS_Table B5'!$C$6:$K$6,1,MATCH('County Climates'!E1151,'CBECS_Table B5'!$C$1:$K$1,0))</f>
        <v>11232</v>
      </c>
    </row>
    <row r="1152" spans="1:6" x14ac:dyDescent="0.25">
      <c r="A1152" t="s">
        <v>1089</v>
      </c>
      <c r="B1152" t="s">
        <v>1090</v>
      </c>
      <c r="C1152" t="s">
        <v>1099</v>
      </c>
      <c r="D1152" t="s">
        <v>228</v>
      </c>
      <c r="E1152" t="str">
        <f>INDEX('State Codes'!$E$7:$E$70,MATCH(INDEX('State Codes'!$C$7:$C$70,MATCH('County Climates'!B1152,'State Codes'!$D$7:$D$70,0),1),'State Codes'!$C$7:$C$70,0),1)</f>
        <v>Middle Atlantic Division</v>
      </c>
      <c r="F1152">
        <f>INDEX('CBECS_Table B5'!$C$6:$K$6,1,MATCH('County Climates'!E1152,'CBECS_Table B5'!$C$1:$K$1,0))</f>
        <v>11232</v>
      </c>
    </row>
    <row r="1153" spans="1:6" x14ac:dyDescent="0.25">
      <c r="A1153" t="s">
        <v>1089</v>
      </c>
      <c r="B1153" t="s">
        <v>1090</v>
      </c>
      <c r="C1153" t="s">
        <v>1100</v>
      </c>
      <c r="D1153" t="s">
        <v>247</v>
      </c>
      <c r="E1153" t="str">
        <f>INDEX('State Codes'!$E$7:$E$70,MATCH(INDEX('State Codes'!$C$7:$C$70,MATCH('County Climates'!B1153,'State Codes'!$D$7:$D$70,0),1),'State Codes'!$C$7:$C$70,0),1)</f>
        <v>Middle Atlantic Division</v>
      </c>
      <c r="F1153">
        <f>INDEX('CBECS_Table B5'!$C$6:$K$6,1,MATCH('County Climates'!E1153,'CBECS_Table B5'!$C$1:$K$1,0))</f>
        <v>11232</v>
      </c>
    </row>
    <row r="1154" spans="1:6" x14ac:dyDescent="0.25">
      <c r="A1154" t="s">
        <v>1089</v>
      </c>
      <c r="B1154" t="s">
        <v>1090</v>
      </c>
      <c r="C1154" t="s">
        <v>1101</v>
      </c>
      <c r="D1154" t="s">
        <v>228</v>
      </c>
      <c r="E1154" t="str">
        <f>INDEX('State Codes'!$E$7:$E$70,MATCH(INDEX('State Codes'!$C$7:$C$70,MATCH('County Climates'!B1154,'State Codes'!$D$7:$D$70,0),1),'State Codes'!$C$7:$C$70,0),1)</f>
        <v>Middle Atlantic Division</v>
      </c>
      <c r="F1154">
        <f>INDEX('CBECS_Table B5'!$C$6:$K$6,1,MATCH('County Climates'!E1154,'CBECS_Table B5'!$C$1:$K$1,0))</f>
        <v>11232</v>
      </c>
    </row>
    <row r="1155" spans="1:6" x14ac:dyDescent="0.25">
      <c r="A1155" t="s">
        <v>1089</v>
      </c>
      <c r="B1155" t="s">
        <v>1090</v>
      </c>
      <c r="C1155" t="s">
        <v>1102</v>
      </c>
      <c r="D1155" t="s">
        <v>228</v>
      </c>
      <c r="E1155" t="str">
        <f>INDEX('State Codes'!$E$7:$E$70,MATCH(INDEX('State Codes'!$C$7:$C$70,MATCH('County Climates'!B1155,'State Codes'!$D$7:$D$70,0),1),'State Codes'!$C$7:$C$70,0),1)</f>
        <v>Middle Atlantic Division</v>
      </c>
      <c r="F1155">
        <f>INDEX('CBECS_Table B5'!$C$6:$K$6,1,MATCH('County Climates'!E1155,'CBECS_Table B5'!$C$1:$K$1,0))</f>
        <v>11232</v>
      </c>
    </row>
    <row r="1156" spans="1:6" x14ac:dyDescent="0.25">
      <c r="A1156" t="s">
        <v>1089</v>
      </c>
      <c r="B1156" t="s">
        <v>1090</v>
      </c>
      <c r="C1156" t="s">
        <v>580</v>
      </c>
      <c r="D1156" t="s">
        <v>228</v>
      </c>
      <c r="E1156" t="str">
        <f>INDEX('State Codes'!$E$7:$E$70,MATCH(INDEX('State Codes'!$C$7:$C$70,MATCH('County Climates'!B1156,'State Codes'!$D$7:$D$70,0),1),'State Codes'!$C$7:$C$70,0),1)</f>
        <v>Middle Atlantic Division</v>
      </c>
      <c r="F1156">
        <f>INDEX('CBECS_Table B5'!$C$6:$K$6,1,MATCH('County Climates'!E1156,'CBECS_Table B5'!$C$1:$K$1,0))</f>
        <v>11232</v>
      </c>
    </row>
    <row r="1157" spans="1:6" x14ac:dyDescent="0.25">
      <c r="A1157" t="s">
        <v>1089</v>
      </c>
      <c r="B1157" t="s">
        <v>1090</v>
      </c>
      <c r="C1157" t="s">
        <v>457</v>
      </c>
      <c r="D1157" t="s">
        <v>228</v>
      </c>
      <c r="E1157" t="str">
        <f>INDEX('State Codes'!$E$7:$E$70,MATCH(INDEX('State Codes'!$C$7:$C$70,MATCH('County Climates'!B1157,'State Codes'!$D$7:$D$70,0),1),'State Codes'!$C$7:$C$70,0),1)</f>
        <v>Middle Atlantic Division</v>
      </c>
      <c r="F1157">
        <f>INDEX('CBECS_Table B5'!$C$6:$K$6,1,MATCH('County Climates'!E1157,'CBECS_Table B5'!$C$1:$K$1,0))</f>
        <v>11232</v>
      </c>
    </row>
    <row r="1158" spans="1:6" x14ac:dyDescent="0.25">
      <c r="A1158" t="s">
        <v>1089</v>
      </c>
      <c r="B1158" t="s">
        <v>1090</v>
      </c>
      <c r="C1158" t="s">
        <v>460</v>
      </c>
      <c r="D1158" t="s">
        <v>228</v>
      </c>
      <c r="E1158" t="str">
        <f>INDEX('State Codes'!$E$7:$E$70,MATCH(INDEX('State Codes'!$C$7:$C$70,MATCH('County Climates'!B1158,'State Codes'!$D$7:$D$70,0),1),'State Codes'!$C$7:$C$70,0),1)</f>
        <v>Middle Atlantic Division</v>
      </c>
      <c r="F1158">
        <f>INDEX('CBECS_Table B5'!$C$6:$K$6,1,MATCH('County Climates'!E1158,'CBECS_Table B5'!$C$1:$K$1,0))</f>
        <v>11232</v>
      </c>
    </row>
    <row r="1159" spans="1:6" x14ac:dyDescent="0.25">
      <c r="A1159" t="s">
        <v>1089</v>
      </c>
      <c r="B1159" t="s">
        <v>1090</v>
      </c>
      <c r="C1159" t="s">
        <v>720</v>
      </c>
      <c r="D1159" t="s">
        <v>228</v>
      </c>
      <c r="E1159" t="str">
        <f>INDEX('State Codes'!$E$7:$E$70,MATCH(INDEX('State Codes'!$C$7:$C$70,MATCH('County Climates'!B1159,'State Codes'!$D$7:$D$70,0),1),'State Codes'!$C$7:$C$70,0),1)</f>
        <v>Middle Atlantic Division</v>
      </c>
      <c r="F1159">
        <f>INDEX('CBECS_Table B5'!$C$6:$K$6,1,MATCH('County Climates'!E1159,'CBECS_Table B5'!$C$1:$K$1,0))</f>
        <v>11232</v>
      </c>
    </row>
    <row r="1160" spans="1:6" x14ac:dyDescent="0.25">
      <c r="A1160" t="s">
        <v>1089</v>
      </c>
      <c r="B1160" t="s">
        <v>1090</v>
      </c>
      <c r="C1160" t="s">
        <v>1103</v>
      </c>
      <c r="D1160" t="s">
        <v>228</v>
      </c>
      <c r="E1160" t="str">
        <f>INDEX('State Codes'!$E$7:$E$70,MATCH(INDEX('State Codes'!$C$7:$C$70,MATCH('County Climates'!B1160,'State Codes'!$D$7:$D$70,0),1),'State Codes'!$C$7:$C$70,0),1)</f>
        <v>Middle Atlantic Division</v>
      </c>
      <c r="F1160">
        <f>INDEX('CBECS_Table B5'!$C$6:$K$6,1,MATCH('County Climates'!E1160,'CBECS_Table B5'!$C$1:$K$1,0))</f>
        <v>11232</v>
      </c>
    </row>
    <row r="1161" spans="1:6" x14ac:dyDescent="0.25">
      <c r="A1161" t="s">
        <v>1089</v>
      </c>
      <c r="B1161" t="s">
        <v>1090</v>
      </c>
      <c r="C1161" t="s">
        <v>584</v>
      </c>
      <c r="D1161" t="s">
        <v>247</v>
      </c>
      <c r="E1161" t="str">
        <f>INDEX('State Codes'!$E$7:$E$70,MATCH(INDEX('State Codes'!$C$7:$C$70,MATCH('County Climates'!B1161,'State Codes'!$D$7:$D$70,0),1),'State Codes'!$C$7:$C$70,0),1)</f>
        <v>Middle Atlantic Division</v>
      </c>
      <c r="F1161">
        <f>INDEX('CBECS_Table B5'!$C$6:$K$6,1,MATCH('County Climates'!E1161,'CBECS_Table B5'!$C$1:$K$1,0))</f>
        <v>11232</v>
      </c>
    </row>
    <row r="1162" spans="1:6" x14ac:dyDescent="0.25">
      <c r="A1162" t="s">
        <v>1089</v>
      </c>
      <c r="B1162" t="s">
        <v>1090</v>
      </c>
      <c r="C1162" t="s">
        <v>623</v>
      </c>
      <c r="D1162" t="s">
        <v>228</v>
      </c>
      <c r="E1162" t="str">
        <f>INDEX('State Codes'!$E$7:$E$70,MATCH(INDEX('State Codes'!$C$7:$C$70,MATCH('County Climates'!B1162,'State Codes'!$D$7:$D$70,0),1),'State Codes'!$C$7:$C$70,0),1)</f>
        <v>Middle Atlantic Division</v>
      </c>
      <c r="F1162">
        <f>INDEX('CBECS_Table B5'!$C$6:$K$6,1,MATCH('County Climates'!E1162,'CBECS_Table B5'!$C$1:$K$1,0))</f>
        <v>11232</v>
      </c>
    </row>
    <row r="1163" spans="1:6" x14ac:dyDescent="0.25">
      <c r="A1163" t="s">
        <v>1089</v>
      </c>
      <c r="B1163" t="s">
        <v>1090</v>
      </c>
      <c r="C1163" t="s">
        <v>956</v>
      </c>
      <c r="D1163" t="s">
        <v>228</v>
      </c>
      <c r="E1163" t="str">
        <f>INDEX('State Codes'!$E$7:$E$70,MATCH(INDEX('State Codes'!$C$7:$C$70,MATCH('County Climates'!B1163,'State Codes'!$D$7:$D$70,0),1),'State Codes'!$C$7:$C$70,0),1)</f>
        <v>Middle Atlantic Division</v>
      </c>
      <c r="F1163">
        <f>INDEX('CBECS_Table B5'!$C$6:$K$6,1,MATCH('County Climates'!E1163,'CBECS_Table B5'!$C$1:$K$1,0))</f>
        <v>11232</v>
      </c>
    </row>
    <row r="1164" spans="1:6" x14ac:dyDescent="0.25">
      <c r="A1164" t="s">
        <v>1089</v>
      </c>
      <c r="B1164" t="s">
        <v>1090</v>
      </c>
      <c r="C1164" t="s">
        <v>272</v>
      </c>
      <c r="D1164" t="s">
        <v>228</v>
      </c>
      <c r="E1164" t="str">
        <f>INDEX('State Codes'!$E$7:$E$70,MATCH(INDEX('State Codes'!$C$7:$C$70,MATCH('County Climates'!B1164,'State Codes'!$D$7:$D$70,0),1),'State Codes'!$C$7:$C$70,0),1)</f>
        <v>Middle Atlantic Division</v>
      </c>
      <c r="F1164">
        <f>INDEX('CBECS_Table B5'!$C$6:$K$6,1,MATCH('County Climates'!E1164,'CBECS_Table B5'!$C$1:$K$1,0))</f>
        <v>11232</v>
      </c>
    </row>
    <row r="1165" spans="1:6" x14ac:dyDescent="0.25">
      <c r="A1165" t="s">
        <v>1089</v>
      </c>
      <c r="B1165" t="s">
        <v>1090</v>
      </c>
      <c r="C1165" t="s">
        <v>1104</v>
      </c>
      <c r="D1165" t="s">
        <v>228</v>
      </c>
      <c r="E1165" t="str">
        <f>INDEX('State Codes'!$E$7:$E$70,MATCH(INDEX('State Codes'!$C$7:$C$70,MATCH('County Climates'!B1165,'State Codes'!$D$7:$D$70,0),1),'State Codes'!$C$7:$C$70,0),1)</f>
        <v>Middle Atlantic Division</v>
      </c>
      <c r="F1165">
        <f>INDEX('CBECS_Table B5'!$C$6:$K$6,1,MATCH('County Climates'!E1165,'CBECS_Table B5'!$C$1:$K$1,0))</f>
        <v>11232</v>
      </c>
    </row>
    <row r="1166" spans="1:6" x14ac:dyDescent="0.25">
      <c r="A1166" t="s">
        <v>1089</v>
      </c>
      <c r="B1166" t="s">
        <v>1090</v>
      </c>
      <c r="C1166" t="s">
        <v>273</v>
      </c>
      <c r="D1166" t="s">
        <v>228</v>
      </c>
      <c r="E1166" t="str">
        <f>INDEX('State Codes'!$E$7:$E$70,MATCH(INDEX('State Codes'!$C$7:$C$70,MATCH('County Climates'!B1166,'State Codes'!$D$7:$D$70,0),1),'State Codes'!$C$7:$C$70,0),1)</f>
        <v>Middle Atlantic Division</v>
      </c>
      <c r="F1166">
        <f>INDEX('CBECS_Table B5'!$C$6:$K$6,1,MATCH('County Climates'!E1166,'CBECS_Table B5'!$C$1:$K$1,0))</f>
        <v>11232</v>
      </c>
    </row>
    <row r="1167" spans="1:6" x14ac:dyDescent="0.25">
      <c r="A1167" t="s">
        <v>1089</v>
      </c>
      <c r="B1167" t="s">
        <v>1090</v>
      </c>
      <c r="C1167" t="s">
        <v>314</v>
      </c>
      <c r="D1167" t="s">
        <v>228</v>
      </c>
      <c r="E1167" t="str">
        <f>INDEX('State Codes'!$E$7:$E$70,MATCH(INDEX('State Codes'!$C$7:$C$70,MATCH('County Climates'!B1167,'State Codes'!$D$7:$D$70,0),1),'State Codes'!$C$7:$C$70,0),1)</f>
        <v>Middle Atlantic Division</v>
      </c>
      <c r="F1167">
        <f>INDEX('CBECS_Table B5'!$C$6:$K$6,1,MATCH('County Climates'!E1167,'CBECS_Table B5'!$C$1:$K$1,0))</f>
        <v>11232</v>
      </c>
    </row>
    <row r="1168" spans="1:6" x14ac:dyDescent="0.25">
      <c r="A1168" t="s">
        <v>1089</v>
      </c>
      <c r="B1168" t="s">
        <v>1090</v>
      </c>
      <c r="C1168" t="s">
        <v>275</v>
      </c>
      <c r="D1168" t="s">
        <v>228</v>
      </c>
      <c r="E1168" t="str">
        <f>INDEX('State Codes'!$E$7:$E$70,MATCH(INDEX('State Codes'!$C$7:$C$70,MATCH('County Climates'!B1168,'State Codes'!$D$7:$D$70,0),1),'State Codes'!$C$7:$C$70,0),1)</f>
        <v>Middle Atlantic Division</v>
      </c>
      <c r="F1168">
        <f>INDEX('CBECS_Table B5'!$C$6:$K$6,1,MATCH('County Climates'!E1168,'CBECS_Table B5'!$C$1:$K$1,0))</f>
        <v>11232</v>
      </c>
    </row>
    <row r="1169" spans="1:6" x14ac:dyDescent="0.25">
      <c r="A1169" t="s">
        <v>1089</v>
      </c>
      <c r="B1169" t="s">
        <v>1090</v>
      </c>
      <c r="C1169" t="s">
        <v>1105</v>
      </c>
      <c r="D1169" t="s">
        <v>228</v>
      </c>
      <c r="E1169" t="str">
        <f>INDEX('State Codes'!$E$7:$E$70,MATCH(INDEX('State Codes'!$C$7:$C$70,MATCH('County Climates'!B1169,'State Codes'!$D$7:$D$70,0),1),'State Codes'!$C$7:$C$70,0),1)</f>
        <v>Middle Atlantic Division</v>
      </c>
      <c r="F1169">
        <f>INDEX('CBECS_Table B5'!$C$6:$K$6,1,MATCH('County Climates'!E1169,'CBECS_Table B5'!$C$1:$K$1,0))</f>
        <v>11232</v>
      </c>
    </row>
    <row r="1170" spans="1:6" x14ac:dyDescent="0.25">
      <c r="A1170" t="s">
        <v>1106</v>
      </c>
      <c r="B1170" t="s">
        <v>1107</v>
      </c>
      <c r="C1170" t="s">
        <v>1108</v>
      </c>
      <c r="D1170" t="s">
        <v>243</v>
      </c>
      <c r="E1170" t="str">
        <f>INDEX('State Codes'!$E$7:$E$70,MATCH(INDEX('State Codes'!$C$7:$C$70,MATCH('County Climates'!B1170,'State Codes'!$D$7:$D$70,0),1),'State Codes'!$C$7:$C$70,0),1)</f>
        <v>South Atlantic Division</v>
      </c>
      <c r="F1170">
        <f>INDEX('CBECS_Table B5'!$C$6:$K$6,1,MATCH('County Climates'!E1170,'CBECS_Table B5'!$C$1:$K$1,0))</f>
        <v>17981</v>
      </c>
    </row>
    <row r="1171" spans="1:6" x14ac:dyDescent="0.25">
      <c r="A1171" t="s">
        <v>1106</v>
      </c>
      <c r="B1171" t="s">
        <v>1107</v>
      </c>
      <c r="C1171" t="s">
        <v>1109</v>
      </c>
      <c r="D1171" t="s">
        <v>243</v>
      </c>
      <c r="E1171" t="str">
        <f>INDEX('State Codes'!$E$7:$E$70,MATCH(INDEX('State Codes'!$C$7:$C$70,MATCH('County Climates'!B1171,'State Codes'!$D$7:$D$70,0),1),'State Codes'!$C$7:$C$70,0),1)</f>
        <v>South Atlantic Division</v>
      </c>
      <c r="F1171">
        <f>INDEX('CBECS_Table B5'!$C$6:$K$6,1,MATCH('County Climates'!E1171,'CBECS_Table B5'!$C$1:$K$1,0))</f>
        <v>17981</v>
      </c>
    </row>
    <row r="1172" spans="1:6" x14ac:dyDescent="0.25">
      <c r="A1172" t="s">
        <v>1106</v>
      </c>
      <c r="B1172" t="s">
        <v>1107</v>
      </c>
      <c r="C1172" t="s">
        <v>616</v>
      </c>
      <c r="D1172" t="s">
        <v>243</v>
      </c>
      <c r="E1172" t="str">
        <f>INDEX('State Codes'!$E$7:$E$70,MATCH(INDEX('State Codes'!$C$7:$C$70,MATCH('County Climates'!B1172,'State Codes'!$D$7:$D$70,0),1),'State Codes'!$C$7:$C$70,0),1)</f>
        <v>South Atlantic Division</v>
      </c>
      <c r="F1172">
        <f>INDEX('CBECS_Table B5'!$C$6:$K$6,1,MATCH('County Climates'!E1172,'CBECS_Table B5'!$C$1:$K$1,0))</f>
        <v>17981</v>
      </c>
    </row>
    <row r="1173" spans="1:6" x14ac:dyDescent="0.25">
      <c r="A1173" t="s">
        <v>1106</v>
      </c>
      <c r="B1173" t="s">
        <v>1107</v>
      </c>
      <c r="C1173" t="s">
        <v>1110</v>
      </c>
      <c r="D1173" t="s">
        <v>247</v>
      </c>
      <c r="E1173" t="str">
        <f>INDEX('State Codes'!$E$7:$E$70,MATCH(INDEX('State Codes'!$C$7:$C$70,MATCH('County Climates'!B1173,'State Codes'!$D$7:$D$70,0),1),'State Codes'!$C$7:$C$70,0),1)</f>
        <v>South Atlantic Division</v>
      </c>
      <c r="F1173">
        <f>INDEX('CBECS_Table B5'!$C$6:$K$6,1,MATCH('County Climates'!E1173,'CBECS_Table B5'!$C$1:$K$1,0))</f>
        <v>17981</v>
      </c>
    </row>
    <row r="1174" spans="1:6" x14ac:dyDescent="0.25">
      <c r="A1174" t="s">
        <v>1106</v>
      </c>
      <c r="B1174" t="s">
        <v>1107</v>
      </c>
      <c r="C1174" t="s">
        <v>905</v>
      </c>
      <c r="D1174" t="s">
        <v>247</v>
      </c>
      <c r="E1174" t="str">
        <f>INDEX('State Codes'!$E$7:$E$70,MATCH(INDEX('State Codes'!$C$7:$C$70,MATCH('County Climates'!B1174,'State Codes'!$D$7:$D$70,0),1),'State Codes'!$C$7:$C$70,0),1)</f>
        <v>South Atlantic Division</v>
      </c>
      <c r="F1174">
        <f>INDEX('CBECS_Table B5'!$C$6:$K$6,1,MATCH('County Climates'!E1174,'CBECS_Table B5'!$C$1:$K$1,0))</f>
        <v>17981</v>
      </c>
    </row>
    <row r="1175" spans="1:6" x14ac:dyDescent="0.25">
      <c r="A1175" t="s">
        <v>1106</v>
      </c>
      <c r="B1175" t="s">
        <v>1107</v>
      </c>
      <c r="C1175" t="s">
        <v>1111</v>
      </c>
      <c r="D1175" t="s">
        <v>247</v>
      </c>
      <c r="E1175" t="str">
        <f>INDEX('State Codes'!$E$7:$E$70,MATCH(INDEX('State Codes'!$C$7:$C$70,MATCH('County Climates'!B1175,'State Codes'!$D$7:$D$70,0),1),'State Codes'!$C$7:$C$70,0),1)</f>
        <v>South Atlantic Division</v>
      </c>
      <c r="F1175">
        <f>INDEX('CBECS_Table B5'!$C$6:$K$6,1,MATCH('County Climates'!E1175,'CBECS_Table B5'!$C$1:$K$1,0))</f>
        <v>17981</v>
      </c>
    </row>
    <row r="1176" spans="1:6" x14ac:dyDescent="0.25">
      <c r="A1176" t="s">
        <v>1106</v>
      </c>
      <c r="B1176" t="s">
        <v>1107</v>
      </c>
      <c r="C1176" t="s">
        <v>284</v>
      </c>
      <c r="D1176" t="s">
        <v>247</v>
      </c>
      <c r="E1176" t="str">
        <f>INDEX('State Codes'!$E$7:$E$70,MATCH(INDEX('State Codes'!$C$7:$C$70,MATCH('County Climates'!B1176,'State Codes'!$D$7:$D$70,0),1),'State Codes'!$C$7:$C$70,0),1)</f>
        <v>South Atlantic Division</v>
      </c>
      <c r="F1176">
        <f>INDEX('CBECS_Table B5'!$C$6:$K$6,1,MATCH('County Climates'!E1176,'CBECS_Table B5'!$C$1:$K$1,0))</f>
        <v>17981</v>
      </c>
    </row>
    <row r="1177" spans="1:6" x14ac:dyDescent="0.25">
      <c r="A1177" t="s">
        <v>1106</v>
      </c>
      <c r="B1177" t="s">
        <v>1107</v>
      </c>
      <c r="C1177" t="s">
        <v>1112</v>
      </c>
      <c r="D1177" t="s">
        <v>247</v>
      </c>
      <c r="E1177" t="str">
        <f>INDEX('State Codes'!$E$7:$E$70,MATCH(INDEX('State Codes'!$C$7:$C$70,MATCH('County Climates'!B1177,'State Codes'!$D$7:$D$70,0),1),'State Codes'!$C$7:$C$70,0),1)</f>
        <v>South Atlantic Division</v>
      </c>
      <c r="F1177">
        <f>INDEX('CBECS_Table B5'!$C$6:$K$6,1,MATCH('County Climates'!E1177,'CBECS_Table B5'!$C$1:$K$1,0))</f>
        <v>17981</v>
      </c>
    </row>
    <row r="1178" spans="1:6" x14ac:dyDescent="0.25">
      <c r="A1178" t="s">
        <v>1106</v>
      </c>
      <c r="B1178" t="s">
        <v>1107</v>
      </c>
      <c r="C1178" t="s">
        <v>290</v>
      </c>
      <c r="D1178" t="s">
        <v>247</v>
      </c>
      <c r="E1178" t="str">
        <f>INDEX('State Codes'!$E$7:$E$70,MATCH(INDEX('State Codes'!$C$7:$C$70,MATCH('County Climates'!B1178,'State Codes'!$D$7:$D$70,0),1),'State Codes'!$C$7:$C$70,0),1)</f>
        <v>South Atlantic Division</v>
      </c>
      <c r="F1178">
        <f>INDEX('CBECS_Table B5'!$C$6:$K$6,1,MATCH('County Climates'!E1178,'CBECS_Table B5'!$C$1:$K$1,0))</f>
        <v>17981</v>
      </c>
    </row>
    <row r="1179" spans="1:6" x14ac:dyDescent="0.25">
      <c r="A1179" t="s">
        <v>1106</v>
      </c>
      <c r="B1179" t="s">
        <v>1107</v>
      </c>
      <c r="C1179" t="s">
        <v>1113</v>
      </c>
      <c r="D1179" t="s">
        <v>247</v>
      </c>
      <c r="E1179" t="str">
        <f>INDEX('State Codes'!$E$7:$E$70,MATCH(INDEX('State Codes'!$C$7:$C$70,MATCH('County Climates'!B1179,'State Codes'!$D$7:$D$70,0),1),'State Codes'!$C$7:$C$70,0),1)</f>
        <v>South Atlantic Division</v>
      </c>
      <c r="F1179">
        <f>INDEX('CBECS_Table B5'!$C$6:$K$6,1,MATCH('County Climates'!E1179,'CBECS_Table B5'!$C$1:$K$1,0))</f>
        <v>17981</v>
      </c>
    </row>
    <row r="1180" spans="1:6" x14ac:dyDescent="0.25">
      <c r="A1180" t="s">
        <v>1106</v>
      </c>
      <c r="B1180" t="s">
        <v>1107</v>
      </c>
      <c r="C1180" t="s">
        <v>1114</v>
      </c>
      <c r="D1180" t="s">
        <v>247</v>
      </c>
      <c r="E1180" t="str">
        <f>INDEX('State Codes'!$E$7:$E$70,MATCH(INDEX('State Codes'!$C$7:$C$70,MATCH('County Climates'!B1180,'State Codes'!$D$7:$D$70,0),1),'State Codes'!$C$7:$C$70,0),1)</f>
        <v>South Atlantic Division</v>
      </c>
      <c r="F1180">
        <f>INDEX('CBECS_Table B5'!$C$6:$K$6,1,MATCH('County Climates'!E1180,'CBECS_Table B5'!$C$1:$K$1,0))</f>
        <v>17981</v>
      </c>
    </row>
    <row r="1181" spans="1:6" x14ac:dyDescent="0.25">
      <c r="A1181" t="s">
        <v>1106</v>
      </c>
      <c r="B1181" t="s">
        <v>1107</v>
      </c>
      <c r="C1181" t="s">
        <v>1115</v>
      </c>
      <c r="D1181" t="s">
        <v>247</v>
      </c>
      <c r="E1181" t="str">
        <f>INDEX('State Codes'!$E$7:$E$70,MATCH(INDEX('State Codes'!$C$7:$C$70,MATCH('County Climates'!B1181,'State Codes'!$D$7:$D$70,0),1),'State Codes'!$C$7:$C$70,0),1)</f>
        <v>South Atlantic Division</v>
      </c>
      <c r="F1181">
        <f>INDEX('CBECS_Table B5'!$C$6:$K$6,1,MATCH('County Climates'!E1181,'CBECS_Table B5'!$C$1:$K$1,0))</f>
        <v>17981</v>
      </c>
    </row>
    <row r="1182" spans="1:6" x14ac:dyDescent="0.25">
      <c r="A1182" t="s">
        <v>1106</v>
      </c>
      <c r="B1182" t="s">
        <v>1107</v>
      </c>
      <c r="C1182" t="s">
        <v>1116</v>
      </c>
      <c r="D1182" t="s">
        <v>247</v>
      </c>
      <c r="E1182" t="str">
        <f>INDEX('State Codes'!$E$7:$E$70,MATCH(INDEX('State Codes'!$C$7:$C$70,MATCH('County Climates'!B1182,'State Codes'!$D$7:$D$70,0),1),'State Codes'!$C$7:$C$70,0),1)</f>
        <v>South Atlantic Division</v>
      </c>
      <c r="F1182">
        <f>INDEX('CBECS_Table B5'!$C$6:$K$6,1,MATCH('County Climates'!E1182,'CBECS_Table B5'!$C$1:$K$1,0))</f>
        <v>17981</v>
      </c>
    </row>
    <row r="1183" spans="1:6" x14ac:dyDescent="0.25">
      <c r="A1183" t="s">
        <v>1106</v>
      </c>
      <c r="B1183" t="s">
        <v>1107</v>
      </c>
      <c r="C1183" t="s">
        <v>1117</v>
      </c>
      <c r="D1183" t="s">
        <v>247</v>
      </c>
      <c r="E1183" t="str">
        <f>INDEX('State Codes'!$E$7:$E$70,MATCH(INDEX('State Codes'!$C$7:$C$70,MATCH('County Climates'!B1183,'State Codes'!$D$7:$D$70,0),1),'State Codes'!$C$7:$C$70,0),1)</f>
        <v>South Atlantic Division</v>
      </c>
      <c r="F1183">
        <f>INDEX('CBECS_Table B5'!$C$6:$K$6,1,MATCH('County Climates'!E1183,'CBECS_Table B5'!$C$1:$K$1,0))</f>
        <v>17981</v>
      </c>
    </row>
    <row r="1184" spans="1:6" x14ac:dyDescent="0.25">
      <c r="A1184" t="s">
        <v>1106</v>
      </c>
      <c r="B1184" t="s">
        <v>1107</v>
      </c>
      <c r="C1184" t="s">
        <v>297</v>
      </c>
      <c r="D1184" t="s">
        <v>247</v>
      </c>
      <c r="E1184" t="str">
        <f>INDEX('State Codes'!$E$7:$E$70,MATCH(INDEX('State Codes'!$C$7:$C$70,MATCH('County Climates'!B1184,'State Codes'!$D$7:$D$70,0),1),'State Codes'!$C$7:$C$70,0),1)</f>
        <v>South Atlantic Division</v>
      </c>
      <c r="F1184">
        <f>INDEX('CBECS_Table B5'!$C$6:$K$6,1,MATCH('County Climates'!E1184,'CBECS_Table B5'!$C$1:$K$1,0))</f>
        <v>17981</v>
      </c>
    </row>
    <row r="1185" spans="1:6" x14ac:dyDescent="0.25">
      <c r="A1185" t="s">
        <v>1106</v>
      </c>
      <c r="B1185" t="s">
        <v>1107</v>
      </c>
      <c r="C1185" t="s">
        <v>557</v>
      </c>
      <c r="D1185" t="s">
        <v>247</v>
      </c>
      <c r="E1185" t="str">
        <f>INDEX('State Codes'!$E$7:$E$70,MATCH(INDEX('State Codes'!$C$7:$C$70,MATCH('County Climates'!B1185,'State Codes'!$D$7:$D$70,0),1),'State Codes'!$C$7:$C$70,0),1)</f>
        <v>South Atlantic Division</v>
      </c>
      <c r="F1185">
        <f>INDEX('CBECS_Table B5'!$C$6:$K$6,1,MATCH('County Climates'!E1185,'CBECS_Table B5'!$C$1:$K$1,0))</f>
        <v>17981</v>
      </c>
    </row>
    <row r="1186" spans="1:6" x14ac:dyDescent="0.25">
      <c r="A1186" t="s">
        <v>1106</v>
      </c>
      <c r="B1186" t="s">
        <v>1107</v>
      </c>
      <c r="C1186" t="s">
        <v>1118</v>
      </c>
      <c r="D1186" t="s">
        <v>247</v>
      </c>
      <c r="E1186" t="str">
        <f>INDEX('State Codes'!$E$7:$E$70,MATCH(INDEX('State Codes'!$C$7:$C$70,MATCH('County Climates'!B1186,'State Codes'!$D$7:$D$70,0),1),'State Codes'!$C$7:$C$70,0),1)</f>
        <v>South Atlantic Division</v>
      </c>
      <c r="F1186">
        <f>INDEX('CBECS_Table B5'!$C$6:$K$6,1,MATCH('County Climates'!E1186,'CBECS_Table B5'!$C$1:$K$1,0))</f>
        <v>17981</v>
      </c>
    </row>
    <row r="1187" spans="1:6" x14ac:dyDescent="0.25">
      <c r="A1187" t="s">
        <v>1106</v>
      </c>
      <c r="B1187" t="s">
        <v>1107</v>
      </c>
      <c r="C1187" t="s">
        <v>1119</v>
      </c>
      <c r="D1187" t="s">
        <v>247</v>
      </c>
      <c r="E1187" t="str">
        <f>INDEX('State Codes'!$E$7:$E$70,MATCH(INDEX('State Codes'!$C$7:$C$70,MATCH('County Climates'!B1187,'State Codes'!$D$7:$D$70,0),1),'State Codes'!$C$7:$C$70,0),1)</f>
        <v>South Atlantic Division</v>
      </c>
      <c r="F1187">
        <f>INDEX('CBECS_Table B5'!$C$6:$K$6,1,MATCH('County Climates'!E1187,'CBECS_Table B5'!$C$1:$K$1,0))</f>
        <v>17981</v>
      </c>
    </row>
    <row r="1188" spans="1:6" x14ac:dyDescent="0.25">
      <c r="A1188" t="s">
        <v>1106</v>
      </c>
      <c r="B1188" t="s">
        <v>1107</v>
      </c>
      <c r="C1188" t="s">
        <v>303</v>
      </c>
      <c r="D1188" t="s">
        <v>247</v>
      </c>
      <c r="E1188" t="str">
        <f>INDEX('State Codes'!$E$7:$E$70,MATCH(INDEX('State Codes'!$C$7:$C$70,MATCH('County Climates'!B1188,'State Codes'!$D$7:$D$70,0),1),'State Codes'!$C$7:$C$70,0),1)</f>
        <v>South Atlantic Division</v>
      </c>
      <c r="F1188">
        <f>INDEX('CBECS_Table B5'!$C$6:$K$6,1,MATCH('County Climates'!E1188,'CBECS_Table B5'!$C$1:$K$1,0))</f>
        <v>17981</v>
      </c>
    </row>
    <row r="1189" spans="1:6" x14ac:dyDescent="0.25">
      <c r="A1189" t="s">
        <v>1106</v>
      </c>
      <c r="B1189" t="s">
        <v>1107</v>
      </c>
      <c r="C1189" t="s">
        <v>347</v>
      </c>
      <c r="D1189" t="s">
        <v>247</v>
      </c>
      <c r="E1189" t="str">
        <f>INDEX('State Codes'!$E$7:$E$70,MATCH(INDEX('State Codes'!$C$7:$C$70,MATCH('County Climates'!B1189,'State Codes'!$D$7:$D$70,0),1),'State Codes'!$C$7:$C$70,0),1)</f>
        <v>South Atlantic Division</v>
      </c>
      <c r="F1189">
        <f>INDEX('CBECS_Table B5'!$C$6:$K$6,1,MATCH('County Climates'!E1189,'CBECS_Table B5'!$C$1:$K$1,0))</f>
        <v>17981</v>
      </c>
    </row>
    <row r="1190" spans="1:6" x14ac:dyDescent="0.25">
      <c r="A1190" t="s">
        <v>1106</v>
      </c>
      <c r="B1190" t="s">
        <v>1107</v>
      </c>
      <c r="C1190" t="s">
        <v>1120</v>
      </c>
      <c r="D1190" t="s">
        <v>247</v>
      </c>
      <c r="E1190" t="str">
        <f>INDEX('State Codes'!$E$7:$E$70,MATCH(INDEX('State Codes'!$C$7:$C$70,MATCH('County Climates'!B1190,'State Codes'!$D$7:$D$70,0),1),'State Codes'!$C$7:$C$70,0),1)</f>
        <v>South Atlantic Division</v>
      </c>
      <c r="F1190">
        <f>INDEX('CBECS_Table B5'!$C$6:$K$6,1,MATCH('County Climates'!E1190,'CBECS_Table B5'!$C$1:$K$1,0))</f>
        <v>17981</v>
      </c>
    </row>
    <row r="1191" spans="1:6" x14ac:dyDescent="0.25">
      <c r="A1191" t="s">
        <v>1106</v>
      </c>
      <c r="B1191" t="s">
        <v>1107</v>
      </c>
      <c r="C1191" t="s">
        <v>728</v>
      </c>
      <c r="D1191" t="s">
        <v>247</v>
      </c>
      <c r="E1191" t="str">
        <f>INDEX('State Codes'!$E$7:$E$70,MATCH(INDEX('State Codes'!$C$7:$C$70,MATCH('County Climates'!B1191,'State Codes'!$D$7:$D$70,0),1),'State Codes'!$C$7:$C$70,0),1)</f>
        <v>South Atlantic Division</v>
      </c>
      <c r="F1191">
        <f>INDEX('CBECS_Table B5'!$C$6:$K$6,1,MATCH('County Climates'!E1191,'CBECS_Table B5'!$C$1:$K$1,0))</f>
        <v>17981</v>
      </c>
    </row>
    <row r="1192" spans="1:6" x14ac:dyDescent="0.25">
      <c r="A1192" t="s">
        <v>1121</v>
      </c>
      <c r="B1192" t="s">
        <v>1122</v>
      </c>
      <c r="C1192" t="s">
        <v>1123</v>
      </c>
      <c r="D1192" t="s">
        <v>228</v>
      </c>
      <c r="E1192" t="str">
        <f>INDEX('State Codes'!$E$7:$E$70,MATCH(INDEX('State Codes'!$C$7:$C$70,MATCH('County Climates'!B1192,'State Codes'!$D$7:$D$70,0),1),'State Codes'!$C$7:$C$70,0),1)</f>
        <v>West North Central Division</v>
      </c>
      <c r="F1192">
        <f>INDEX('CBECS_Table B5'!$C$6:$K$6,1,MATCH('County Climates'!E1192,'CBECS_Table B5'!$C$1:$K$1,0))</f>
        <v>6178</v>
      </c>
    </row>
    <row r="1193" spans="1:6" x14ac:dyDescent="0.25">
      <c r="A1193" t="s">
        <v>1121</v>
      </c>
      <c r="B1193" t="s">
        <v>1122</v>
      </c>
      <c r="C1193" t="s">
        <v>1124</v>
      </c>
      <c r="D1193" t="s">
        <v>228</v>
      </c>
      <c r="E1193" t="str">
        <f>INDEX('State Codes'!$E$7:$E$70,MATCH(INDEX('State Codes'!$C$7:$C$70,MATCH('County Climates'!B1193,'State Codes'!$D$7:$D$70,0),1),'State Codes'!$C$7:$C$70,0),1)</f>
        <v>West North Central Division</v>
      </c>
      <c r="F1193">
        <f>INDEX('CBECS_Table B5'!$C$6:$K$6,1,MATCH('County Climates'!E1193,'CBECS_Table B5'!$C$1:$K$1,0))</f>
        <v>6178</v>
      </c>
    </row>
    <row r="1194" spans="1:6" x14ac:dyDescent="0.25">
      <c r="A1194" t="s">
        <v>1121</v>
      </c>
      <c r="B1194" t="s">
        <v>1122</v>
      </c>
      <c r="C1194" t="s">
        <v>1125</v>
      </c>
      <c r="D1194" t="s">
        <v>228</v>
      </c>
      <c r="E1194" t="str">
        <f>INDEX('State Codes'!$E$7:$E$70,MATCH(INDEX('State Codes'!$C$7:$C$70,MATCH('County Climates'!B1194,'State Codes'!$D$7:$D$70,0),1),'State Codes'!$C$7:$C$70,0),1)</f>
        <v>West North Central Division</v>
      </c>
      <c r="F1194">
        <f>INDEX('CBECS_Table B5'!$C$6:$K$6,1,MATCH('County Climates'!E1194,'CBECS_Table B5'!$C$1:$K$1,0))</f>
        <v>6178</v>
      </c>
    </row>
    <row r="1195" spans="1:6" x14ac:dyDescent="0.25">
      <c r="A1195" t="s">
        <v>1121</v>
      </c>
      <c r="B1195" t="s">
        <v>1122</v>
      </c>
      <c r="C1195" t="s">
        <v>1126</v>
      </c>
      <c r="D1195" t="s">
        <v>228</v>
      </c>
      <c r="E1195" t="str">
        <f>INDEX('State Codes'!$E$7:$E$70,MATCH(INDEX('State Codes'!$C$7:$C$70,MATCH('County Climates'!B1195,'State Codes'!$D$7:$D$70,0),1),'State Codes'!$C$7:$C$70,0),1)</f>
        <v>West North Central Division</v>
      </c>
      <c r="F1195">
        <f>INDEX('CBECS_Table B5'!$C$6:$K$6,1,MATCH('County Climates'!E1195,'CBECS_Table B5'!$C$1:$K$1,0))</f>
        <v>6178</v>
      </c>
    </row>
    <row r="1196" spans="1:6" x14ac:dyDescent="0.25">
      <c r="A1196" t="s">
        <v>1121</v>
      </c>
      <c r="B1196" t="s">
        <v>1122</v>
      </c>
      <c r="C1196" t="s">
        <v>1127</v>
      </c>
      <c r="D1196" t="s">
        <v>228</v>
      </c>
      <c r="E1196" t="str">
        <f>INDEX('State Codes'!$E$7:$E$70,MATCH(INDEX('State Codes'!$C$7:$C$70,MATCH('County Climates'!B1196,'State Codes'!$D$7:$D$70,0),1),'State Codes'!$C$7:$C$70,0),1)</f>
        <v>West North Central Division</v>
      </c>
      <c r="F1196">
        <f>INDEX('CBECS_Table B5'!$C$6:$K$6,1,MATCH('County Climates'!E1196,'CBECS_Table B5'!$C$1:$K$1,0))</f>
        <v>6178</v>
      </c>
    </row>
    <row r="1197" spans="1:6" x14ac:dyDescent="0.25">
      <c r="A1197" t="s">
        <v>1121</v>
      </c>
      <c r="B1197" t="s">
        <v>1122</v>
      </c>
      <c r="C1197" t="s">
        <v>578</v>
      </c>
      <c r="D1197" t="s">
        <v>228</v>
      </c>
      <c r="E1197" t="str">
        <f>INDEX('State Codes'!$E$7:$E$70,MATCH(INDEX('State Codes'!$C$7:$C$70,MATCH('County Climates'!B1197,'State Codes'!$D$7:$D$70,0),1),'State Codes'!$C$7:$C$70,0),1)</f>
        <v>West North Central Division</v>
      </c>
      <c r="F1197">
        <f>INDEX('CBECS_Table B5'!$C$6:$K$6,1,MATCH('County Climates'!E1197,'CBECS_Table B5'!$C$1:$K$1,0))</f>
        <v>6178</v>
      </c>
    </row>
    <row r="1198" spans="1:6" x14ac:dyDescent="0.25">
      <c r="A1198" t="s">
        <v>1121</v>
      </c>
      <c r="B1198" t="s">
        <v>1122</v>
      </c>
      <c r="C1198" t="s">
        <v>1128</v>
      </c>
      <c r="D1198" t="s">
        <v>228</v>
      </c>
      <c r="E1198" t="str">
        <f>INDEX('State Codes'!$E$7:$E$70,MATCH(INDEX('State Codes'!$C$7:$C$70,MATCH('County Climates'!B1198,'State Codes'!$D$7:$D$70,0),1),'State Codes'!$C$7:$C$70,0),1)</f>
        <v>West North Central Division</v>
      </c>
      <c r="F1198">
        <f>INDEX('CBECS_Table B5'!$C$6:$K$6,1,MATCH('County Climates'!E1198,'CBECS_Table B5'!$C$1:$K$1,0))</f>
        <v>6178</v>
      </c>
    </row>
    <row r="1199" spans="1:6" x14ac:dyDescent="0.25">
      <c r="A1199" t="s">
        <v>1121</v>
      </c>
      <c r="B1199" t="s">
        <v>1122</v>
      </c>
      <c r="C1199" t="s">
        <v>1129</v>
      </c>
      <c r="D1199" t="s">
        <v>228</v>
      </c>
      <c r="E1199" t="str">
        <f>INDEX('State Codes'!$E$7:$E$70,MATCH(INDEX('State Codes'!$C$7:$C$70,MATCH('County Climates'!B1199,'State Codes'!$D$7:$D$70,0),1),'State Codes'!$C$7:$C$70,0),1)</f>
        <v>West North Central Division</v>
      </c>
      <c r="F1199">
        <f>INDEX('CBECS_Table B5'!$C$6:$K$6,1,MATCH('County Climates'!E1199,'CBECS_Table B5'!$C$1:$K$1,0))</f>
        <v>6178</v>
      </c>
    </row>
    <row r="1200" spans="1:6" x14ac:dyDescent="0.25">
      <c r="A1200" t="s">
        <v>1121</v>
      </c>
      <c r="B1200" t="s">
        <v>1122</v>
      </c>
      <c r="C1200" t="s">
        <v>358</v>
      </c>
      <c r="D1200" t="s">
        <v>228</v>
      </c>
      <c r="E1200" t="str">
        <f>INDEX('State Codes'!$E$7:$E$70,MATCH(INDEX('State Codes'!$C$7:$C$70,MATCH('County Climates'!B1200,'State Codes'!$D$7:$D$70,0),1),'State Codes'!$C$7:$C$70,0),1)</f>
        <v>West North Central Division</v>
      </c>
      <c r="F1200">
        <f>INDEX('CBECS_Table B5'!$C$6:$K$6,1,MATCH('County Climates'!E1200,'CBECS_Table B5'!$C$1:$K$1,0))</f>
        <v>6178</v>
      </c>
    </row>
    <row r="1201" spans="1:6" x14ac:dyDescent="0.25">
      <c r="A1201" t="s">
        <v>1121</v>
      </c>
      <c r="B1201" t="s">
        <v>1122</v>
      </c>
      <c r="C1201" t="s">
        <v>1130</v>
      </c>
      <c r="D1201" t="s">
        <v>228</v>
      </c>
      <c r="E1201" t="str">
        <f>INDEX('State Codes'!$E$7:$E$70,MATCH(INDEX('State Codes'!$C$7:$C$70,MATCH('County Climates'!B1201,'State Codes'!$D$7:$D$70,0),1),'State Codes'!$C$7:$C$70,0),1)</f>
        <v>West North Central Division</v>
      </c>
      <c r="F1201">
        <f>INDEX('CBECS_Table B5'!$C$6:$K$6,1,MATCH('County Climates'!E1201,'CBECS_Table B5'!$C$1:$K$1,0))</f>
        <v>6178</v>
      </c>
    </row>
    <row r="1202" spans="1:6" x14ac:dyDescent="0.25">
      <c r="A1202" t="s">
        <v>1121</v>
      </c>
      <c r="B1202" t="s">
        <v>1122</v>
      </c>
      <c r="C1202" t="s">
        <v>1131</v>
      </c>
      <c r="D1202" t="s">
        <v>228</v>
      </c>
      <c r="E1202" t="str">
        <f>INDEX('State Codes'!$E$7:$E$70,MATCH(INDEX('State Codes'!$C$7:$C$70,MATCH('County Climates'!B1202,'State Codes'!$D$7:$D$70,0),1),'State Codes'!$C$7:$C$70,0),1)</f>
        <v>West North Central Division</v>
      </c>
      <c r="F1202">
        <f>INDEX('CBECS_Table B5'!$C$6:$K$6,1,MATCH('County Climates'!E1202,'CBECS_Table B5'!$C$1:$K$1,0))</f>
        <v>6178</v>
      </c>
    </row>
    <row r="1203" spans="1:6" x14ac:dyDescent="0.25">
      <c r="A1203" t="s">
        <v>1121</v>
      </c>
      <c r="B1203" t="s">
        <v>1122</v>
      </c>
      <c r="C1203" t="s">
        <v>530</v>
      </c>
      <c r="D1203" t="s">
        <v>228</v>
      </c>
      <c r="E1203" t="str">
        <f>INDEX('State Codes'!$E$7:$E$70,MATCH(INDEX('State Codes'!$C$7:$C$70,MATCH('County Climates'!B1203,'State Codes'!$D$7:$D$70,0),1),'State Codes'!$C$7:$C$70,0),1)</f>
        <v>West North Central Division</v>
      </c>
      <c r="F1203">
        <f>INDEX('CBECS_Table B5'!$C$6:$K$6,1,MATCH('County Climates'!E1203,'CBECS_Table B5'!$C$1:$K$1,0))</f>
        <v>6178</v>
      </c>
    </row>
    <row r="1204" spans="1:6" x14ac:dyDescent="0.25">
      <c r="A1204" t="s">
        <v>1121</v>
      </c>
      <c r="B1204" t="s">
        <v>1122</v>
      </c>
      <c r="C1204" t="s">
        <v>257</v>
      </c>
      <c r="D1204" t="s">
        <v>228</v>
      </c>
      <c r="E1204" t="str">
        <f>INDEX('State Codes'!$E$7:$E$70,MATCH(INDEX('State Codes'!$C$7:$C$70,MATCH('County Climates'!B1204,'State Codes'!$D$7:$D$70,0),1),'State Codes'!$C$7:$C$70,0),1)</f>
        <v>West North Central Division</v>
      </c>
      <c r="F1204">
        <f>INDEX('CBECS_Table B5'!$C$6:$K$6,1,MATCH('County Climates'!E1204,'CBECS_Table B5'!$C$1:$K$1,0))</f>
        <v>6178</v>
      </c>
    </row>
    <row r="1205" spans="1:6" x14ac:dyDescent="0.25">
      <c r="A1205" t="s">
        <v>1121</v>
      </c>
      <c r="B1205" t="s">
        <v>1122</v>
      </c>
      <c r="C1205" t="s">
        <v>1132</v>
      </c>
      <c r="D1205" t="s">
        <v>228</v>
      </c>
      <c r="E1205" t="str">
        <f>INDEX('State Codes'!$E$7:$E$70,MATCH(INDEX('State Codes'!$C$7:$C$70,MATCH('County Climates'!B1205,'State Codes'!$D$7:$D$70,0),1),'State Codes'!$C$7:$C$70,0),1)</f>
        <v>West North Central Division</v>
      </c>
      <c r="F1205">
        <f>INDEX('CBECS_Table B5'!$C$6:$K$6,1,MATCH('County Climates'!E1205,'CBECS_Table B5'!$C$1:$K$1,0))</f>
        <v>6178</v>
      </c>
    </row>
    <row r="1206" spans="1:6" x14ac:dyDescent="0.25">
      <c r="A1206" t="s">
        <v>1121</v>
      </c>
      <c r="B1206" t="s">
        <v>1122</v>
      </c>
      <c r="C1206" t="s">
        <v>1133</v>
      </c>
      <c r="D1206" t="s">
        <v>228</v>
      </c>
      <c r="E1206" t="str">
        <f>INDEX('State Codes'!$E$7:$E$70,MATCH(INDEX('State Codes'!$C$7:$C$70,MATCH('County Climates'!B1206,'State Codes'!$D$7:$D$70,0),1),'State Codes'!$C$7:$C$70,0),1)</f>
        <v>West North Central Division</v>
      </c>
      <c r="F1206">
        <f>INDEX('CBECS_Table B5'!$C$6:$K$6,1,MATCH('County Climates'!E1206,'CBECS_Table B5'!$C$1:$K$1,0))</f>
        <v>6178</v>
      </c>
    </row>
    <row r="1207" spans="1:6" x14ac:dyDescent="0.25">
      <c r="A1207" t="s">
        <v>1121</v>
      </c>
      <c r="B1207" t="s">
        <v>1122</v>
      </c>
      <c r="C1207" t="s">
        <v>532</v>
      </c>
      <c r="D1207" t="s">
        <v>228</v>
      </c>
      <c r="E1207" t="str">
        <f>INDEX('State Codes'!$E$7:$E$70,MATCH(INDEX('State Codes'!$C$7:$C$70,MATCH('County Climates'!B1207,'State Codes'!$D$7:$D$70,0),1),'State Codes'!$C$7:$C$70,0),1)</f>
        <v>West North Central Division</v>
      </c>
      <c r="F1207">
        <f>INDEX('CBECS_Table B5'!$C$6:$K$6,1,MATCH('County Climates'!E1207,'CBECS_Table B5'!$C$1:$K$1,0))</f>
        <v>6178</v>
      </c>
    </row>
    <row r="1208" spans="1:6" x14ac:dyDescent="0.25">
      <c r="A1208" t="s">
        <v>1121</v>
      </c>
      <c r="B1208" t="s">
        <v>1122</v>
      </c>
      <c r="C1208" t="s">
        <v>1134</v>
      </c>
      <c r="D1208" t="s">
        <v>228</v>
      </c>
      <c r="E1208" t="str">
        <f>INDEX('State Codes'!$E$7:$E$70,MATCH(INDEX('State Codes'!$C$7:$C$70,MATCH('County Climates'!B1208,'State Codes'!$D$7:$D$70,0),1),'State Codes'!$C$7:$C$70,0),1)</f>
        <v>West North Central Division</v>
      </c>
      <c r="F1208">
        <f>INDEX('CBECS_Table B5'!$C$6:$K$6,1,MATCH('County Climates'!E1208,'CBECS_Table B5'!$C$1:$K$1,0))</f>
        <v>6178</v>
      </c>
    </row>
    <row r="1209" spans="1:6" x14ac:dyDescent="0.25">
      <c r="A1209" t="s">
        <v>1121</v>
      </c>
      <c r="B1209" t="s">
        <v>1122</v>
      </c>
      <c r="C1209" t="s">
        <v>1135</v>
      </c>
      <c r="D1209" t="s">
        <v>228</v>
      </c>
      <c r="E1209" t="str">
        <f>INDEX('State Codes'!$E$7:$E$70,MATCH(INDEX('State Codes'!$C$7:$C$70,MATCH('County Climates'!B1209,'State Codes'!$D$7:$D$70,0),1),'State Codes'!$C$7:$C$70,0),1)</f>
        <v>West North Central Division</v>
      </c>
      <c r="F1209">
        <f>INDEX('CBECS_Table B5'!$C$6:$K$6,1,MATCH('County Climates'!E1209,'CBECS_Table B5'!$C$1:$K$1,0))</f>
        <v>6178</v>
      </c>
    </row>
    <row r="1210" spans="1:6" x14ac:dyDescent="0.25">
      <c r="A1210" t="s">
        <v>1121</v>
      </c>
      <c r="B1210" t="s">
        <v>1122</v>
      </c>
      <c r="C1210" t="s">
        <v>1136</v>
      </c>
      <c r="D1210" t="s">
        <v>228</v>
      </c>
      <c r="E1210" t="str">
        <f>INDEX('State Codes'!$E$7:$E$70,MATCH(INDEX('State Codes'!$C$7:$C$70,MATCH('County Climates'!B1210,'State Codes'!$D$7:$D$70,0),1),'State Codes'!$C$7:$C$70,0),1)</f>
        <v>West North Central Division</v>
      </c>
      <c r="F1210">
        <f>INDEX('CBECS_Table B5'!$C$6:$K$6,1,MATCH('County Climates'!E1210,'CBECS_Table B5'!$C$1:$K$1,0))</f>
        <v>6178</v>
      </c>
    </row>
    <row r="1211" spans="1:6" x14ac:dyDescent="0.25">
      <c r="A1211" t="s">
        <v>1121</v>
      </c>
      <c r="B1211" t="s">
        <v>1122</v>
      </c>
      <c r="C1211" t="s">
        <v>1137</v>
      </c>
      <c r="D1211" t="s">
        <v>228</v>
      </c>
      <c r="E1211" t="str">
        <f>INDEX('State Codes'!$E$7:$E$70,MATCH(INDEX('State Codes'!$C$7:$C$70,MATCH('County Climates'!B1211,'State Codes'!$D$7:$D$70,0),1),'State Codes'!$C$7:$C$70,0),1)</f>
        <v>West North Central Division</v>
      </c>
      <c r="F1211">
        <f>INDEX('CBECS_Table B5'!$C$6:$K$6,1,MATCH('County Climates'!E1211,'CBECS_Table B5'!$C$1:$K$1,0))</f>
        <v>6178</v>
      </c>
    </row>
    <row r="1212" spans="1:6" x14ac:dyDescent="0.25">
      <c r="A1212" t="s">
        <v>1121</v>
      </c>
      <c r="B1212" t="s">
        <v>1122</v>
      </c>
      <c r="C1212" t="s">
        <v>369</v>
      </c>
      <c r="D1212" t="s">
        <v>228</v>
      </c>
      <c r="E1212" t="str">
        <f>INDEX('State Codes'!$E$7:$E$70,MATCH(INDEX('State Codes'!$C$7:$C$70,MATCH('County Climates'!B1212,'State Codes'!$D$7:$D$70,0),1),'State Codes'!$C$7:$C$70,0),1)</f>
        <v>West North Central Division</v>
      </c>
      <c r="F1212">
        <f>INDEX('CBECS_Table B5'!$C$6:$K$6,1,MATCH('County Climates'!E1212,'CBECS_Table B5'!$C$1:$K$1,0))</f>
        <v>6178</v>
      </c>
    </row>
    <row r="1213" spans="1:6" x14ac:dyDescent="0.25">
      <c r="A1213" t="s">
        <v>1121</v>
      </c>
      <c r="B1213" t="s">
        <v>1122</v>
      </c>
      <c r="C1213" t="s">
        <v>1138</v>
      </c>
      <c r="D1213" t="s">
        <v>228</v>
      </c>
      <c r="E1213" t="str">
        <f>INDEX('State Codes'!$E$7:$E$70,MATCH(INDEX('State Codes'!$C$7:$C$70,MATCH('County Climates'!B1213,'State Codes'!$D$7:$D$70,0),1),'State Codes'!$C$7:$C$70,0),1)</f>
        <v>West North Central Division</v>
      </c>
      <c r="F1213">
        <f>INDEX('CBECS_Table B5'!$C$6:$K$6,1,MATCH('County Climates'!E1213,'CBECS_Table B5'!$C$1:$K$1,0))</f>
        <v>6178</v>
      </c>
    </row>
    <row r="1214" spans="1:6" x14ac:dyDescent="0.25">
      <c r="A1214" t="s">
        <v>1121</v>
      </c>
      <c r="B1214" t="s">
        <v>1122</v>
      </c>
      <c r="C1214" t="s">
        <v>1139</v>
      </c>
      <c r="D1214" t="s">
        <v>228</v>
      </c>
      <c r="E1214" t="str">
        <f>INDEX('State Codes'!$E$7:$E$70,MATCH(INDEX('State Codes'!$C$7:$C$70,MATCH('County Climates'!B1214,'State Codes'!$D$7:$D$70,0),1),'State Codes'!$C$7:$C$70,0),1)</f>
        <v>West North Central Division</v>
      </c>
      <c r="F1214">
        <f>INDEX('CBECS_Table B5'!$C$6:$K$6,1,MATCH('County Climates'!E1214,'CBECS_Table B5'!$C$1:$K$1,0))</f>
        <v>6178</v>
      </c>
    </row>
    <row r="1215" spans="1:6" x14ac:dyDescent="0.25">
      <c r="A1215" t="s">
        <v>1121</v>
      </c>
      <c r="B1215" t="s">
        <v>1122</v>
      </c>
      <c r="C1215" t="s">
        <v>1140</v>
      </c>
      <c r="D1215" t="s">
        <v>228</v>
      </c>
      <c r="E1215" t="str">
        <f>INDEX('State Codes'!$E$7:$E$70,MATCH(INDEX('State Codes'!$C$7:$C$70,MATCH('County Climates'!B1215,'State Codes'!$D$7:$D$70,0),1),'State Codes'!$C$7:$C$70,0),1)</f>
        <v>West North Central Division</v>
      </c>
      <c r="F1215">
        <f>INDEX('CBECS_Table B5'!$C$6:$K$6,1,MATCH('County Climates'!E1215,'CBECS_Table B5'!$C$1:$K$1,0))</f>
        <v>6178</v>
      </c>
    </row>
    <row r="1216" spans="1:6" x14ac:dyDescent="0.25">
      <c r="A1216" t="s">
        <v>1121</v>
      </c>
      <c r="B1216" t="s">
        <v>1122</v>
      </c>
      <c r="C1216" t="s">
        <v>316</v>
      </c>
      <c r="D1216" t="s">
        <v>228</v>
      </c>
      <c r="E1216" t="str">
        <f>INDEX('State Codes'!$E$7:$E$70,MATCH(INDEX('State Codes'!$C$7:$C$70,MATCH('County Climates'!B1216,'State Codes'!$D$7:$D$70,0),1),'State Codes'!$C$7:$C$70,0),1)</f>
        <v>West North Central Division</v>
      </c>
      <c r="F1216">
        <f>INDEX('CBECS_Table B5'!$C$6:$K$6,1,MATCH('County Climates'!E1216,'CBECS_Table B5'!$C$1:$K$1,0))</f>
        <v>6178</v>
      </c>
    </row>
    <row r="1217" spans="1:6" x14ac:dyDescent="0.25">
      <c r="A1217" t="s">
        <v>1121</v>
      </c>
      <c r="B1217" t="s">
        <v>1122</v>
      </c>
      <c r="C1217" t="s">
        <v>1141</v>
      </c>
      <c r="D1217" t="s">
        <v>228</v>
      </c>
      <c r="E1217" t="str">
        <f>INDEX('State Codes'!$E$7:$E$70,MATCH(INDEX('State Codes'!$C$7:$C$70,MATCH('County Climates'!B1217,'State Codes'!$D$7:$D$70,0),1),'State Codes'!$C$7:$C$70,0),1)</f>
        <v>West North Central Division</v>
      </c>
      <c r="F1217">
        <f>INDEX('CBECS_Table B5'!$C$6:$K$6,1,MATCH('County Climates'!E1217,'CBECS_Table B5'!$C$1:$K$1,0))</f>
        <v>6178</v>
      </c>
    </row>
    <row r="1218" spans="1:6" x14ac:dyDescent="0.25">
      <c r="A1218" t="s">
        <v>1121</v>
      </c>
      <c r="B1218" t="s">
        <v>1122</v>
      </c>
      <c r="C1218" t="s">
        <v>1142</v>
      </c>
      <c r="D1218" t="s">
        <v>228</v>
      </c>
      <c r="E1218" t="str">
        <f>INDEX('State Codes'!$E$7:$E$70,MATCH(INDEX('State Codes'!$C$7:$C$70,MATCH('County Climates'!B1218,'State Codes'!$D$7:$D$70,0),1),'State Codes'!$C$7:$C$70,0),1)</f>
        <v>West North Central Division</v>
      </c>
      <c r="F1218">
        <f>INDEX('CBECS_Table B5'!$C$6:$K$6,1,MATCH('County Climates'!E1218,'CBECS_Table B5'!$C$1:$K$1,0))</f>
        <v>6178</v>
      </c>
    </row>
    <row r="1219" spans="1:6" x14ac:dyDescent="0.25">
      <c r="A1219" t="s">
        <v>1121</v>
      </c>
      <c r="B1219" t="s">
        <v>1122</v>
      </c>
      <c r="C1219" t="s">
        <v>1143</v>
      </c>
      <c r="D1219" t="s">
        <v>228</v>
      </c>
      <c r="E1219" t="str">
        <f>INDEX('State Codes'!$E$7:$E$70,MATCH(INDEX('State Codes'!$C$7:$C$70,MATCH('County Climates'!B1219,'State Codes'!$D$7:$D$70,0),1),'State Codes'!$C$7:$C$70,0),1)</f>
        <v>West North Central Division</v>
      </c>
      <c r="F1219">
        <f>INDEX('CBECS_Table B5'!$C$6:$K$6,1,MATCH('County Climates'!E1219,'CBECS_Table B5'!$C$1:$K$1,0))</f>
        <v>6178</v>
      </c>
    </row>
    <row r="1220" spans="1:6" x14ac:dyDescent="0.25">
      <c r="A1220" t="s">
        <v>1121</v>
      </c>
      <c r="B1220" t="s">
        <v>1122</v>
      </c>
      <c r="C1220" t="s">
        <v>1144</v>
      </c>
      <c r="D1220" t="s">
        <v>228</v>
      </c>
      <c r="E1220" t="str">
        <f>INDEX('State Codes'!$E$7:$E$70,MATCH(INDEX('State Codes'!$C$7:$C$70,MATCH('County Climates'!B1220,'State Codes'!$D$7:$D$70,0),1),'State Codes'!$C$7:$C$70,0),1)</f>
        <v>West North Central Division</v>
      </c>
      <c r="F1220">
        <f>INDEX('CBECS_Table B5'!$C$6:$K$6,1,MATCH('County Climates'!E1220,'CBECS_Table B5'!$C$1:$K$1,0))</f>
        <v>6178</v>
      </c>
    </row>
    <row r="1221" spans="1:6" x14ac:dyDescent="0.25">
      <c r="A1221" t="s">
        <v>1121</v>
      </c>
      <c r="B1221" t="s">
        <v>1122</v>
      </c>
      <c r="C1221" t="s">
        <v>1145</v>
      </c>
      <c r="D1221" t="s">
        <v>228</v>
      </c>
      <c r="E1221" t="str">
        <f>INDEX('State Codes'!$E$7:$E$70,MATCH(INDEX('State Codes'!$C$7:$C$70,MATCH('County Climates'!B1221,'State Codes'!$D$7:$D$70,0),1),'State Codes'!$C$7:$C$70,0),1)</f>
        <v>West North Central Division</v>
      </c>
      <c r="F1221">
        <f>INDEX('CBECS_Table B5'!$C$6:$K$6,1,MATCH('County Climates'!E1221,'CBECS_Table B5'!$C$1:$K$1,0))</f>
        <v>6178</v>
      </c>
    </row>
    <row r="1222" spans="1:6" x14ac:dyDescent="0.25">
      <c r="A1222" t="s">
        <v>1121</v>
      </c>
      <c r="B1222" t="s">
        <v>1122</v>
      </c>
      <c r="C1222" t="s">
        <v>1146</v>
      </c>
      <c r="D1222" t="s">
        <v>228</v>
      </c>
      <c r="E1222" t="str">
        <f>INDEX('State Codes'!$E$7:$E$70,MATCH(INDEX('State Codes'!$C$7:$C$70,MATCH('County Climates'!B1222,'State Codes'!$D$7:$D$70,0),1),'State Codes'!$C$7:$C$70,0),1)</f>
        <v>West North Central Division</v>
      </c>
      <c r="F1222">
        <f>INDEX('CBECS_Table B5'!$C$6:$K$6,1,MATCH('County Climates'!E1222,'CBECS_Table B5'!$C$1:$K$1,0))</f>
        <v>6178</v>
      </c>
    </row>
    <row r="1223" spans="1:6" x14ac:dyDescent="0.25">
      <c r="A1223" t="s">
        <v>1121</v>
      </c>
      <c r="B1223" t="s">
        <v>1122</v>
      </c>
      <c r="C1223" t="s">
        <v>1147</v>
      </c>
      <c r="D1223" t="s">
        <v>228</v>
      </c>
      <c r="E1223" t="str">
        <f>INDEX('State Codes'!$E$7:$E$70,MATCH(INDEX('State Codes'!$C$7:$C$70,MATCH('County Climates'!B1223,'State Codes'!$D$7:$D$70,0),1),'State Codes'!$C$7:$C$70,0),1)</f>
        <v>West North Central Division</v>
      </c>
      <c r="F1223">
        <f>INDEX('CBECS_Table B5'!$C$6:$K$6,1,MATCH('County Climates'!E1223,'CBECS_Table B5'!$C$1:$K$1,0))</f>
        <v>6178</v>
      </c>
    </row>
    <row r="1224" spans="1:6" x14ac:dyDescent="0.25">
      <c r="A1224" t="s">
        <v>1121</v>
      </c>
      <c r="B1224" t="s">
        <v>1122</v>
      </c>
      <c r="C1224" t="s">
        <v>1148</v>
      </c>
      <c r="D1224" t="s">
        <v>228</v>
      </c>
      <c r="E1224" t="str">
        <f>INDEX('State Codes'!$E$7:$E$70,MATCH(INDEX('State Codes'!$C$7:$C$70,MATCH('County Climates'!B1224,'State Codes'!$D$7:$D$70,0),1),'State Codes'!$C$7:$C$70,0),1)</f>
        <v>West North Central Division</v>
      </c>
      <c r="F1224">
        <f>INDEX('CBECS_Table B5'!$C$6:$K$6,1,MATCH('County Climates'!E1224,'CBECS_Table B5'!$C$1:$K$1,0))</f>
        <v>6178</v>
      </c>
    </row>
    <row r="1225" spans="1:6" x14ac:dyDescent="0.25">
      <c r="A1225" t="s">
        <v>1121</v>
      </c>
      <c r="B1225" t="s">
        <v>1122</v>
      </c>
      <c r="C1225" t="s">
        <v>1149</v>
      </c>
      <c r="D1225" t="s">
        <v>228</v>
      </c>
      <c r="E1225" t="str">
        <f>INDEX('State Codes'!$E$7:$E$70,MATCH(INDEX('State Codes'!$C$7:$C$70,MATCH('County Climates'!B1225,'State Codes'!$D$7:$D$70,0),1),'State Codes'!$C$7:$C$70,0),1)</f>
        <v>West North Central Division</v>
      </c>
      <c r="F1225">
        <f>INDEX('CBECS_Table B5'!$C$6:$K$6,1,MATCH('County Climates'!E1225,'CBECS_Table B5'!$C$1:$K$1,0))</f>
        <v>6178</v>
      </c>
    </row>
    <row r="1226" spans="1:6" x14ac:dyDescent="0.25">
      <c r="A1226" t="s">
        <v>1121</v>
      </c>
      <c r="B1226" t="s">
        <v>1122</v>
      </c>
      <c r="C1226" t="s">
        <v>279</v>
      </c>
      <c r="D1226" t="s">
        <v>228</v>
      </c>
      <c r="E1226" t="str">
        <f>INDEX('State Codes'!$E$7:$E$70,MATCH(INDEX('State Codes'!$C$7:$C$70,MATCH('County Climates'!B1226,'State Codes'!$D$7:$D$70,0),1),'State Codes'!$C$7:$C$70,0),1)</f>
        <v>West North Central Division</v>
      </c>
      <c r="F1226">
        <f>INDEX('CBECS_Table B5'!$C$6:$K$6,1,MATCH('County Climates'!E1226,'CBECS_Table B5'!$C$1:$K$1,0))</f>
        <v>6178</v>
      </c>
    </row>
    <row r="1227" spans="1:6" x14ac:dyDescent="0.25">
      <c r="A1227" t="s">
        <v>1121</v>
      </c>
      <c r="B1227" t="s">
        <v>1122</v>
      </c>
      <c r="C1227" t="s">
        <v>1150</v>
      </c>
      <c r="D1227" t="s">
        <v>228</v>
      </c>
      <c r="E1227" t="str">
        <f>INDEX('State Codes'!$E$7:$E$70,MATCH(INDEX('State Codes'!$C$7:$C$70,MATCH('County Climates'!B1227,'State Codes'!$D$7:$D$70,0),1),'State Codes'!$C$7:$C$70,0),1)</f>
        <v>West North Central Division</v>
      </c>
      <c r="F1227">
        <f>INDEX('CBECS_Table B5'!$C$6:$K$6,1,MATCH('County Climates'!E1227,'CBECS_Table B5'!$C$1:$K$1,0))</f>
        <v>6178</v>
      </c>
    </row>
    <row r="1228" spans="1:6" x14ac:dyDescent="0.25">
      <c r="A1228" t="s">
        <v>1121</v>
      </c>
      <c r="B1228" t="s">
        <v>1122</v>
      </c>
      <c r="C1228" t="s">
        <v>617</v>
      </c>
      <c r="D1228" t="s">
        <v>228</v>
      </c>
      <c r="E1228" t="str">
        <f>INDEX('State Codes'!$E$7:$E$70,MATCH(INDEX('State Codes'!$C$7:$C$70,MATCH('County Climates'!B1228,'State Codes'!$D$7:$D$70,0),1),'State Codes'!$C$7:$C$70,0),1)</f>
        <v>West North Central Division</v>
      </c>
      <c r="F1228">
        <f>INDEX('CBECS_Table B5'!$C$6:$K$6,1,MATCH('County Climates'!E1228,'CBECS_Table B5'!$C$1:$K$1,0))</f>
        <v>6178</v>
      </c>
    </row>
    <row r="1229" spans="1:6" x14ac:dyDescent="0.25">
      <c r="A1229" t="s">
        <v>1121</v>
      </c>
      <c r="B1229" t="s">
        <v>1122</v>
      </c>
      <c r="C1229" t="s">
        <v>1151</v>
      </c>
      <c r="D1229" t="s">
        <v>228</v>
      </c>
      <c r="E1229" t="str">
        <f>INDEX('State Codes'!$E$7:$E$70,MATCH(INDEX('State Codes'!$C$7:$C$70,MATCH('County Climates'!B1229,'State Codes'!$D$7:$D$70,0),1),'State Codes'!$C$7:$C$70,0),1)</f>
        <v>West North Central Division</v>
      </c>
      <c r="F1229">
        <f>INDEX('CBECS_Table B5'!$C$6:$K$6,1,MATCH('County Climates'!E1229,'CBECS_Table B5'!$C$1:$K$1,0))</f>
        <v>6178</v>
      </c>
    </row>
    <row r="1230" spans="1:6" x14ac:dyDescent="0.25">
      <c r="A1230" t="s">
        <v>1121</v>
      </c>
      <c r="B1230" t="s">
        <v>1122</v>
      </c>
      <c r="C1230" t="s">
        <v>383</v>
      </c>
      <c r="D1230" t="s">
        <v>228</v>
      </c>
      <c r="E1230" t="str">
        <f>INDEX('State Codes'!$E$7:$E$70,MATCH(INDEX('State Codes'!$C$7:$C$70,MATCH('County Climates'!B1230,'State Codes'!$D$7:$D$70,0),1),'State Codes'!$C$7:$C$70,0),1)</f>
        <v>West North Central Division</v>
      </c>
      <c r="F1230">
        <f>INDEX('CBECS_Table B5'!$C$6:$K$6,1,MATCH('County Climates'!E1230,'CBECS_Table B5'!$C$1:$K$1,0))</f>
        <v>6178</v>
      </c>
    </row>
    <row r="1231" spans="1:6" x14ac:dyDescent="0.25">
      <c r="A1231" t="s">
        <v>1121</v>
      </c>
      <c r="B1231" t="s">
        <v>1122</v>
      </c>
      <c r="C1231" t="s">
        <v>283</v>
      </c>
      <c r="D1231" t="s">
        <v>228</v>
      </c>
      <c r="E1231" t="str">
        <f>INDEX('State Codes'!$E$7:$E$70,MATCH(INDEX('State Codes'!$C$7:$C$70,MATCH('County Climates'!B1231,'State Codes'!$D$7:$D$70,0),1),'State Codes'!$C$7:$C$70,0),1)</f>
        <v>West North Central Division</v>
      </c>
      <c r="F1231">
        <f>INDEX('CBECS_Table B5'!$C$6:$K$6,1,MATCH('County Climates'!E1231,'CBECS_Table B5'!$C$1:$K$1,0))</f>
        <v>6178</v>
      </c>
    </row>
    <row r="1232" spans="1:6" x14ac:dyDescent="0.25">
      <c r="A1232" t="s">
        <v>1121</v>
      </c>
      <c r="B1232" t="s">
        <v>1122</v>
      </c>
      <c r="C1232" t="s">
        <v>324</v>
      </c>
      <c r="D1232" t="s">
        <v>228</v>
      </c>
      <c r="E1232" t="str">
        <f>INDEX('State Codes'!$E$7:$E$70,MATCH(INDEX('State Codes'!$C$7:$C$70,MATCH('County Climates'!B1232,'State Codes'!$D$7:$D$70,0),1),'State Codes'!$C$7:$C$70,0),1)</f>
        <v>West North Central Division</v>
      </c>
      <c r="F1232">
        <f>INDEX('CBECS_Table B5'!$C$6:$K$6,1,MATCH('County Climates'!E1232,'CBECS_Table B5'!$C$1:$K$1,0))</f>
        <v>6178</v>
      </c>
    </row>
    <row r="1233" spans="1:6" x14ac:dyDescent="0.25">
      <c r="A1233" t="s">
        <v>1121</v>
      </c>
      <c r="B1233" t="s">
        <v>1122</v>
      </c>
      <c r="C1233" t="s">
        <v>1152</v>
      </c>
      <c r="D1233" t="s">
        <v>228</v>
      </c>
      <c r="E1233" t="str">
        <f>INDEX('State Codes'!$E$7:$E$70,MATCH(INDEX('State Codes'!$C$7:$C$70,MATCH('County Climates'!B1233,'State Codes'!$D$7:$D$70,0),1),'State Codes'!$C$7:$C$70,0),1)</f>
        <v>West North Central Division</v>
      </c>
      <c r="F1233">
        <f>INDEX('CBECS_Table B5'!$C$6:$K$6,1,MATCH('County Climates'!E1233,'CBECS_Table B5'!$C$1:$K$1,0))</f>
        <v>6178</v>
      </c>
    </row>
    <row r="1234" spans="1:6" x14ac:dyDescent="0.25">
      <c r="A1234" t="s">
        <v>1121</v>
      </c>
      <c r="B1234" t="s">
        <v>1122</v>
      </c>
      <c r="C1234" t="s">
        <v>291</v>
      </c>
      <c r="D1234" t="s">
        <v>228</v>
      </c>
      <c r="E1234" t="str">
        <f>INDEX('State Codes'!$E$7:$E$70,MATCH(INDEX('State Codes'!$C$7:$C$70,MATCH('County Climates'!B1234,'State Codes'!$D$7:$D$70,0),1),'State Codes'!$C$7:$C$70,0),1)</f>
        <v>West North Central Division</v>
      </c>
      <c r="F1234">
        <f>INDEX('CBECS_Table B5'!$C$6:$K$6,1,MATCH('County Climates'!E1234,'CBECS_Table B5'!$C$1:$K$1,0))</f>
        <v>6178</v>
      </c>
    </row>
    <row r="1235" spans="1:6" x14ac:dyDescent="0.25">
      <c r="A1235" t="s">
        <v>1153</v>
      </c>
      <c r="B1235" t="s">
        <v>1154</v>
      </c>
      <c r="C1235" t="s">
        <v>1155</v>
      </c>
      <c r="D1235" t="s">
        <v>247</v>
      </c>
      <c r="E1235" t="str">
        <f>INDEX('State Codes'!$E$7:$E$70,MATCH(INDEX('State Codes'!$C$7:$C$70,MATCH('County Climates'!B1235,'State Codes'!$D$7:$D$70,0),1),'State Codes'!$C$7:$C$70,0),1)</f>
        <v>East South Central Division</v>
      </c>
      <c r="F1235">
        <f>INDEX('CBECS_Table B5'!$C$6:$K$6,1,MATCH('County Climates'!E1235,'CBECS_Table B5'!$C$1:$K$1,0))</f>
        <v>4904</v>
      </c>
    </row>
    <row r="1236" spans="1:6" x14ac:dyDescent="0.25">
      <c r="A1236" t="s">
        <v>1153</v>
      </c>
      <c r="B1236" t="s">
        <v>1154</v>
      </c>
      <c r="C1236" t="s">
        <v>279</v>
      </c>
      <c r="D1236" t="s">
        <v>247</v>
      </c>
      <c r="E1236" t="str">
        <f>INDEX('State Codes'!$E$7:$E$70,MATCH(INDEX('State Codes'!$C$7:$C$70,MATCH('County Climates'!B1236,'State Codes'!$D$7:$D$70,0),1),'State Codes'!$C$7:$C$70,0),1)</f>
        <v>East South Central Division</v>
      </c>
      <c r="F1236">
        <f>INDEX('CBECS_Table B5'!$C$6:$K$6,1,MATCH('County Climates'!E1236,'CBECS_Table B5'!$C$1:$K$1,0))</f>
        <v>4904</v>
      </c>
    </row>
    <row r="1237" spans="1:6" x14ac:dyDescent="0.25">
      <c r="A1237" t="s">
        <v>1153</v>
      </c>
      <c r="B1237" t="s">
        <v>1154</v>
      </c>
      <c r="C1237" t="s">
        <v>280</v>
      </c>
      <c r="D1237" t="s">
        <v>247</v>
      </c>
      <c r="E1237" t="str">
        <f>INDEX('State Codes'!$E$7:$E$70,MATCH(INDEX('State Codes'!$C$7:$C$70,MATCH('County Climates'!B1237,'State Codes'!$D$7:$D$70,0),1),'State Codes'!$C$7:$C$70,0),1)</f>
        <v>East South Central Division</v>
      </c>
      <c r="F1237">
        <f>INDEX('CBECS_Table B5'!$C$6:$K$6,1,MATCH('County Climates'!E1237,'CBECS_Table B5'!$C$1:$K$1,0))</f>
        <v>4904</v>
      </c>
    </row>
    <row r="1238" spans="1:6" x14ac:dyDescent="0.25">
      <c r="A1238" t="s">
        <v>1153</v>
      </c>
      <c r="B1238" t="s">
        <v>1154</v>
      </c>
      <c r="C1238" t="s">
        <v>322</v>
      </c>
      <c r="D1238" t="s">
        <v>247</v>
      </c>
      <c r="E1238" t="str">
        <f>INDEX('State Codes'!$E$7:$E$70,MATCH(INDEX('State Codes'!$C$7:$C$70,MATCH('County Climates'!B1238,'State Codes'!$D$7:$D$70,0),1),'State Codes'!$C$7:$C$70,0),1)</f>
        <v>East South Central Division</v>
      </c>
      <c r="F1238">
        <f>INDEX('CBECS_Table B5'!$C$6:$K$6,1,MATCH('County Climates'!E1238,'CBECS_Table B5'!$C$1:$K$1,0))</f>
        <v>4904</v>
      </c>
    </row>
    <row r="1239" spans="1:6" x14ac:dyDescent="0.25">
      <c r="A1239" t="s">
        <v>1153</v>
      </c>
      <c r="B1239" t="s">
        <v>1154</v>
      </c>
      <c r="C1239" t="s">
        <v>679</v>
      </c>
      <c r="D1239" t="s">
        <v>247</v>
      </c>
      <c r="E1239" t="str">
        <f>INDEX('State Codes'!$E$7:$E$70,MATCH(INDEX('State Codes'!$C$7:$C$70,MATCH('County Climates'!B1239,'State Codes'!$D$7:$D$70,0),1),'State Codes'!$C$7:$C$70,0),1)</f>
        <v>East South Central Division</v>
      </c>
      <c r="F1239">
        <f>INDEX('CBECS_Table B5'!$C$6:$K$6,1,MATCH('County Climates'!E1239,'CBECS_Table B5'!$C$1:$K$1,0))</f>
        <v>4904</v>
      </c>
    </row>
    <row r="1240" spans="1:6" x14ac:dyDescent="0.25">
      <c r="A1240" t="s">
        <v>1153</v>
      </c>
      <c r="B1240" t="s">
        <v>1154</v>
      </c>
      <c r="C1240" t="s">
        <v>383</v>
      </c>
      <c r="D1240" t="s">
        <v>247</v>
      </c>
      <c r="E1240" t="str">
        <f>INDEX('State Codes'!$E$7:$E$70,MATCH(INDEX('State Codes'!$C$7:$C$70,MATCH('County Climates'!B1240,'State Codes'!$D$7:$D$70,0),1),'State Codes'!$C$7:$C$70,0),1)</f>
        <v>East South Central Division</v>
      </c>
      <c r="F1240">
        <f>INDEX('CBECS_Table B5'!$C$6:$K$6,1,MATCH('County Climates'!E1240,'CBECS_Table B5'!$C$1:$K$1,0))</f>
        <v>4904</v>
      </c>
    </row>
    <row r="1241" spans="1:6" x14ac:dyDescent="0.25">
      <c r="A1241" t="s">
        <v>1153</v>
      </c>
      <c r="B1241" t="s">
        <v>1154</v>
      </c>
      <c r="C1241" t="s">
        <v>282</v>
      </c>
      <c r="D1241" t="s">
        <v>247</v>
      </c>
      <c r="E1241" t="str">
        <f>INDEX('State Codes'!$E$7:$E$70,MATCH(INDEX('State Codes'!$C$7:$C$70,MATCH('County Climates'!B1241,'State Codes'!$D$7:$D$70,0),1),'State Codes'!$C$7:$C$70,0),1)</f>
        <v>East South Central Division</v>
      </c>
      <c r="F1241">
        <f>INDEX('CBECS_Table B5'!$C$6:$K$6,1,MATCH('County Climates'!E1241,'CBECS_Table B5'!$C$1:$K$1,0))</f>
        <v>4904</v>
      </c>
    </row>
    <row r="1242" spans="1:6" x14ac:dyDescent="0.25">
      <c r="A1242" t="s">
        <v>1153</v>
      </c>
      <c r="B1242" t="s">
        <v>1154</v>
      </c>
      <c r="C1242" t="s">
        <v>283</v>
      </c>
      <c r="D1242" t="s">
        <v>247</v>
      </c>
      <c r="E1242" t="str">
        <f>INDEX('State Codes'!$E$7:$E$70,MATCH(INDEX('State Codes'!$C$7:$C$70,MATCH('County Climates'!B1242,'State Codes'!$D$7:$D$70,0),1),'State Codes'!$C$7:$C$70,0),1)</f>
        <v>East South Central Division</v>
      </c>
      <c r="F1242">
        <f>INDEX('CBECS_Table B5'!$C$6:$K$6,1,MATCH('County Climates'!E1242,'CBECS_Table B5'!$C$1:$K$1,0))</f>
        <v>4904</v>
      </c>
    </row>
    <row r="1243" spans="1:6" x14ac:dyDescent="0.25">
      <c r="A1243" t="s">
        <v>1153</v>
      </c>
      <c r="B1243" t="s">
        <v>1154</v>
      </c>
      <c r="C1243" t="s">
        <v>540</v>
      </c>
      <c r="D1243" t="s">
        <v>247</v>
      </c>
      <c r="E1243" t="str">
        <f>INDEX('State Codes'!$E$7:$E$70,MATCH(INDEX('State Codes'!$C$7:$C$70,MATCH('County Climates'!B1243,'State Codes'!$D$7:$D$70,0),1),'State Codes'!$C$7:$C$70,0),1)</f>
        <v>East South Central Division</v>
      </c>
      <c r="F1243">
        <f>INDEX('CBECS_Table B5'!$C$6:$K$6,1,MATCH('County Climates'!E1243,'CBECS_Table B5'!$C$1:$K$1,0))</f>
        <v>4904</v>
      </c>
    </row>
    <row r="1244" spans="1:6" x14ac:dyDescent="0.25">
      <c r="A1244" t="s">
        <v>1153</v>
      </c>
      <c r="B1244" t="s">
        <v>1154</v>
      </c>
      <c r="C1244" t="s">
        <v>324</v>
      </c>
      <c r="D1244" t="s">
        <v>247</v>
      </c>
      <c r="E1244" t="str">
        <f>INDEX('State Codes'!$E$7:$E$70,MATCH(INDEX('State Codes'!$C$7:$C$70,MATCH('County Climates'!B1244,'State Codes'!$D$7:$D$70,0),1),'State Codes'!$C$7:$C$70,0),1)</f>
        <v>East South Central Division</v>
      </c>
      <c r="F1244">
        <f>INDEX('CBECS_Table B5'!$C$6:$K$6,1,MATCH('County Climates'!E1244,'CBECS_Table B5'!$C$1:$K$1,0))</f>
        <v>4904</v>
      </c>
    </row>
    <row r="1245" spans="1:6" x14ac:dyDescent="0.25">
      <c r="A1245" t="s">
        <v>1153</v>
      </c>
      <c r="B1245" t="s">
        <v>1154</v>
      </c>
      <c r="C1245" t="s">
        <v>1156</v>
      </c>
      <c r="D1245" t="s">
        <v>247</v>
      </c>
      <c r="E1245" t="str">
        <f>INDEX('State Codes'!$E$7:$E$70,MATCH(INDEX('State Codes'!$C$7:$C$70,MATCH('County Climates'!B1245,'State Codes'!$D$7:$D$70,0),1),'State Codes'!$C$7:$C$70,0),1)</f>
        <v>East South Central Division</v>
      </c>
      <c r="F1245">
        <f>INDEX('CBECS_Table B5'!$C$6:$K$6,1,MATCH('County Climates'!E1245,'CBECS_Table B5'!$C$1:$K$1,0))</f>
        <v>4904</v>
      </c>
    </row>
    <row r="1246" spans="1:6" x14ac:dyDescent="0.25">
      <c r="A1246" t="s">
        <v>1153</v>
      </c>
      <c r="B1246" t="s">
        <v>1154</v>
      </c>
      <c r="C1246" t="s">
        <v>287</v>
      </c>
      <c r="D1246" t="s">
        <v>247</v>
      </c>
      <c r="E1246" t="str">
        <f>INDEX('State Codes'!$E$7:$E$70,MATCH(INDEX('State Codes'!$C$7:$C$70,MATCH('County Climates'!B1246,'State Codes'!$D$7:$D$70,0),1),'State Codes'!$C$7:$C$70,0),1)</f>
        <v>East South Central Division</v>
      </c>
      <c r="F1246">
        <f>INDEX('CBECS_Table B5'!$C$6:$K$6,1,MATCH('County Climates'!E1246,'CBECS_Table B5'!$C$1:$K$1,0))</f>
        <v>4904</v>
      </c>
    </row>
    <row r="1247" spans="1:6" x14ac:dyDescent="0.25">
      <c r="A1247" t="s">
        <v>1153</v>
      </c>
      <c r="B1247" t="s">
        <v>1154</v>
      </c>
      <c r="C1247" t="s">
        <v>288</v>
      </c>
      <c r="D1247" t="s">
        <v>247</v>
      </c>
      <c r="E1247" t="str">
        <f>INDEX('State Codes'!$E$7:$E$70,MATCH(INDEX('State Codes'!$C$7:$C$70,MATCH('County Climates'!B1247,'State Codes'!$D$7:$D$70,0),1),'State Codes'!$C$7:$C$70,0),1)</f>
        <v>East South Central Division</v>
      </c>
      <c r="F1247">
        <f>INDEX('CBECS_Table B5'!$C$6:$K$6,1,MATCH('County Climates'!E1247,'CBECS_Table B5'!$C$1:$K$1,0))</f>
        <v>4904</v>
      </c>
    </row>
    <row r="1248" spans="1:6" x14ac:dyDescent="0.25">
      <c r="A1248" t="s">
        <v>1153</v>
      </c>
      <c r="B1248" t="s">
        <v>1154</v>
      </c>
      <c r="C1248" t="s">
        <v>290</v>
      </c>
      <c r="D1248" t="s">
        <v>247</v>
      </c>
      <c r="E1248" t="str">
        <f>INDEX('State Codes'!$E$7:$E$70,MATCH(INDEX('State Codes'!$C$7:$C$70,MATCH('County Climates'!B1248,'State Codes'!$D$7:$D$70,0),1),'State Codes'!$C$7:$C$70,0),1)</f>
        <v>East South Central Division</v>
      </c>
      <c r="F1248">
        <f>INDEX('CBECS_Table B5'!$C$6:$K$6,1,MATCH('County Climates'!E1248,'CBECS_Table B5'!$C$1:$K$1,0))</f>
        <v>4904</v>
      </c>
    </row>
    <row r="1249" spans="1:6" x14ac:dyDescent="0.25">
      <c r="A1249" t="s">
        <v>1153</v>
      </c>
      <c r="B1249" t="s">
        <v>1154</v>
      </c>
      <c r="C1249" t="s">
        <v>291</v>
      </c>
      <c r="D1249" t="s">
        <v>247</v>
      </c>
      <c r="E1249" t="str">
        <f>INDEX('State Codes'!$E$7:$E$70,MATCH(INDEX('State Codes'!$C$7:$C$70,MATCH('County Climates'!B1249,'State Codes'!$D$7:$D$70,0),1),'State Codes'!$C$7:$C$70,0),1)</f>
        <v>East South Central Division</v>
      </c>
      <c r="F1249">
        <f>INDEX('CBECS_Table B5'!$C$6:$K$6,1,MATCH('County Climates'!E1249,'CBECS_Table B5'!$C$1:$K$1,0))</f>
        <v>4904</v>
      </c>
    </row>
    <row r="1250" spans="1:6" x14ac:dyDescent="0.25">
      <c r="A1250" t="s">
        <v>1153</v>
      </c>
      <c r="B1250" t="s">
        <v>1154</v>
      </c>
      <c r="C1250" t="s">
        <v>1157</v>
      </c>
      <c r="D1250" t="s">
        <v>247</v>
      </c>
      <c r="E1250" t="str">
        <f>INDEX('State Codes'!$E$7:$E$70,MATCH(INDEX('State Codes'!$C$7:$C$70,MATCH('County Climates'!B1250,'State Codes'!$D$7:$D$70,0),1),'State Codes'!$C$7:$C$70,0),1)</f>
        <v>East South Central Division</v>
      </c>
      <c r="F1250">
        <f>INDEX('CBECS_Table B5'!$C$6:$K$6,1,MATCH('County Climates'!E1250,'CBECS_Table B5'!$C$1:$K$1,0))</f>
        <v>4904</v>
      </c>
    </row>
    <row r="1251" spans="1:6" x14ac:dyDescent="0.25">
      <c r="A1251" t="s">
        <v>1153</v>
      </c>
      <c r="B1251" t="s">
        <v>1154</v>
      </c>
      <c r="C1251" t="s">
        <v>1158</v>
      </c>
      <c r="D1251" t="s">
        <v>247</v>
      </c>
      <c r="E1251" t="str">
        <f>INDEX('State Codes'!$E$7:$E$70,MATCH(INDEX('State Codes'!$C$7:$C$70,MATCH('County Climates'!B1251,'State Codes'!$D$7:$D$70,0),1),'State Codes'!$C$7:$C$70,0),1)</f>
        <v>East South Central Division</v>
      </c>
      <c r="F1251">
        <f>INDEX('CBECS_Table B5'!$C$6:$K$6,1,MATCH('County Climates'!E1251,'CBECS_Table B5'!$C$1:$K$1,0))</f>
        <v>4904</v>
      </c>
    </row>
    <row r="1252" spans="1:6" x14ac:dyDescent="0.25">
      <c r="A1252" t="s">
        <v>1153</v>
      </c>
      <c r="B1252" t="s">
        <v>1154</v>
      </c>
      <c r="C1252" t="s">
        <v>1159</v>
      </c>
      <c r="D1252" t="s">
        <v>247</v>
      </c>
      <c r="E1252" t="str">
        <f>INDEX('State Codes'!$E$7:$E$70,MATCH(INDEX('State Codes'!$C$7:$C$70,MATCH('County Climates'!B1252,'State Codes'!$D$7:$D$70,0),1),'State Codes'!$C$7:$C$70,0),1)</f>
        <v>East South Central Division</v>
      </c>
      <c r="F1252">
        <f>INDEX('CBECS_Table B5'!$C$6:$K$6,1,MATCH('County Climates'!E1252,'CBECS_Table B5'!$C$1:$K$1,0))</f>
        <v>4904</v>
      </c>
    </row>
    <row r="1253" spans="1:6" x14ac:dyDescent="0.25">
      <c r="A1253" t="s">
        <v>1153</v>
      </c>
      <c r="B1253" t="s">
        <v>1154</v>
      </c>
      <c r="C1253" t="s">
        <v>1041</v>
      </c>
      <c r="D1253" t="s">
        <v>247</v>
      </c>
      <c r="E1253" t="str">
        <f>INDEX('State Codes'!$E$7:$E$70,MATCH(INDEX('State Codes'!$C$7:$C$70,MATCH('County Climates'!B1253,'State Codes'!$D$7:$D$70,0),1),'State Codes'!$C$7:$C$70,0),1)</f>
        <v>East South Central Division</v>
      </c>
      <c r="F1253">
        <f>INDEX('CBECS_Table B5'!$C$6:$K$6,1,MATCH('County Climates'!E1253,'CBECS_Table B5'!$C$1:$K$1,0))</f>
        <v>4904</v>
      </c>
    </row>
    <row r="1254" spans="1:6" x14ac:dyDescent="0.25">
      <c r="A1254" t="s">
        <v>1153</v>
      </c>
      <c r="B1254" t="s">
        <v>1154</v>
      </c>
      <c r="C1254" t="s">
        <v>293</v>
      </c>
      <c r="D1254" t="s">
        <v>247</v>
      </c>
      <c r="E1254" t="str">
        <f>INDEX('State Codes'!$E$7:$E$70,MATCH(INDEX('State Codes'!$C$7:$C$70,MATCH('County Climates'!B1254,'State Codes'!$D$7:$D$70,0),1),'State Codes'!$C$7:$C$70,0),1)</f>
        <v>East South Central Division</v>
      </c>
      <c r="F1254">
        <f>INDEX('CBECS_Table B5'!$C$6:$K$6,1,MATCH('County Climates'!E1254,'CBECS_Table B5'!$C$1:$K$1,0))</f>
        <v>4904</v>
      </c>
    </row>
    <row r="1255" spans="1:6" x14ac:dyDescent="0.25">
      <c r="A1255" t="s">
        <v>1153</v>
      </c>
      <c r="B1255" t="s">
        <v>1154</v>
      </c>
      <c r="C1255" t="s">
        <v>294</v>
      </c>
      <c r="D1255" t="s">
        <v>247</v>
      </c>
      <c r="E1255" t="str">
        <f>INDEX('State Codes'!$E$7:$E$70,MATCH(INDEX('State Codes'!$C$7:$C$70,MATCH('County Climates'!B1255,'State Codes'!$D$7:$D$70,0),1),'State Codes'!$C$7:$C$70,0),1)</f>
        <v>East South Central Division</v>
      </c>
      <c r="F1255">
        <f>INDEX('CBECS_Table B5'!$C$6:$K$6,1,MATCH('County Climates'!E1255,'CBECS_Table B5'!$C$1:$K$1,0))</f>
        <v>4904</v>
      </c>
    </row>
    <row r="1256" spans="1:6" x14ac:dyDescent="0.25">
      <c r="A1256" t="s">
        <v>1153</v>
      </c>
      <c r="B1256" t="s">
        <v>1154</v>
      </c>
      <c r="C1256" t="s">
        <v>985</v>
      </c>
      <c r="D1256" t="s">
        <v>247</v>
      </c>
      <c r="E1256" t="str">
        <f>INDEX('State Codes'!$E$7:$E$70,MATCH(INDEX('State Codes'!$C$7:$C$70,MATCH('County Climates'!B1256,'State Codes'!$D$7:$D$70,0),1),'State Codes'!$C$7:$C$70,0),1)</f>
        <v>East South Central Division</v>
      </c>
      <c r="F1256">
        <f>INDEX('CBECS_Table B5'!$C$6:$K$6,1,MATCH('County Climates'!E1256,'CBECS_Table B5'!$C$1:$K$1,0))</f>
        <v>4904</v>
      </c>
    </row>
    <row r="1257" spans="1:6" x14ac:dyDescent="0.25">
      <c r="A1257" t="s">
        <v>1153</v>
      </c>
      <c r="B1257" t="s">
        <v>1154</v>
      </c>
      <c r="C1257" t="s">
        <v>295</v>
      </c>
      <c r="D1257" t="s">
        <v>247</v>
      </c>
      <c r="E1257" t="str">
        <f>INDEX('State Codes'!$E$7:$E$70,MATCH(INDEX('State Codes'!$C$7:$C$70,MATCH('County Climates'!B1257,'State Codes'!$D$7:$D$70,0),1),'State Codes'!$C$7:$C$70,0),1)</f>
        <v>East South Central Division</v>
      </c>
      <c r="F1257">
        <f>INDEX('CBECS_Table B5'!$C$6:$K$6,1,MATCH('County Climates'!E1257,'CBECS_Table B5'!$C$1:$K$1,0))</f>
        <v>4904</v>
      </c>
    </row>
    <row r="1258" spans="1:6" x14ac:dyDescent="0.25">
      <c r="A1258" t="s">
        <v>1153</v>
      </c>
      <c r="B1258" t="s">
        <v>1154</v>
      </c>
      <c r="C1258" t="s">
        <v>1160</v>
      </c>
      <c r="D1258" t="s">
        <v>247</v>
      </c>
      <c r="E1258" t="str">
        <f>INDEX('State Codes'!$E$7:$E$70,MATCH(INDEX('State Codes'!$C$7:$C$70,MATCH('County Climates'!B1258,'State Codes'!$D$7:$D$70,0),1),'State Codes'!$C$7:$C$70,0),1)</f>
        <v>East South Central Division</v>
      </c>
      <c r="F1258">
        <f>INDEX('CBECS_Table B5'!$C$6:$K$6,1,MATCH('County Climates'!E1258,'CBECS_Table B5'!$C$1:$K$1,0))</f>
        <v>4904</v>
      </c>
    </row>
    <row r="1259" spans="1:6" x14ac:dyDescent="0.25">
      <c r="A1259" t="s">
        <v>1153</v>
      </c>
      <c r="B1259" t="s">
        <v>1154</v>
      </c>
      <c r="C1259" t="s">
        <v>1161</v>
      </c>
      <c r="D1259" t="s">
        <v>247</v>
      </c>
      <c r="E1259" t="str">
        <f>INDEX('State Codes'!$E$7:$E$70,MATCH(INDEX('State Codes'!$C$7:$C$70,MATCH('County Climates'!B1259,'State Codes'!$D$7:$D$70,0),1),'State Codes'!$C$7:$C$70,0),1)</f>
        <v>East South Central Division</v>
      </c>
      <c r="F1259">
        <f>INDEX('CBECS_Table B5'!$C$6:$K$6,1,MATCH('County Climates'!E1259,'CBECS_Table B5'!$C$1:$K$1,0))</f>
        <v>4904</v>
      </c>
    </row>
    <row r="1260" spans="1:6" x14ac:dyDescent="0.25">
      <c r="A1260" t="s">
        <v>1153</v>
      </c>
      <c r="B1260" t="s">
        <v>1154</v>
      </c>
      <c r="C1260" t="s">
        <v>296</v>
      </c>
      <c r="D1260" t="s">
        <v>247</v>
      </c>
      <c r="E1260" t="str">
        <f>INDEX('State Codes'!$E$7:$E$70,MATCH(INDEX('State Codes'!$C$7:$C$70,MATCH('County Climates'!B1260,'State Codes'!$D$7:$D$70,0),1),'State Codes'!$C$7:$C$70,0),1)</f>
        <v>East South Central Division</v>
      </c>
      <c r="F1260">
        <f>INDEX('CBECS_Table B5'!$C$6:$K$6,1,MATCH('County Climates'!E1260,'CBECS_Table B5'!$C$1:$K$1,0))</f>
        <v>4904</v>
      </c>
    </row>
    <row r="1261" spans="1:6" x14ac:dyDescent="0.25">
      <c r="A1261" t="s">
        <v>1153</v>
      </c>
      <c r="B1261" t="s">
        <v>1154</v>
      </c>
      <c r="C1261" t="s">
        <v>1162</v>
      </c>
      <c r="D1261" t="s">
        <v>247</v>
      </c>
      <c r="E1261" t="str">
        <f>INDEX('State Codes'!$E$7:$E$70,MATCH(INDEX('State Codes'!$C$7:$C$70,MATCH('County Climates'!B1261,'State Codes'!$D$7:$D$70,0),1),'State Codes'!$C$7:$C$70,0),1)</f>
        <v>East South Central Division</v>
      </c>
      <c r="F1261">
        <f>INDEX('CBECS_Table B5'!$C$6:$K$6,1,MATCH('County Climates'!E1261,'CBECS_Table B5'!$C$1:$K$1,0))</f>
        <v>4904</v>
      </c>
    </row>
    <row r="1262" spans="1:6" x14ac:dyDescent="0.25">
      <c r="A1262" t="s">
        <v>1153</v>
      </c>
      <c r="B1262" t="s">
        <v>1154</v>
      </c>
      <c r="C1262" t="s">
        <v>335</v>
      </c>
      <c r="D1262" t="s">
        <v>247</v>
      </c>
      <c r="E1262" t="str">
        <f>INDEX('State Codes'!$E$7:$E$70,MATCH(INDEX('State Codes'!$C$7:$C$70,MATCH('County Climates'!B1262,'State Codes'!$D$7:$D$70,0),1),'State Codes'!$C$7:$C$70,0),1)</f>
        <v>East South Central Division</v>
      </c>
      <c r="F1262">
        <f>INDEX('CBECS_Table B5'!$C$6:$K$6,1,MATCH('County Climates'!E1262,'CBECS_Table B5'!$C$1:$K$1,0))</f>
        <v>4904</v>
      </c>
    </row>
    <row r="1263" spans="1:6" x14ac:dyDescent="0.25">
      <c r="A1263" t="s">
        <v>1153</v>
      </c>
      <c r="B1263" t="s">
        <v>1154</v>
      </c>
      <c r="C1263" t="s">
        <v>556</v>
      </c>
      <c r="D1263" t="s">
        <v>247</v>
      </c>
      <c r="E1263" t="str">
        <f>INDEX('State Codes'!$E$7:$E$70,MATCH(INDEX('State Codes'!$C$7:$C$70,MATCH('County Climates'!B1263,'State Codes'!$D$7:$D$70,0),1),'State Codes'!$C$7:$C$70,0),1)</f>
        <v>East South Central Division</v>
      </c>
      <c r="F1263">
        <f>INDEX('CBECS_Table B5'!$C$6:$K$6,1,MATCH('County Climates'!E1263,'CBECS_Table B5'!$C$1:$K$1,0))</f>
        <v>4904</v>
      </c>
    </row>
    <row r="1264" spans="1:6" x14ac:dyDescent="0.25">
      <c r="A1264" t="s">
        <v>1153</v>
      </c>
      <c r="B1264" t="s">
        <v>1154</v>
      </c>
      <c r="C1264" t="s">
        <v>1163</v>
      </c>
      <c r="D1264" t="s">
        <v>247</v>
      </c>
      <c r="E1264" t="str">
        <f>INDEX('State Codes'!$E$7:$E$70,MATCH(INDEX('State Codes'!$C$7:$C$70,MATCH('County Climates'!B1264,'State Codes'!$D$7:$D$70,0),1),'State Codes'!$C$7:$C$70,0),1)</f>
        <v>East South Central Division</v>
      </c>
      <c r="F1264">
        <f>INDEX('CBECS_Table B5'!$C$6:$K$6,1,MATCH('County Climates'!E1264,'CBECS_Table B5'!$C$1:$K$1,0))</f>
        <v>4904</v>
      </c>
    </row>
    <row r="1265" spans="1:6" x14ac:dyDescent="0.25">
      <c r="A1265" t="s">
        <v>1153</v>
      </c>
      <c r="B1265" t="s">
        <v>1154</v>
      </c>
      <c r="C1265" t="s">
        <v>1164</v>
      </c>
      <c r="D1265" t="s">
        <v>247</v>
      </c>
      <c r="E1265" t="str">
        <f>INDEX('State Codes'!$E$7:$E$70,MATCH(INDEX('State Codes'!$C$7:$C$70,MATCH('County Climates'!B1265,'State Codes'!$D$7:$D$70,0),1),'State Codes'!$C$7:$C$70,0),1)</f>
        <v>East South Central Division</v>
      </c>
      <c r="F1265">
        <f>INDEX('CBECS_Table B5'!$C$6:$K$6,1,MATCH('County Climates'!E1265,'CBECS_Table B5'!$C$1:$K$1,0))</f>
        <v>4904</v>
      </c>
    </row>
    <row r="1266" spans="1:6" x14ac:dyDescent="0.25">
      <c r="A1266" t="s">
        <v>1153</v>
      </c>
      <c r="B1266" t="s">
        <v>1154</v>
      </c>
      <c r="C1266" t="s">
        <v>700</v>
      </c>
      <c r="D1266" t="s">
        <v>247</v>
      </c>
      <c r="E1266" t="str">
        <f>INDEX('State Codes'!$E$7:$E$70,MATCH(INDEX('State Codes'!$C$7:$C$70,MATCH('County Climates'!B1266,'State Codes'!$D$7:$D$70,0),1),'State Codes'!$C$7:$C$70,0),1)</f>
        <v>East South Central Division</v>
      </c>
      <c r="F1266">
        <f>INDEX('CBECS_Table B5'!$C$6:$K$6,1,MATCH('County Climates'!E1266,'CBECS_Table B5'!$C$1:$K$1,0))</f>
        <v>4904</v>
      </c>
    </row>
    <row r="1267" spans="1:6" x14ac:dyDescent="0.25">
      <c r="A1267" t="s">
        <v>1153</v>
      </c>
      <c r="B1267" t="s">
        <v>1154</v>
      </c>
      <c r="C1267" t="s">
        <v>998</v>
      </c>
      <c r="D1267" t="s">
        <v>247</v>
      </c>
      <c r="E1267" t="str">
        <f>INDEX('State Codes'!$E$7:$E$70,MATCH(INDEX('State Codes'!$C$7:$C$70,MATCH('County Climates'!B1267,'State Codes'!$D$7:$D$70,0),1),'State Codes'!$C$7:$C$70,0),1)</f>
        <v>East South Central Division</v>
      </c>
      <c r="F1267">
        <f>INDEX('CBECS_Table B5'!$C$6:$K$6,1,MATCH('County Climates'!E1267,'CBECS_Table B5'!$C$1:$K$1,0))</f>
        <v>4904</v>
      </c>
    </row>
    <row r="1268" spans="1:6" x14ac:dyDescent="0.25">
      <c r="A1268" t="s">
        <v>1153</v>
      </c>
      <c r="B1268" t="s">
        <v>1154</v>
      </c>
      <c r="C1268" t="s">
        <v>340</v>
      </c>
      <c r="D1268" t="s">
        <v>247</v>
      </c>
      <c r="E1268" t="str">
        <f>INDEX('State Codes'!$E$7:$E$70,MATCH(INDEX('State Codes'!$C$7:$C$70,MATCH('County Climates'!B1268,'State Codes'!$D$7:$D$70,0),1),'State Codes'!$C$7:$C$70,0),1)</f>
        <v>East South Central Division</v>
      </c>
      <c r="F1268">
        <f>INDEX('CBECS_Table B5'!$C$6:$K$6,1,MATCH('County Climates'!E1268,'CBECS_Table B5'!$C$1:$K$1,0))</f>
        <v>4904</v>
      </c>
    </row>
    <row r="1269" spans="1:6" x14ac:dyDescent="0.25">
      <c r="A1269" t="s">
        <v>1153</v>
      </c>
      <c r="B1269" t="s">
        <v>1154</v>
      </c>
      <c r="C1269" t="s">
        <v>1165</v>
      </c>
      <c r="D1269" t="s">
        <v>247</v>
      </c>
      <c r="E1269" t="str">
        <f>INDEX('State Codes'!$E$7:$E$70,MATCH(INDEX('State Codes'!$C$7:$C$70,MATCH('County Climates'!B1269,'State Codes'!$D$7:$D$70,0),1),'State Codes'!$C$7:$C$70,0),1)</f>
        <v>East South Central Division</v>
      </c>
      <c r="F1269">
        <f>INDEX('CBECS_Table B5'!$C$6:$K$6,1,MATCH('County Climates'!E1269,'CBECS_Table B5'!$C$1:$K$1,0))</f>
        <v>4904</v>
      </c>
    </row>
    <row r="1270" spans="1:6" x14ac:dyDescent="0.25">
      <c r="A1270" t="s">
        <v>1153</v>
      </c>
      <c r="B1270" t="s">
        <v>1154</v>
      </c>
      <c r="C1270" t="s">
        <v>343</v>
      </c>
      <c r="D1270" t="s">
        <v>247</v>
      </c>
      <c r="E1270" t="str">
        <f>INDEX('State Codes'!$E$7:$E$70,MATCH(INDEX('State Codes'!$C$7:$C$70,MATCH('County Climates'!B1270,'State Codes'!$D$7:$D$70,0),1),'State Codes'!$C$7:$C$70,0),1)</f>
        <v>East South Central Division</v>
      </c>
      <c r="F1270">
        <f>INDEX('CBECS_Table B5'!$C$6:$K$6,1,MATCH('County Climates'!E1270,'CBECS_Table B5'!$C$1:$K$1,0))</f>
        <v>4904</v>
      </c>
    </row>
    <row r="1271" spans="1:6" x14ac:dyDescent="0.25">
      <c r="A1271" t="s">
        <v>1153</v>
      </c>
      <c r="B1271" t="s">
        <v>1154</v>
      </c>
      <c r="C1271" t="s">
        <v>301</v>
      </c>
      <c r="D1271" t="s">
        <v>247</v>
      </c>
      <c r="E1271" t="str">
        <f>INDEX('State Codes'!$E$7:$E$70,MATCH(INDEX('State Codes'!$C$7:$C$70,MATCH('County Climates'!B1271,'State Codes'!$D$7:$D$70,0),1),'State Codes'!$C$7:$C$70,0),1)</f>
        <v>East South Central Division</v>
      </c>
      <c r="F1271">
        <f>INDEX('CBECS_Table B5'!$C$6:$K$6,1,MATCH('County Climates'!E1271,'CBECS_Table B5'!$C$1:$K$1,0))</f>
        <v>4904</v>
      </c>
    </row>
    <row r="1272" spans="1:6" x14ac:dyDescent="0.25">
      <c r="A1272" t="s">
        <v>1153</v>
      </c>
      <c r="B1272" t="s">
        <v>1154</v>
      </c>
      <c r="C1272" t="s">
        <v>831</v>
      </c>
      <c r="D1272" t="s">
        <v>247</v>
      </c>
      <c r="E1272" t="str">
        <f>INDEX('State Codes'!$E$7:$E$70,MATCH(INDEX('State Codes'!$C$7:$C$70,MATCH('County Climates'!B1272,'State Codes'!$D$7:$D$70,0),1),'State Codes'!$C$7:$C$70,0),1)</f>
        <v>East South Central Division</v>
      </c>
      <c r="F1272">
        <f>INDEX('CBECS_Table B5'!$C$6:$K$6,1,MATCH('County Climates'!E1272,'CBECS_Table B5'!$C$1:$K$1,0))</f>
        <v>4904</v>
      </c>
    </row>
    <row r="1273" spans="1:6" x14ac:dyDescent="0.25">
      <c r="A1273" t="s">
        <v>1153</v>
      </c>
      <c r="B1273" t="s">
        <v>1154</v>
      </c>
      <c r="C1273" t="s">
        <v>1166</v>
      </c>
      <c r="D1273" t="s">
        <v>247</v>
      </c>
      <c r="E1273" t="str">
        <f>INDEX('State Codes'!$E$7:$E$70,MATCH(INDEX('State Codes'!$C$7:$C$70,MATCH('County Climates'!B1273,'State Codes'!$D$7:$D$70,0),1),'State Codes'!$C$7:$C$70,0),1)</f>
        <v>East South Central Division</v>
      </c>
      <c r="F1273">
        <f>INDEX('CBECS_Table B5'!$C$6:$K$6,1,MATCH('County Climates'!E1273,'CBECS_Table B5'!$C$1:$K$1,0))</f>
        <v>4904</v>
      </c>
    </row>
    <row r="1274" spans="1:6" x14ac:dyDescent="0.25">
      <c r="A1274" t="s">
        <v>1153</v>
      </c>
      <c r="B1274" t="s">
        <v>1154</v>
      </c>
      <c r="C1274" t="s">
        <v>867</v>
      </c>
      <c r="D1274" t="s">
        <v>247</v>
      </c>
      <c r="E1274" t="str">
        <f>INDEX('State Codes'!$E$7:$E$70,MATCH(INDEX('State Codes'!$C$7:$C$70,MATCH('County Climates'!B1274,'State Codes'!$D$7:$D$70,0),1),'State Codes'!$C$7:$C$70,0),1)</f>
        <v>East South Central Division</v>
      </c>
      <c r="F1274">
        <f>INDEX('CBECS_Table B5'!$C$6:$K$6,1,MATCH('County Climates'!E1274,'CBECS_Table B5'!$C$1:$K$1,0))</f>
        <v>4904</v>
      </c>
    </row>
    <row r="1275" spans="1:6" x14ac:dyDescent="0.25">
      <c r="A1275" t="s">
        <v>1153</v>
      </c>
      <c r="B1275" t="s">
        <v>1154</v>
      </c>
      <c r="C1275" t="s">
        <v>1167</v>
      </c>
      <c r="D1275" t="s">
        <v>247</v>
      </c>
      <c r="E1275" t="str">
        <f>INDEX('State Codes'!$E$7:$E$70,MATCH(INDEX('State Codes'!$C$7:$C$70,MATCH('County Climates'!B1275,'State Codes'!$D$7:$D$70,0),1),'State Codes'!$C$7:$C$70,0),1)</f>
        <v>East South Central Division</v>
      </c>
      <c r="F1275">
        <f>INDEX('CBECS_Table B5'!$C$6:$K$6,1,MATCH('County Climates'!E1275,'CBECS_Table B5'!$C$1:$K$1,0))</f>
        <v>4904</v>
      </c>
    </row>
    <row r="1276" spans="1:6" x14ac:dyDescent="0.25">
      <c r="A1276" t="s">
        <v>1153</v>
      </c>
      <c r="B1276" t="s">
        <v>1154</v>
      </c>
      <c r="C1276" t="s">
        <v>1168</v>
      </c>
      <c r="D1276" t="s">
        <v>247</v>
      </c>
      <c r="E1276" t="str">
        <f>INDEX('State Codes'!$E$7:$E$70,MATCH(INDEX('State Codes'!$C$7:$C$70,MATCH('County Climates'!B1276,'State Codes'!$D$7:$D$70,0),1),'State Codes'!$C$7:$C$70,0),1)</f>
        <v>East South Central Division</v>
      </c>
      <c r="F1276">
        <f>INDEX('CBECS_Table B5'!$C$6:$K$6,1,MATCH('County Climates'!E1276,'CBECS_Table B5'!$C$1:$K$1,0))</f>
        <v>4904</v>
      </c>
    </row>
    <row r="1277" spans="1:6" x14ac:dyDescent="0.25">
      <c r="A1277" t="s">
        <v>1153</v>
      </c>
      <c r="B1277" t="s">
        <v>1154</v>
      </c>
      <c r="C1277" t="s">
        <v>1169</v>
      </c>
      <c r="D1277" t="s">
        <v>247</v>
      </c>
      <c r="E1277" t="str">
        <f>INDEX('State Codes'!$E$7:$E$70,MATCH(INDEX('State Codes'!$C$7:$C$70,MATCH('County Climates'!B1277,'State Codes'!$D$7:$D$70,0),1),'State Codes'!$C$7:$C$70,0),1)</f>
        <v>East South Central Division</v>
      </c>
      <c r="F1277">
        <f>INDEX('CBECS_Table B5'!$C$6:$K$6,1,MATCH('County Climates'!E1277,'CBECS_Table B5'!$C$1:$K$1,0))</f>
        <v>4904</v>
      </c>
    </row>
    <row r="1278" spans="1:6" x14ac:dyDescent="0.25">
      <c r="A1278" t="s">
        <v>1153</v>
      </c>
      <c r="B1278" t="s">
        <v>1154</v>
      </c>
      <c r="C1278" t="s">
        <v>1170</v>
      </c>
      <c r="D1278" t="s">
        <v>247</v>
      </c>
      <c r="E1278" t="str">
        <f>INDEX('State Codes'!$E$7:$E$70,MATCH(INDEX('State Codes'!$C$7:$C$70,MATCH('County Climates'!B1278,'State Codes'!$D$7:$D$70,0),1),'State Codes'!$C$7:$C$70,0),1)</f>
        <v>East South Central Division</v>
      </c>
      <c r="F1278">
        <f>INDEX('CBECS_Table B5'!$C$6:$K$6,1,MATCH('County Climates'!E1278,'CBECS_Table B5'!$C$1:$K$1,0))</f>
        <v>4904</v>
      </c>
    </row>
    <row r="1279" spans="1:6" x14ac:dyDescent="0.25">
      <c r="A1279" t="s">
        <v>1153</v>
      </c>
      <c r="B1279" t="s">
        <v>1154</v>
      </c>
      <c r="C1279" t="s">
        <v>347</v>
      </c>
      <c r="D1279" t="s">
        <v>247</v>
      </c>
      <c r="E1279" t="str">
        <f>INDEX('State Codes'!$E$7:$E$70,MATCH(INDEX('State Codes'!$C$7:$C$70,MATCH('County Climates'!B1279,'State Codes'!$D$7:$D$70,0),1),'State Codes'!$C$7:$C$70,0),1)</f>
        <v>East South Central Division</v>
      </c>
      <c r="F1279">
        <f>INDEX('CBECS_Table B5'!$C$6:$K$6,1,MATCH('County Climates'!E1279,'CBECS_Table B5'!$C$1:$K$1,0))</f>
        <v>4904</v>
      </c>
    </row>
    <row r="1280" spans="1:6" x14ac:dyDescent="0.25">
      <c r="A1280" t="s">
        <v>1153</v>
      </c>
      <c r="B1280" t="s">
        <v>1154</v>
      </c>
      <c r="C1280" t="s">
        <v>348</v>
      </c>
      <c r="D1280" t="s">
        <v>247</v>
      </c>
      <c r="E1280" t="str">
        <f>INDEX('State Codes'!$E$7:$E$70,MATCH(INDEX('State Codes'!$C$7:$C$70,MATCH('County Climates'!B1280,'State Codes'!$D$7:$D$70,0),1),'State Codes'!$C$7:$C$70,0),1)</f>
        <v>East South Central Division</v>
      </c>
      <c r="F1280">
        <f>INDEX('CBECS_Table B5'!$C$6:$K$6,1,MATCH('County Climates'!E1280,'CBECS_Table B5'!$C$1:$K$1,0))</f>
        <v>4904</v>
      </c>
    </row>
    <row r="1281" spans="1:6" x14ac:dyDescent="0.25">
      <c r="A1281" t="s">
        <v>1153</v>
      </c>
      <c r="B1281" t="s">
        <v>1154</v>
      </c>
      <c r="C1281" t="s">
        <v>497</v>
      </c>
      <c r="D1281" t="s">
        <v>247</v>
      </c>
      <c r="E1281" t="str">
        <f>INDEX('State Codes'!$E$7:$E$70,MATCH(INDEX('State Codes'!$C$7:$C$70,MATCH('County Climates'!B1281,'State Codes'!$D$7:$D$70,0),1),'State Codes'!$C$7:$C$70,0),1)</f>
        <v>East South Central Division</v>
      </c>
      <c r="F1281">
        <f>INDEX('CBECS_Table B5'!$C$6:$K$6,1,MATCH('County Climates'!E1281,'CBECS_Table B5'!$C$1:$K$1,0))</f>
        <v>4904</v>
      </c>
    </row>
    <row r="1282" spans="1:6" x14ac:dyDescent="0.25">
      <c r="A1282" t="s">
        <v>1153</v>
      </c>
      <c r="B1282" t="s">
        <v>1154</v>
      </c>
      <c r="C1282" t="s">
        <v>308</v>
      </c>
      <c r="D1282" t="s">
        <v>247</v>
      </c>
      <c r="E1282" t="str">
        <f>INDEX('State Codes'!$E$7:$E$70,MATCH(INDEX('State Codes'!$C$7:$C$70,MATCH('County Climates'!B1282,'State Codes'!$D$7:$D$70,0),1),'State Codes'!$C$7:$C$70,0),1)</f>
        <v>East South Central Division</v>
      </c>
      <c r="F1282">
        <f>INDEX('CBECS_Table B5'!$C$6:$K$6,1,MATCH('County Climates'!E1282,'CBECS_Table B5'!$C$1:$K$1,0))</f>
        <v>4904</v>
      </c>
    </row>
    <row r="1283" spans="1:6" x14ac:dyDescent="0.25">
      <c r="A1283" t="s">
        <v>1153</v>
      </c>
      <c r="B1283" t="s">
        <v>1154</v>
      </c>
      <c r="C1283" t="s">
        <v>498</v>
      </c>
      <c r="D1283" t="s">
        <v>247</v>
      </c>
      <c r="E1283" t="str">
        <f>INDEX('State Codes'!$E$7:$E$70,MATCH(INDEX('State Codes'!$C$7:$C$70,MATCH('County Climates'!B1283,'State Codes'!$D$7:$D$70,0),1),'State Codes'!$C$7:$C$70,0),1)</f>
        <v>East South Central Division</v>
      </c>
      <c r="F1283">
        <f>INDEX('CBECS_Table B5'!$C$6:$K$6,1,MATCH('County Climates'!E1283,'CBECS_Table B5'!$C$1:$K$1,0))</f>
        <v>4904</v>
      </c>
    </row>
    <row r="1284" spans="1:6" x14ac:dyDescent="0.25">
      <c r="A1284" t="s">
        <v>1153</v>
      </c>
      <c r="B1284" t="s">
        <v>1154</v>
      </c>
      <c r="C1284" t="s">
        <v>1171</v>
      </c>
      <c r="D1284" t="s">
        <v>247</v>
      </c>
      <c r="E1284" t="str">
        <f>INDEX('State Codes'!$E$7:$E$70,MATCH(INDEX('State Codes'!$C$7:$C$70,MATCH('County Climates'!B1284,'State Codes'!$D$7:$D$70,0),1),'State Codes'!$C$7:$C$70,0),1)</f>
        <v>East South Central Division</v>
      </c>
      <c r="F1284">
        <f>INDEX('CBECS_Table B5'!$C$6:$K$6,1,MATCH('County Climates'!E1284,'CBECS_Table B5'!$C$1:$K$1,0))</f>
        <v>4904</v>
      </c>
    </row>
    <row r="1285" spans="1:6" x14ac:dyDescent="0.25">
      <c r="A1285" t="s">
        <v>1153</v>
      </c>
      <c r="B1285" t="s">
        <v>1154</v>
      </c>
      <c r="C1285" t="s">
        <v>349</v>
      </c>
      <c r="D1285" t="s">
        <v>247</v>
      </c>
      <c r="E1285" t="str">
        <f>INDEX('State Codes'!$E$7:$E$70,MATCH(INDEX('State Codes'!$C$7:$C$70,MATCH('County Climates'!B1285,'State Codes'!$D$7:$D$70,0),1),'State Codes'!$C$7:$C$70,0),1)</f>
        <v>East South Central Division</v>
      </c>
      <c r="F1285">
        <f>INDEX('CBECS_Table B5'!$C$6:$K$6,1,MATCH('County Climates'!E1285,'CBECS_Table B5'!$C$1:$K$1,0))</f>
        <v>4904</v>
      </c>
    </row>
    <row r="1286" spans="1:6" x14ac:dyDescent="0.25">
      <c r="A1286" t="s">
        <v>1153</v>
      </c>
      <c r="B1286" t="s">
        <v>1154</v>
      </c>
      <c r="C1286" t="s">
        <v>568</v>
      </c>
      <c r="D1286" t="s">
        <v>247</v>
      </c>
      <c r="E1286" t="str">
        <f>INDEX('State Codes'!$E$7:$E$70,MATCH(INDEX('State Codes'!$C$7:$C$70,MATCH('County Climates'!B1286,'State Codes'!$D$7:$D$70,0),1),'State Codes'!$C$7:$C$70,0),1)</f>
        <v>East South Central Division</v>
      </c>
      <c r="F1286">
        <f>INDEX('CBECS_Table B5'!$C$6:$K$6,1,MATCH('County Climates'!E1286,'CBECS_Table B5'!$C$1:$K$1,0))</f>
        <v>4904</v>
      </c>
    </row>
    <row r="1287" spans="1:6" x14ac:dyDescent="0.25">
      <c r="A1287" t="s">
        <v>1153</v>
      </c>
      <c r="B1287" t="s">
        <v>1154</v>
      </c>
      <c r="C1287" t="s">
        <v>1009</v>
      </c>
      <c r="D1287" t="s">
        <v>247</v>
      </c>
      <c r="E1287" t="str">
        <f>INDEX('State Codes'!$E$7:$E$70,MATCH(INDEX('State Codes'!$C$7:$C$70,MATCH('County Climates'!B1287,'State Codes'!$D$7:$D$70,0),1),'State Codes'!$C$7:$C$70,0),1)</f>
        <v>East South Central Division</v>
      </c>
      <c r="F1287">
        <f>INDEX('CBECS_Table B5'!$C$6:$K$6,1,MATCH('County Climates'!E1287,'CBECS_Table B5'!$C$1:$K$1,0))</f>
        <v>4904</v>
      </c>
    </row>
    <row r="1288" spans="1:6" x14ac:dyDescent="0.25">
      <c r="A1288" t="s">
        <v>1172</v>
      </c>
      <c r="B1288" t="s">
        <v>1173</v>
      </c>
      <c r="C1288" t="s">
        <v>1174</v>
      </c>
      <c r="D1288" t="s">
        <v>243</v>
      </c>
      <c r="E1288" t="str">
        <f>INDEX('State Codes'!$E$7:$E$70,MATCH(INDEX('State Codes'!$C$7:$C$70,MATCH('County Climates'!B1288,'State Codes'!$D$7:$D$70,0),1),'State Codes'!$C$7:$C$70,0),1)</f>
        <v>West South Central Division</v>
      </c>
      <c r="F1288">
        <f>INDEX('CBECS_Table B5'!$C$6:$K$6,1,MATCH('County Climates'!E1288,'CBECS_Table B5'!$C$1:$K$1,0))</f>
        <v>11394</v>
      </c>
    </row>
    <row r="1289" spans="1:6" x14ac:dyDescent="0.25">
      <c r="A1289" t="s">
        <v>1172</v>
      </c>
      <c r="B1289" t="s">
        <v>1173</v>
      </c>
      <c r="C1289" t="s">
        <v>1175</v>
      </c>
      <c r="D1289" t="s">
        <v>359</v>
      </c>
      <c r="E1289" t="str">
        <f>INDEX('State Codes'!$E$7:$E$70,MATCH(INDEX('State Codes'!$C$7:$C$70,MATCH('County Climates'!B1289,'State Codes'!$D$7:$D$70,0),1),'State Codes'!$C$7:$C$70,0),1)</f>
        <v>West South Central Division</v>
      </c>
      <c r="F1289">
        <f>INDEX('CBECS_Table B5'!$C$6:$K$6,1,MATCH('County Climates'!E1289,'CBECS_Table B5'!$C$1:$K$1,0))</f>
        <v>11394</v>
      </c>
    </row>
    <row r="1290" spans="1:6" x14ac:dyDescent="0.25">
      <c r="A1290" t="s">
        <v>1172</v>
      </c>
      <c r="B1290" t="s">
        <v>1173</v>
      </c>
      <c r="C1290" t="s">
        <v>1176</v>
      </c>
      <c r="D1290" t="s">
        <v>243</v>
      </c>
      <c r="E1290" t="str">
        <f>INDEX('State Codes'!$E$7:$E$70,MATCH(INDEX('State Codes'!$C$7:$C$70,MATCH('County Climates'!B1290,'State Codes'!$D$7:$D$70,0),1),'State Codes'!$C$7:$C$70,0),1)</f>
        <v>West South Central Division</v>
      </c>
      <c r="F1290">
        <f>INDEX('CBECS_Table B5'!$C$6:$K$6,1,MATCH('County Climates'!E1290,'CBECS_Table B5'!$C$1:$K$1,0))</f>
        <v>11394</v>
      </c>
    </row>
    <row r="1291" spans="1:6" x14ac:dyDescent="0.25">
      <c r="A1291" t="s">
        <v>1172</v>
      </c>
      <c r="B1291" t="s">
        <v>1173</v>
      </c>
      <c r="C1291" t="s">
        <v>1177</v>
      </c>
      <c r="D1291" t="s">
        <v>243</v>
      </c>
      <c r="E1291" t="str">
        <f>INDEX('State Codes'!$E$7:$E$70,MATCH(INDEX('State Codes'!$C$7:$C$70,MATCH('County Climates'!B1291,'State Codes'!$D$7:$D$70,0),1),'State Codes'!$C$7:$C$70,0),1)</f>
        <v>West South Central Division</v>
      </c>
      <c r="F1291">
        <f>INDEX('CBECS_Table B5'!$C$6:$K$6,1,MATCH('County Climates'!E1291,'CBECS_Table B5'!$C$1:$K$1,0))</f>
        <v>11394</v>
      </c>
    </row>
    <row r="1292" spans="1:6" x14ac:dyDescent="0.25">
      <c r="A1292" t="s">
        <v>1172</v>
      </c>
      <c r="B1292" t="s">
        <v>1173</v>
      </c>
      <c r="C1292" t="s">
        <v>1178</v>
      </c>
      <c r="D1292" t="s">
        <v>247</v>
      </c>
      <c r="E1292" t="str">
        <f>INDEX('State Codes'!$E$7:$E$70,MATCH(INDEX('State Codes'!$C$7:$C$70,MATCH('County Climates'!B1292,'State Codes'!$D$7:$D$70,0),1),'State Codes'!$C$7:$C$70,0),1)</f>
        <v>West South Central Division</v>
      </c>
      <c r="F1292">
        <f>INDEX('CBECS_Table B5'!$C$6:$K$6,1,MATCH('County Climates'!E1292,'CBECS_Table B5'!$C$1:$K$1,0))</f>
        <v>11394</v>
      </c>
    </row>
    <row r="1293" spans="1:6" x14ac:dyDescent="0.25">
      <c r="A1293" t="s">
        <v>1172</v>
      </c>
      <c r="B1293" t="s">
        <v>1173</v>
      </c>
      <c r="C1293" t="s">
        <v>1092</v>
      </c>
      <c r="D1293" t="s">
        <v>357</v>
      </c>
      <c r="E1293" t="str">
        <f>INDEX('State Codes'!$E$7:$E$70,MATCH(INDEX('State Codes'!$C$7:$C$70,MATCH('County Climates'!B1293,'State Codes'!$D$7:$D$70,0),1),'State Codes'!$C$7:$C$70,0),1)</f>
        <v>West South Central Division</v>
      </c>
      <c r="F1293">
        <f>INDEX('CBECS_Table B5'!$C$6:$K$6,1,MATCH('County Climates'!E1293,'CBECS_Table B5'!$C$1:$K$1,0))</f>
        <v>11394</v>
      </c>
    </row>
    <row r="1294" spans="1:6" x14ac:dyDescent="0.25">
      <c r="A1294" t="s">
        <v>1172</v>
      </c>
      <c r="B1294" t="s">
        <v>1173</v>
      </c>
      <c r="C1294" t="s">
        <v>1179</v>
      </c>
      <c r="D1294" t="s">
        <v>243</v>
      </c>
      <c r="E1294" t="str">
        <f>INDEX('State Codes'!$E$7:$E$70,MATCH(INDEX('State Codes'!$C$7:$C$70,MATCH('County Climates'!B1294,'State Codes'!$D$7:$D$70,0),1),'State Codes'!$C$7:$C$70,0),1)</f>
        <v>West South Central Division</v>
      </c>
      <c r="F1294">
        <f>INDEX('CBECS_Table B5'!$C$6:$K$6,1,MATCH('County Climates'!E1294,'CBECS_Table B5'!$C$1:$K$1,0))</f>
        <v>11394</v>
      </c>
    </row>
    <row r="1295" spans="1:6" x14ac:dyDescent="0.25">
      <c r="A1295" t="s">
        <v>1172</v>
      </c>
      <c r="B1295" t="s">
        <v>1173</v>
      </c>
      <c r="C1295" t="s">
        <v>1180</v>
      </c>
      <c r="D1295" t="s">
        <v>243</v>
      </c>
      <c r="E1295" t="str">
        <f>INDEX('State Codes'!$E$7:$E$70,MATCH(INDEX('State Codes'!$C$7:$C$70,MATCH('County Climates'!B1295,'State Codes'!$D$7:$D$70,0),1),'State Codes'!$C$7:$C$70,0),1)</f>
        <v>West South Central Division</v>
      </c>
      <c r="F1295">
        <f>INDEX('CBECS_Table B5'!$C$6:$K$6,1,MATCH('County Climates'!E1295,'CBECS_Table B5'!$C$1:$K$1,0))</f>
        <v>11394</v>
      </c>
    </row>
    <row r="1296" spans="1:6" x14ac:dyDescent="0.25">
      <c r="A1296" t="s">
        <v>1172</v>
      </c>
      <c r="B1296" t="s">
        <v>1173</v>
      </c>
      <c r="C1296" t="s">
        <v>1181</v>
      </c>
      <c r="D1296" t="s">
        <v>357</v>
      </c>
      <c r="E1296" t="str">
        <f>INDEX('State Codes'!$E$7:$E$70,MATCH(INDEX('State Codes'!$C$7:$C$70,MATCH('County Climates'!B1296,'State Codes'!$D$7:$D$70,0),1),'State Codes'!$C$7:$C$70,0),1)</f>
        <v>West South Central Division</v>
      </c>
      <c r="F1296">
        <f>INDEX('CBECS_Table B5'!$C$6:$K$6,1,MATCH('County Climates'!E1296,'CBECS_Table B5'!$C$1:$K$1,0))</f>
        <v>11394</v>
      </c>
    </row>
    <row r="1297" spans="1:6" x14ac:dyDescent="0.25">
      <c r="A1297" t="s">
        <v>1172</v>
      </c>
      <c r="B1297" t="s">
        <v>1173</v>
      </c>
      <c r="C1297" t="s">
        <v>1182</v>
      </c>
      <c r="D1297" t="s">
        <v>243</v>
      </c>
      <c r="E1297" t="str">
        <f>INDEX('State Codes'!$E$7:$E$70,MATCH(INDEX('State Codes'!$C$7:$C$70,MATCH('County Climates'!B1297,'State Codes'!$D$7:$D$70,0),1),'State Codes'!$C$7:$C$70,0),1)</f>
        <v>West South Central Division</v>
      </c>
      <c r="F1297">
        <f>INDEX('CBECS_Table B5'!$C$6:$K$6,1,MATCH('County Climates'!E1297,'CBECS_Table B5'!$C$1:$K$1,0))</f>
        <v>11394</v>
      </c>
    </row>
    <row r="1298" spans="1:6" x14ac:dyDescent="0.25">
      <c r="A1298" t="s">
        <v>1172</v>
      </c>
      <c r="B1298" t="s">
        <v>1173</v>
      </c>
      <c r="C1298" t="s">
        <v>1183</v>
      </c>
      <c r="D1298" t="s">
        <v>243</v>
      </c>
      <c r="E1298" t="str">
        <f>INDEX('State Codes'!$E$7:$E$70,MATCH(INDEX('State Codes'!$C$7:$C$70,MATCH('County Climates'!B1298,'State Codes'!$D$7:$D$70,0),1),'State Codes'!$C$7:$C$70,0),1)</f>
        <v>West South Central Division</v>
      </c>
      <c r="F1298">
        <f>INDEX('CBECS_Table B5'!$C$6:$K$6,1,MATCH('County Climates'!E1298,'CBECS_Table B5'!$C$1:$K$1,0))</f>
        <v>11394</v>
      </c>
    </row>
    <row r="1299" spans="1:6" x14ac:dyDescent="0.25">
      <c r="A1299" t="s">
        <v>1172</v>
      </c>
      <c r="B1299" t="s">
        <v>1173</v>
      </c>
      <c r="C1299" t="s">
        <v>1184</v>
      </c>
      <c r="D1299" t="s">
        <v>359</v>
      </c>
      <c r="E1299" t="str">
        <f>INDEX('State Codes'!$E$7:$E$70,MATCH(INDEX('State Codes'!$C$7:$C$70,MATCH('County Climates'!B1299,'State Codes'!$D$7:$D$70,0),1),'State Codes'!$C$7:$C$70,0),1)</f>
        <v>West South Central Division</v>
      </c>
      <c r="F1299">
        <f>INDEX('CBECS_Table B5'!$C$6:$K$6,1,MATCH('County Climates'!E1299,'CBECS_Table B5'!$C$1:$K$1,0))</f>
        <v>11394</v>
      </c>
    </row>
    <row r="1300" spans="1:6" x14ac:dyDescent="0.25">
      <c r="A1300" t="s">
        <v>1172</v>
      </c>
      <c r="B1300" t="s">
        <v>1173</v>
      </c>
      <c r="C1300" t="s">
        <v>1185</v>
      </c>
      <c r="D1300" t="s">
        <v>359</v>
      </c>
      <c r="E1300" t="str">
        <f>INDEX('State Codes'!$E$7:$E$70,MATCH(INDEX('State Codes'!$C$7:$C$70,MATCH('County Climates'!B1300,'State Codes'!$D$7:$D$70,0),1),'State Codes'!$C$7:$C$70,0),1)</f>
        <v>West South Central Division</v>
      </c>
      <c r="F1300">
        <f>INDEX('CBECS_Table B5'!$C$6:$K$6,1,MATCH('County Climates'!E1300,'CBECS_Table B5'!$C$1:$K$1,0))</f>
        <v>11394</v>
      </c>
    </row>
    <row r="1301" spans="1:6" x14ac:dyDescent="0.25">
      <c r="A1301" t="s">
        <v>1172</v>
      </c>
      <c r="B1301" t="s">
        <v>1173</v>
      </c>
      <c r="C1301" t="s">
        <v>1186</v>
      </c>
      <c r="D1301" t="s">
        <v>243</v>
      </c>
      <c r="E1301" t="str">
        <f>INDEX('State Codes'!$E$7:$E$70,MATCH(INDEX('State Codes'!$C$7:$C$70,MATCH('County Climates'!B1301,'State Codes'!$D$7:$D$70,0),1),'State Codes'!$C$7:$C$70,0),1)</f>
        <v>West South Central Division</v>
      </c>
      <c r="F1301">
        <f>INDEX('CBECS_Table B5'!$C$6:$K$6,1,MATCH('County Climates'!E1301,'CBECS_Table B5'!$C$1:$K$1,0))</f>
        <v>11394</v>
      </c>
    </row>
    <row r="1302" spans="1:6" x14ac:dyDescent="0.25">
      <c r="A1302" t="s">
        <v>1172</v>
      </c>
      <c r="B1302" t="s">
        <v>1173</v>
      </c>
      <c r="C1302" t="s">
        <v>273</v>
      </c>
      <c r="D1302" t="s">
        <v>243</v>
      </c>
      <c r="E1302" t="str">
        <f>INDEX('State Codes'!$E$7:$E$70,MATCH(INDEX('State Codes'!$C$7:$C$70,MATCH('County Climates'!B1302,'State Codes'!$D$7:$D$70,0),1),'State Codes'!$C$7:$C$70,0),1)</f>
        <v>West South Central Division</v>
      </c>
      <c r="F1302">
        <f>INDEX('CBECS_Table B5'!$C$6:$K$6,1,MATCH('County Climates'!E1302,'CBECS_Table B5'!$C$1:$K$1,0))</f>
        <v>11394</v>
      </c>
    </row>
    <row r="1303" spans="1:6" x14ac:dyDescent="0.25">
      <c r="A1303" t="s">
        <v>1172</v>
      </c>
      <c r="B1303" t="s">
        <v>1173</v>
      </c>
      <c r="C1303" t="s">
        <v>1187</v>
      </c>
      <c r="D1303" t="s">
        <v>243</v>
      </c>
      <c r="E1303" t="str">
        <f>INDEX('State Codes'!$E$7:$E$70,MATCH(INDEX('State Codes'!$C$7:$C$70,MATCH('County Climates'!B1303,'State Codes'!$D$7:$D$70,0),1),'State Codes'!$C$7:$C$70,0),1)</f>
        <v>West South Central Division</v>
      </c>
      <c r="F1303">
        <f>INDEX('CBECS_Table B5'!$C$6:$K$6,1,MATCH('County Climates'!E1303,'CBECS_Table B5'!$C$1:$K$1,0))</f>
        <v>11394</v>
      </c>
    </row>
    <row r="1304" spans="1:6" x14ac:dyDescent="0.25">
      <c r="A1304" t="s">
        <v>1172</v>
      </c>
      <c r="B1304" t="s">
        <v>1173</v>
      </c>
      <c r="C1304" t="s">
        <v>1188</v>
      </c>
      <c r="D1304" t="s">
        <v>243</v>
      </c>
      <c r="E1304" t="str">
        <f>INDEX('State Codes'!$E$7:$E$70,MATCH(INDEX('State Codes'!$C$7:$C$70,MATCH('County Climates'!B1304,'State Codes'!$D$7:$D$70,0),1),'State Codes'!$C$7:$C$70,0),1)</f>
        <v>West South Central Division</v>
      </c>
      <c r="F1304">
        <f>INDEX('CBECS_Table B5'!$C$6:$K$6,1,MATCH('County Climates'!E1304,'CBECS_Table B5'!$C$1:$K$1,0))</f>
        <v>11394</v>
      </c>
    </row>
    <row r="1305" spans="1:6" x14ac:dyDescent="0.25">
      <c r="A1305" t="s">
        <v>1172</v>
      </c>
      <c r="B1305" t="s">
        <v>1173</v>
      </c>
      <c r="C1305" t="s">
        <v>1189</v>
      </c>
      <c r="D1305" t="s">
        <v>359</v>
      </c>
      <c r="E1305" t="str">
        <f>INDEX('State Codes'!$E$7:$E$70,MATCH(INDEX('State Codes'!$C$7:$C$70,MATCH('County Climates'!B1305,'State Codes'!$D$7:$D$70,0),1),'State Codes'!$C$7:$C$70,0),1)</f>
        <v>West South Central Division</v>
      </c>
      <c r="F1305">
        <f>INDEX('CBECS_Table B5'!$C$6:$K$6,1,MATCH('County Climates'!E1305,'CBECS_Table B5'!$C$1:$K$1,0))</f>
        <v>11394</v>
      </c>
    </row>
    <row r="1306" spans="1:6" x14ac:dyDescent="0.25">
      <c r="A1306" t="s">
        <v>1172</v>
      </c>
      <c r="B1306" t="s">
        <v>1173</v>
      </c>
      <c r="C1306" t="s">
        <v>1190</v>
      </c>
      <c r="D1306" t="s">
        <v>243</v>
      </c>
      <c r="E1306" t="str">
        <f>INDEX('State Codes'!$E$7:$E$70,MATCH(INDEX('State Codes'!$C$7:$C$70,MATCH('County Climates'!B1306,'State Codes'!$D$7:$D$70,0),1),'State Codes'!$C$7:$C$70,0),1)</f>
        <v>West South Central Division</v>
      </c>
      <c r="F1306">
        <f>INDEX('CBECS_Table B5'!$C$6:$K$6,1,MATCH('County Climates'!E1306,'CBECS_Table B5'!$C$1:$K$1,0))</f>
        <v>11394</v>
      </c>
    </row>
    <row r="1307" spans="1:6" x14ac:dyDescent="0.25">
      <c r="A1307" t="s">
        <v>1172</v>
      </c>
      <c r="B1307" t="s">
        <v>1173</v>
      </c>
      <c r="C1307" t="s">
        <v>1191</v>
      </c>
      <c r="D1307" t="s">
        <v>359</v>
      </c>
      <c r="E1307" t="str">
        <f>INDEX('State Codes'!$E$7:$E$70,MATCH(INDEX('State Codes'!$C$7:$C$70,MATCH('County Climates'!B1307,'State Codes'!$D$7:$D$70,0),1),'State Codes'!$C$7:$C$70,0),1)</f>
        <v>West South Central Division</v>
      </c>
      <c r="F1307">
        <f>INDEX('CBECS_Table B5'!$C$6:$K$6,1,MATCH('County Climates'!E1307,'CBECS_Table B5'!$C$1:$K$1,0))</f>
        <v>11394</v>
      </c>
    </row>
    <row r="1308" spans="1:6" x14ac:dyDescent="0.25">
      <c r="A1308" t="s">
        <v>1172</v>
      </c>
      <c r="B1308" t="s">
        <v>1173</v>
      </c>
      <c r="C1308" t="s">
        <v>1192</v>
      </c>
      <c r="D1308" t="s">
        <v>243</v>
      </c>
      <c r="E1308" t="str">
        <f>INDEX('State Codes'!$E$7:$E$70,MATCH(INDEX('State Codes'!$C$7:$C$70,MATCH('County Climates'!B1308,'State Codes'!$D$7:$D$70,0),1),'State Codes'!$C$7:$C$70,0),1)</f>
        <v>West South Central Division</v>
      </c>
      <c r="F1308">
        <f>INDEX('CBECS_Table B5'!$C$6:$K$6,1,MATCH('County Climates'!E1308,'CBECS_Table B5'!$C$1:$K$1,0))</f>
        <v>11394</v>
      </c>
    </row>
    <row r="1309" spans="1:6" x14ac:dyDescent="0.25">
      <c r="A1309" t="s">
        <v>1172</v>
      </c>
      <c r="B1309" t="s">
        <v>1173</v>
      </c>
      <c r="C1309" t="s">
        <v>1193</v>
      </c>
      <c r="D1309" t="s">
        <v>359</v>
      </c>
      <c r="E1309" t="str">
        <f>INDEX('State Codes'!$E$7:$E$70,MATCH(INDEX('State Codes'!$C$7:$C$70,MATCH('County Climates'!B1309,'State Codes'!$D$7:$D$70,0),1),'State Codes'!$C$7:$C$70,0),1)</f>
        <v>West South Central Division</v>
      </c>
      <c r="F1309">
        <f>INDEX('CBECS_Table B5'!$C$6:$K$6,1,MATCH('County Climates'!E1309,'CBECS_Table B5'!$C$1:$K$1,0))</f>
        <v>11394</v>
      </c>
    </row>
    <row r="1310" spans="1:6" x14ac:dyDescent="0.25">
      <c r="A1310" t="s">
        <v>1172</v>
      </c>
      <c r="B1310" t="s">
        <v>1173</v>
      </c>
      <c r="C1310" t="s">
        <v>1194</v>
      </c>
      <c r="D1310" t="s">
        <v>243</v>
      </c>
      <c r="E1310" t="str">
        <f>INDEX('State Codes'!$E$7:$E$70,MATCH(INDEX('State Codes'!$C$7:$C$70,MATCH('County Climates'!B1310,'State Codes'!$D$7:$D$70,0),1),'State Codes'!$C$7:$C$70,0),1)</f>
        <v>West South Central Division</v>
      </c>
      <c r="F1310">
        <f>INDEX('CBECS_Table B5'!$C$6:$K$6,1,MATCH('County Climates'!E1310,'CBECS_Table B5'!$C$1:$K$1,0))</f>
        <v>11394</v>
      </c>
    </row>
    <row r="1311" spans="1:6" x14ac:dyDescent="0.25">
      <c r="A1311" t="s">
        <v>1172</v>
      </c>
      <c r="B1311" t="s">
        <v>1173</v>
      </c>
      <c r="C1311" t="s">
        <v>1195</v>
      </c>
      <c r="D1311" t="s">
        <v>243</v>
      </c>
      <c r="E1311" t="str">
        <f>INDEX('State Codes'!$E$7:$E$70,MATCH(INDEX('State Codes'!$C$7:$C$70,MATCH('County Climates'!B1311,'State Codes'!$D$7:$D$70,0),1),'State Codes'!$C$7:$C$70,0),1)</f>
        <v>West South Central Division</v>
      </c>
      <c r="F1311">
        <f>INDEX('CBECS_Table B5'!$C$6:$K$6,1,MATCH('County Climates'!E1311,'CBECS_Table B5'!$C$1:$K$1,0))</f>
        <v>11394</v>
      </c>
    </row>
    <row r="1312" spans="1:6" x14ac:dyDescent="0.25">
      <c r="A1312" t="s">
        <v>1172</v>
      </c>
      <c r="B1312" t="s">
        <v>1173</v>
      </c>
      <c r="C1312" t="s">
        <v>631</v>
      </c>
      <c r="D1312" t="s">
        <v>357</v>
      </c>
      <c r="E1312" t="str">
        <f>INDEX('State Codes'!$E$7:$E$70,MATCH(INDEX('State Codes'!$C$7:$C$70,MATCH('County Climates'!B1312,'State Codes'!$D$7:$D$70,0),1),'State Codes'!$C$7:$C$70,0),1)</f>
        <v>West South Central Division</v>
      </c>
      <c r="F1312">
        <f>INDEX('CBECS_Table B5'!$C$6:$K$6,1,MATCH('County Climates'!E1312,'CBECS_Table B5'!$C$1:$K$1,0))</f>
        <v>11394</v>
      </c>
    </row>
    <row r="1313" spans="1:6" x14ac:dyDescent="0.25">
      <c r="A1313" t="s">
        <v>1172</v>
      </c>
      <c r="B1313" t="s">
        <v>1173</v>
      </c>
      <c r="C1313" t="s">
        <v>1196</v>
      </c>
      <c r="D1313" t="s">
        <v>247</v>
      </c>
      <c r="E1313" t="str">
        <f>INDEX('State Codes'!$E$7:$E$70,MATCH(INDEX('State Codes'!$C$7:$C$70,MATCH('County Climates'!B1313,'State Codes'!$D$7:$D$70,0),1),'State Codes'!$C$7:$C$70,0),1)</f>
        <v>West South Central Division</v>
      </c>
      <c r="F1313">
        <f>INDEX('CBECS_Table B5'!$C$6:$K$6,1,MATCH('County Climates'!E1313,'CBECS_Table B5'!$C$1:$K$1,0))</f>
        <v>11394</v>
      </c>
    </row>
    <row r="1314" spans="1:6" x14ac:dyDescent="0.25">
      <c r="A1314" t="s">
        <v>1172</v>
      </c>
      <c r="B1314" t="s">
        <v>1173</v>
      </c>
      <c r="C1314" t="s">
        <v>1197</v>
      </c>
      <c r="D1314" t="s">
        <v>243</v>
      </c>
      <c r="E1314" t="str">
        <f>INDEX('State Codes'!$E$7:$E$70,MATCH(INDEX('State Codes'!$C$7:$C$70,MATCH('County Climates'!B1314,'State Codes'!$D$7:$D$70,0),1),'State Codes'!$C$7:$C$70,0),1)</f>
        <v>West South Central Division</v>
      </c>
      <c r="F1314">
        <f>INDEX('CBECS_Table B5'!$C$6:$K$6,1,MATCH('County Climates'!E1314,'CBECS_Table B5'!$C$1:$K$1,0))</f>
        <v>11394</v>
      </c>
    </row>
    <row r="1315" spans="1:6" x14ac:dyDescent="0.25">
      <c r="A1315" t="s">
        <v>1172</v>
      </c>
      <c r="B1315" t="s">
        <v>1173</v>
      </c>
      <c r="C1315" t="s">
        <v>1198</v>
      </c>
      <c r="D1315" t="s">
        <v>243</v>
      </c>
      <c r="E1315" t="str">
        <f>INDEX('State Codes'!$E$7:$E$70,MATCH(INDEX('State Codes'!$C$7:$C$70,MATCH('County Climates'!B1315,'State Codes'!$D$7:$D$70,0),1),'State Codes'!$C$7:$C$70,0),1)</f>
        <v>West South Central Division</v>
      </c>
      <c r="F1315">
        <f>INDEX('CBECS_Table B5'!$C$6:$K$6,1,MATCH('County Climates'!E1315,'CBECS_Table B5'!$C$1:$K$1,0))</f>
        <v>11394</v>
      </c>
    </row>
    <row r="1316" spans="1:6" x14ac:dyDescent="0.25">
      <c r="A1316" t="s">
        <v>1172</v>
      </c>
      <c r="B1316" t="s">
        <v>1173</v>
      </c>
      <c r="C1316" t="s">
        <v>1199</v>
      </c>
      <c r="D1316" t="s">
        <v>243</v>
      </c>
      <c r="E1316" t="str">
        <f>INDEX('State Codes'!$E$7:$E$70,MATCH(INDEX('State Codes'!$C$7:$C$70,MATCH('County Climates'!B1316,'State Codes'!$D$7:$D$70,0),1),'State Codes'!$C$7:$C$70,0),1)</f>
        <v>West South Central Division</v>
      </c>
      <c r="F1316">
        <f>INDEX('CBECS_Table B5'!$C$6:$K$6,1,MATCH('County Climates'!E1316,'CBECS_Table B5'!$C$1:$K$1,0))</f>
        <v>11394</v>
      </c>
    </row>
    <row r="1317" spans="1:6" x14ac:dyDescent="0.25">
      <c r="A1317" t="s">
        <v>1172</v>
      </c>
      <c r="B1317" t="s">
        <v>1173</v>
      </c>
      <c r="C1317" t="s">
        <v>276</v>
      </c>
      <c r="D1317" t="s">
        <v>357</v>
      </c>
      <c r="E1317" t="str">
        <f>INDEX('State Codes'!$E$7:$E$70,MATCH(INDEX('State Codes'!$C$7:$C$70,MATCH('County Climates'!B1317,'State Codes'!$D$7:$D$70,0),1),'State Codes'!$C$7:$C$70,0),1)</f>
        <v>West South Central Division</v>
      </c>
      <c r="F1317">
        <f>INDEX('CBECS_Table B5'!$C$6:$K$6,1,MATCH('County Climates'!E1317,'CBECS_Table B5'!$C$1:$K$1,0))</f>
        <v>11394</v>
      </c>
    </row>
    <row r="1318" spans="1:6" x14ac:dyDescent="0.25">
      <c r="A1318" t="s">
        <v>1172</v>
      </c>
      <c r="B1318" t="s">
        <v>1173</v>
      </c>
      <c r="C1318" t="s">
        <v>896</v>
      </c>
      <c r="D1318" t="s">
        <v>359</v>
      </c>
      <c r="E1318" t="str">
        <f>INDEX('State Codes'!$E$7:$E$70,MATCH(INDEX('State Codes'!$C$7:$C$70,MATCH('County Climates'!B1318,'State Codes'!$D$7:$D$70,0),1),'State Codes'!$C$7:$C$70,0),1)</f>
        <v>West South Central Division</v>
      </c>
      <c r="F1318">
        <f>INDEX('CBECS_Table B5'!$C$6:$K$6,1,MATCH('County Climates'!E1318,'CBECS_Table B5'!$C$1:$K$1,0))</f>
        <v>11394</v>
      </c>
    </row>
    <row r="1319" spans="1:6" x14ac:dyDescent="0.25">
      <c r="A1319" t="s">
        <v>1172</v>
      </c>
      <c r="B1319" t="s">
        <v>1173</v>
      </c>
      <c r="C1319" t="s">
        <v>609</v>
      </c>
      <c r="D1319" t="s">
        <v>243</v>
      </c>
      <c r="E1319" t="str">
        <f>INDEX('State Codes'!$E$7:$E$70,MATCH(INDEX('State Codes'!$C$7:$C$70,MATCH('County Climates'!B1319,'State Codes'!$D$7:$D$70,0),1),'State Codes'!$C$7:$C$70,0),1)</f>
        <v>West South Central Division</v>
      </c>
      <c r="F1319">
        <f>INDEX('CBECS_Table B5'!$C$6:$K$6,1,MATCH('County Climates'!E1319,'CBECS_Table B5'!$C$1:$K$1,0))</f>
        <v>11394</v>
      </c>
    </row>
    <row r="1320" spans="1:6" x14ac:dyDescent="0.25">
      <c r="A1320" t="s">
        <v>1172</v>
      </c>
      <c r="B1320" t="s">
        <v>1173</v>
      </c>
      <c r="C1320" t="s">
        <v>1200</v>
      </c>
      <c r="D1320" t="s">
        <v>357</v>
      </c>
      <c r="E1320" t="str">
        <f>INDEX('State Codes'!$E$7:$E$70,MATCH(INDEX('State Codes'!$C$7:$C$70,MATCH('County Climates'!B1320,'State Codes'!$D$7:$D$70,0),1),'State Codes'!$C$7:$C$70,0),1)</f>
        <v>West South Central Division</v>
      </c>
      <c r="F1320">
        <f>INDEX('CBECS_Table B5'!$C$6:$K$6,1,MATCH('County Climates'!E1320,'CBECS_Table B5'!$C$1:$K$1,0))</f>
        <v>11394</v>
      </c>
    </row>
    <row r="1321" spans="1:6" x14ac:dyDescent="0.25">
      <c r="A1321" t="s">
        <v>1172</v>
      </c>
      <c r="B1321" t="s">
        <v>1173</v>
      </c>
      <c r="C1321" t="s">
        <v>1201</v>
      </c>
      <c r="D1321" t="s">
        <v>359</v>
      </c>
      <c r="E1321" t="str">
        <f>INDEX('State Codes'!$E$7:$E$70,MATCH(INDEX('State Codes'!$C$7:$C$70,MATCH('County Climates'!B1321,'State Codes'!$D$7:$D$70,0),1),'State Codes'!$C$7:$C$70,0),1)</f>
        <v>West South Central Division</v>
      </c>
      <c r="F1321">
        <f>INDEX('CBECS_Table B5'!$C$6:$K$6,1,MATCH('County Climates'!E1321,'CBECS_Table B5'!$C$1:$K$1,0))</f>
        <v>11394</v>
      </c>
    </row>
    <row r="1322" spans="1:6" x14ac:dyDescent="0.25">
      <c r="A1322" t="s">
        <v>1172</v>
      </c>
      <c r="B1322" t="s">
        <v>1173</v>
      </c>
      <c r="C1322" t="s">
        <v>611</v>
      </c>
      <c r="D1322" t="s">
        <v>243</v>
      </c>
      <c r="E1322" t="str">
        <f>INDEX('State Codes'!$E$7:$E$70,MATCH(INDEX('State Codes'!$C$7:$C$70,MATCH('County Climates'!B1322,'State Codes'!$D$7:$D$70,0),1),'State Codes'!$C$7:$C$70,0),1)</f>
        <v>West South Central Division</v>
      </c>
      <c r="F1322">
        <f>INDEX('CBECS_Table B5'!$C$6:$K$6,1,MATCH('County Climates'!E1322,'CBECS_Table B5'!$C$1:$K$1,0))</f>
        <v>11394</v>
      </c>
    </row>
    <row r="1323" spans="1:6" x14ac:dyDescent="0.25">
      <c r="A1323" t="s">
        <v>1172</v>
      </c>
      <c r="B1323" t="s">
        <v>1173</v>
      </c>
      <c r="C1323" t="s">
        <v>1202</v>
      </c>
      <c r="D1323" t="s">
        <v>243</v>
      </c>
      <c r="E1323" t="str">
        <f>INDEX('State Codes'!$E$7:$E$70,MATCH(INDEX('State Codes'!$C$7:$C$70,MATCH('County Climates'!B1323,'State Codes'!$D$7:$D$70,0),1),'State Codes'!$C$7:$C$70,0),1)</f>
        <v>West South Central Division</v>
      </c>
      <c r="F1323">
        <f>INDEX('CBECS_Table B5'!$C$6:$K$6,1,MATCH('County Climates'!E1323,'CBECS_Table B5'!$C$1:$K$1,0))</f>
        <v>11394</v>
      </c>
    </row>
    <row r="1324" spans="1:6" x14ac:dyDescent="0.25">
      <c r="A1324" t="s">
        <v>1172</v>
      </c>
      <c r="B1324" t="s">
        <v>1173</v>
      </c>
      <c r="C1324" t="s">
        <v>612</v>
      </c>
      <c r="D1324" t="s">
        <v>243</v>
      </c>
      <c r="E1324" t="str">
        <f>INDEX('State Codes'!$E$7:$E$70,MATCH(INDEX('State Codes'!$C$7:$C$70,MATCH('County Climates'!B1324,'State Codes'!$D$7:$D$70,0),1),'State Codes'!$C$7:$C$70,0),1)</f>
        <v>West South Central Division</v>
      </c>
      <c r="F1324">
        <f>INDEX('CBECS_Table B5'!$C$6:$K$6,1,MATCH('County Climates'!E1324,'CBECS_Table B5'!$C$1:$K$1,0))</f>
        <v>11394</v>
      </c>
    </row>
    <row r="1325" spans="1:6" x14ac:dyDescent="0.25">
      <c r="A1325" t="s">
        <v>1172</v>
      </c>
      <c r="B1325" t="s">
        <v>1173</v>
      </c>
      <c r="C1325" t="s">
        <v>1203</v>
      </c>
      <c r="D1325" t="s">
        <v>357</v>
      </c>
      <c r="E1325" t="str">
        <f>INDEX('State Codes'!$E$7:$E$70,MATCH(INDEX('State Codes'!$C$7:$C$70,MATCH('County Climates'!B1325,'State Codes'!$D$7:$D$70,0),1),'State Codes'!$C$7:$C$70,0),1)</f>
        <v>West South Central Division</v>
      </c>
      <c r="F1325">
        <f>INDEX('CBECS_Table B5'!$C$6:$K$6,1,MATCH('County Climates'!E1325,'CBECS_Table B5'!$C$1:$K$1,0))</f>
        <v>11394</v>
      </c>
    </row>
    <row r="1326" spans="1:6" x14ac:dyDescent="0.25">
      <c r="A1326" t="s">
        <v>1172</v>
      </c>
      <c r="B1326" t="s">
        <v>1173</v>
      </c>
      <c r="C1326" t="s">
        <v>636</v>
      </c>
      <c r="D1326" t="s">
        <v>359</v>
      </c>
      <c r="E1326" t="str">
        <f>INDEX('State Codes'!$E$7:$E$70,MATCH(INDEX('State Codes'!$C$7:$C$70,MATCH('County Climates'!B1326,'State Codes'!$D$7:$D$70,0),1),'State Codes'!$C$7:$C$70,0),1)</f>
        <v>West South Central Division</v>
      </c>
      <c r="F1326">
        <f>INDEX('CBECS_Table B5'!$C$6:$K$6,1,MATCH('County Climates'!E1326,'CBECS_Table B5'!$C$1:$K$1,0))</f>
        <v>11394</v>
      </c>
    </row>
    <row r="1327" spans="1:6" x14ac:dyDescent="0.25">
      <c r="A1327" t="s">
        <v>1172</v>
      </c>
      <c r="B1327" t="s">
        <v>1173</v>
      </c>
      <c r="C1327" t="s">
        <v>1204</v>
      </c>
      <c r="D1327" t="s">
        <v>243</v>
      </c>
      <c r="E1327" t="str">
        <f>INDEX('State Codes'!$E$7:$E$70,MATCH(INDEX('State Codes'!$C$7:$C$70,MATCH('County Climates'!B1327,'State Codes'!$D$7:$D$70,0),1),'State Codes'!$C$7:$C$70,0),1)</f>
        <v>West South Central Division</v>
      </c>
      <c r="F1327">
        <f>INDEX('CBECS_Table B5'!$C$6:$K$6,1,MATCH('County Climates'!E1327,'CBECS_Table B5'!$C$1:$K$1,0))</f>
        <v>11394</v>
      </c>
    </row>
    <row r="1328" spans="1:6" x14ac:dyDescent="0.25">
      <c r="A1328" t="s">
        <v>1172</v>
      </c>
      <c r="B1328" t="s">
        <v>1173</v>
      </c>
      <c r="C1328" t="s">
        <v>1205</v>
      </c>
      <c r="D1328" t="s">
        <v>359</v>
      </c>
      <c r="E1328" t="str">
        <f>INDEX('State Codes'!$E$7:$E$70,MATCH(INDEX('State Codes'!$C$7:$C$70,MATCH('County Climates'!B1328,'State Codes'!$D$7:$D$70,0),1),'State Codes'!$C$7:$C$70,0),1)</f>
        <v>West South Central Division</v>
      </c>
      <c r="F1328">
        <f>INDEX('CBECS_Table B5'!$C$6:$K$6,1,MATCH('County Climates'!E1328,'CBECS_Table B5'!$C$1:$K$1,0))</f>
        <v>11394</v>
      </c>
    </row>
    <row r="1329" spans="1:6" x14ac:dyDescent="0.25">
      <c r="A1329" t="s">
        <v>1172</v>
      </c>
      <c r="B1329" t="s">
        <v>1173</v>
      </c>
      <c r="C1329" t="s">
        <v>673</v>
      </c>
      <c r="D1329" t="s">
        <v>243</v>
      </c>
      <c r="E1329" t="str">
        <f>INDEX('State Codes'!$E$7:$E$70,MATCH(INDEX('State Codes'!$C$7:$C$70,MATCH('County Climates'!B1329,'State Codes'!$D$7:$D$70,0),1),'State Codes'!$C$7:$C$70,0),1)</f>
        <v>West South Central Division</v>
      </c>
      <c r="F1329">
        <f>INDEX('CBECS_Table B5'!$C$6:$K$6,1,MATCH('County Climates'!E1329,'CBECS_Table B5'!$C$1:$K$1,0))</f>
        <v>11394</v>
      </c>
    </row>
    <row r="1330" spans="1:6" x14ac:dyDescent="0.25">
      <c r="A1330" t="s">
        <v>1172</v>
      </c>
      <c r="B1330" t="s">
        <v>1173</v>
      </c>
      <c r="C1330" t="s">
        <v>1206</v>
      </c>
      <c r="D1330" t="s">
        <v>243</v>
      </c>
      <c r="E1330" t="str">
        <f>INDEX('State Codes'!$E$7:$E$70,MATCH(INDEX('State Codes'!$C$7:$C$70,MATCH('County Climates'!B1330,'State Codes'!$D$7:$D$70,0),1),'State Codes'!$C$7:$C$70,0),1)</f>
        <v>West South Central Division</v>
      </c>
      <c r="F1330">
        <f>INDEX('CBECS_Table B5'!$C$6:$K$6,1,MATCH('County Climates'!E1330,'CBECS_Table B5'!$C$1:$K$1,0))</f>
        <v>11394</v>
      </c>
    </row>
    <row r="1331" spans="1:6" x14ac:dyDescent="0.25">
      <c r="A1331" t="s">
        <v>1172</v>
      </c>
      <c r="B1331" t="s">
        <v>1173</v>
      </c>
      <c r="C1331" t="s">
        <v>889</v>
      </c>
      <c r="D1331" t="s">
        <v>243</v>
      </c>
      <c r="E1331" t="str">
        <f>INDEX('State Codes'!$E$7:$E$70,MATCH(INDEX('State Codes'!$C$7:$C$70,MATCH('County Climates'!B1331,'State Codes'!$D$7:$D$70,0),1),'State Codes'!$C$7:$C$70,0),1)</f>
        <v>West South Central Division</v>
      </c>
      <c r="F1331">
        <f>INDEX('CBECS_Table B5'!$C$6:$K$6,1,MATCH('County Climates'!E1331,'CBECS_Table B5'!$C$1:$K$1,0))</f>
        <v>11394</v>
      </c>
    </row>
    <row r="1332" spans="1:6" x14ac:dyDescent="0.25">
      <c r="A1332" t="s">
        <v>1172</v>
      </c>
      <c r="B1332" t="s">
        <v>1173</v>
      </c>
      <c r="C1332" t="s">
        <v>1207</v>
      </c>
      <c r="D1332" t="s">
        <v>357</v>
      </c>
      <c r="E1332" t="str">
        <f>INDEX('State Codes'!$E$7:$E$70,MATCH(INDEX('State Codes'!$C$7:$C$70,MATCH('County Climates'!B1332,'State Codes'!$D$7:$D$70,0),1),'State Codes'!$C$7:$C$70,0),1)</f>
        <v>West South Central Division</v>
      </c>
      <c r="F1332">
        <f>INDEX('CBECS_Table B5'!$C$6:$K$6,1,MATCH('County Climates'!E1332,'CBECS_Table B5'!$C$1:$K$1,0))</f>
        <v>11394</v>
      </c>
    </row>
    <row r="1333" spans="1:6" x14ac:dyDescent="0.25">
      <c r="A1333" t="s">
        <v>1172</v>
      </c>
      <c r="B1333" t="s">
        <v>1173</v>
      </c>
      <c r="C1333" t="s">
        <v>1208</v>
      </c>
      <c r="D1333" t="s">
        <v>243</v>
      </c>
      <c r="E1333" t="str">
        <f>INDEX('State Codes'!$E$7:$E$70,MATCH(INDEX('State Codes'!$C$7:$C$70,MATCH('County Climates'!B1333,'State Codes'!$D$7:$D$70,0),1),'State Codes'!$C$7:$C$70,0),1)</f>
        <v>West South Central Division</v>
      </c>
      <c r="F1333">
        <f>INDEX('CBECS_Table B5'!$C$6:$K$6,1,MATCH('County Climates'!E1333,'CBECS_Table B5'!$C$1:$K$1,0))</f>
        <v>11394</v>
      </c>
    </row>
    <row r="1334" spans="1:6" x14ac:dyDescent="0.25">
      <c r="A1334" t="s">
        <v>1172</v>
      </c>
      <c r="B1334" t="s">
        <v>1173</v>
      </c>
      <c r="C1334" t="s">
        <v>675</v>
      </c>
      <c r="D1334" t="s">
        <v>243</v>
      </c>
      <c r="E1334" t="str">
        <f>INDEX('State Codes'!$E$7:$E$70,MATCH(INDEX('State Codes'!$C$7:$C$70,MATCH('County Climates'!B1334,'State Codes'!$D$7:$D$70,0),1),'State Codes'!$C$7:$C$70,0),1)</f>
        <v>West South Central Division</v>
      </c>
      <c r="F1334">
        <f>INDEX('CBECS_Table B5'!$C$6:$K$6,1,MATCH('County Climates'!E1334,'CBECS_Table B5'!$C$1:$K$1,0))</f>
        <v>11394</v>
      </c>
    </row>
    <row r="1335" spans="1:6" x14ac:dyDescent="0.25">
      <c r="A1335" t="s">
        <v>1172</v>
      </c>
      <c r="B1335" t="s">
        <v>1173</v>
      </c>
      <c r="C1335" t="s">
        <v>278</v>
      </c>
      <c r="D1335" t="s">
        <v>243</v>
      </c>
      <c r="E1335" t="str">
        <f>INDEX('State Codes'!$E$7:$E$70,MATCH(INDEX('State Codes'!$C$7:$C$70,MATCH('County Climates'!B1335,'State Codes'!$D$7:$D$70,0),1),'State Codes'!$C$7:$C$70,0),1)</f>
        <v>West South Central Division</v>
      </c>
      <c r="F1335">
        <f>INDEX('CBECS_Table B5'!$C$6:$K$6,1,MATCH('County Climates'!E1335,'CBECS_Table B5'!$C$1:$K$1,0))</f>
        <v>11394</v>
      </c>
    </row>
    <row r="1336" spans="1:6" x14ac:dyDescent="0.25">
      <c r="A1336" t="s">
        <v>1172</v>
      </c>
      <c r="B1336" t="s">
        <v>1173</v>
      </c>
      <c r="C1336" t="s">
        <v>319</v>
      </c>
      <c r="D1336" t="s">
        <v>359</v>
      </c>
      <c r="E1336" t="str">
        <f>INDEX('State Codes'!$E$7:$E$70,MATCH(INDEX('State Codes'!$C$7:$C$70,MATCH('County Climates'!B1336,'State Codes'!$D$7:$D$70,0),1),'State Codes'!$C$7:$C$70,0),1)</f>
        <v>West South Central Division</v>
      </c>
      <c r="F1336">
        <f>INDEX('CBECS_Table B5'!$C$6:$K$6,1,MATCH('County Climates'!E1336,'CBECS_Table B5'!$C$1:$K$1,0))</f>
        <v>11394</v>
      </c>
    </row>
    <row r="1337" spans="1:6" x14ac:dyDescent="0.25">
      <c r="A1337" t="s">
        <v>1172</v>
      </c>
      <c r="B1337" t="s">
        <v>1173</v>
      </c>
      <c r="C1337" t="s">
        <v>1209</v>
      </c>
      <c r="D1337" t="s">
        <v>359</v>
      </c>
      <c r="E1337" t="str">
        <f>INDEX('State Codes'!$E$7:$E$70,MATCH(INDEX('State Codes'!$C$7:$C$70,MATCH('County Climates'!B1337,'State Codes'!$D$7:$D$70,0),1),'State Codes'!$C$7:$C$70,0),1)</f>
        <v>West South Central Division</v>
      </c>
      <c r="F1337">
        <f>INDEX('CBECS_Table B5'!$C$6:$K$6,1,MATCH('County Climates'!E1337,'CBECS_Table B5'!$C$1:$K$1,0))</f>
        <v>11394</v>
      </c>
    </row>
    <row r="1338" spans="1:6" x14ac:dyDescent="0.25">
      <c r="A1338" t="s">
        <v>1172</v>
      </c>
      <c r="B1338" t="s">
        <v>1173</v>
      </c>
      <c r="C1338" t="s">
        <v>1210</v>
      </c>
      <c r="D1338" t="s">
        <v>243</v>
      </c>
      <c r="E1338" t="str">
        <f>INDEX('State Codes'!$E$7:$E$70,MATCH(INDEX('State Codes'!$C$7:$C$70,MATCH('County Climates'!B1338,'State Codes'!$D$7:$D$70,0),1),'State Codes'!$C$7:$C$70,0),1)</f>
        <v>West South Central Division</v>
      </c>
      <c r="F1338">
        <f>INDEX('CBECS_Table B5'!$C$6:$K$6,1,MATCH('County Climates'!E1338,'CBECS_Table B5'!$C$1:$K$1,0))</f>
        <v>11394</v>
      </c>
    </row>
    <row r="1339" spans="1:6" x14ac:dyDescent="0.25">
      <c r="A1339" t="s">
        <v>1172</v>
      </c>
      <c r="B1339" t="s">
        <v>1173</v>
      </c>
      <c r="C1339" t="s">
        <v>1148</v>
      </c>
      <c r="D1339" t="s">
        <v>357</v>
      </c>
      <c r="E1339" t="str">
        <f>INDEX('State Codes'!$E$7:$E$70,MATCH(INDEX('State Codes'!$C$7:$C$70,MATCH('County Climates'!B1339,'State Codes'!$D$7:$D$70,0),1),'State Codes'!$C$7:$C$70,0),1)</f>
        <v>West South Central Division</v>
      </c>
      <c r="F1339">
        <f>INDEX('CBECS_Table B5'!$C$6:$K$6,1,MATCH('County Climates'!E1339,'CBECS_Table B5'!$C$1:$K$1,0))</f>
        <v>11394</v>
      </c>
    </row>
    <row r="1340" spans="1:6" x14ac:dyDescent="0.25">
      <c r="A1340" t="s">
        <v>1172</v>
      </c>
      <c r="B1340" t="s">
        <v>1173</v>
      </c>
      <c r="C1340" t="s">
        <v>1211</v>
      </c>
      <c r="D1340" t="s">
        <v>359</v>
      </c>
      <c r="E1340" t="str">
        <f>INDEX('State Codes'!$E$7:$E$70,MATCH(INDEX('State Codes'!$C$7:$C$70,MATCH('County Climates'!B1340,'State Codes'!$D$7:$D$70,0),1),'State Codes'!$C$7:$C$70,0),1)</f>
        <v>West South Central Division</v>
      </c>
      <c r="F1340">
        <f>INDEX('CBECS_Table B5'!$C$6:$K$6,1,MATCH('County Climates'!E1340,'CBECS_Table B5'!$C$1:$K$1,0))</f>
        <v>11394</v>
      </c>
    </row>
    <row r="1341" spans="1:6" x14ac:dyDescent="0.25">
      <c r="A1341" t="s">
        <v>1172</v>
      </c>
      <c r="B1341" t="s">
        <v>1173</v>
      </c>
      <c r="C1341" t="s">
        <v>1212</v>
      </c>
      <c r="D1341" t="s">
        <v>247</v>
      </c>
      <c r="E1341" t="str">
        <f>INDEX('State Codes'!$E$7:$E$70,MATCH(INDEX('State Codes'!$C$7:$C$70,MATCH('County Climates'!B1341,'State Codes'!$D$7:$D$70,0),1),'State Codes'!$C$7:$C$70,0),1)</f>
        <v>West South Central Division</v>
      </c>
      <c r="F1341">
        <f>INDEX('CBECS_Table B5'!$C$6:$K$6,1,MATCH('County Climates'!E1341,'CBECS_Table B5'!$C$1:$K$1,0))</f>
        <v>11394</v>
      </c>
    </row>
    <row r="1342" spans="1:6" x14ac:dyDescent="0.25">
      <c r="A1342" t="s">
        <v>1172</v>
      </c>
      <c r="B1342" t="s">
        <v>1173</v>
      </c>
      <c r="C1342" t="s">
        <v>279</v>
      </c>
      <c r="D1342" t="s">
        <v>243</v>
      </c>
      <c r="E1342" t="str">
        <f>INDEX('State Codes'!$E$7:$E$70,MATCH(INDEX('State Codes'!$C$7:$C$70,MATCH('County Climates'!B1342,'State Codes'!$D$7:$D$70,0),1),'State Codes'!$C$7:$C$70,0),1)</f>
        <v>West South Central Division</v>
      </c>
      <c r="F1342">
        <f>INDEX('CBECS_Table B5'!$C$6:$K$6,1,MATCH('County Climates'!E1342,'CBECS_Table B5'!$C$1:$K$1,0))</f>
        <v>11394</v>
      </c>
    </row>
    <row r="1343" spans="1:6" x14ac:dyDescent="0.25">
      <c r="A1343" t="s">
        <v>1172</v>
      </c>
      <c r="B1343" t="s">
        <v>1173</v>
      </c>
      <c r="C1343" t="s">
        <v>616</v>
      </c>
      <c r="D1343" t="s">
        <v>243</v>
      </c>
      <c r="E1343" t="str">
        <f>INDEX('State Codes'!$E$7:$E$70,MATCH(INDEX('State Codes'!$C$7:$C$70,MATCH('County Climates'!B1343,'State Codes'!$D$7:$D$70,0),1),'State Codes'!$C$7:$C$70,0),1)</f>
        <v>West South Central Division</v>
      </c>
      <c r="F1343">
        <f>INDEX('CBECS_Table B5'!$C$6:$K$6,1,MATCH('County Climates'!E1343,'CBECS_Table B5'!$C$1:$K$1,0))</f>
        <v>11394</v>
      </c>
    </row>
    <row r="1344" spans="1:6" x14ac:dyDescent="0.25">
      <c r="A1344" t="s">
        <v>1172</v>
      </c>
      <c r="B1344" t="s">
        <v>1173</v>
      </c>
      <c r="C1344" t="s">
        <v>1213</v>
      </c>
      <c r="D1344" t="s">
        <v>359</v>
      </c>
      <c r="E1344" t="str">
        <f>INDEX('State Codes'!$E$7:$E$70,MATCH(INDEX('State Codes'!$C$7:$C$70,MATCH('County Climates'!B1344,'State Codes'!$D$7:$D$70,0),1),'State Codes'!$C$7:$C$70,0),1)</f>
        <v>West South Central Division</v>
      </c>
      <c r="F1344">
        <f>INDEX('CBECS_Table B5'!$C$6:$K$6,1,MATCH('County Climates'!E1344,'CBECS_Table B5'!$C$1:$K$1,0))</f>
        <v>11394</v>
      </c>
    </row>
    <row r="1345" spans="1:6" x14ac:dyDescent="0.25">
      <c r="A1345" t="s">
        <v>1172</v>
      </c>
      <c r="B1345" t="s">
        <v>1173</v>
      </c>
      <c r="C1345" t="s">
        <v>280</v>
      </c>
      <c r="D1345" t="s">
        <v>243</v>
      </c>
      <c r="E1345" t="str">
        <f>INDEX('State Codes'!$E$7:$E$70,MATCH(INDEX('State Codes'!$C$7:$C$70,MATCH('County Climates'!B1345,'State Codes'!$D$7:$D$70,0),1),'State Codes'!$C$7:$C$70,0),1)</f>
        <v>West South Central Division</v>
      </c>
      <c r="F1345">
        <f>INDEX('CBECS_Table B5'!$C$6:$K$6,1,MATCH('County Climates'!E1345,'CBECS_Table B5'!$C$1:$K$1,0))</f>
        <v>11394</v>
      </c>
    </row>
    <row r="1346" spans="1:6" x14ac:dyDescent="0.25">
      <c r="A1346" t="s">
        <v>1172</v>
      </c>
      <c r="B1346" t="s">
        <v>1173</v>
      </c>
      <c r="C1346" t="s">
        <v>1214</v>
      </c>
      <c r="D1346" t="s">
        <v>243</v>
      </c>
      <c r="E1346" t="str">
        <f>INDEX('State Codes'!$E$7:$E$70,MATCH(INDEX('State Codes'!$C$7:$C$70,MATCH('County Climates'!B1346,'State Codes'!$D$7:$D$70,0),1),'State Codes'!$C$7:$C$70,0),1)</f>
        <v>West South Central Division</v>
      </c>
      <c r="F1346">
        <f>INDEX('CBECS_Table B5'!$C$6:$K$6,1,MATCH('County Climates'!E1346,'CBECS_Table B5'!$C$1:$K$1,0))</f>
        <v>11394</v>
      </c>
    </row>
    <row r="1347" spans="1:6" x14ac:dyDescent="0.25">
      <c r="A1347" t="s">
        <v>1172</v>
      </c>
      <c r="B1347" t="s">
        <v>1173</v>
      </c>
      <c r="C1347" t="s">
        <v>1215</v>
      </c>
      <c r="D1347" t="s">
        <v>243</v>
      </c>
      <c r="E1347" t="str">
        <f>INDEX('State Codes'!$E$7:$E$70,MATCH(INDEX('State Codes'!$C$7:$C$70,MATCH('County Climates'!B1347,'State Codes'!$D$7:$D$70,0),1),'State Codes'!$C$7:$C$70,0),1)</f>
        <v>West South Central Division</v>
      </c>
      <c r="F1347">
        <f>INDEX('CBECS_Table B5'!$C$6:$K$6,1,MATCH('County Climates'!E1347,'CBECS_Table B5'!$C$1:$K$1,0))</f>
        <v>11394</v>
      </c>
    </row>
    <row r="1348" spans="1:6" x14ac:dyDescent="0.25">
      <c r="A1348" t="s">
        <v>1172</v>
      </c>
      <c r="B1348" t="s">
        <v>1173</v>
      </c>
      <c r="C1348" t="s">
        <v>322</v>
      </c>
      <c r="D1348" t="s">
        <v>243</v>
      </c>
      <c r="E1348" t="str">
        <f>INDEX('State Codes'!$E$7:$E$70,MATCH(INDEX('State Codes'!$C$7:$C$70,MATCH('County Climates'!B1348,'State Codes'!$D$7:$D$70,0),1),'State Codes'!$C$7:$C$70,0),1)</f>
        <v>West South Central Division</v>
      </c>
      <c r="F1348">
        <f>INDEX('CBECS_Table B5'!$C$6:$K$6,1,MATCH('County Climates'!E1348,'CBECS_Table B5'!$C$1:$K$1,0))</f>
        <v>11394</v>
      </c>
    </row>
    <row r="1349" spans="1:6" x14ac:dyDescent="0.25">
      <c r="A1349" t="s">
        <v>1172</v>
      </c>
      <c r="B1349" t="s">
        <v>1173</v>
      </c>
      <c r="C1349" t="s">
        <v>617</v>
      </c>
      <c r="D1349" t="s">
        <v>359</v>
      </c>
      <c r="E1349" t="str">
        <f>INDEX('State Codes'!$E$7:$E$70,MATCH(INDEX('State Codes'!$C$7:$C$70,MATCH('County Climates'!B1349,'State Codes'!$D$7:$D$70,0),1),'State Codes'!$C$7:$C$70,0),1)</f>
        <v>West South Central Division</v>
      </c>
      <c r="F1349">
        <f>INDEX('CBECS_Table B5'!$C$6:$K$6,1,MATCH('County Climates'!E1349,'CBECS_Table B5'!$C$1:$K$1,0))</f>
        <v>11394</v>
      </c>
    </row>
    <row r="1350" spans="1:6" x14ac:dyDescent="0.25">
      <c r="A1350" t="s">
        <v>1172</v>
      </c>
      <c r="B1350" t="s">
        <v>1173</v>
      </c>
      <c r="C1350" t="s">
        <v>1216</v>
      </c>
      <c r="D1350" t="s">
        <v>243</v>
      </c>
      <c r="E1350" t="str">
        <f>INDEX('State Codes'!$E$7:$E$70,MATCH(INDEX('State Codes'!$C$7:$C$70,MATCH('County Climates'!B1350,'State Codes'!$D$7:$D$70,0),1),'State Codes'!$C$7:$C$70,0),1)</f>
        <v>West South Central Division</v>
      </c>
      <c r="F1350">
        <f>INDEX('CBECS_Table B5'!$C$6:$K$6,1,MATCH('County Climates'!E1350,'CBECS_Table B5'!$C$1:$K$1,0))</f>
        <v>11394</v>
      </c>
    </row>
    <row r="1351" spans="1:6" x14ac:dyDescent="0.25">
      <c r="A1351" t="s">
        <v>1172</v>
      </c>
      <c r="B1351" t="s">
        <v>1173</v>
      </c>
      <c r="C1351" t="s">
        <v>1217</v>
      </c>
      <c r="D1351" t="s">
        <v>243</v>
      </c>
      <c r="E1351" t="str">
        <f>INDEX('State Codes'!$E$7:$E$70,MATCH(INDEX('State Codes'!$C$7:$C$70,MATCH('County Climates'!B1351,'State Codes'!$D$7:$D$70,0),1),'State Codes'!$C$7:$C$70,0),1)</f>
        <v>West South Central Division</v>
      </c>
      <c r="F1351">
        <f>INDEX('CBECS_Table B5'!$C$6:$K$6,1,MATCH('County Climates'!E1351,'CBECS_Table B5'!$C$1:$K$1,0))</f>
        <v>11394</v>
      </c>
    </row>
    <row r="1352" spans="1:6" x14ac:dyDescent="0.25">
      <c r="A1352" t="s">
        <v>1172</v>
      </c>
      <c r="B1352" t="s">
        <v>1173</v>
      </c>
      <c r="C1352" t="s">
        <v>1218</v>
      </c>
      <c r="D1352" t="s">
        <v>243</v>
      </c>
      <c r="E1352" t="str">
        <f>INDEX('State Codes'!$E$7:$E$70,MATCH(INDEX('State Codes'!$C$7:$C$70,MATCH('County Climates'!B1352,'State Codes'!$D$7:$D$70,0),1),'State Codes'!$C$7:$C$70,0),1)</f>
        <v>West South Central Division</v>
      </c>
      <c r="F1352">
        <f>INDEX('CBECS_Table B5'!$C$6:$K$6,1,MATCH('County Climates'!E1352,'CBECS_Table B5'!$C$1:$K$1,0))</f>
        <v>11394</v>
      </c>
    </row>
    <row r="1353" spans="1:6" x14ac:dyDescent="0.25">
      <c r="A1353" t="s">
        <v>1172</v>
      </c>
      <c r="B1353" t="s">
        <v>1173</v>
      </c>
      <c r="C1353" t="s">
        <v>1219</v>
      </c>
      <c r="D1353" t="s">
        <v>243</v>
      </c>
      <c r="E1353" t="str">
        <f>INDEX('State Codes'!$E$7:$E$70,MATCH(INDEX('State Codes'!$C$7:$C$70,MATCH('County Climates'!B1353,'State Codes'!$D$7:$D$70,0),1),'State Codes'!$C$7:$C$70,0),1)</f>
        <v>West South Central Division</v>
      </c>
      <c r="F1353">
        <f>INDEX('CBECS_Table B5'!$C$6:$K$6,1,MATCH('County Climates'!E1353,'CBECS_Table B5'!$C$1:$K$1,0))</f>
        <v>11394</v>
      </c>
    </row>
    <row r="1354" spans="1:6" x14ac:dyDescent="0.25">
      <c r="A1354" t="s">
        <v>1172</v>
      </c>
      <c r="B1354" t="s">
        <v>1173</v>
      </c>
      <c r="C1354" t="s">
        <v>420</v>
      </c>
      <c r="D1354" t="s">
        <v>359</v>
      </c>
      <c r="E1354" t="str">
        <f>INDEX('State Codes'!$E$7:$E$70,MATCH(INDEX('State Codes'!$C$7:$C$70,MATCH('County Climates'!B1354,'State Codes'!$D$7:$D$70,0),1),'State Codes'!$C$7:$C$70,0),1)</f>
        <v>West South Central Division</v>
      </c>
      <c r="F1354">
        <f>INDEX('CBECS_Table B5'!$C$6:$K$6,1,MATCH('County Climates'!E1354,'CBECS_Table B5'!$C$1:$K$1,0))</f>
        <v>11394</v>
      </c>
    </row>
    <row r="1355" spans="1:6" x14ac:dyDescent="0.25">
      <c r="A1355" t="s">
        <v>1172</v>
      </c>
      <c r="B1355" t="s">
        <v>1173</v>
      </c>
      <c r="C1355" t="s">
        <v>1220</v>
      </c>
      <c r="D1355" t="s">
        <v>359</v>
      </c>
      <c r="E1355" t="str">
        <f>INDEX('State Codes'!$E$7:$E$70,MATCH(INDEX('State Codes'!$C$7:$C$70,MATCH('County Climates'!B1355,'State Codes'!$D$7:$D$70,0),1),'State Codes'!$C$7:$C$70,0),1)</f>
        <v>West South Central Division</v>
      </c>
      <c r="F1355">
        <f>INDEX('CBECS_Table B5'!$C$6:$K$6,1,MATCH('County Climates'!E1355,'CBECS_Table B5'!$C$1:$K$1,0))</f>
        <v>11394</v>
      </c>
    </row>
    <row r="1356" spans="1:6" x14ac:dyDescent="0.25">
      <c r="A1356" t="s">
        <v>1172</v>
      </c>
      <c r="B1356" t="s">
        <v>1173</v>
      </c>
      <c r="C1356" t="s">
        <v>1221</v>
      </c>
      <c r="D1356" t="s">
        <v>359</v>
      </c>
      <c r="E1356" t="str">
        <f>INDEX('State Codes'!$E$7:$E$70,MATCH(INDEX('State Codes'!$C$7:$C$70,MATCH('County Climates'!B1356,'State Codes'!$D$7:$D$70,0),1),'State Codes'!$C$7:$C$70,0),1)</f>
        <v>West South Central Division</v>
      </c>
      <c r="F1356">
        <f>INDEX('CBECS_Table B5'!$C$6:$K$6,1,MATCH('County Climates'!E1356,'CBECS_Table B5'!$C$1:$K$1,0))</f>
        <v>11394</v>
      </c>
    </row>
    <row r="1357" spans="1:6" x14ac:dyDescent="0.25">
      <c r="A1357" t="s">
        <v>1172</v>
      </c>
      <c r="B1357" t="s">
        <v>1173</v>
      </c>
      <c r="C1357" t="s">
        <v>1222</v>
      </c>
      <c r="D1357" t="s">
        <v>359</v>
      </c>
      <c r="E1357" t="str">
        <f>INDEX('State Codes'!$E$7:$E$70,MATCH(INDEX('State Codes'!$C$7:$C$70,MATCH('County Climates'!B1357,'State Codes'!$D$7:$D$70,0),1),'State Codes'!$C$7:$C$70,0),1)</f>
        <v>West South Central Division</v>
      </c>
      <c r="F1357">
        <f>INDEX('CBECS_Table B5'!$C$6:$K$6,1,MATCH('County Climates'!E1357,'CBECS_Table B5'!$C$1:$K$1,0))</f>
        <v>11394</v>
      </c>
    </row>
    <row r="1358" spans="1:6" x14ac:dyDescent="0.25">
      <c r="A1358" t="s">
        <v>1172</v>
      </c>
      <c r="B1358" t="s">
        <v>1173</v>
      </c>
      <c r="C1358" t="s">
        <v>1223</v>
      </c>
      <c r="D1358" t="s">
        <v>243</v>
      </c>
      <c r="E1358" t="str">
        <f>INDEX('State Codes'!$E$7:$E$70,MATCH(INDEX('State Codes'!$C$7:$C$70,MATCH('County Climates'!B1358,'State Codes'!$D$7:$D$70,0),1),'State Codes'!$C$7:$C$70,0),1)</f>
        <v>West South Central Division</v>
      </c>
      <c r="F1358">
        <f>INDEX('CBECS_Table B5'!$C$6:$K$6,1,MATCH('County Climates'!E1358,'CBECS_Table B5'!$C$1:$K$1,0))</f>
        <v>11394</v>
      </c>
    </row>
    <row r="1359" spans="1:6" x14ac:dyDescent="0.25">
      <c r="A1359" t="s">
        <v>1172</v>
      </c>
      <c r="B1359" t="s">
        <v>1173</v>
      </c>
      <c r="C1359" t="s">
        <v>1224</v>
      </c>
      <c r="D1359" t="s">
        <v>243</v>
      </c>
      <c r="E1359" t="str">
        <f>INDEX('State Codes'!$E$7:$E$70,MATCH(INDEX('State Codes'!$C$7:$C$70,MATCH('County Climates'!B1359,'State Codes'!$D$7:$D$70,0),1),'State Codes'!$C$7:$C$70,0),1)</f>
        <v>West South Central Division</v>
      </c>
      <c r="F1359">
        <f>INDEX('CBECS_Table B5'!$C$6:$K$6,1,MATCH('County Climates'!E1359,'CBECS_Table B5'!$C$1:$K$1,0))</f>
        <v>11394</v>
      </c>
    </row>
    <row r="1360" spans="1:6" x14ac:dyDescent="0.25">
      <c r="A1360" t="s">
        <v>1172</v>
      </c>
      <c r="B1360" t="s">
        <v>1173</v>
      </c>
      <c r="C1360" t="s">
        <v>679</v>
      </c>
      <c r="D1360" t="s">
        <v>359</v>
      </c>
      <c r="E1360" t="str">
        <f>INDEX('State Codes'!$E$7:$E$70,MATCH(INDEX('State Codes'!$C$7:$C$70,MATCH('County Climates'!B1360,'State Codes'!$D$7:$D$70,0),1),'State Codes'!$C$7:$C$70,0),1)</f>
        <v>West South Central Division</v>
      </c>
      <c r="F1360">
        <f>INDEX('CBECS_Table B5'!$C$6:$K$6,1,MATCH('County Climates'!E1360,'CBECS_Table B5'!$C$1:$K$1,0))</f>
        <v>11394</v>
      </c>
    </row>
    <row r="1361" spans="1:6" x14ac:dyDescent="0.25">
      <c r="A1361" t="s">
        <v>1172</v>
      </c>
      <c r="B1361" t="s">
        <v>1173</v>
      </c>
      <c r="C1361" t="s">
        <v>1225</v>
      </c>
      <c r="D1361" t="s">
        <v>243</v>
      </c>
      <c r="E1361" t="str">
        <f>INDEX('State Codes'!$E$7:$E$70,MATCH(INDEX('State Codes'!$C$7:$C$70,MATCH('County Climates'!B1361,'State Codes'!$D$7:$D$70,0),1),'State Codes'!$C$7:$C$70,0),1)</f>
        <v>West South Central Division</v>
      </c>
      <c r="F1361">
        <f>INDEX('CBECS_Table B5'!$C$6:$K$6,1,MATCH('County Climates'!E1361,'CBECS_Table B5'!$C$1:$K$1,0))</f>
        <v>11394</v>
      </c>
    </row>
    <row r="1362" spans="1:6" x14ac:dyDescent="0.25">
      <c r="A1362" t="s">
        <v>1172</v>
      </c>
      <c r="B1362" t="s">
        <v>1173</v>
      </c>
      <c r="C1362" t="s">
        <v>281</v>
      </c>
      <c r="D1362" t="s">
        <v>243</v>
      </c>
      <c r="E1362" t="str">
        <f>INDEX('State Codes'!$E$7:$E$70,MATCH(INDEX('State Codes'!$C$7:$C$70,MATCH('County Climates'!B1362,'State Codes'!$D$7:$D$70,0),1),'State Codes'!$C$7:$C$70,0),1)</f>
        <v>West South Central Division</v>
      </c>
      <c r="F1362">
        <f>INDEX('CBECS_Table B5'!$C$6:$K$6,1,MATCH('County Climates'!E1362,'CBECS_Table B5'!$C$1:$K$1,0))</f>
        <v>11394</v>
      </c>
    </row>
    <row r="1363" spans="1:6" x14ac:dyDescent="0.25">
      <c r="A1363" t="s">
        <v>1172</v>
      </c>
      <c r="B1363" t="s">
        <v>1173</v>
      </c>
      <c r="C1363" t="s">
        <v>1226</v>
      </c>
      <c r="D1363" t="s">
        <v>357</v>
      </c>
      <c r="E1363" t="str">
        <f>INDEX('State Codes'!$E$7:$E$70,MATCH(INDEX('State Codes'!$C$7:$C$70,MATCH('County Climates'!B1363,'State Codes'!$D$7:$D$70,0),1),'State Codes'!$C$7:$C$70,0),1)</f>
        <v>West South Central Division</v>
      </c>
      <c r="F1363">
        <f>INDEX('CBECS_Table B5'!$C$6:$K$6,1,MATCH('County Climates'!E1363,'CBECS_Table B5'!$C$1:$K$1,0))</f>
        <v>11394</v>
      </c>
    </row>
    <row r="1364" spans="1:6" x14ac:dyDescent="0.25">
      <c r="A1364" t="s">
        <v>1172</v>
      </c>
      <c r="B1364" t="s">
        <v>1173</v>
      </c>
      <c r="C1364" t="s">
        <v>1227</v>
      </c>
      <c r="D1364" t="s">
        <v>243</v>
      </c>
      <c r="E1364" t="str">
        <f>INDEX('State Codes'!$E$7:$E$70,MATCH(INDEX('State Codes'!$C$7:$C$70,MATCH('County Climates'!B1364,'State Codes'!$D$7:$D$70,0),1),'State Codes'!$C$7:$C$70,0),1)</f>
        <v>West South Central Division</v>
      </c>
      <c r="F1364">
        <f>INDEX('CBECS_Table B5'!$C$6:$K$6,1,MATCH('County Climates'!E1364,'CBECS_Table B5'!$C$1:$K$1,0))</f>
        <v>11394</v>
      </c>
    </row>
    <row r="1365" spans="1:6" x14ac:dyDescent="0.25">
      <c r="A1365" t="s">
        <v>1172</v>
      </c>
      <c r="B1365" t="s">
        <v>1173</v>
      </c>
      <c r="C1365" t="s">
        <v>1228</v>
      </c>
      <c r="D1365" t="s">
        <v>359</v>
      </c>
      <c r="E1365" t="str">
        <f>INDEX('State Codes'!$E$7:$E$70,MATCH(INDEX('State Codes'!$C$7:$C$70,MATCH('County Climates'!B1365,'State Codes'!$D$7:$D$70,0),1),'State Codes'!$C$7:$C$70,0),1)</f>
        <v>West South Central Division</v>
      </c>
      <c r="F1365">
        <f>INDEX('CBECS_Table B5'!$C$6:$K$6,1,MATCH('County Climates'!E1365,'CBECS_Table B5'!$C$1:$K$1,0))</f>
        <v>11394</v>
      </c>
    </row>
    <row r="1366" spans="1:6" x14ac:dyDescent="0.25">
      <c r="A1366" t="s">
        <v>1172</v>
      </c>
      <c r="B1366" t="s">
        <v>1173</v>
      </c>
      <c r="C1366" t="s">
        <v>1229</v>
      </c>
      <c r="D1366" t="s">
        <v>359</v>
      </c>
      <c r="E1366" t="str">
        <f>INDEX('State Codes'!$E$7:$E$70,MATCH(INDEX('State Codes'!$C$7:$C$70,MATCH('County Climates'!B1366,'State Codes'!$D$7:$D$70,0),1),'State Codes'!$C$7:$C$70,0),1)</f>
        <v>West South Central Division</v>
      </c>
      <c r="F1366">
        <f>INDEX('CBECS_Table B5'!$C$6:$K$6,1,MATCH('County Climates'!E1366,'CBECS_Table B5'!$C$1:$K$1,0))</f>
        <v>11394</v>
      </c>
    </row>
    <row r="1367" spans="1:6" x14ac:dyDescent="0.25">
      <c r="A1367" t="s">
        <v>1172</v>
      </c>
      <c r="B1367" t="s">
        <v>1173</v>
      </c>
      <c r="C1367" t="s">
        <v>301</v>
      </c>
      <c r="D1367" t="s">
        <v>243</v>
      </c>
      <c r="E1367" t="str">
        <f>INDEX('State Codes'!$E$7:$E$70,MATCH(INDEX('State Codes'!$C$7:$C$70,MATCH('County Climates'!B1367,'State Codes'!$D$7:$D$70,0),1),'State Codes'!$C$7:$C$70,0),1)</f>
        <v>West South Central Division</v>
      </c>
      <c r="F1367">
        <f>INDEX('CBECS_Table B5'!$C$6:$K$6,1,MATCH('County Climates'!E1367,'CBECS_Table B5'!$C$1:$K$1,0))</f>
        <v>11394</v>
      </c>
    </row>
    <row r="1368" spans="1:6" x14ac:dyDescent="0.25">
      <c r="A1368" t="s">
        <v>1172</v>
      </c>
      <c r="B1368" t="s">
        <v>1173</v>
      </c>
      <c r="C1368" t="s">
        <v>922</v>
      </c>
      <c r="D1368" t="s">
        <v>357</v>
      </c>
      <c r="E1368" t="str">
        <f>INDEX('State Codes'!$E$7:$E$70,MATCH(INDEX('State Codes'!$C$7:$C$70,MATCH('County Climates'!B1368,'State Codes'!$D$7:$D$70,0),1),'State Codes'!$C$7:$C$70,0),1)</f>
        <v>West South Central Division</v>
      </c>
      <c r="F1368">
        <f>INDEX('CBECS_Table B5'!$C$6:$K$6,1,MATCH('County Climates'!E1368,'CBECS_Table B5'!$C$1:$K$1,0))</f>
        <v>11394</v>
      </c>
    </row>
    <row r="1369" spans="1:6" x14ac:dyDescent="0.25">
      <c r="A1369" t="s">
        <v>1172</v>
      </c>
      <c r="B1369" t="s">
        <v>1173</v>
      </c>
      <c r="C1369" t="s">
        <v>831</v>
      </c>
      <c r="D1369" t="s">
        <v>243</v>
      </c>
      <c r="E1369" t="str">
        <f>INDEX('State Codes'!$E$7:$E$70,MATCH(INDEX('State Codes'!$C$7:$C$70,MATCH('County Climates'!B1369,'State Codes'!$D$7:$D$70,0),1),'State Codes'!$C$7:$C$70,0),1)</f>
        <v>West South Central Division</v>
      </c>
      <c r="F1369">
        <f>INDEX('CBECS_Table B5'!$C$6:$K$6,1,MATCH('County Climates'!E1369,'CBECS_Table B5'!$C$1:$K$1,0))</f>
        <v>11394</v>
      </c>
    </row>
    <row r="1370" spans="1:6" x14ac:dyDescent="0.25">
      <c r="A1370" t="s">
        <v>1172</v>
      </c>
      <c r="B1370" t="s">
        <v>1173</v>
      </c>
      <c r="C1370" t="s">
        <v>1230</v>
      </c>
      <c r="D1370" t="s">
        <v>243</v>
      </c>
      <c r="E1370" t="str">
        <f>INDEX('State Codes'!$E$7:$E$70,MATCH(INDEX('State Codes'!$C$7:$C$70,MATCH('County Climates'!B1370,'State Codes'!$D$7:$D$70,0),1),'State Codes'!$C$7:$C$70,0),1)</f>
        <v>West South Central Division</v>
      </c>
      <c r="F1370">
        <f>INDEX('CBECS_Table B5'!$C$6:$K$6,1,MATCH('County Climates'!E1370,'CBECS_Table B5'!$C$1:$K$1,0))</f>
        <v>11394</v>
      </c>
    </row>
    <row r="1371" spans="1:6" x14ac:dyDescent="0.25">
      <c r="A1371" t="s">
        <v>1172</v>
      </c>
      <c r="B1371" t="s">
        <v>1173</v>
      </c>
      <c r="C1371" t="s">
        <v>1231</v>
      </c>
      <c r="D1371" t="s">
        <v>243</v>
      </c>
      <c r="E1371" t="str">
        <f>INDEX('State Codes'!$E$7:$E$70,MATCH(INDEX('State Codes'!$C$7:$C$70,MATCH('County Climates'!B1371,'State Codes'!$D$7:$D$70,0),1),'State Codes'!$C$7:$C$70,0),1)</f>
        <v>West South Central Division</v>
      </c>
      <c r="F1371">
        <f>INDEX('CBECS_Table B5'!$C$6:$K$6,1,MATCH('County Climates'!E1371,'CBECS_Table B5'!$C$1:$K$1,0))</f>
        <v>11394</v>
      </c>
    </row>
    <row r="1372" spans="1:6" x14ac:dyDescent="0.25">
      <c r="A1372" t="s">
        <v>1172</v>
      </c>
      <c r="B1372" t="s">
        <v>1173</v>
      </c>
      <c r="C1372" t="s">
        <v>1232</v>
      </c>
      <c r="D1372" t="s">
        <v>247</v>
      </c>
      <c r="E1372" t="str">
        <f>INDEX('State Codes'!$E$7:$E$70,MATCH(INDEX('State Codes'!$C$7:$C$70,MATCH('County Climates'!B1372,'State Codes'!$D$7:$D$70,0),1),'State Codes'!$C$7:$C$70,0),1)</f>
        <v>West South Central Division</v>
      </c>
      <c r="F1372">
        <f>INDEX('CBECS_Table B5'!$C$6:$K$6,1,MATCH('County Climates'!E1372,'CBECS_Table B5'!$C$1:$K$1,0))</f>
        <v>11394</v>
      </c>
    </row>
    <row r="1373" spans="1:6" x14ac:dyDescent="0.25">
      <c r="A1373" t="s">
        <v>1172</v>
      </c>
      <c r="B1373" t="s">
        <v>1173</v>
      </c>
      <c r="C1373" t="s">
        <v>1233</v>
      </c>
      <c r="D1373" t="s">
        <v>359</v>
      </c>
      <c r="E1373" t="str">
        <f>INDEX('State Codes'!$E$7:$E$70,MATCH(INDEX('State Codes'!$C$7:$C$70,MATCH('County Climates'!B1373,'State Codes'!$D$7:$D$70,0),1),'State Codes'!$C$7:$C$70,0),1)</f>
        <v>West South Central Division</v>
      </c>
      <c r="F1373">
        <f>INDEX('CBECS_Table B5'!$C$6:$K$6,1,MATCH('County Climates'!E1373,'CBECS_Table B5'!$C$1:$K$1,0))</f>
        <v>11394</v>
      </c>
    </row>
    <row r="1374" spans="1:6" x14ac:dyDescent="0.25">
      <c r="A1374" t="s">
        <v>1172</v>
      </c>
      <c r="B1374" t="s">
        <v>1173</v>
      </c>
      <c r="C1374" t="s">
        <v>1234</v>
      </c>
      <c r="D1374" t="s">
        <v>359</v>
      </c>
      <c r="E1374" t="str">
        <f>INDEX('State Codes'!$E$7:$E$70,MATCH(INDEX('State Codes'!$C$7:$C$70,MATCH('County Climates'!B1374,'State Codes'!$D$7:$D$70,0),1),'State Codes'!$C$7:$C$70,0),1)</f>
        <v>West South Central Division</v>
      </c>
      <c r="F1374">
        <f>INDEX('CBECS_Table B5'!$C$6:$K$6,1,MATCH('County Climates'!E1374,'CBECS_Table B5'!$C$1:$K$1,0))</f>
        <v>11394</v>
      </c>
    </row>
    <row r="1375" spans="1:6" x14ac:dyDescent="0.25">
      <c r="A1375" t="s">
        <v>1172</v>
      </c>
      <c r="B1375" t="s">
        <v>1173</v>
      </c>
      <c r="C1375" t="s">
        <v>1235</v>
      </c>
      <c r="D1375" t="s">
        <v>359</v>
      </c>
      <c r="E1375" t="str">
        <f>INDEX('State Codes'!$E$7:$E$70,MATCH(INDEX('State Codes'!$C$7:$C$70,MATCH('County Climates'!B1375,'State Codes'!$D$7:$D$70,0),1),'State Codes'!$C$7:$C$70,0),1)</f>
        <v>West South Central Division</v>
      </c>
      <c r="F1375">
        <f>INDEX('CBECS_Table B5'!$C$6:$K$6,1,MATCH('County Climates'!E1375,'CBECS_Table B5'!$C$1:$K$1,0))</f>
        <v>11394</v>
      </c>
    </row>
    <row r="1376" spans="1:6" x14ac:dyDescent="0.25">
      <c r="A1376" t="s">
        <v>1172</v>
      </c>
      <c r="B1376" t="s">
        <v>1173</v>
      </c>
      <c r="C1376" t="s">
        <v>1236</v>
      </c>
      <c r="D1376" t="s">
        <v>357</v>
      </c>
      <c r="E1376" t="str">
        <f>INDEX('State Codes'!$E$7:$E$70,MATCH(INDEX('State Codes'!$C$7:$C$70,MATCH('County Climates'!B1376,'State Codes'!$D$7:$D$70,0),1),'State Codes'!$C$7:$C$70,0),1)</f>
        <v>West South Central Division</v>
      </c>
      <c r="F1376">
        <f>INDEX('CBECS_Table B5'!$C$6:$K$6,1,MATCH('County Climates'!E1376,'CBECS_Table B5'!$C$1:$K$1,0))</f>
        <v>11394</v>
      </c>
    </row>
    <row r="1377" spans="1:6" x14ac:dyDescent="0.25">
      <c r="A1377" t="s">
        <v>1172</v>
      </c>
      <c r="B1377" t="s">
        <v>1173</v>
      </c>
      <c r="C1377" t="s">
        <v>1237</v>
      </c>
      <c r="D1377" t="s">
        <v>243</v>
      </c>
      <c r="E1377" t="str">
        <f>INDEX('State Codes'!$E$7:$E$70,MATCH(INDEX('State Codes'!$C$7:$C$70,MATCH('County Climates'!B1377,'State Codes'!$D$7:$D$70,0),1),'State Codes'!$C$7:$C$70,0),1)</f>
        <v>West South Central Division</v>
      </c>
      <c r="F1377">
        <f>INDEX('CBECS_Table B5'!$C$6:$K$6,1,MATCH('County Climates'!E1377,'CBECS_Table B5'!$C$1:$K$1,0))</f>
        <v>11394</v>
      </c>
    </row>
    <row r="1378" spans="1:6" x14ac:dyDescent="0.25">
      <c r="A1378" t="s">
        <v>1172</v>
      </c>
      <c r="B1378" t="s">
        <v>1173</v>
      </c>
      <c r="C1378" t="s">
        <v>705</v>
      </c>
      <c r="D1378" t="s">
        <v>359</v>
      </c>
      <c r="E1378" t="str">
        <f>INDEX('State Codes'!$E$7:$E$70,MATCH(INDEX('State Codes'!$C$7:$C$70,MATCH('County Climates'!B1378,'State Codes'!$D$7:$D$70,0),1),'State Codes'!$C$7:$C$70,0),1)</f>
        <v>West South Central Division</v>
      </c>
      <c r="F1378">
        <f>INDEX('CBECS_Table B5'!$C$6:$K$6,1,MATCH('County Climates'!E1378,'CBECS_Table B5'!$C$1:$K$1,0))</f>
        <v>11394</v>
      </c>
    </row>
    <row r="1379" spans="1:6" x14ac:dyDescent="0.25">
      <c r="A1379" t="s">
        <v>1172</v>
      </c>
      <c r="B1379" t="s">
        <v>1173</v>
      </c>
      <c r="C1379" t="s">
        <v>485</v>
      </c>
      <c r="D1379" t="s">
        <v>359</v>
      </c>
      <c r="E1379" t="str">
        <f>INDEX('State Codes'!$E$7:$E$70,MATCH(INDEX('State Codes'!$C$7:$C$70,MATCH('County Climates'!B1379,'State Codes'!$D$7:$D$70,0),1),'State Codes'!$C$7:$C$70,0),1)</f>
        <v>West South Central Division</v>
      </c>
      <c r="F1379">
        <f>INDEX('CBECS_Table B5'!$C$6:$K$6,1,MATCH('County Climates'!E1379,'CBECS_Table B5'!$C$1:$K$1,0))</f>
        <v>11394</v>
      </c>
    </row>
    <row r="1380" spans="1:6" x14ac:dyDescent="0.25">
      <c r="A1380" t="s">
        <v>1172</v>
      </c>
      <c r="B1380" t="s">
        <v>1173</v>
      </c>
      <c r="C1380" t="s">
        <v>1238</v>
      </c>
      <c r="D1380" t="s">
        <v>359</v>
      </c>
      <c r="E1380" t="str">
        <f>INDEX('State Codes'!$E$7:$E$70,MATCH(INDEX('State Codes'!$C$7:$C$70,MATCH('County Climates'!B1380,'State Codes'!$D$7:$D$70,0),1),'State Codes'!$C$7:$C$70,0),1)</f>
        <v>West South Central Division</v>
      </c>
      <c r="F1380">
        <f>INDEX('CBECS_Table B5'!$C$6:$K$6,1,MATCH('County Climates'!E1380,'CBECS_Table B5'!$C$1:$K$1,0))</f>
        <v>11394</v>
      </c>
    </row>
    <row r="1381" spans="1:6" x14ac:dyDescent="0.25">
      <c r="A1381" t="s">
        <v>1172</v>
      </c>
      <c r="B1381" t="s">
        <v>1173</v>
      </c>
      <c r="C1381" t="s">
        <v>1239</v>
      </c>
      <c r="D1381" t="s">
        <v>359</v>
      </c>
      <c r="E1381" t="str">
        <f>INDEX('State Codes'!$E$7:$E$70,MATCH(INDEX('State Codes'!$C$7:$C$70,MATCH('County Climates'!B1381,'State Codes'!$D$7:$D$70,0),1),'State Codes'!$C$7:$C$70,0),1)</f>
        <v>West South Central Division</v>
      </c>
      <c r="F1381">
        <f>INDEX('CBECS_Table B5'!$C$6:$K$6,1,MATCH('County Climates'!E1381,'CBECS_Table B5'!$C$1:$K$1,0))</f>
        <v>11394</v>
      </c>
    </row>
    <row r="1382" spans="1:6" x14ac:dyDescent="0.25">
      <c r="A1382" t="s">
        <v>1172</v>
      </c>
      <c r="B1382" t="s">
        <v>1173</v>
      </c>
      <c r="C1382" t="s">
        <v>1240</v>
      </c>
      <c r="D1382" t="s">
        <v>243</v>
      </c>
      <c r="E1382" t="str">
        <f>INDEX('State Codes'!$E$7:$E$70,MATCH(INDEX('State Codes'!$C$7:$C$70,MATCH('County Climates'!B1382,'State Codes'!$D$7:$D$70,0),1),'State Codes'!$C$7:$C$70,0),1)</f>
        <v>West South Central Division</v>
      </c>
      <c r="F1382">
        <f>INDEX('CBECS_Table B5'!$C$6:$K$6,1,MATCH('County Climates'!E1382,'CBECS_Table B5'!$C$1:$K$1,0))</f>
        <v>11394</v>
      </c>
    </row>
    <row r="1383" spans="1:6" x14ac:dyDescent="0.25">
      <c r="A1383" t="s">
        <v>1172</v>
      </c>
      <c r="B1383" t="s">
        <v>1173</v>
      </c>
      <c r="C1383" t="s">
        <v>1241</v>
      </c>
      <c r="D1383" t="s">
        <v>359</v>
      </c>
      <c r="E1383" t="str">
        <f>INDEX('State Codes'!$E$7:$E$70,MATCH(INDEX('State Codes'!$C$7:$C$70,MATCH('County Climates'!B1383,'State Codes'!$D$7:$D$70,0),1),'State Codes'!$C$7:$C$70,0),1)</f>
        <v>West South Central Division</v>
      </c>
      <c r="F1383">
        <f>INDEX('CBECS_Table B5'!$C$6:$K$6,1,MATCH('County Climates'!E1383,'CBECS_Table B5'!$C$1:$K$1,0))</f>
        <v>11394</v>
      </c>
    </row>
    <row r="1384" spans="1:6" x14ac:dyDescent="0.25">
      <c r="A1384" t="s">
        <v>1172</v>
      </c>
      <c r="B1384" t="s">
        <v>1173</v>
      </c>
      <c r="C1384" t="s">
        <v>1242</v>
      </c>
      <c r="D1384" t="s">
        <v>243</v>
      </c>
      <c r="E1384" t="str">
        <f>INDEX('State Codes'!$E$7:$E$70,MATCH(INDEX('State Codes'!$C$7:$C$70,MATCH('County Climates'!B1384,'State Codes'!$D$7:$D$70,0),1),'State Codes'!$C$7:$C$70,0),1)</f>
        <v>West South Central Division</v>
      </c>
      <c r="F1384">
        <f>INDEX('CBECS_Table B5'!$C$6:$K$6,1,MATCH('County Climates'!E1384,'CBECS_Table B5'!$C$1:$K$1,0))</f>
        <v>11394</v>
      </c>
    </row>
    <row r="1385" spans="1:6" x14ac:dyDescent="0.25">
      <c r="A1385" t="s">
        <v>1172</v>
      </c>
      <c r="B1385" t="s">
        <v>1173</v>
      </c>
      <c r="C1385" t="s">
        <v>1243</v>
      </c>
      <c r="D1385" t="s">
        <v>243</v>
      </c>
      <c r="E1385" t="str">
        <f>INDEX('State Codes'!$E$7:$E$70,MATCH(INDEX('State Codes'!$C$7:$C$70,MATCH('County Climates'!B1385,'State Codes'!$D$7:$D$70,0),1),'State Codes'!$C$7:$C$70,0),1)</f>
        <v>West South Central Division</v>
      </c>
      <c r="F1385">
        <f>INDEX('CBECS_Table B5'!$C$6:$K$6,1,MATCH('County Climates'!E1385,'CBECS_Table B5'!$C$1:$K$1,0))</f>
        <v>11394</v>
      </c>
    </row>
    <row r="1386" spans="1:6" x14ac:dyDescent="0.25">
      <c r="A1386" t="s">
        <v>1172</v>
      </c>
      <c r="B1386" t="s">
        <v>1173</v>
      </c>
      <c r="C1386" t="s">
        <v>1244</v>
      </c>
      <c r="D1386" t="s">
        <v>243</v>
      </c>
      <c r="E1386" t="str">
        <f>INDEX('State Codes'!$E$7:$E$70,MATCH(INDEX('State Codes'!$C$7:$C$70,MATCH('County Climates'!B1386,'State Codes'!$D$7:$D$70,0),1),'State Codes'!$C$7:$C$70,0),1)</f>
        <v>West South Central Division</v>
      </c>
      <c r="F1386">
        <f>INDEX('CBECS_Table B5'!$C$6:$K$6,1,MATCH('County Climates'!E1386,'CBECS_Table B5'!$C$1:$K$1,0))</f>
        <v>11394</v>
      </c>
    </row>
    <row r="1387" spans="1:6" x14ac:dyDescent="0.25">
      <c r="A1387" t="s">
        <v>1172</v>
      </c>
      <c r="B1387" t="s">
        <v>1173</v>
      </c>
      <c r="C1387" t="s">
        <v>1245</v>
      </c>
      <c r="D1387" t="s">
        <v>243</v>
      </c>
      <c r="E1387" t="str">
        <f>INDEX('State Codes'!$E$7:$E$70,MATCH(INDEX('State Codes'!$C$7:$C$70,MATCH('County Climates'!B1387,'State Codes'!$D$7:$D$70,0),1),'State Codes'!$C$7:$C$70,0),1)</f>
        <v>West South Central Division</v>
      </c>
      <c r="F1387">
        <f>INDEX('CBECS_Table B5'!$C$6:$K$6,1,MATCH('County Climates'!E1387,'CBECS_Table B5'!$C$1:$K$1,0))</f>
        <v>11394</v>
      </c>
    </row>
    <row r="1388" spans="1:6" x14ac:dyDescent="0.25">
      <c r="A1388" t="s">
        <v>1172</v>
      </c>
      <c r="B1388" t="s">
        <v>1173</v>
      </c>
      <c r="C1388" t="s">
        <v>1246</v>
      </c>
      <c r="D1388" t="s">
        <v>359</v>
      </c>
      <c r="E1388" t="str">
        <f>INDEX('State Codes'!$E$7:$E$70,MATCH(INDEX('State Codes'!$C$7:$C$70,MATCH('County Climates'!B1388,'State Codes'!$D$7:$D$70,0),1),'State Codes'!$C$7:$C$70,0),1)</f>
        <v>West South Central Division</v>
      </c>
      <c r="F1388">
        <f>INDEX('CBECS_Table B5'!$C$6:$K$6,1,MATCH('County Climates'!E1388,'CBECS_Table B5'!$C$1:$K$1,0))</f>
        <v>11394</v>
      </c>
    </row>
    <row r="1389" spans="1:6" x14ac:dyDescent="0.25">
      <c r="A1389" t="s">
        <v>1172</v>
      </c>
      <c r="B1389" t="s">
        <v>1173</v>
      </c>
      <c r="C1389" t="s">
        <v>1247</v>
      </c>
      <c r="D1389" t="s">
        <v>243</v>
      </c>
      <c r="E1389" t="str">
        <f>INDEX('State Codes'!$E$7:$E$70,MATCH(INDEX('State Codes'!$C$7:$C$70,MATCH('County Climates'!B1389,'State Codes'!$D$7:$D$70,0),1),'State Codes'!$C$7:$C$70,0),1)</f>
        <v>West South Central Division</v>
      </c>
      <c r="F1389">
        <f>INDEX('CBECS_Table B5'!$C$6:$K$6,1,MATCH('County Climates'!E1389,'CBECS_Table B5'!$C$1:$K$1,0))</f>
        <v>11394</v>
      </c>
    </row>
    <row r="1390" spans="1:6" x14ac:dyDescent="0.25">
      <c r="A1390" t="s">
        <v>1172</v>
      </c>
      <c r="B1390" t="s">
        <v>1173</v>
      </c>
      <c r="C1390" t="s">
        <v>1248</v>
      </c>
      <c r="D1390" t="s">
        <v>243</v>
      </c>
      <c r="E1390" t="str">
        <f>INDEX('State Codes'!$E$7:$E$70,MATCH(INDEX('State Codes'!$C$7:$C$70,MATCH('County Climates'!B1390,'State Codes'!$D$7:$D$70,0),1),'State Codes'!$C$7:$C$70,0),1)</f>
        <v>West South Central Division</v>
      </c>
      <c r="F1390">
        <f>INDEX('CBECS_Table B5'!$C$6:$K$6,1,MATCH('County Climates'!E1390,'CBECS_Table B5'!$C$1:$K$1,0))</f>
        <v>11394</v>
      </c>
    </row>
    <row r="1391" spans="1:6" x14ac:dyDescent="0.25">
      <c r="A1391" t="s">
        <v>1172</v>
      </c>
      <c r="B1391" t="s">
        <v>1173</v>
      </c>
      <c r="C1391" t="s">
        <v>1249</v>
      </c>
      <c r="D1391" t="s">
        <v>243</v>
      </c>
      <c r="E1391" t="str">
        <f>INDEX('State Codes'!$E$7:$E$70,MATCH(INDEX('State Codes'!$C$7:$C$70,MATCH('County Climates'!B1391,'State Codes'!$D$7:$D$70,0),1),'State Codes'!$C$7:$C$70,0),1)</f>
        <v>West South Central Division</v>
      </c>
      <c r="F1391">
        <f>INDEX('CBECS_Table B5'!$C$6:$K$6,1,MATCH('County Climates'!E1391,'CBECS_Table B5'!$C$1:$K$1,0))</f>
        <v>11394</v>
      </c>
    </row>
    <row r="1392" spans="1:6" x14ac:dyDescent="0.25">
      <c r="A1392" t="s">
        <v>1172</v>
      </c>
      <c r="B1392" t="s">
        <v>1173</v>
      </c>
      <c r="C1392" t="s">
        <v>1250</v>
      </c>
      <c r="D1392" t="s">
        <v>243</v>
      </c>
      <c r="E1392" t="str">
        <f>INDEX('State Codes'!$E$7:$E$70,MATCH(INDEX('State Codes'!$C$7:$C$70,MATCH('County Climates'!B1392,'State Codes'!$D$7:$D$70,0),1),'State Codes'!$C$7:$C$70,0),1)</f>
        <v>West South Central Division</v>
      </c>
      <c r="F1392">
        <f>INDEX('CBECS_Table B5'!$C$6:$K$6,1,MATCH('County Climates'!E1392,'CBECS_Table B5'!$C$1:$K$1,0))</f>
        <v>11394</v>
      </c>
    </row>
    <row r="1393" spans="1:6" x14ac:dyDescent="0.25">
      <c r="A1393" t="s">
        <v>1172</v>
      </c>
      <c r="B1393" t="s">
        <v>1173</v>
      </c>
      <c r="C1393" t="s">
        <v>307</v>
      </c>
      <c r="D1393" t="s">
        <v>243</v>
      </c>
      <c r="E1393" t="str">
        <f>INDEX('State Codes'!$E$7:$E$70,MATCH(INDEX('State Codes'!$C$7:$C$70,MATCH('County Climates'!B1393,'State Codes'!$D$7:$D$70,0),1),'State Codes'!$C$7:$C$70,0),1)</f>
        <v>West South Central Division</v>
      </c>
      <c r="F1393">
        <f>INDEX('CBECS_Table B5'!$C$6:$K$6,1,MATCH('County Climates'!E1393,'CBECS_Table B5'!$C$1:$K$1,0))</f>
        <v>11394</v>
      </c>
    </row>
    <row r="1394" spans="1:6" x14ac:dyDescent="0.25">
      <c r="A1394" t="s">
        <v>1172</v>
      </c>
      <c r="B1394" t="s">
        <v>1173</v>
      </c>
      <c r="C1394" t="s">
        <v>1251</v>
      </c>
      <c r="D1394" t="s">
        <v>243</v>
      </c>
      <c r="E1394" t="str">
        <f>INDEX('State Codes'!$E$7:$E$70,MATCH(INDEX('State Codes'!$C$7:$C$70,MATCH('County Climates'!B1394,'State Codes'!$D$7:$D$70,0),1),'State Codes'!$C$7:$C$70,0),1)</f>
        <v>West South Central Division</v>
      </c>
      <c r="F1394">
        <f>INDEX('CBECS_Table B5'!$C$6:$K$6,1,MATCH('County Climates'!E1394,'CBECS_Table B5'!$C$1:$K$1,0))</f>
        <v>11394</v>
      </c>
    </row>
    <row r="1395" spans="1:6" x14ac:dyDescent="0.25">
      <c r="A1395" t="s">
        <v>1172</v>
      </c>
      <c r="B1395" t="s">
        <v>1173</v>
      </c>
      <c r="C1395" t="s">
        <v>1252</v>
      </c>
      <c r="D1395" t="s">
        <v>359</v>
      </c>
      <c r="E1395" t="str">
        <f>INDEX('State Codes'!$E$7:$E$70,MATCH(INDEX('State Codes'!$C$7:$C$70,MATCH('County Climates'!B1395,'State Codes'!$D$7:$D$70,0),1),'State Codes'!$C$7:$C$70,0),1)</f>
        <v>West South Central Division</v>
      </c>
      <c r="F1395">
        <f>INDEX('CBECS_Table B5'!$C$6:$K$6,1,MATCH('County Climates'!E1395,'CBECS_Table B5'!$C$1:$K$1,0))</f>
        <v>11394</v>
      </c>
    </row>
    <row r="1396" spans="1:6" x14ac:dyDescent="0.25">
      <c r="A1396" t="s">
        <v>1172</v>
      </c>
      <c r="B1396" t="s">
        <v>1173</v>
      </c>
      <c r="C1396" t="s">
        <v>308</v>
      </c>
      <c r="D1396" t="s">
        <v>243</v>
      </c>
      <c r="E1396" t="str">
        <f>INDEX('State Codes'!$E$7:$E$70,MATCH(INDEX('State Codes'!$C$7:$C$70,MATCH('County Climates'!B1396,'State Codes'!$D$7:$D$70,0),1),'State Codes'!$C$7:$C$70,0),1)</f>
        <v>West South Central Division</v>
      </c>
      <c r="F1396">
        <f>INDEX('CBECS_Table B5'!$C$6:$K$6,1,MATCH('County Climates'!E1396,'CBECS_Table B5'!$C$1:$K$1,0))</f>
        <v>11394</v>
      </c>
    </row>
    <row r="1397" spans="1:6" x14ac:dyDescent="0.25">
      <c r="A1397" t="s">
        <v>1172</v>
      </c>
      <c r="B1397" t="s">
        <v>1173</v>
      </c>
      <c r="C1397" t="s">
        <v>1253</v>
      </c>
      <c r="D1397" t="s">
        <v>243</v>
      </c>
      <c r="E1397" t="str">
        <f>INDEX('State Codes'!$E$7:$E$70,MATCH(INDEX('State Codes'!$C$7:$C$70,MATCH('County Climates'!B1397,'State Codes'!$D$7:$D$70,0),1),'State Codes'!$C$7:$C$70,0),1)</f>
        <v>West South Central Division</v>
      </c>
      <c r="F1397">
        <f>INDEX('CBECS_Table B5'!$C$6:$K$6,1,MATCH('County Climates'!E1397,'CBECS_Table B5'!$C$1:$K$1,0))</f>
        <v>11394</v>
      </c>
    </row>
    <row r="1398" spans="1:6" x14ac:dyDescent="0.25">
      <c r="A1398" t="s">
        <v>1172</v>
      </c>
      <c r="B1398" t="s">
        <v>1173</v>
      </c>
      <c r="C1398" t="s">
        <v>1254</v>
      </c>
      <c r="D1398" t="s">
        <v>243</v>
      </c>
      <c r="E1398" t="str">
        <f>INDEX('State Codes'!$E$7:$E$70,MATCH(INDEX('State Codes'!$C$7:$C$70,MATCH('County Climates'!B1398,'State Codes'!$D$7:$D$70,0),1),'State Codes'!$C$7:$C$70,0),1)</f>
        <v>West South Central Division</v>
      </c>
      <c r="F1398">
        <f>INDEX('CBECS_Table B5'!$C$6:$K$6,1,MATCH('County Climates'!E1398,'CBECS_Table B5'!$C$1:$K$1,0))</f>
        <v>11394</v>
      </c>
    </row>
    <row r="1399" spans="1:6" x14ac:dyDescent="0.25">
      <c r="A1399" t="s">
        <v>1172</v>
      </c>
      <c r="B1399" t="s">
        <v>1173</v>
      </c>
      <c r="C1399" t="s">
        <v>500</v>
      </c>
      <c r="D1399" t="s">
        <v>359</v>
      </c>
      <c r="E1399" t="str">
        <f>INDEX('State Codes'!$E$7:$E$70,MATCH(INDEX('State Codes'!$C$7:$C$70,MATCH('County Climates'!B1399,'State Codes'!$D$7:$D$70,0),1),'State Codes'!$C$7:$C$70,0),1)</f>
        <v>West South Central Division</v>
      </c>
      <c r="F1399">
        <f>INDEX('CBECS_Table B5'!$C$6:$K$6,1,MATCH('County Climates'!E1399,'CBECS_Table B5'!$C$1:$K$1,0))</f>
        <v>11394</v>
      </c>
    </row>
    <row r="1400" spans="1:6" x14ac:dyDescent="0.25">
      <c r="A1400" t="s">
        <v>1172</v>
      </c>
      <c r="B1400" t="s">
        <v>1173</v>
      </c>
      <c r="C1400" t="s">
        <v>1255</v>
      </c>
      <c r="D1400" t="s">
        <v>247</v>
      </c>
      <c r="E1400" t="str">
        <f>INDEX('State Codes'!$E$7:$E$70,MATCH(INDEX('State Codes'!$C$7:$C$70,MATCH('County Climates'!B1400,'State Codes'!$D$7:$D$70,0),1),'State Codes'!$C$7:$C$70,0),1)</f>
        <v>West South Central Division</v>
      </c>
      <c r="F1400">
        <f>INDEX('CBECS_Table B5'!$C$6:$K$6,1,MATCH('County Climates'!E1400,'CBECS_Table B5'!$C$1:$K$1,0))</f>
        <v>11394</v>
      </c>
    </row>
    <row r="1401" spans="1:6" x14ac:dyDescent="0.25">
      <c r="A1401" t="s">
        <v>1172</v>
      </c>
      <c r="B1401" t="s">
        <v>1173</v>
      </c>
      <c r="C1401" t="s">
        <v>1256</v>
      </c>
      <c r="D1401" t="s">
        <v>359</v>
      </c>
      <c r="E1401" t="str">
        <f>INDEX('State Codes'!$E$7:$E$70,MATCH(INDEX('State Codes'!$C$7:$C$70,MATCH('County Climates'!B1401,'State Codes'!$D$7:$D$70,0),1),'State Codes'!$C$7:$C$70,0),1)</f>
        <v>West South Central Division</v>
      </c>
      <c r="F1401">
        <f>INDEX('CBECS_Table B5'!$C$6:$K$6,1,MATCH('County Climates'!E1401,'CBECS_Table B5'!$C$1:$K$1,0))</f>
        <v>11394</v>
      </c>
    </row>
    <row r="1402" spans="1:6" x14ac:dyDescent="0.25">
      <c r="A1402" t="s">
        <v>1172</v>
      </c>
      <c r="B1402" t="s">
        <v>1173</v>
      </c>
      <c r="C1402" t="s">
        <v>1257</v>
      </c>
      <c r="D1402" t="s">
        <v>243</v>
      </c>
      <c r="E1402" t="str">
        <f>INDEX('State Codes'!$E$7:$E$70,MATCH(INDEX('State Codes'!$C$7:$C$70,MATCH('County Climates'!B1402,'State Codes'!$D$7:$D$70,0),1),'State Codes'!$C$7:$C$70,0),1)</f>
        <v>West South Central Division</v>
      </c>
      <c r="F1402">
        <f>INDEX('CBECS_Table B5'!$C$6:$K$6,1,MATCH('County Climates'!E1402,'CBECS_Table B5'!$C$1:$K$1,0))</f>
        <v>11394</v>
      </c>
    </row>
    <row r="1403" spans="1:6" x14ac:dyDescent="0.25">
      <c r="A1403" t="s">
        <v>1172</v>
      </c>
      <c r="B1403" t="s">
        <v>1173</v>
      </c>
      <c r="C1403" t="s">
        <v>568</v>
      </c>
      <c r="D1403" t="s">
        <v>243</v>
      </c>
      <c r="E1403" t="str">
        <f>INDEX('State Codes'!$E$7:$E$70,MATCH(INDEX('State Codes'!$C$7:$C$70,MATCH('County Climates'!B1403,'State Codes'!$D$7:$D$70,0),1),'State Codes'!$C$7:$C$70,0),1)</f>
        <v>West South Central Division</v>
      </c>
      <c r="F1403">
        <f>INDEX('CBECS_Table B5'!$C$6:$K$6,1,MATCH('County Climates'!E1403,'CBECS_Table B5'!$C$1:$K$1,0))</f>
        <v>11394</v>
      </c>
    </row>
    <row r="1404" spans="1:6" x14ac:dyDescent="0.25">
      <c r="A1404" t="s">
        <v>1172</v>
      </c>
      <c r="B1404" t="s">
        <v>1173</v>
      </c>
      <c r="C1404" t="s">
        <v>1009</v>
      </c>
      <c r="D1404" t="s">
        <v>243</v>
      </c>
      <c r="E1404" t="str">
        <f>INDEX('State Codes'!$E$7:$E$70,MATCH(INDEX('State Codes'!$C$7:$C$70,MATCH('County Climates'!B1404,'State Codes'!$D$7:$D$70,0),1),'State Codes'!$C$7:$C$70,0),1)</f>
        <v>West South Central Division</v>
      </c>
      <c r="F1404">
        <f>INDEX('CBECS_Table B5'!$C$6:$K$6,1,MATCH('County Climates'!E1404,'CBECS_Table B5'!$C$1:$K$1,0))</f>
        <v>11394</v>
      </c>
    </row>
    <row r="1405" spans="1:6" x14ac:dyDescent="0.25">
      <c r="A1405" t="s">
        <v>1172</v>
      </c>
      <c r="B1405" t="s">
        <v>1173</v>
      </c>
      <c r="C1405" t="s">
        <v>1258</v>
      </c>
      <c r="D1405" t="s">
        <v>359</v>
      </c>
      <c r="E1405" t="str">
        <f>INDEX('State Codes'!$E$7:$E$70,MATCH(INDEX('State Codes'!$C$7:$C$70,MATCH('County Climates'!B1405,'State Codes'!$D$7:$D$70,0),1),'State Codes'!$C$7:$C$70,0),1)</f>
        <v>West South Central Division</v>
      </c>
      <c r="F1405">
        <f>INDEX('CBECS_Table B5'!$C$6:$K$6,1,MATCH('County Climates'!E1405,'CBECS_Table B5'!$C$1:$K$1,0))</f>
        <v>11394</v>
      </c>
    </row>
    <row r="1406" spans="1:6" x14ac:dyDescent="0.25">
      <c r="A1406" t="s">
        <v>1172</v>
      </c>
      <c r="B1406" t="s">
        <v>1173</v>
      </c>
      <c r="C1406" t="s">
        <v>1259</v>
      </c>
      <c r="D1406" t="s">
        <v>247</v>
      </c>
      <c r="E1406" t="str">
        <f>INDEX('State Codes'!$E$7:$E$70,MATCH(INDEX('State Codes'!$C$7:$C$70,MATCH('County Climates'!B1406,'State Codes'!$D$7:$D$70,0),1),'State Codes'!$C$7:$C$70,0),1)</f>
        <v>West South Central Division</v>
      </c>
      <c r="F1406">
        <f>INDEX('CBECS_Table B5'!$C$6:$K$6,1,MATCH('County Climates'!E1406,'CBECS_Table B5'!$C$1:$K$1,0))</f>
        <v>11394</v>
      </c>
    </row>
    <row r="1407" spans="1:6" x14ac:dyDescent="0.25">
      <c r="A1407" t="s">
        <v>1172</v>
      </c>
      <c r="B1407" t="s">
        <v>1173</v>
      </c>
      <c r="C1407" t="s">
        <v>1057</v>
      </c>
      <c r="D1407" t="s">
        <v>243</v>
      </c>
      <c r="E1407" t="str">
        <f>INDEX('State Codes'!$E$7:$E$70,MATCH(INDEX('State Codes'!$C$7:$C$70,MATCH('County Climates'!B1407,'State Codes'!$D$7:$D$70,0),1),'State Codes'!$C$7:$C$70,0),1)</f>
        <v>West South Central Division</v>
      </c>
      <c r="F1407">
        <f>INDEX('CBECS_Table B5'!$C$6:$K$6,1,MATCH('County Climates'!E1407,'CBECS_Table B5'!$C$1:$K$1,0))</f>
        <v>11394</v>
      </c>
    </row>
    <row r="1408" spans="1:6" x14ac:dyDescent="0.25">
      <c r="A1408" t="s">
        <v>1172</v>
      </c>
      <c r="B1408" t="s">
        <v>1173</v>
      </c>
      <c r="C1408" t="s">
        <v>1260</v>
      </c>
      <c r="D1408" t="s">
        <v>357</v>
      </c>
      <c r="E1408" t="str">
        <f>INDEX('State Codes'!$E$7:$E$70,MATCH(INDEX('State Codes'!$C$7:$C$70,MATCH('County Climates'!B1408,'State Codes'!$D$7:$D$70,0),1),'State Codes'!$C$7:$C$70,0),1)</f>
        <v>West South Central Division</v>
      </c>
      <c r="F1408">
        <f>INDEX('CBECS_Table B5'!$C$6:$K$6,1,MATCH('County Climates'!E1408,'CBECS_Table B5'!$C$1:$K$1,0))</f>
        <v>11394</v>
      </c>
    </row>
    <row r="1409" spans="1:6" x14ac:dyDescent="0.25">
      <c r="A1409" t="s">
        <v>1172</v>
      </c>
      <c r="B1409" t="s">
        <v>1173</v>
      </c>
      <c r="C1409" t="s">
        <v>1261</v>
      </c>
      <c r="D1409" t="s">
        <v>247</v>
      </c>
      <c r="E1409" t="str">
        <f>INDEX('State Codes'!$E$7:$E$70,MATCH(INDEX('State Codes'!$C$7:$C$70,MATCH('County Climates'!B1409,'State Codes'!$D$7:$D$70,0),1),'State Codes'!$C$7:$C$70,0),1)</f>
        <v>West South Central Division</v>
      </c>
      <c r="F1409">
        <f>INDEX('CBECS_Table B5'!$C$6:$K$6,1,MATCH('County Climates'!E1409,'CBECS_Table B5'!$C$1:$K$1,0))</f>
        <v>11394</v>
      </c>
    </row>
    <row r="1410" spans="1:6" x14ac:dyDescent="0.25">
      <c r="A1410" t="s">
        <v>1172</v>
      </c>
      <c r="B1410" t="s">
        <v>1173</v>
      </c>
      <c r="C1410" t="s">
        <v>1262</v>
      </c>
      <c r="D1410" t="s">
        <v>243</v>
      </c>
      <c r="E1410" t="str">
        <f>INDEX('State Codes'!$E$7:$E$70,MATCH(INDEX('State Codes'!$C$7:$C$70,MATCH('County Climates'!B1410,'State Codes'!$D$7:$D$70,0),1),'State Codes'!$C$7:$C$70,0),1)</f>
        <v>West South Central Division</v>
      </c>
      <c r="F1410">
        <f>INDEX('CBECS_Table B5'!$C$6:$K$6,1,MATCH('County Climates'!E1410,'CBECS_Table B5'!$C$1:$K$1,0))</f>
        <v>11394</v>
      </c>
    </row>
    <row r="1411" spans="1:6" x14ac:dyDescent="0.25">
      <c r="A1411" t="s">
        <v>1172</v>
      </c>
      <c r="B1411" t="s">
        <v>1173</v>
      </c>
      <c r="C1411" t="s">
        <v>1263</v>
      </c>
      <c r="D1411" t="s">
        <v>243</v>
      </c>
      <c r="E1411" t="str">
        <f>INDEX('State Codes'!$E$7:$E$70,MATCH(INDEX('State Codes'!$C$7:$C$70,MATCH('County Climates'!B1411,'State Codes'!$D$7:$D$70,0),1),'State Codes'!$C$7:$C$70,0),1)</f>
        <v>West South Central Division</v>
      </c>
      <c r="F1411">
        <f>INDEX('CBECS_Table B5'!$C$6:$K$6,1,MATCH('County Climates'!E1411,'CBECS_Table B5'!$C$1:$K$1,0))</f>
        <v>11394</v>
      </c>
    </row>
    <row r="1412" spans="1:6" x14ac:dyDescent="0.25">
      <c r="A1412" t="s">
        <v>1264</v>
      </c>
      <c r="B1412" t="s">
        <v>1265</v>
      </c>
      <c r="C1412" t="s">
        <v>1063</v>
      </c>
      <c r="D1412" t="s">
        <v>228</v>
      </c>
      <c r="E1412" t="str">
        <f>INDEX('State Codes'!$E$7:$E$70,MATCH(INDEX('State Codes'!$C$7:$C$70,MATCH('County Climates'!B1412,'State Codes'!$D$7:$D$70,0),1),'State Codes'!$C$7:$C$70,0),1)</f>
        <v>Mountain Division</v>
      </c>
      <c r="F1412">
        <f>INDEX('CBECS_Table B5'!$C$6:$K$6,1,MATCH('County Climates'!E1412,'CBECS_Table B5'!$C$1:$K$1,0))</f>
        <v>4981</v>
      </c>
    </row>
    <row r="1413" spans="1:6" x14ac:dyDescent="0.25">
      <c r="A1413" t="s">
        <v>1264</v>
      </c>
      <c r="B1413" t="s">
        <v>1265</v>
      </c>
      <c r="C1413" t="s">
        <v>1266</v>
      </c>
      <c r="D1413" t="s">
        <v>228</v>
      </c>
      <c r="E1413" t="str">
        <f>INDEX('State Codes'!$E$7:$E$70,MATCH(INDEX('State Codes'!$C$7:$C$70,MATCH('County Climates'!B1413,'State Codes'!$D$7:$D$70,0),1),'State Codes'!$C$7:$C$70,0),1)</f>
        <v>Mountain Division</v>
      </c>
      <c r="F1413">
        <f>INDEX('CBECS_Table B5'!$C$6:$K$6,1,MATCH('County Climates'!E1413,'CBECS_Table B5'!$C$1:$K$1,0))</f>
        <v>4981</v>
      </c>
    </row>
    <row r="1414" spans="1:6" x14ac:dyDescent="0.25">
      <c r="A1414" t="s">
        <v>1264</v>
      </c>
      <c r="B1414" t="s">
        <v>1265</v>
      </c>
      <c r="C1414" t="s">
        <v>1267</v>
      </c>
      <c r="D1414" t="s">
        <v>228</v>
      </c>
      <c r="E1414" t="str">
        <f>INDEX('State Codes'!$E$7:$E$70,MATCH(INDEX('State Codes'!$C$7:$C$70,MATCH('County Climates'!B1414,'State Codes'!$D$7:$D$70,0),1),'State Codes'!$C$7:$C$70,0),1)</f>
        <v>Mountain Division</v>
      </c>
      <c r="F1414">
        <f>INDEX('CBECS_Table B5'!$C$6:$K$6,1,MATCH('County Climates'!E1414,'CBECS_Table B5'!$C$1:$K$1,0))</f>
        <v>4981</v>
      </c>
    </row>
    <row r="1415" spans="1:6" x14ac:dyDescent="0.25">
      <c r="A1415" t="s">
        <v>1264</v>
      </c>
      <c r="B1415" t="s">
        <v>1265</v>
      </c>
      <c r="C1415" t="s">
        <v>876</v>
      </c>
      <c r="D1415" t="s">
        <v>228</v>
      </c>
      <c r="E1415" t="str">
        <f>INDEX('State Codes'!$E$7:$E$70,MATCH(INDEX('State Codes'!$C$7:$C$70,MATCH('County Climates'!B1415,'State Codes'!$D$7:$D$70,0),1),'State Codes'!$C$7:$C$70,0),1)</f>
        <v>Mountain Division</v>
      </c>
      <c r="F1415">
        <f>INDEX('CBECS_Table B5'!$C$6:$K$6,1,MATCH('County Climates'!E1415,'CBECS_Table B5'!$C$1:$K$1,0))</f>
        <v>4981</v>
      </c>
    </row>
    <row r="1416" spans="1:6" x14ac:dyDescent="0.25">
      <c r="A1416" t="s">
        <v>1264</v>
      </c>
      <c r="B1416" t="s">
        <v>1265</v>
      </c>
      <c r="C1416" t="s">
        <v>1268</v>
      </c>
      <c r="D1416" t="s">
        <v>228</v>
      </c>
      <c r="E1416" t="str">
        <f>INDEX('State Codes'!$E$7:$E$70,MATCH(INDEX('State Codes'!$C$7:$C$70,MATCH('County Climates'!B1416,'State Codes'!$D$7:$D$70,0),1),'State Codes'!$C$7:$C$70,0),1)</f>
        <v>Mountain Division</v>
      </c>
      <c r="F1416">
        <f>INDEX('CBECS_Table B5'!$C$6:$K$6,1,MATCH('County Climates'!E1416,'CBECS_Table B5'!$C$1:$K$1,0))</f>
        <v>4981</v>
      </c>
    </row>
    <row r="1417" spans="1:6" x14ac:dyDescent="0.25">
      <c r="A1417" t="s">
        <v>1264</v>
      </c>
      <c r="B1417" t="s">
        <v>1265</v>
      </c>
      <c r="C1417" t="s">
        <v>602</v>
      </c>
      <c r="D1417" t="s">
        <v>228</v>
      </c>
      <c r="E1417" t="str">
        <f>INDEX('State Codes'!$E$7:$E$70,MATCH(INDEX('State Codes'!$C$7:$C$70,MATCH('County Climates'!B1417,'State Codes'!$D$7:$D$70,0),1),'State Codes'!$C$7:$C$70,0),1)</f>
        <v>Mountain Division</v>
      </c>
      <c r="F1417">
        <f>INDEX('CBECS_Table B5'!$C$6:$K$6,1,MATCH('County Climates'!E1417,'CBECS_Table B5'!$C$1:$K$1,0))</f>
        <v>4981</v>
      </c>
    </row>
    <row r="1418" spans="1:6" x14ac:dyDescent="0.25">
      <c r="A1418" t="s">
        <v>1264</v>
      </c>
      <c r="B1418" t="s">
        <v>1265</v>
      </c>
      <c r="C1418" t="s">
        <v>1269</v>
      </c>
      <c r="D1418" t="s">
        <v>228</v>
      </c>
      <c r="E1418" t="str">
        <f>INDEX('State Codes'!$E$7:$E$70,MATCH(INDEX('State Codes'!$C$7:$C$70,MATCH('County Climates'!B1418,'State Codes'!$D$7:$D$70,0),1),'State Codes'!$C$7:$C$70,0),1)</f>
        <v>Mountain Division</v>
      </c>
      <c r="F1418">
        <f>INDEX('CBECS_Table B5'!$C$6:$K$6,1,MATCH('County Climates'!E1418,'CBECS_Table B5'!$C$1:$K$1,0))</f>
        <v>4981</v>
      </c>
    </row>
    <row r="1419" spans="1:6" x14ac:dyDescent="0.25">
      <c r="A1419" t="s">
        <v>1264</v>
      </c>
      <c r="B1419" t="s">
        <v>1265</v>
      </c>
      <c r="C1419" t="s">
        <v>1270</v>
      </c>
      <c r="D1419" t="s">
        <v>228</v>
      </c>
      <c r="E1419" t="str">
        <f>INDEX('State Codes'!$E$7:$E$70,MATCH(INDEX('State Codes'!$C$7:$C$70,MATCH('County Climates'!B1419,'State Codes'!$D$7:$D$70,0),1),'State Codes'!$C$7:$C$70,0),1)</f>
        <v>Mountain Division</v>
      </c>
      <c r="F1419">
        <f>INDEX('CBECS_Table B5'!$C$6:$K$6,1,MATCH('County Climates'!E1419,'CBECS_Table B5'!$C$1:$K$1,0))</f>
        <v>4981</v>
      </c>
    </row>
    <row r="1420" spans="1:6" x14ac:dyDescent="0.25">
      <c r="A1420" t="s">
        <v>1264</v>
      </c>
      <c r="B1420" t="s">
        <v>1265</v>
      </c>
      <c r="C1420" t="s">
        <v>374</v>
      </c>
      <c r="D1420" t="s">
        <v>228</v>
      </c>
      <c r="E1420" t="str">
        <f>INDEX('State Codes'!$E$7:$E$70,MATCH(INDEX('State Codes'!$C$7:$C$70,MATCH('County Climates'!B1420,'State Codes'!$D$7:$D$70,0),1),'State Codes'!$C$7:$C$70,0),1)</f>
        <v>Mountain Division</v>
      </c>
      <c r="F1420">
        <f>INDEX('CBECS_Table B5'!$C$6:$K$6,1,MATCH('County Climates'!E1420,'CBECS_Table B5'!$C$1:$K$1,0))</f>
        <v>4981</v>
      </c>
    </row>
    <row r="1421" spans="1:6" x14ac:dyDescent="0.25">
      <c r="A1421" t="s">
        <v>1264</v>
      </c>
      <c r="B1421" t="s">
        <v>1265</v>
      </c>
      <c r="C1421" t="s">
        <v>376</v>
      </c>
      <c r="D1421" t="s">
        <v>228</v>
      </c>
      <c r="E1421" t="str">
        <f>INDEX('State Codes'!$E$7:$E$70,MATCH(INDEX('State Codes'!$C$7:$C$70,MATCH('County Climates'!B1421,'State Codes'!$D$7:$D$70,0),1),'State Codes'!$C$7:$C$70,0),1)</f>
        <v>Mountain Division</v>
      </c>
      <c r="F1421">
        <f>INDEX('CBECS_Table B5'!$C$6:$K$6,1,MATCH('County Climates'!E1421,'CBECS_Table B5'!$C$1:$K$1,0))</f>
        <v>4981</v>
      </c>
    </row>
    <row r="1422" spans="1:6" x14ac:dyDescent="0.25">
      <c r="A1422" t="s">
        <v>1264</v>
      </c>
      <c r="B1422" t="s">
        <v>1265</v>
      </c>
      <c r="C1422" t="s">
        <v>1271</v>
      </c>
      <c r="D1422" t="s">
        <v>228</v>
      </c>
      <c r="E1422" t="str">
        <f>INDEX('State Codes'!$E$7:$E$70,MATCH(INDEX('State Codes'!$C$7:$C$70,MATCH('County Climates'!B1422,'State Codes'!$D$7:$D$70,0),1),'State Codes'!$C$7:$C$70,0),1)</f>
        <v>Mountain Division</v>
      </c>
      <c r="F1422">
        <f>INDEX('CBECS_Table B5'!$C$6:$K$6,1,MATCH('County Climates'!E1422,'CBECS_Table B5'!$C$1:$K$1,0))</f>
        <v>4981</v>
      </c>
    </row>
    <row r="1423" spans="1:6" x14ac:dyDescent="0.25">
      <c r="A1423" t="s">
        <v>1264</v>
      </c>
      <c r="B1423" t="s">
        <v>1265</v>
      </c>
      <c r="C1423" t="s">
        <v>1272</v>
      </c>
      <c r="D1423" t="s">
        <v>228</v>
      </c>
      <c r="E1423" t="str">
        <f>INDEX('State Codes'!$E$7:$E$70,MATCH(INDEX('State Codes'!$C$7:$C$70,MATCH('County Climates'!B1423,'State Codes'!$D$7:$D$70,0),1),'State Codes'!$C$7:$C$70,0),1)</f>
        <v>Mountain Division</v>
      </c>
      <c r="F1423">
        <f>INDEX('CBECS_Table B5'!$C$6:$K$6,1,MATCH('County Climates'!E1423,'CBECS_Table B5'!$C$1:$K$1,0))</f>
        <v>4981</v>
      </c>
    </row>
    <row r="1424" spans="1:6" x14ac:dyDescent="0.25">
      <c r="A1424" t="s">
        <v>1264</v>
      </c>
      <c r="B1424" t="s">
        <v>1265</v>
      </c>
      <c r="C1424" t="s">
        <v>1273</v>
      </c>
      <c r="D1424" t="s">
        <v>228</v>
      </c>
      <c r="E1424" t="str">
        <f>INDEX('State Codes'!$E$7:$E$70,MATCH(INDEX('State Codes'!$C$7:$C$70,MATCH('County Climates'!B1424,'State Codes'!$D$7:$D$70,0),1),'State Codes'!$C$7:$C$70,0),1)</f>
        <v>Mountain Division</v>
      </c>
      <c r="F1424">
        <f>INDEX('CBECS_Table B5'!$C$6:$K$6,1,MATCH('County Climates'!E1424,'CBECS_Table B5'!$C$1:$K$1,0))</f>
        <v>4981</v>
      </c>
    </row>
    <row r="1425" spans="1:6" x14ac:dyDescent="0.25">
      <c r="A1425" t="s">
        <v>1264</v>
      </c>
      <c r="B1425" t="s">
        <v>1265</v>
      </c>
      <c r="C1425" t="s">
        <v>1274</v>
      </c>
      <c r="D1425" t="s">
        <v>228</v>
      </c>
      <c r="E1425" t="str">
        <f>INDEX('State Codes'!$E$7:$E$70,MATCH(INDEX('State Codes'!$C$7:$C$70,MATCH('County Climates'!B1425,'State Codes'!$D$7:$D$70,0),1),'State Codes'!$C$7:$C$70,0),1)</f>
        <v>Mountain Division</v>
      </c>
      <c r="F1425">
        <f>INDEX('CBECS_Table B5'!$C$6:$K$6,1,MATCH('County Climates'!E1425,'CBECS_Table B5'!$C$1:$K$1,0))</f>
        <v>4981</v>
      </c>
    </row>
    <row r="1426" spans="1:6" x14ac:dyDescent="0.25">
      <c r="A1426" t="s">
        <v>1264</v>
      </c>
      <c r="B1426" t="s">
        <v>1265</v>
      </c>
      <c r="C1426" t="s">
        <v>295</v>
      </c>
      <c r="D1426" t="s">
        <v>228</v>
      </c>
      <c r="E1426" t="str">
        <f>INDEX('State Codes'!$E$7:$E$70,MATCH(INDEX('State Codes'!$C$7:$C$70,MATCH('County Climates'!B1426,'State Codes'!$D$7:$D$70,0),1),'State Codes'!$C$7:$C$70,0),1)</f>
        <v>Mountain Division</v>
      </c>
      <c r="F1426">
        <f>INDEX('CBECS_Table B5'!$C$6:$K$6,1,MATCH('County Climates'!E1426,'CBECS_Table B5'!$C$1:$K$1,0))</f>
        <v>4981</v>
      </c>
    </row>
    <row r="1427" spans="1:6" x14ac:dyDescent="0.25">
      <c r="A1427" t="s">
        <v>1264</v>
      </c>
      <c r="B1427" t="s">
        <v>1265</v>
      </c>
      <c r="C1427" t="s">
        <v>1275</v>
      </c>
      <c r="D1427" t="s">
        <v>228</v>
      </c>
      <c r="E1427" t="str">
        <f>INDEX('State Codes'!$E$7:$E$70,MATCH(INDEX('State Codes'!$C$7:$C$70,MATCH('County Climates'!B1427,'State Codes'!$D$7:$D$70,0),1),'State Codes'!$C$7:$C$70,0),1)</f>
        <v>Mountain Division</v>
      </c>
      <c r="F1427">
        <f>INDEX('CBECS_Table B5'!$C$6:$K$6,1,MATCH('County Climates'!E1427,'CBECS_Table B5'!$C$1:$K$1,0))</f>
        <v>4981</v>
      </c>
    </row>
    <row r="1428" spans="1:6" x14ac:dyDescent="0.25">
      <c r="A1428" t="s">
        <v>1264</v>
      </c>
      <c r="B1428" t="s">
        <v>1265</v>
      </c>
      <c r="C1428" t="s">
        <v>1276</v>
      </c>
      <c r="D1428" t="s">
        <v>228</v>
      </c>
      <c r="E1428" t="str">
        <f>INDEX('State Codes'!$E$7:$E$70,MATCH(INDEX('State Codes'!$C$7:$C$70,MATCH('County Climates'!B1428,'State Codes'!$D$7:$D$70,0),1),'State Codes'!$C$7:$C$70,0),1)</f>
        <v>Mountain Division</v>
      </c>
      <c r="F1428">
        <f>INDEX('CBECS_Table B5'!$C$6:$K$6,1,MATCH('County Climates'!E1428,'CBECS_Table B5'!$C$1:$K$1,0))</f>
        <v>4981</v>
      </c>
    </row>
    <row r="1429" spans="1:6" x14ac:dyDescent="0.25">
      <c r="A1429" t="s">
        <v>1264</v>
      </c>
      <c r="B1429" t="s">
        <v>1265</v>
      </c>
      <c r="C1429" t="s">
        <v>1277</v>
      </c>
      <c r="D1429" t="s">
        <v>228</v>
      </c>
      <c r="E1429" t="str">
        <f>INDEX('State Codes'!$E$7:$E$70,MATCH(INDEX('State Codes'!$C$7:$C$70,MATCH('County Climates'!B1429,'State Codes'!$D$7:$D$70,0),1),'State Codes'!$C$7:$C$70,0),1)</f>
        <v>Mountain Division</v>
      </c>
      <c r="F1429">
        <f>INDEX('CBECS_Table B5'!$C$6:$K$6,1,MATCH('County Climates'!E1429,'CBECS_Table B5'!$C$1:$K$1,0))</f>
        <v>4981</v>
      </c>
    </row>
    <row r="1430" spans="1:6" x14ac:dyDescent="0.25">
      <c r="A1430" t="s">
        <v>1278</v>
      </c>
      <c r="B1430" t="s">
        <v>1279</v>
      </c>
      <c r="C1430" t="s">
        <v>1280</v>
      </c>
      <c r="D1430" t="s">
        <v>247</v>
      </c>
      <c r="E1430" t="str">
        <f>INDEX('State Codes'!$E$7:$E$70,MATCH(INDEX('State Codes'!$C$7:$C$70,MATCH('County Climates'!B1430,'State Codes'!$D$7:$D$70,0),1),'State Codes'!$C$7:$C$70,0),1)</f>
        <v>South Atlantic Division</v>
      </c>
      <c r="F1430">
        <f>INDEX('CBECS_Table B5'!$C$6:$K$6,1,MATCH('County Climates'!E1430,'CBECS_Table B5'!$C$1:$K$1,0))</f>
        <v>17981</v>
      </c>
    </row>
    <row r="1431" spans="1:6" x14ac:dyDescent="0.25">
      <c r="A1431" t="s">
        <v>1278</v>
      </c>
      <c r="B1431" t="s">
        <v>1279</v>
      </c>
      <c r="C1431" t="s">
        <v>1281</v>
      </c>
      <c r="D1431" t="s">
        <v>247</v>
      </c>
      <c r="E1431" t="str">
        <f>INDEX('State Codes'!$E$7:$E$70,MATCH(INDEX('State Codes'!$C$7:$C$70,MATCH('County Climates'!B1431,'State Codes'!$D$7:$D$70,0),1),'State Codes'!$C$7:$C$70,0),1)</f>
        <v>South Atlantic Division</v>
      </c>
      <c r="F1431">
        <f>INDEX('CBECS_Table B5'!$C$6:$K$6,1,MATCH('County Climates'!E1431,'CBECS_Table B5'!$C$1:$K$1,0))</f>
        <v>17981</v>
      </c>
    </row>
    <row r="1432" spans="1:6" x14ac:dyDescent="0.25">
      <c r="A1432" t="s">
        <v>1278</v>
      </c>
      <c r="B1432" t="s">
        <v>1279</v>
      </c>
      <c r="C1432" t="s">
        <v>1282</v>
      </c>
      <c r="D1432" t="s">
        <v>247</v>
      </c>
      <c r="E1432" t="str">
        <f>INDEX('State Codes'!$E$7:$E$70,MATCH(INDEX('State Codes'!$C$7:$C$70,MATCH('County Climates'!B1432,'State Codes'!$D$7:$D$70,0),1),'State Codes'!$C$7:$C$70,0),1)</f>
        <v>South Atlantic Division</v>
      </c>
      <c r="F1432">
        <f>INDEX('CBECS_Table B5'!$C$6:$K$6,1,MATCH('County Climates'!E1432,'CBECS_Table B5'!$C$1:$K$1,0))</f>
        <v>17981</v>
      </c>
    </row>
    <row r="1433" spans="1:6" x14ac:dyDescent="0.25">
      <c r="A1433" t="s">
        <v>1278</v>
      </c>
      <c r="B1433" t="s">
        <v>1279</v>
      </c>
      <c r="C1433" t="s">
        <v>474</v>
      </c>
      <c r="D1433" t="s">
        <v>247</v>
      </c>
      <c r="E1433" t="str">
        <f>INDEX('State Codes'!$E$7:$E$70,MATCH(INDEX('State Codes'!$C$7:$C$70,MATCH('County Climates'!B1433,'State Codes'!$D$7:$D$70,0),1),'State Codes'!$C$7:$C$70,0),1)</f>
        <v>South Atlantic Division</v>
      </c>
      <c r="F1433">
        <f>INDEX('CBECS_Table B5'!$C$6:$K$6,1,MATCH('County Climates'!E1433,'CBECS_Table B5'!$C$1:$K$1,0))</f>
        <v>17981</v>
      </c>
    </row>
    <row r="1434" spans="1:6" x14ac:dyDescent="0.25">
      <c r="A1434" t="s">
        <v>1278</v>
      </c>
      <c r="B1434" t="s">
        <v>1279</v>
      </c>
      <c r="C1434" t="s">
        <v>1283</v>
      </c>
      <c r="D1434" t="s">
        <v>247</v>
      </c>
      <c r="E1434" t="str">
        <f>INDEX('State Codes'!$E$7:$E$70,MATCH(INDEX('State Codes'!$C$7:$C$70,MATCH('County Climates'!B1434,'State Codes'!$D$7:$D$70,0),1),'State Codes'!$C$7:$C$70,0),1)</f>
        <v>South Atlantic Division</v>
      </c>
      <c r="F1434">
        <f>INDEX('CBECS_Table B5'!$C$6:$K$6,1,MATCH('County Climates'!E1434,'CBECS_Table B5'!$C$1:$K$1,0))</f>
        <v>17981</v>
      </c>
    </row>
    <row r="1435" spans="1:6" x14ac:dyDescent="0.25">
      <c r="A1435" t="s">
        <v>1278</v>
      </c>
      <c r="B1435" t="s">
        <v>1279</v>
      </c>
      <c r="C1435" t="s">
        <v>273</v>
      </c>
      <c r="D1435" t="s">
        <v>247</v>
      </c>
      <c r="E1435" t="str">
        <f>INDEX('State Codes'!$E$7:$E$70,MATCH(INDEX('State Codes'!$C$7:$C$70,MATCH('County Climates'!B1435,'State Codes'!$D$7:$D$70,0),1),'State Codes'!$C$7:$C$70,0),1)</f>
        <v>South Atlantic Division</v>
      </c>
      <c r="F1435">
        <f>INDEX('CBECS_Table B5'!$C$6:$K$6,1,MATCH('County Climates'!E1435,'CBECS_Table B5'!$C$1:$K$1,0))</f>
        <v>17981</v>
      </c>
    </row>
    <row r="1436" spans="1:6" x14ac:dyDescent="0.25">
      <c r="A1436" t="s">
        <v>1278</v>
      </c>
      <c r="B1436" t="s">
        <v>1279</v>
      </c>
      <c r="C1436" t="s">
        <v>1284</v>
      </c>
      <c r="D1436" t="s">
        <v>247</v>
      </c>
      <c r="E1436" t="str">
        <f>INDEX('State Codes'!$E$7:$E$70,MATCH(INDEX('State Codes'!$C$7:$C$70,MATCH('County Climates'!B1436,'State Codes'!$D$7:$D$70,0),1),'State Codes'!$C$7:$C$70,0),1)</f>
        <v>South Atlantic Division</v>
      </c>
      <c r="F1436">
        <f>INDEX('CBECS_Table B5'!$C$6:$K$6,1,MATCH('County Climates'!E1436,'CBECS_Table B5'!$C$1:$K$1,0))</f>
        <v>17981</v>
      </c>
    </row>
    <row r="1437" spans="1:6" x14ac:dyDescent="0.25">
      <c r="A1437" t="s">
        <v>1278</v>
      </c>
      <c r="B1437" t="s">
        <v>1279</v>
      </c>
      <c r="C1437" t="s">
        <v>740</v>
      </c>
      <c r="D1437" t="s">
        <v>247</v>
      </c>
      <c r="E1437" t="str">
        <f>INDEX('State Codes'!$E$7:$E$70,MATCH(INDEX('State Codes'!$C$7:$C$70,MATCH('County Climates'!B1437,'State Codes'!$D$7:$D$70,0),1),'State Codes'!$C$7:$C$70,0),1)</f>
        <v>South Atlantic Division</v>
      </c>
      <c r="F1437">
        <f>INDEX('CBECS_Table B5'!$C$6:$K$6,1,MATCH('County Climates'!E1437,'CBECS_Table B5'!$C$1:$K$1,0))</f>
        <v>17981</v>
      </c>
    </row>
    <row r="1438" spans="1:6" x14ac:dyDescent="0.25">
      <c r="A1438" t="s">
        <v>1278</v>
      </c>
      <c r="B1438" t="s">
        <v>1279</v>
      </c>
      <c r="C1438" t="s">
        <v>1285</v>
      </c>
      <c r="D1438" t="s">
        <v>247</v>
      </c>
      <c r="E1438" t="str">
        <f>INDEX('State Codes'!$E$7:$E$70,MATCH(INDEX('State Codes'!$C$7:$C$70,MATCH('County Climates'!B1438,'State Codes'!$D$7:$D$70,0),1),'State Codes'!$C$7:$C$70,0),1)</f>
        <v>South Atlantic Division</v>
      </c>
      <c r="F1438">
        <f>INDEX('CBECS_Table B5'!$C$6:$K$6,1,MATCH('County Climates'!E1438,'CBECS_Table B5'!$C$1:$K$1,0))</f>
        <v>17981</v>
      </c>
    </row>
    <row r="1439" spans="1:6" x14ac:dyDescent="0.25">
      <c r="A1439" t="s">
        <v>1278</v>
      </c>
      <c r="B1439" t="s">
        <v>1279</v>
      </c>
      <c r="C1439" t="s">
        <v>1286</v>
      </c>
      <c r="D1439" t="s">
        <v>247</v>
      </c>
      <c r="E1439" t="str">
        <f>INDEX('State Codes'!$E$7:$E$70,MATCH(INDEX('State Codes'!$C$7:$C$70,MATCH('County Climates'!B1439,'State Codes'!$D$7:$D$70,0),1),'State Codes'!$C$7:$C$70,0),1)</f>
        <v>South Atlantic Division</v>
      </c>
      <c r="F1439">
        <f>INDEX('CBECS_Table B5'!$C$6:$K$6,1,MATCH('County Climates'!E1439,'CBECS_Table B5'!$C$1:$K$1,0))</f>
        <v>17981</v>
      </c>
    </row>
    <row r="1440" spans="1:6" x14ac:dyDescent="0.25">
      <c r="A1440" t="s">
        <v>1278</v>
      </c>
      <c r="B1440" t="s">
        <v>1279</v>
      </c>
      <c r="C1440" t="s">
        <v>1287</v>
      </c>
      <c r="D1440" t="s">
        <v>247</v>
      </c>
      <c r="E1440" t="str">
        <f>INDEX('State Codes'!$E$7:$E$70,MATCH(INDEX('State Codes'!$C$7:$C$70,MATCH('County Climates'!B1440,'State Codes'!$D$7:$D$70,0),1),'State Codes'!$C$7:$C$70,0),1)</f>
        <v>South Atlantic Division</v>
      </c>
      <c r="F1440">
        <f>INDEX('CBECS_Table B5'!$C$6:$K$6,1,MATCH('County Climates'!E1440,'CBECS_Table B5'!$C$1:$K$1,0))</f>
        <v>17981</v>
      </c>
    </row>
    <row r="1441" spans="1:6" x14ac:dyDescent="0.25">
      <c r="A1441" t="s">
        <v>1278</v>
      </c>
      <c r="B1441" t="s">
        <v>1279</v>
      </c>
      <c r="C1441" t="s">
        <v>1288</v>
      </c>
      <c r="D1441" t="s">
        <v>247</v>
      </c>
      <c r="E1441" t="str">
        <f>INDEX('State Codes'!$E$7:$E$70,MATCH(INDEX('State Codes'!$C$7:$C$70,MATCH('County Climates'!B1441,'State Codes'!$D$7:$D$70,0),1),'State Codes'!$C$7:$C$70,0),1)</f>
        <v>South Atlantic Division</v>
      </c>
      <c r="F1441">
        <f>INDEX('CBECS_Table B5'!$C$6:$K$6,1,MATCH('County Climates'!E1441,'CBECS_Table B5'!$C$1:$K$1,0))</f>
        <v>17981</v>
      </c>
    </row>
    <row r="1442" spans="1:6" x14ac:dyDescent="0.25">
      <c r="A1442" t="s">
        <v>1278</v>
      </c>
      <c r="B1442" t="s">
        <v>1279</v>
      </c>
      <c r="C1442" t="s">
        <v>1289</v>
      </c>
      <c r="D1442" t="s">
        <v>247</v>
      </c>
      <c r="E1442" t="str">
        <f>INDEX('State Codes'!$E$7:$E$70,MATCH(INDEX('State Codes'!$C$7:$C$70,MATCH('County Climates'!B1442,'State Codes'!$D$7:$D$70,0),1),'State Codes'!$C$7:$C$70,0),1)</f>
        <v>South Atlantic Division</v>
      </c>
      <c r="F1442">
        <f>INDEX('CBECS_Table B5'!$C$6:$K$6,1,MATCH('County Climates'!E1442,'CBECS_Table B5'!$C$1:$K$1,0))</f>
        <v>17981</v>
      </c>
    </row>
    <row r="1443" spans="1:6" x14ac:dyDescent="0.25">
      <c r="A1443" t="s">
        <v>1278</v>
      </c>
      <c r="B1443" t="s">
        <v>1279</v>
      </c>
      <c r="C1443" t="s">
        <v>1196</v>
      </c>
      <c r="D1443" t="s">
        <v>247</v>
      </c>
      <c r="E1443" t="str">
        <f>INDEX('State Codes'!$E$7:$E$70,MATCH(INDEX('State Codes'!$C$7:$C$70,MATCH('County Climates'!B1443,'State Codes'!$D$7:$D$70,0),1),'State Codes'!$C$7:$C$70,0),1)</f>
        <v>South Atlantic Division</v>
      </c>
      <c r="F1443">
        <f>INDEX('CBECS_Table B5'!$C$6:$K$6,1,MATCH('County Climates'!E1443,'CBECS_Table B5'!$C$1:$K$1,0))</f>
        <v>17981</v>
      </c>
    </row>
    <row r="1444" spans="1:6" x14ac:dyDescent="0.25">
      <c r="A1444" t="s">
        <v>1278</v>
      </c>
      <c r="B1444" t="s">
        <v>1279</v>
      </c>
      <c r="C1444" t="s">
        <v>275</v>
      </c>
      <c r="D1444" t="s">
        <v>247</v>
      </c>
      <c r="E1444" t="str">
        <f>INDEX('State Codes'!$E$7:$E$70,MATCH(INDEX('State Codes'!$C$7:$C$70,MATCH('County Climates'!B1444,'State Codes'!$D$7:$D$70,0),1),'State Codes'!$C$7:$C$70,0),1)</f>
        <v>South Atlantic Division</v>
      </c>
      <c r="F1444">
        <f>INDEX('CBECS_Table B5'!$C$6:$K$6,1,MATCH('County Climates'!E1444,'CBECS_Table B5'!$C$1:$K$1,0))</f>
        <v>17981</v>
      </c>
    </row>
    <row r="1445" spans="1:6" x14ac:dyDescent="0.25">
      <c r="A1445" t="s">
        <v>1278</v>
      </c>
      <c r="B1445" t="s">
        <v>1279</v>
      </c>
      <c r="C1445" t="s">
        <v>1290</v>
      </c>
      <c r="D1445" t="s">
        <v>247</v>
      </c>
      <c r="E1445" t="str">
        <f>INDEX('State Codes'!$E$7:$E$70,MATCH(INDEX('State Codes'!$C$7:$C$70,MATCH('County Climates'!B1445,'State Codes'!$D$7:$D$70,0),1),'State Codes'!$C$7:$C$70,0),1)</f>
        <v>South Atlantic Division</v>
      </c>
      <c r="F1445">
        <f>INDEX('CBECS_Table B5'!$C$6:$K$6,1,MATCH('County Climates'!E1445,'CBECS_Table B5'!$C$1:$K$1,0))</f>
        <v>17981</v>
      </c>
    </row>
    <row r="1446" spans="1:6" x14ac:dyDescent="0.25">
      <c r="A1446" t="s">
        <v>1278</v>
      </c>
      <c r="B1446" t="s">
        <v>1279</v>
      </c>
      <c r="C1446" t="s">
        <v>1291</v>
      </c>
      <c r="D1446" t="s">
        <v>247</v>
      </c>
      <c r="E1446" t="str">
        <f>INDEX('State Codes'!$E$7:$E$70,MATCH(INDEX('State Codes'!$C$7:$C$70,MATCH('County Climates'!B1446,'State Codes'!$D$7:$D$70,0),1),'State Codes'!$C$7:$C$70,0),1)</f>
        <v>South Atlantic Division</v>
      </c>
      <c r="F1446">
        <f>INDEX('CBECS_Table B5'!$C$6:$K$6,1,MATCH('County Climates'!E1446,'CBECS_Table B5'!$C$1:$K$1,0))</f>
        <v>17981</v>
      </c>
    </row>
    <row r="1447" spans="1:6" x14ac:dyDescent="0.25">
      <c r="A1447" t="s">
        <v>1278</v>
      </c>
      <c r="B1447" t="s">
        <v>1279</v>
      </c>
      <c r="C1447" t="s">
        <v>1292</v>
      </c>
      <c r="D1447" t="s">
        <v>247</v>
      </c>
      <c r="E1447" t="str">
        <f>INDEX('State Codes'!$E$7:$E$70,MATCH(INDEX('State Codes'!$C$7:$C$70,MATCH('County Climates'!B1447,'State Codes'!$D$7:$D$70,0),1),'State Codes'!$C$7:$C$70,0),1)</f>
        <v>South Atlantic Division</v>
      </c>
      <c r="F1447">
        <f>INDEX('CBECS_Table B5'!$C$6:$K$6,1,MATCH('County Climates'!E1447,'CBECS_Table B5'!$C$1:$K$1,0))</f>
        <v>17981</v>
      </c>
    </row>
    <row r="1448" spans="1:6" x14ac:dyDescent="0.25">
      <c r="A1448" t="s">
        <v>1278</v>
      </c>
      <c r="B1448" t="s">
        <v>1279</v>
      </c>
      <c r="C1448" t="s">
        <v>1293</v>
      </c>
      <c r="D1448" t="s">
        <v>247</v>
      </c>
      <c r="E1448" t="str">
        <f>INDEX('State Codes'!$E$7:$E$70,MATCH(INDEX('State Codes'!$C$7:$C$70,MATCH('County Climates'!B1448,'State Codes'!$D$7:$D$70,0),1),'State Codes'!$C$7:$C$70,0),1)</f>
        <v>South Atlantic Division</v>
      </c>
      <c r="F1448">
        <f>INDEX('CBECS_Table B5'!$C$6:$K$6,1,MATCH('County Climates'!E1448,'CBECS_Table B5'!$C$1:$K$1,0))</f>
        <v>17981</v>
      </c>
    </row>
    <row r="1449" spans="1:6" x14ac:dyDescent="0.25">
      <c r="A1449" t="s">
        <v>1278</v>
      </c>
      <c r="B1449" t="s">
        <v>1279</v>
      </c>
      <c r="C1449" t="s">
        <v>1294</v>
      </c>
      <c r="D1449" t="s">
        <v>247</v>
      </c>
      <c r="E1449" t="str">
        <f>INDEX('State Codes'!$E$7:$E$70,MATCH(INDEX('State Codes'!$C$7:$C$70,MATCH('County Climates'!B1449,'State Codes'!$D$7:$D$70,0),1),'State Codes'!$C$7:$C$70,0),1)</f>
        <v>South Atlantic Division</v>
      </c>
      <c r="F1449">
        <f>INDEX('CBECS_Table B5'!$C$6:$K$6,1,MATCH('County Climates'!E1449,'CBECS_Table B5'!$C$1:$K$1,0))</f>
        <v>17981</v>
      </c>
    </row>
    <row r="1450" spans="1:6" x14ac:dyDescent="0.25">
      <c r="A1450" t="s">
        <v>1278</v>
      </c>
      <c r="B1450" t="s">
        <v>1279</v>
      </c>
      <c r="C1450" t="s">
        <v>1295</v>
      </c>
      <c r="D1450" t="s">
        <v>247</v>
      </c>
      <c r="E1450" t="str">
        <f>INDEX('State Codes'!$E$7:$E$70,MATCH(INDEX('State Codes'!$C$7:$C$70,MATCH('County Climates'!B1450,'State Codes'!$D$7:$D$70,0),1),'State Codes'!$C$7:$C$70,0),1)</f>
        <v>South Atlantic Division</v>
      </c>
      <c r="F1450">
        <f>INDEX('CBECS_Table B5'!$C$6:$K$6,1,MATCH('County Climates'!E1450,'CBECS_Table B5'!$C$1:$K$1,0))</f>
        <v>17981</v>
      </c>
    </row>
    <row r="1451" spans="1:6" x14ac:dyDescent="0.25">
      <c r="A1451" t="s">
        <v>1278</v>
      </c>
      <c r="B1451" t="s">
        <v>1279</v>
      </c>
      <c r="C1451" t="s">
        <v>277</v>
      </c>
      <c r="D1451" t="s">
        <v>247</v>
      </c>
      <c r="E1451" t="str">
        <f>INDEX('State Codes'!$E$7:$E$70,MATCH(INDEX('State Codes'!$C$7:$C$70,MATCH('County Climates'!B1451,'State Codes'!$D$7:$D$70,0),1),'State Codes'!$C$7:$C$70,0),1)</f>
        <v>South Atlantic Division</v>
      </c>
      <c r="F1451">
        <f>INDEX('CBECS_Table B5'!$C$6:$K$6,1,MATCH('County Climates'!E1451,'CBECS_Table B5'!$C$1:$K$1,0))</f>
        <v>17981</v>
      </c>
    </row>
    <row r="1452" spans="1:6" x14ac:dyDescent="0.25">
      <c r="A1452" t="s">
        <v>1278</v>
      </c>
      <c r="B1452" t="s">
        <v>1279</v>
      </c>
      <c r="C1452" t="s">
        <v>1296</v>
      </c>
      <c r="D1452" t="s">
        <v>247</v>
      </c>
      <c r="E1452" t="str">
        <f>INDEX('State Codes'!$E$7:$E$70,MATCH(INDEX('State Codes'!$C$7:$C$70,MATCH('County Climates'!B1452,'State Codes'!$D$7:$D$70,0),1),'State Codes'!$C$7:$C$70,0),1)</f>
        <v>South Atlantic Division</v>
      </c>
      <c r="F1452">
        <f>INDEX('CBECS_Table B5'!$C$6:$K$6,1,MATCH('County Climates'!E1452,'CBECS_Table B5'!$C$1:$K$1,0))</f>
        <v>17981</v>
      </c>
    </row>
    <row r="1453" spans="1:6" x14ac:dyDescent="0.25">
      <c r="A1453" t="s">
        <v>1278</v>
      </c>
      <c r="B1453" t="s">
        <v>1279</v>
      </c>
      <c r="C1453" t="s">
        <v>1297</v>
      </c>
      <c r="D1453" t="s">
        <v>247</v>
      </c>
      <c r="E1453" t="str">
        <f>INDEX('State Codes'!$E$7:$E$70,MATCH(INDEX('State Codes'!$C$7:$C$70,MATCH('County Climates'!B1453,'State Codes'!$D$7:$D$70,0),1),'State Codes'!$C$7:$C$70,0),1)</f>
        <v>South Atlantic Division</v>
      </c>
      <c r="F1453">
        <f>INDEX('CBECS_Table B5'!$C$6:$K$6,1,MATCH('County Climates'!E1453,'CBECS_Table B5'!$C$1:$K$1,0))</f>
        <v>17981</v>
      </c>
    </row>
    <row r="1454" spans="1:6" x14ac:dyDescent="0.25">
      <c r="A1454" t="s">
        <v>1278</v>
      </c>
      <c r="B1454" t="s">
        <v>1279</v>
      </c>
      <c r="C1454" t="s">
        <v>1298</v>
      </c>
      <c r="D1454" t="s">
        <v>247</v>
      </c>
      <c r="E1454" t="str">
        <f>INDEX('State Codes'!$E$7:$E$70,MATCH(INDEX('State Codes'!$C$7:$C$70,MATCH('County Climates'!B1454,'State Codes'!$D$7:$D$70,0),1),'State Codes'!$C$7:$C$70,0),1)</f>
        <v>South Atlantic Division</v>
      </c>
      <c r="F1454">
        <f>INDEX('CBECS_Table B5'!$C$6:$K$6,1,MATCH('County Climates'!E1454,'CBECS_Table B5'!$C$1:$K$1,0))</f>
        <v>17981</v>
      </c>
    </row>
    <row r="1455" spans="1:6" x14ac:dyDescent="0.25">
      <c r="A1455" t="s">
        <v>1278</v>
      </c>
      <c r="B1455" t="s">
        <v>1279</v>
      </c>
      <c r="C1455" t="s">
        <v>1299</v>
      </c>
      <c r="D1455" t="s">
        <v>247</v>
      </c>
      <c r="E1455" t="str">
        <f>INDEX('State Codes'!$E$7:$E$70,MATCH(INDEX('State Codes'!$C$7:$C$70,MATCH('County Climates'!B1455,'State Codes'!$D$7:$D$70,0),1),'State Codes'!$C$7:$C$70,0),1)</f>
        <v>South Atlantic Division</v>
      </c>
      <c r="F1455">
        <f>INDEX('CBECS_Table B5'!$C$6:$K$6,1,MATCH('County Climates'!E1455,'CBECS_Table B5'!$C$1:$K$1,0))</f>
        <v>17981</v>
      </c>
    </row>
    <row r="1456" spans="1:6" x14ac:dyDescent="0.25">
      <c r="A1456" t="s">
        <v>1278</v>
      </c>
      <c r="B1456" t="s">
        <v>1279</v>
      </c>
      <c r="C1456" t="s">
        <v>1300</v>
      </c>
      <c r="D1456" t="s">
        <v>247</v>
      </c>
      <c r="E1456" t="str">
        <f>INDEX('State Codes'!$E$7:$E$70,MATCH(INDEX('State Codes'!$C$7:$C$70,MATCH('County Climates'!B1456,'State Codes'!$D$7:$D$70,0),1),'State Codes'!$C$7:$C$70,0),1)</f>
        <v>South Atlantic Division</v>
      </c>
      <c r="F1456">
        <f>INDEX('CBECS_Table B5'!$C$6:$K$6,1,MATCH('County Climates'!E1456,'CBECS_Table B5'!$C$1:$K$1,0))</f>
        <v>17981</v>
      </c>
    </row>
    <row r="1457" spans="1:6" x14ac:dyDescent="0.25">
      <c r="A1457" t="s">
        <v>1278</v>
      </c>
      <c r="B1457" t="s">
        <v>1279</v>
      </c>
      <c r="C1457" t="s">
        <v>1301</v>
      </c>
      <c r="D1457" t="s">
        <v>247</v>
      </c>
      <c r="E1457" t="str">
        <f>INDEX('State Codes'!$E$7:$E$70,MATCH(INDEX('State Codes'!$C$7:$C$70,MATCH('County Climates'!B1457,'State Codes'!$D$7:$D$70,0),1),'State Codes'!$C$7:$C$70,0),1)</f>
        <v>South Atlantic Division</v>
      </c>
      <c r="F1457">
        <f>INDEX('CBECS_Table B5'!$C$6:$K$6,1,MATCH('County Climates'!E1457,'CBECS_Table B5'!$C$1:$K$1,0))</f>
        <v>17981</v>
      </c>
    </row>
    <row r="1458" spans="1:6" x14ac:dyDescent="0.25">
      <c r="A1458" t="s">
        <v>1278</v>
      </c>
      <c r="B1458" t="s">
        <v>1279</v>
      </c>
      <c r="C1458" t="s">
        <v>1302</v>
      </c>
      <c r="D1458" t="s">
        <v>247</v>
      </c>
      <c r="E1458" t="str">
        <f>INDEX('State Codes'!$E$7:$E$70,MATCH(INDEX('State Codes'!$C$7:$C$70,MATCH('County Climates'!B1458,'State Codes'!$D$7:$D$70,0),1),'State Codes'!$C$7:$C$70,0),1)</f>
        <v>South Atlantic Division</v>
      </c>
      <c r="F1458">
        <f>INDEX('CBECS_Table B5'!$C$6:$K$6,1,MATCH('County Climates'!E1458,'CBECS_Table B5'!$C$1:$K$1,0))</f>
        <v>17981</v>
      </c>
    </row>
    <row r="1459" spans="1:6" x14ac:dyDescent="0.25">
      <c r="A1459" t="s">
        <v>1278</v>
      </c>
      <c r="B1459" t="s">
        <v>1279</v>
      </c>
      <c r="C1459" t="s">
        <v>905</v>
      </c>
      <c r="D1459" t="s">
        <v>247</v>
      </c>
      <c r="E1459" t="str">
        <f>INDEX('State Codes'!$E$7:$E$70,MATCH(INDEX('State Codes'!$C$7:$C$70,MATCH('County Climates'!B1459,'State Codes'!$D$7:$D$70,0),1),'State Codes'!$C$7:$C$70,0),1)</f>
        <v>South Atlantic Division</v>
      </c>
      <c r="F1459">
        <f>INDEX('CBECS_Table B5'!$C$6:$K$6,1,MATCH('County Climates'!E1459,'CBECS_Table B5'!$C$1:$K$1,0))</f>
        <v>17981</v>
      </c>
    </row>
    <row r="1460" spans="1:6" x14ac:dyDescent="0.25">
      <c r="A1460" t="s">
        <v>1278</v>
      </c>
      <c r="B1460" t="s">
        <v>1279</v>
      </c>
      <c r="C1460" t="s">
        <v>284</v>
      </c>
      <c r="D1460" t="s">
        <v>247</v>
      </c>
      <c r="E1460" t="str">
        <f>INDEX('State Codes'!$E$7:$E$70,MATCH(INDEX('State Codes'!$C$7:$C$70,MATCH('County Climates'!B1460,'State Codes'!$D$7:$D$70,0),1),'State Codes'!$C$7:$C$70,0),1)</f>
        <v>South Atlantic Division</v>
      </c>
      <c r="F1460">
        <f>INDEX('CBECS_Table B5'!$C$6:$K$6,1,MATCH('County Climates'!E1460,'CBECS_Table B5'!$C$1:$K$1,0))</f>
        <v>17981</v>
      </c>
    </row>
    <row r="1461" spans="1:6" x14ac:dyDescent="0.25">
      <c r="A1461" t="s">
        <v>1278</v>
      </c>
      <c r="B1461" t="s">
        <v>1279</v>
      </c>
      <c r="C1461" t="s">
        <v>1303</v>
      </c>
      <c r="D1461" t="s">
        <v>247</v>
      </c>
      <c r="E1461" t="str">
        <f>INDEX('State Codes'!$E$7:$E$70,MATCH(INDEX('State Codes'!$C$7:$C$70,MATCH('County Climates'!B1461,'State Codes'!$D$7:$D$70,0),1),'State Codes'!$C$7:$C$70,0),1)</f>
        <v>South Atlantic Division</v>
      </c>
      <c r="F1461">
        <f>INDEX('CBECS_Table B5'!$C$6:$K$6,1,MATCH('County Climates'!E1461,'CBECS_Table B5'!$C$1:$K$1,0))</f>
        <v>17981</v>
      </c>
    </row>
    <row r="1462" spans="1:6" x14ac:dyDescent="0.25">
      <c r="A1462" t="s">
        <v>1278</v>
      </c>
      <c r="B1462" t="s">
        <v>1279</v>
      </c>
      <c r="C1462" t="s">
        <v>1304</v>
      </c>
      <c r="D1462" t="s">
        <v>247</v>
      </c>
      <c r="E1462" t="str">
        <f>INDEX('State Codes'!$E$7:$E$70,MATCH(INDEX('State Codes'!$C$7:$C$70,MATCH('County Climates'!B1462,'State Codes'!$D$7:$D$70,0),1),'State Codes'!$C$7:$C$70,0),1)</f>
        <v>South Atlantic Division</v>
      </c>
      <c r="F1462">
        <f>INDEX('CBECS_Table B5'!$C$6:$K$6,1,MATCH('County Climates'!E1462,'CBECS_Table B5'!$C$1:$K$1,0))</f>
        <v>17981</v>
      </c>
    </row>
    <row r="1463" spans="1:6" x14ac:dyDescent="0.25">
      <c r="A1463" t="s">
        <v>1278</v>
      </c>
      <c r="B1463" t="s">
        <v>1279</v>
      </c>
      <c r="C1463" t="s">
        <v>1305</v>
      </c>
      <c r="D1463" t="s">
        <v>247</v>
      </c>
      <c r="E1463" t="str">
        <f>INDEX('State Codes'!$E$7:$E$70,MATCH(INDEX('State Codes'!$C$7:$C$70,MATCH('County Climates'!B1463,'State Codes'!$D$7:$D$70,0),1),'State Codes'!$C$7:$C$70,0),1)</f>
        <v>South Atlantic Division</v>
      </c>
      <c r="F1463">
        <f>INDEX('CBECS_Table B5'!$C$6:$K$6,1,MATCH('County Climates'!E1463,'CBECS_Table B5'!$C$1:$K$1,0))</f>
        <v>17981</v>
      </c>
    </row>
    <row r="1464" spans="1:6" x14ac:dyDescent="0.25">
      <c r="A1464" t="s">
        <v>1278</v>
      </c>
      <c r="B1464" t="s">
        <v>1279</v>
      </c>
      <c r="C1464" t="s">
        <v>1306</v>
      </c>
      <c r="D1464" t="s">
        <v>247</v>
      </c>
      <c r="E1464" t="str">
        <f>INDEX('State Codes'!$E$7:$E$70,MATCH(INDEX('State Codes'!$C$7:$C$70,MATCH('County Climates'!B1464,'State Codes'!$D$7:$D$70,0),1),'State Codes'!$C$7:$C$70,0),1)</f>
        <v>South Atlantic Division</v>
      </c>
      <c r="F1464">
        <f>INDEX('CBECS_Table B5'!$C$6:$K$6,1,MATCH('County Climates'!E1464,'CBECS_Table B5'!$C$1:$K$1,0))</f>
        <v>17981</v>
      </c>
    </row>
    <row r="1465" spans="1:6" x14ac:dyDescent="0.25">
      <c r="A1465" t="s">
        <v>1278</v>
      </c>
      <c r="B1465" t="s">
        <v>1279</v>
      </c>
      <c r="C1465" t="s">
        <v>1307</v>
      </c>
      <c r="D1465" t="s">
        <v>247</v>
      </c>
      <c r="E1465" t="str">
        <f>INDEX('State Codes'!$E$7:$E$70,MATCH(INDEX('State Codes'!$C$7:$C$70,MATCH('County Climates'!B1465,'State Codes'!$D$7:$D$70,0),1),'State Codes'!$C$7:$C$70,0),1)</f>
        <v>South Atlantic Division</v>
      </c>
      <c r="F1465">
        <f>INDEX('CBECS_Table B5'!$C$6:$K$6,1,MATCH('County Climates'!E1465,'CBECS_Table B5'!$C$1:$K$1,0))</f>
        <v>17981</v>
      </c>
    </row>
    <row r="1466" spans="1:6" x14ac:dyDescent="0.25">
      <c r="A1466" t="s">
        <v>1278</v>
      </c>
      <c r="B1466" t="s">
        <v>1279</v>
      </c>
      <c r="C1466" t="s">
        <v>288</v>
      </c>
      <c r="D1466" t="s">
        <v>247</v>
      </c>
      <c r="E1466" t="str">
        <f>INDEX('State Codes'!$E$7:$E$70,MATCH(INDEX('State Codes'!$C$7:$C$70,MATCH('County Climates'!B1466,'State Codes'!$D$7:$D$70,0),1),'State Codes'!$C$7:$C$70,0),1)</f>
        <v>South Atlantic Division</v>
      </c>
      <c r="F1466">
        <f>INDEX('CBECS_Table B5'!$C$6:$K$6,1,MATCH('County Climates'!E1466,'CBECS_Table B5'!$C$1:$K$1,0))</f>
        <v>17981</v>
      </c>
    </row>
    <row r="1467" spans="1:6" x14ac:dyDescent="0.25">
      <c r="A1467" t="s">
        <v>1278</v>
      </c>
      <c r="B1467" t="s">
        <v>1279</v>
      </c>
      <c r="C1467" t="s">
        <v>1308</v>
      </c>
      <c r="D1467" t="s">
        <v>247</v>
      </c>
      <c r="E1467" t="str">
        <f>INDEX('State Codes'!$E$7:$E$70,MATCH(INDEX('State Codes'!$C$7:$C$70,MATCH('County Climates'!B1467,'State Codes'!$D$7:$D$70,0),1),'State Codes'!$C$7:$C$70,0),1)</f>
        <v>South Atlantic Division</v>
      </c>
      <c r="F1467">
        <f>INDEX('CBECS_Table B5'!$C$6:$K$6,1,MATCH('County Climates'!E1467,'CBECS_Table B5'!$C$1:$K$1,0))</f>
        <v>17981</v>
      </c>
    </row>
    <row r="1468" spans="1:6" x14ac:dyDescent="0.25">
      <c r="A1468" t="s">
        <v>1278</v>
      </c>
      <c r="B1468" t="s">
        <v>1279</v>
      </c>
      <c r="C1468" t="s">
        <v>1309</v>
      </c>
      <c r="D1468" t="s">
        <v>247</v>
      </c>
      <c r="E1468" t="str">
        <f>INDEX('State Codes'!$E$7:$E$70,MATCH(INDEX('State Codes'!$C$7:$C$70,MATCH('County Climates'!B1468,'State Codes'!$D$7:$D$70,0),1),'State Codes'!$C$7:$C$70,0),1)</f>
        <v>South Atlantic Division</v>
      </c>
      <c r="F1468">
        <f>INDEX('CBECS_Table B5'!$C$6:$K$6,1,MATCH('County Climates'!E1468,'CBECS_Table B5'!$C$1:$K$1,0))</f>
        <v>17981</v>
      </c>
    </row>
    <row r="1469" spans="1:6" x14ac:dyDescent="0.25">
      <c r="A1469" t="s">
        <v>1278</v>
      </c>
      <c r="B1469" t="s">
        <v>1279</v>
      </c>
      <c r="C1469" t="s">
        <v>1310</v>
      </c>
      <c r="D1469" t="s">
        <v>247</v>
      </c>
      <c r="E1469" t="str">
        <f>INDEX('State Codes'!$E$7:$E$70,MATCH(INDEX('State Codes'!$C$7:$C$70,MATCH('County Climates'!B1469,'State Codes'!$D$7:$D$70,0),1),'State Codes'!$C$7:$C$70,0),1)</f>
        <v>South Atlantic Division</v>
      </c>
      <c r="F1469">
        <f>INDEX('CBECS_Table B5'!$C$6:$K$6,1,MATCH('County Climates'!E1469,'CBECS_Table B5'!$C$1:$K$1,0))</f>
        <v>17981</v>
      </c>
    </row>
    <row r="1470" spans="1:6" x14ac:dyDescent="0.25">
      <c r="A1470" t="s">
        <v>1278</v>
      </c>
      <c r="B1470" t="s">
        <v>1279</v>
      </c>
      <c r="C1470" t="s">
        <v>1311</v>
      </c>
      <c r="D1470" t="s">
        <v>247</v>
      </c>
      <c r="E1470" t="str">
        <f>INDEX('State Codes'!$E$7:$E$70,MATCH(INDEX('State Codes'!$C$7:$C$70,MATCH('County Climates'!B1470,'State Codes'!$D$7:$D$70,0),1),'State Codes'!$C$7:$C$70,0),1)</f>
        <v>South Atlantic Division</v>
      </c>
      <c r="F1470">
        <f>INDEX('CBECS_Table B5'!$C$6:$K$6,1,MATCH('County Climates'!E1470,'CBECS_Table B5'!$C$1:$K$1,0))</f>
        <v>17981</v>
      </c>
    </row>
    <row r="1471" spans="1:6" x14ac:dyDescent="0.25">
      <c r="A1471" t="s">
        <v>1278</v>
      </c>
      <c r="B1471" t="s">
        <v>1279</v>
      </c>
      <c r="C1471" t="s">
        <v>1312</v>
      </c>
      <c r="D1471" t="s">
        <v>247</v>
      </c>
      <c r="E1471" t="str">
        <f>INDEX('State Codes'!$E$7:$E$70,MATCH(INDEX('State Codes'!$C$7:$C$70,MATCH('County Climates'!B1471,'State Codes'!$D$7:$D$70,0),1),'State Codes'!$C$7:$C$70,0),1)</f>
        <v>South Atlantic Division</v>
      </c>
      <c r="F1471">
        <f>INDEX('CBECS_Table B5'!$C$6:$K$6,1,MATCH('County Climates'!E1471,'CBECS_Table B5'!$C$1:$K$1,0))</f>
        <v>17981</v>
      </c>
    </row>
    <row r="1472" spans="1:6" x14ac:dyDescent="0.25">
      <c r="A1472" t="s">
        <v>1278</v>
      </c>
      <c r="B1472" t="s">
        <v>1279</v>
      </c>
      <c r="C1472" t="s">
        <v>413</v>
      </c>
      <c r="D1472" t="s">
        <v>247</v>
      </c>
      <c r="E1472" t="str">
        <f>INDEX('State Codes'!$E$7:$E$70,MATCH(INDEX('State Codes'!$C$7:$C$70,MATCH('County Climates'!B1472,'State Codes'!$D$7:$D$70,0),1),'State Codes'!$C$7:$C$70,0),1)</f>
        <v>South Atlantic Division</v>
      </c>
      <c r="F1472">
        <f>INDEX('CBECS_Table B5'!$C$6:$K$6,1,MATCH('County Climates'!E1472,'CBECS_Table B5'!$C$1:$K$1,0))</f>
        <v>17981</v>
      </c>
    </row>
    <row r="1473" spans="1:6" x14ac:dyDescent="0.25">
      <c r="A1473" t="s">
        <v>1278</v>
      </c>
      <c r="B1473" t="s">
        <v>1279</v>
      </c>
      <c r="C1473" t="s">
        <v>294</v>
      </c>
      <c r="D1473" t="s">
        <v>247</v>
      </c>
      <c r="E1473" t="str">
        <f>INDEX('State Codes'!$E$7:$E$70,MATCH(INDEX('State Codes'!$C$7:$C$70,MATCH('County Climates'!B1473,'State Codes'!$D$7:$D$70,0),1),'State Codes'!$C$7:$C$70,0),1)</f>
        <v>South Atlantic Division</v>
      </c>
      <c r="F1473">
        <f>INDEX('CBECS_Table B5'!$C$6:$K$6,1,MATCH('County Climates'!E1473,'CBECS_Table B5'!$C$1:$K$1,0))</f>
        <v>17981</v>
      </c>
    </row>
    <row r="1474" spans="1:6" x14ac:dyDescent="0.25">
      <c r="A1474" t="s">
        <v>1278</v>
      </c>
      <c r="B1474" t="s">
        <v>1279</v>
      </c>
      <c r="C1474" t="s">
        <v>692</v>
      </c>
      <c r="D1474" t="s">
        <v>247</v>
      </c>
      <c r="E1474" t="str">
        <f>INDEX('State Codes'!$E$7:$E$70,MATCH(INDEX('State Codes'!$C$7:$C$70,MATCH('County Climates'!B1474,'State Codes'!$D$7:$D$70,0),1),'State Codes'!$C$7:$C$70,0),1)</f>
        <v>South Atlantic Division</v>
      </c>
      <c r="F1474">
        <f>INDEX('CBECS_Table B5'!$C$6:$K$6,1,MATCH('County Climates'!E1474,'CBECS_Table B5'!$C$1:$K$1,0))</f>
        <v>17981</v>
      </c>
    </row>
    <row r="1475" spans="1:6" x14ac:dyDescent="0.25">
      <c r="A1475" t="s">
        <v>1278</v>
      </c>
      <c r="B1475" t="s">
        <v>1279</v>
      </c>
      <c r="C1475" t="s">
        <v>1313</v>
      </c>
      <c r="D1475" t="s">
        <v>247</v>
      </c>
      <c r="E1475" t="str">
        <f>INDEX('State Codes'!$E$7:$E$70,MATCH(INDEX('State Codes'!$C$7:$C$70,MATCH('County Climates'!B1475,'State Codes'!$D$7:$D$70,0),1),'State Codes'!$C$7:$C$70,0),1)</f>
        <v>South Atlantic Division</v>
      </c>
      <c r="F1475">
        <f>INDEX('CBECS_Table B5'!$C$6:$K$6,1,MATCH('County Climates'!E1475,'CBECS_Table B5'!$C$1:$K$1,0))</f>
        <v>17981</v>
      </c>
    </row>
    <row r="1476" spans="1:6" x14ac:dyDescent="0.25">
      <c r="A1476" t="s">
        <v>1278</v>
      </c>
      <c r="B1476" t="s">
        <v>1279</v>
      </c>
      <c r="C1476" t="s">
        <v>1314</v>
      </c>
      <c r="D1476" t="s">
        <v>247</v>
      </c>
      <c r="E1476" t="str">
        <f>INDEX('State Codes'!$E$7:$E$70,MATCH(INDEX('State Codes'!$C$7:$C$70,MATCH('County Climates'!B1476,'State Codes'!$D$7:$D$70,0),1),'State Codes'!$C$7:$C$70,0),1)</f>
        <v>South Atlantic Division</v>
      </c>
      <c r="F1476">
        <f>INDEX('CBECS_Table B5'!$C$6:$K$6,1,MATCH('County Climates'!E1476,'CBECS_Table B5'!$C$1:$K$1,0))</f>
        <v>17981</v>
      </c>
    </row>
    <row r="1477" spans="1:6" x14ac:dyDescent="0.25">
      <c r="A1477" t="s">
        <v>1278</v>
      </c>
      <c r="B1477" t="s">
        <v>1279</v>
      </c>
      <c r="C1477" t="s">
        <v>1315</v>
      </c>
      <c r="D1477" t="s">
        <v>247</v>
      </c>
      <c r="E1477" t="str">
        <f>INDEX('State Codes'!$E$7:$E$70,MATCH(INDEX('State Codes'!$C$7:$C$70,MATCH('County Climates'!B1477,'State Codes'!$D$7:$D$70,0),1),'State Codes'!$C$7:$C$70,0),1)</f>
        <v>South Atlantic Division</v>
      </c>
      <c r="F1477">
        <f>INDEX('CBECS_Table B5'!$C$6:$K$6,1,MATCH('County Climates'!E1477,'CBECS_Table B5'!$C$1:$K$1,0))</f>
        <v>17981</v>
      </c>
    </row>
    <row r="1478" spans="1:6" x14ac:dyDescent="0.25">
      <c r="A1478" t="s">
        <v>1278</v>
      </c>
      <c r="B1478" t="s">
        <v>1279</v>
      </c>
      <c r="C1478" t="s">
        <v>988</v>
      </c>
      <c r="D1478" t="s">
        <v>247</v>
      </c>
      <c r="E1478" t="str">
        <f>INDEX('State Codes'!$E$7:$E$70,MATCH(INDEX('State Codes'!$C$7:$C$70,MATCH('County Climates'!B1478,'State Codes'!$D$7:$D$70,0),1),'State Codes'!$C$7:$C$70,0),1)</f>
        <v>South Atlantic Division</v>
      </c>
      <c r="F1478">
        <f>INDEX('CBECS_Table B5'!$C$6:$K$6,1,MATCH('County Climates'!E1478,'CBECS_Table B5'!$C$1:$K$1,0))</f>
        <v>17981</v>
      </c>
    </row>
    <row r="1479" spans="1:6" x14ac:dyDescent="0.25">
      <c r="A1479" t="s">
        <v>1278</v>
      </c>
      <c r="B1479" t="s">
        <v>1279</v>
      </c>
      <c r="C1479" t="s">
        <v>1316</v>
      </c>
      <c r="D1479" t="s">
        <v>247</v>
      </c>
      <c r="E1479" t="str">
        <f>INDEX('State Codes'!$E$7:$E$70,MATCH(INDEX('State Codes'!$C$7:$C$70,MATCH('County Climates'!B1479,'State Codes'!$D$7:$D$70,0),1),'State Codes'!$C$7:$C$70,0),1)</f>
        <v>South Atlantic Division</v>
      </c>
      <c r="F1479">
        <f>INDEX('CBECS_Table B5'!$C$6:$K$6,1,MATCH('County Climates'!E1479,'CBECS_Table B5'!$C$1:$K$1,0))</f>
        <v>17981</v>
      </c>
    </row>
    <row r="1480" spans="1:6" x14ac:dyDescent="0.25">
      <c r="A1480" t="s">
        <v>1278</v>
      </c>
      <c r="B1480" t="s">
        <v>1279</v>
      </c>
      <c r="C1480" t="s">
        <v>1317</v>
      </c>
      <c r="D1480" t="s">
        <v>247</v>
      </c>
      <c r="E1480" t="str">
        <f>INDEX('State Codes'!$E$7:$E$70,MATCH(INDEX('State Codes'!$C$7:$C$70,MATCH('County Climates'!B1480,'State Codes'!$D$7:$D$70,0),1),'State Codes'!$C$7:$C$70,0),1)</f>
        <v>South Atlantic Division</v>
      </c>
      <c r="F1480">
        <f>INDEX('CBECS_Table B5'!$C$6:$K$6,1,MATCH('County Climates'!E1480,'CBECS_Table B5'!$C$1:$K$1,0))</f>
        <v>17981</v>
      </c>
    </row>
    <row r="1481" spans="1:6" x14ac:dyDescent="0.25">
      <c r="A1481" t="s">
        <v>1278</v>
      </c>
      <c r="B1481" t="s">
        <v>1279</v>
      </c>
      <c r="C1481" t="s">
        <v>1318</v>
      </c>
      <c r="D1481" t="s">
        <v>247</v>
      </c>
      <c r="E1481" t="str">
        <f>INDEX('State Codes'!$E$7:$E$70,MATCH(INDEX('State Codes'!$C$7:$C$70,MATCH('County Climates'!B1481,'State Codes'!$D$7:$D$70,0),1),'State Codes'!$C$7:$C$70,0),1)</f>
        <v>South Atlantic Division</v>
      </c>
      <c r="F1481">
        <f>INDEX('CBECS_Table B5'!$C$6:$K$6,1,MATCH('County Climates'!E1481,'CBECS_Table B5'!$C$1:$K$1,0))</f>
        <v>17981</v>
      </c>
    </row>
    <row r="1482" spans="1:6" x14ac:dyDescent="0.25">
      <c r="A1482" t="s">
        <v>1278</v>
      </c>
      <c r="B1482" t="s">
        <v>1279</v>
      </c>
      <c r="C1482" t="s">
        <v>966</v>
      </c>
      <c r="D1482" t="s">
        <v>247</v>
      </c>
      <c r="E1482" t="str">
        <f>INDEX('State Codes'!$E$7:$E$70,MATCH(INDEX('State Codes'!$C$7:$C$70,MATCH('County Climates'!B1482,'State Codes'!$D$7:$D$70,0),1),'State Codes'!$C$7:$C$70,0),1)</f>
        <v>South Atlantic Division</v>
      </c>
      <c r="F1482">
        <f>INDEX('CBECS_Table B5'!$C$6:$K$6,1,MATCH('County Climates'!E1482,'CBECS_Table B5'!$C$1:$K$1,0))</f>
        <v>17981</v>
      </c>
    </row>
    <row r="1483" spans="1:6" x14ac:dyDescent="0.25">
      <c r="A1483" t="s">
        <v>1278</v>
      </c>
      <c r="B1483" t="s">
        <v>1279</v>
      </c>
      <c r="C1483" t="s">
        <v>1319</v>
      </c>
      <c r="D1483" t="s">
        <v>247</v>
      </c>
      <c r="E1483" t="str">
        <f>INDEX('State Codes'!$E$7:$E$70,MATCH(INDEX('State Codes'!$C$7:$C$70,MATCH('County Climates'!B1483,'State Codes'!$D$7:$D$70,0),1),'State Codes'!$C$7:$C$70,0),1)</f>
        <v>South Atlantic Division</v>
      </c>
      <c r="F1483">
        <f>INDEX('CBECS_Table B5'!$C$6:$K$6,1,MATCH('County Climates'!E1483,'CBECS_Table B5'!$C$1:$K$1,0))</f>
        <v>17981</v>
      </c>
    </row>
    <row r="1484" spans="1:6" x14ac:dyDescent="0.25">
      <c r="A1484" t="s">
        <v>1278</v>
      </c>
      <c r="B1484" t="s">
        <v>1279</v>
      </c>
      <c r="C1484" t="s">
        <v>1320</v>
      </c>
      <c r="D1484" t="s">
        <v>247</v>
      </c>
      <c r="E1484" t="str">
        <f>INDEX('State Codes'!$E$7:$E$70,MATCH(INDEX('State Codes'!$C$7:$C$70,MATCH('County Climates'!B1484,'State Codes'!$D$7:$D$70,0),1),'State Codes'!$C$7:$C$70,0),1)</f>
        <v>South Atlantic Division</v>
      </c>
      <c r="F1484">
        <f>INDEX('CBECS_Table B5'!$C$6:$K$6,1,MATCH('County Climates'!E1484,'CBECS_Table B5'!$C$1:$K$1,0))</f>
        <v>17981</v>
      </c>
    </row>
    <row r="1485" spans="1:6" x14ac:dyDescent="0.25">
      <c r="A1485" t="s">
        <v>1278</v>
      </c>
      <c r="B1485" t="s">
        <v>1279</v>
      </c>
      <c r="C1485" t="s">
        <v>1321</v>
      </c>
      <c r="D1485" t="s">
        <v>247</v>
      </c>
      <c r="E1485" t="str">
        <f>INDEX('State Codes'!$E$7:$E$70,MATCH(INDEX('State Codes'!$C$7:$C$70,MATCH('County Climates'!B1485,'State Codes'!$D$7:$D$70,0),1),'State Codes'!$C$7:$C$70,0),1)</f>
        <v>South Atlantic Division</v>
      </c>
      <c r="F1485">
        <f>INDEX('CBECS_Table B5'!$C$6:$K$6,1,MATCH('County Climates'!E1485,'CBECS_Table B5'!$C$1:$K$1,0))</f>
        <v>17981</v>
      </c>
    </row>
    <row r="1486" spans="1:6" x14ac:dyDescent="0.25">
      <c r="A1486" t="s">
        <v>1278</v>
      </c>
      <c r="B1486" t="s">
        <v>1279</v>
      </c>
      <c r="C1486" t="s">
        <v>1322</v>
      </c>
      <c r="D1486" t="s">
        <v>247</v>
      </c>
      <c r="E1486" t="str">
        <f>INDEX('State Codes'!$E$7:$E$70,MATCH(INDEX('State Codes'!$C$7:$C$70,MATCH('County Climates'!B1486,'State Codes'!$D$7:$D$70,0),1),'State Codes'!$C$7:$C$70,0),1)</f>
        <v>South Atlantic Division</v>
      </c>
      <c r="F1486">
        <f>INDEX('CBECS_Table B5'!$C$6:$K$6,1,MATCH('County Climates'!E1486,'CBECS_Table B5'!$C$1:$K$1,0))</f>
        <v>17981</v>
      </c>
    </row>
    <row r="1487" spans="1:6" x14ac:dyDescent="0.25">
      <c r="A1487" t="s">
        <v>1278</v>
      </c>
      <c r="B1487" t="s">
        <v>1279</v>
      </c>
      <c r="C1487" t="s">
        <v>1323</v>
      </c>
      <c r="D1487" t="s">
        <v>247</v>
      </c>
      <c r="E1487" t="str">
        <f>INDEX('State Codes'!$E$7:$E$70,MATCH(INDEX('State Codes'!$C$7:$C$70,MATCH('County Climates'!B1487,'State Codes'!$D$7:$D$70,0),1),'State Codes'!$C$7:$C$70,0),1)</f>
        <v>South Atlantic Division</v>
      </c>
      <c r="F1487">
        <f>INDEX('CBECS_Table B5'!$C$6:$K$6,1,MATCH('County Climates'!E1487,'CBECS_Table B5'!$C$1:$K$1,0))</f>
        <v>17981</v>
      </c>
    </row>
    <row r="1488" spans="1:6" x14ac:dyDescent="0.25">
      <c r="A1488" t="s">
        <v>1278</v>
      </c>
      <c r="B1488" t="s">
        <v>1279</v>
      </c>
      <c r="C1488" t="s">
        <v>1324</v>
      </c>
      <c r="D1488" t="s">
        <v>247</v>
      </c>
      <c r="E1488" t="str">
        <f>INDEX('State Codes'!$E$7:$E$70,MATCH(INDEX('State Codes'!$C$7:$C$70,MATCH('County Climates'!B1488,'State Codes'!$D$7:$D$70,0),1),'State Codes'!$C$7:$C$70,0),1)</f>
        <v>South Atlantic Division</v>
      </c>
      <c r="F1488">
        <f>INDEX('CBECS_Table B5'!$C$6:$K$6,1,MATCH('County Climates'!E1488,'CBECS_Table B5'!$C$1:$K$1,0))</f>
        <v>17981</v>
      </c>
    </row>
    <row r="1489" spans="1:6" x14ac:dyDescent="0.25">
      <c r="A1489" t="s">
        <v>1278</v>
      </c>
      <c r="B1489" t="s">
        <v>1279</v>
      </c>
      <c r="C1489" t="s">
        <v>1325</v>
      </c>
      <c r="D1489" t="s">
        <v>247</v>
      </c>
      <c r="E1489" t="str">
        <f>INDEX('State Codes'!$E$7:$E$70,MATCH(INDEX('State Codes'!$C$7:$C$70,MATCH('County Climates'!B1489,'State Codes'!$D$7:$D$70,0),1),'State Codes'!$C$7:$C$70,0),1)</f>
        <v>South Atlantic Division</v>
      </c>
      <c r="F1489">
        <f>INDEX('CBECS_Table B5'!$C$6:$K$6,1,MATCH('County Climates'!E1489,'CBECS_Table B5'!$C$1:$K$1,0))</f>
        <v>17981</v>
      </c>
    </row>
    <row r="1490" spans="1:6" x14ac:dyDescent="0.25">
      <c r="A1490" t="s">
        <v>1278</v>
      </c>
      <c r="B1490" t="s">
        <v>1279</v>
      </c>
      <c r="C1490" t="s">
        <v>1326</v>
      </c>
      <c r="D1490" t="s">
        <v>247</v>
      </c>
      <c r="E1490" t="str">
        <f>INDEX('State Codes'!$E$7:$E$70,MATCH(INDEX('State Codes'!$C$7:$C$70,MATCH('County Climates'!B1490,'State Codes'!$D$7:$D$70,0),1),'State Codes'!$C$7:$C$70,0),1)</f>
        <v>South Atlantic Division</v>
      </c>
      <c r="F1490">
        <f>INDEX('CBECS_Table B5'!$C$6:$K$6,1,MATCH('County Climates'!E1490,'CBECS_Table B5'!$C$1:$K$1,0))</f>
        <v>17981</v>
      </c>
    </row>
    <row r="1491" spans="1:6" x14ac:dyDescent="0.25">
      <c r="A1491" t="s">
        <v>1278</v>
      </c>
      <c r="B1491" t="s">
        <v>1279</v>
      </c>
      <c r="C1491" t="s">
        <v>1327</v>
      </c>
      <c r="D1491" t="s">
        <v>247</v>
      </c>
      <c r="E1491" t="str">
        <f>INDEX('State Codes'!$E$7:$E$70,MATCH(INDEX('State Codes'!$C$7:$C$70,MATCH('County Climates'!B1491,'State Codes'!$D$7:$D$70,0),1),'State Codes'!$C$7:$C$70,0),1)</f>
        <v>South Atlantic Division</v>
      </c>
      <c r="F1491">
        <f>INDEX('CBECS_Table B5'!$C$6:$K$6,1,MATCH('County Climates'!E1491,'CBECS_Table B5'!$C$1:$K$1,0))</f>
        <v>17981</v>
      </c>
    </row>
    <row r="1492" spans="1:6" x14ac:dyDescent="0.25">
      <c r="A1492" t="s">
        <v>1278</v>
      </c>
      <c r="B1492" t="s">
        <v>1279</v>
      </c>
      <c r="C1492" t="s">
        <v>1328</v>
      </c>
      <c r="D1492" t="s">
        <v>247</v>
      </c>
      <c r="E1492" t="str">
        <f>INDEX('State Codes'!$E$7:$E$70,MATCH(INDEX('State Codes'!$C$7:$C$70,MATCH('County Climates'!B1492,'State Codes'!$D$7:$D$70,0),1),'State Codes'!$C$7:$C$70,0),1)</f>
        <v>South Atlantic Division</v>
      </c>
      <c r="F1492">
        <f>INDEX('CBECS_Table B5'!$C$6:$K$6,1,MATCH('County Climates'!E1492,'CBECS_Table B5'!$C$1:$K$1,0))</f>
        <v>17981</v>
      </c>
    </row>
    <row r="1493" spans="1:6" x14ac:dyDescent="0.25">
      <c r="A1493" t="s">
        <v>1278</v>
      </c>
      <c r="B1493" t="s">
        <v>1279</v>
      </c>
      <c r="C1493" t="s">
        <v>338</v>
      </c>
      <c r="D1493" t="s">
        <v>247</v>
      </c>
      <c r="E1493" t="str">
        <f>INDEX('State Codes'!$E$7:$E$70,MATCH(INDEX('State Codes'!$C$7:$C$70,MATCH('County Climates'!B1493,'State Codes'!$D$7:$D$70,0),1),'State Codes'!$C$7:$C$70,0),1)</f>
        <v>South Atlantic Division</v>
      </c>
      <c r="F1493">
        <f>INDEX('CBECS_Table B5'!$C$6:$K$6,1,MATCH('County Climates'!E1493,'CBECS_Table B5'!$C$1:$K$1,0))</f>
        <v>17981</v>
      </c>
    </row>
    <row r="1494" spans="1:6" x14ac:dyDescent="0.25">
      <c r="A1494" t="s">
        <v>1278</v>
      </c>
      <c r="B1494" t="s">
        <v>1279</v>
      </c>
      <c r="C1494" t="s">
        <v>1329</v>
      </c>
      <c r="D1494" t="s">
        <v>247</v>
      </c>
      <c r="E1494" t="str">
        <f>INDEX('State Codes'!$E$7:$E$70,MATCH(INDEX('State Codes'!$C$7:$C$70,MATCH('County Climates'!B1494,'State Codes'!$D$7:$D$70,0),1),'State Codes'!$C$7:$C$70,0),1)</f>
        <v>South Atlantic Division</v>
      </c>
      <c r="F1494">
        <f>INDEX('CBECS_Table B5'!$C$6:$K$6,1,MATCH('County Climates'!E1494,'CBECS_Table B5'!$C$1:$K$1,0))</f>
        <v>17981</v>
      </c>
    </row>
    <row r="1495" spans="1:6" x14ac:dyDescent="0.25">
      <c r="A1495" t="s">
        <v>1330</v>
      </c>
      <c r="B1495" t="s">
        <v>1331</v>
      </c>
      <c r="C1495" t="s">
        <v>1332</v>
      </c>
      <c r="D1495" t="s">
        <v>228</v>
      </c>
      <c r="E1495" t="str">
        <f>INDEX('State Codes'!$E$7:$E$70,MATCH(INDEX('State Codes'!$C$7:$C$70,MATCH('County Climates'!B1495,'State Codes'!$D$7:$D$70,0),1),'State Codes'!$C$7:$C$70,0),1)</f>
        <v>Pacific Division</v>
      </c>
      <c r="F1495">
        <f>INDEX('CBECS_Table B5'!$C$6:$K$6,1,MATCH('County Climates'!E1495,'CBECS_Table B5'!$C$1:$K$1,0))</f>
        <v>13379</v>
      </c>
    </row>
    <row r="1496" spans="1:6" x14ac:dyDescent="0.25">
      <c r="A1496" t="s">
        <v>1330</v>
      </c>
      <c r="B1496" t="s">
        <v>1331</v>
      </c>
      <c r="C1496" t="s">
        <v>1333</v>
      </c>
      <c r="D1496" t="s">
        <v>227</v>
      </c>
      <c r="E1496" t="str">
        <f>INDEX('State Codes'!$E$7:$E$70,MATCH(INDEX('State Codes'!$C$7:$C$70,MATCH('County Climates'!B1496,'State Codes'!$D$7:$D$70,0),1),'State Codes'!$C$7:$C$70,0),1)</f>
        <v>Pacific Division</v>
      </c>
      <c r="F1496">
        <f>INDEX('CBECS_Table B5'!$C$6:$K$6,1,MATCH('County Climates'!E1496,'CBECS_Table B5'!$C$1:$K$1,0))</f>
        <v>13379</v>
      </c>
    </row>
    <row r="1497" spans="1:6" x14ac:dyDescent="0.25">
      <c r="A1497" t="s">
        <v>1330</v>
      </c>
      <c r="B1497" t="s">
        <v>1331</v>
      </c>
      <c r="C1497" t="s">
        <v>1334</v>
      </c>
      <c r="D1497" t="s">
        <v>228</v>
      </c>
      <c r="E1497" t="str">
        <f>INDEX('State Codes'!$E$7:$E$70,MATCH(INDEX('State Codes'!$C$7:$C$70,MATCH('County Climates'!B1497,'State Codes'!$D$7:$D$70,0),1),'State Codes'!$C$7:$C$70,0),1)</f>
        <v>Pacific Division</v>
      </c>
      <c r="F1497">
        <f>INDEX('CBECS_Table B5'!$C$6:$K$6,1,MATCH('County Climates'!E1497,'CBECS_Table B5'!$C$1:$K$1,0))</f>
        <v>13379</v>
      </c>
    </row>
    <row r="1498" spans="1:6" x14ac:dyDescent="0.25">
      <c r="A1498" t="s">
        <v>1330</v>
      </c>
      <c r="B1498" t="s">
        <v>1331</v>
      </c>
      <c r="C1498" t="s">
        <v>1335</v>
      </c>
      <c r="D1498" t="s">
        <v>228</v>
      </c>
      <c r="E1498" t="str">
        <f>INDEX('State Codes'!$E$7:$E$70,MATCH(INDEX('State Codes'!$C$7:$C$70,MATCH('County Climates'!B1498,'State Codes'!$D$7:$D$70,0),1),'State Codes'!$C$7:$C$70,0),1)</f>
        <v>Pacific Division</v>
      </c>
      <c r="F1498">
        <f>INDEX('CBECS_Table B5'!$C$6:$K$6,1,MATCH('County Climates'!E1498,'CBECS_Table B5'!$C$1:$K$1,0))</f>
        <v>13379</v>
      </c>
    </row>
    <row r="1499" spans="1:6" x14ac:dyDescent="0.25">
      <c r="A1499" t="s">
        <v>1336</v>
      </c>
      <c r="B1499" t="s">
        <v>1337</v>
      </c>
      <c r="C1499" t="s">
        <v>245</v>
      </c>
      <c r="D1499" t="s">
        <v>228</v>
      </c>
      <c r="E1499" t="str">
        <f>INDEX('State Codes'!$E$7:$E$70,MATCH(INDEX('State Codes'!$C$7:$C$70,MATCH('County Climates'!B1499,'State Codes'!$D$7:$D$70,0),1),'State Codes'!$C$7:$C$70,0),1)</f>
        <v>South Atlantic Division</v>
      </c>
      <c r="F1499">
        <f>INDEX('CBECS_Table B5'!$C$6:$K$6,1,MATCH('County Climates'!E1499,'CBECS_Table B5'!$C$1:$K$1,0))</f>
        <v>17981</v>
      </c>
    </row>
    <row r="1500" spans="1:6" x14ac:dyDescent="0.25">
      <c r="A1500" t="s">
        <v>1336</v>
      </c>
      <c r="B1500" t="s">
        <v>1337</v>
      </c>
      <c r="C1500" t="s">
        <v>1338</v>
      </c>
      <c r="D1500" t="s">
        <v>247</v>
      </c>
      <c r="E1500" t="str">
        <f>INDEX('State Codes'!$E$7:$E$70,MATCH(INDEX('State Codes'!$C$7:$C$70,MATCH('County Climates'!B1500,'State Codes'!$D$7:$D$70,0),1),'State Codes'!$C$7:$C$70,0),1)</f>
        <v>South Atlantic Division</v>
      </c>
      <c r="F1500">
        <f>INDEX('CBECS_Table B5'!$C$6:$K$6,1,MATCH('County Climates'!E1500,'CBECS_Table B5'!$C$1:$K$1,0))</f>
        <v>17981</v>
      </c>
    </row>
    <row r="1501" spans="1:6" x14ac:dyDescent="0.25">
      <c r="A1501" t="s">
        <v>1336</v>
      </c>
      <c r="B1501" t="s">
        <v>1337</v>
      </c>
      <c r="C1501" t="s">
        <v>577</v>
      </c>
      <c r="D1501" t="s">
        <v>247</v>
      </c>
      <c r="E1501" t="str">
        <f>INDEX('State Codes'!$E$7:$E$70,MATCH(INDEX('State Codes'!$C$7:$C$70,MATCH('County Climates'!B1501,'State Codes'!$D$7:$D$70,0),1),'State Codes'!$C$7:$C$70,0),1)</f>
        <v>South Atlantic Division</v>
      </c>
      <c r="F1501">
        <f>INDEX('CBECS_Table B5'!$C$6:$K$6,1,MATCH('County Climates'!E1501,'CBECS_Table B5'!$C$1:$K$1,0))</f>
        <v>17981</v>
      </c>
    </row>
    <row r="1502" spans="1:6" x14ac:dyDescent="0.25">
      <c r="A1502" t="s">
        <v>1336</v>
      </c>
      <c r="B1502" t="s">
        <v>1337</v>
      </c>
      <c r="C1502" t="s">
        <v>1339</v>
      </c>
      <c r="D1502" t="s">
        <v>247</v>
      </c>
      <c r="E1502" t="str">
        <f>INDEX('State Codes'!$E$7:$E$70,MATCH(INDEX('State Codes'!$C$7:$C$70,MATCH('County Climates'!B1502,'State Codes'!$D$7:$D$70,0),1),'State Codes'!$C$7:$C$70,0),1)</f>
        <v>South Atlantic Division</v>
      </c>
      <c r="F1502">
        <f>INDEX('CBECS_Table B5'!$C$6:$K$6,1,MATCH('County Climates'!E1502,'CBECS_Table B5'!$C$1:$K$1,0))</f>
        <v>17981</v>
      </c>
    </row>
    <row r="1503" spans="1:6" x14ac:dyDescent="0.25">
      <c r="A1503" t="s">
        <v>1336</v>
      </c>
      <c r="B1503" t="s">
        <v>1337</v>
      </c>
      <c r="C1503" t="s">
        <v>1340</v>
      </c>
      <c r="D1503" t="s">
        <v>228</v>
      </c>
      <c r="E1503" t="str">
        <f>INDEX('State Codes'!$E$7:$E$70,MATCH(INDEX('State Codes'!$C$7:$C$70,MATCH('County Climates'!B1503,'State Codes'!$D$7:$D$70,0),1),'State Codes'!$C$7:$C$70,0),1)</f>
        <v>South Atlantic Division</v>
      </c>
      <c r="F1503">
        <f>INDEX('CBECS_Table B5'!$C$6:$K$6,1,MATCH('County Climates'!E1503,'CBECS_Table B5'!$C$1:$K$1,0))</f>
        <v>17981</v>
      </c>
    </row>
    <row r="1504" spans="1:6" x14ac:dyDescent="0.25">
      <c r="A1504" t="s">
        <v>1336</v>
      </c>
      <c r="B1504" t="s">
        <v>1337</v>
      </c>
      <c r="C1504" t="s">
        <v>1341</v>
      </c>
      <c r="D1504" t="s">
        <v>247</v>
      </c>
      <c r="E1504" t="str">
        <f>INDEX('State Codes'!$E$7:$E$70,MATCH(INDEX('State Codes'!$C$7:$C$70,MATCH('County Climates'!B1504,'State Codes'!$D$7:$D$70,0),1),'State Codes'!$C$7:$C$70,0),1)</f>
        <v>South Atlantic Division</v>
      </c>
      <c r="F1504">
        <f>INDEX('CBECS_Table B5'!$C$6:$K$6,1,MATCH('County Climates'!E1504,'CBECS_Table B5'!$C$1:$K$1,0))</f>
        <v>17981</v>
      </c>
    </row>
    <row r="1505" spans="1:6" x14ac:dyDescent="0.25">
      <c r="A1505" t="s">
        <v>1336</v>
      </c>
      <c r="B1505" t="s">
        <v>1337</v>
      </c>
      <c r="C1505" t="s">
        <v>251</v>
      </c>
      <c r="D1505" t="s">
        <v>247</v>
      </c>
      <c r="E1505" t="str">
        <f>INDEX('State Codes'!$E$7:$E$70,MATCH(INDEX('State Codes'!$C$7:$C$70,MATCH('County Climates'!B1505,'State Codes'!$D$7:$D$70,0),1),'State Codes'!$C$7:$C$70,0),1)</f>
        <v>South Atlantic Division</v>
      </c>
      <c r="F1505">
        <f>INDEX('CBECS_Table B5'!$C$6:$K$6,1,MATCH('County Climates'!E1505,'CBECS_Table B5'!$C$1:$K$1,0))</f>
        <v>17981</v>
      </c>
    </row>
    <row r="1506" spans="1:6" x14ac:dyDescent="0.25">
      <c r="A1506" t="s">
        <v>1336</v>
      </c>
      <c r="B1506" t="s">
        <v>1337</v>
      </c>
      <c r="C1506" t="s">
        <v>257</v>
      </c>
      <c r="D1506" t="s">
        <v>247</v>
      </c>
      <c r="E1506" t="str">
        <f>INDEX('State Codes'!$E$7:$E$70,MATCH(INDEX('State Codes'!$C$7:$C$70,MATCH('County Climates'!B1506,'State Codes'!$D$7:$D$70,0),1),'State Codes'!$C$7:$C$70,0),1)</f>
        <v>South Atlantic Division</v>
      </c>
      <c r="F1506">
        <f>INDEX('CBECS_Table B5'!$C$6:$K$6,1,MATCH('County Climates'!E1506,'CBECS_Table B5'!$C$1:$K$1,0))</f>
        <v>17981</v>
      </c>
    </row>
    <row r="1507" spans="1:6" x14ac:dyDescent="0.25">
      <c r="A1507" t="s">
        <v>1336</v>
      </c>
      <c r="B1507" t="s">
        <v>1337</v>
      </c>
      <c r="C1507" t="s">
        <v>1342</v>
      </c>
      <c r="D1507" t="s">
        <v>228</v>
      </c>
      <c r="E1507" t="str">
        <f>INDEX('State Codes'!$E$7:$E$70,MATCH(INDEX('State Codes'!$C$7:$C$70,MATCH('County Climates'!B1507,'State Codes'!$D$7:$D$70,0),1),'State Codes'!$C$7:$C$70,0),1)</f>
        <v>South Atlantic Division</v>
      </c>
      <c r="F1507">
        <f>INDEX('CBECS_Table B5'!$C$6:$K$6,1,MATCH('County Climates'!E1507,'CBECS_Table B5'!$C$1:$K$1,0))</f>
        <v>17981</v>
      </c>
    </row>
    <row r="1508" spans="1:6" x14ac:dyDescent="0.25">
      <c r="A1508" t="s">
        <v>1336</v>
      </c>
      <c r="B1508" t="s">
        <v>1337</v>
      </c>
      <c r="C1508" t="s">
        <v>272</v>
      </c>
      <c r="D1508" t="s">
        <v>228</v>
      </c>
      <c r="E1508" t="str">
        <f>INDEX('State Codes'!$E$7:$E$70,MATCH(INDEX('State Codes'!$C$7:$C$70,MATCH('County Climates'!B1508,'State Codes'!$D$7:$D$70,0),1),'State Codes'!$C$7:$C$70,0),1)</f>
        <v>South Atlantic Division</v>
      </c>
      <c r="F1508">
        <f>INDEX('CBECS_Table B5'!$C$6:$K$6,1,MATCH('County Climates'!E1508,'CBECS_Table B5'!$C$1:$K$1,0))</f>
        <v>17981</v>
      </c>
    </row>
    <row r="1509" spans="1:6" x14ac:dyDescent="0.25">
      <c r="A1509" t="s">
        <v>1336</v>
      </c>
      <c r="B1509" t="s">
        <v>1337</v>
      </c>
      <c r="C1509" t="s">
        <v>476</v>
      </c>
      <c r="D1509" t="s">
        <v>247</v>
      </c>
      <c r="E1509" t="str">
        <f>INDEX('State Codes'!$E$7:$E$70,MATCH(INDEX('State Codes'!$C$7:$C$70,MATCH('County Climates'!B1509,'State Codes'!$D$7:$D$70,0),1),'State Codes'!$C$7:$C$70,0),1)</f>
        <v>South Atlantic Division</v>
      </c>
      <c r="F1509">
        <f>INDEX('CBECS_Table B5'!$C$6:$K$6,1,MATCH('County Climates'!E1509,'CBECS_Table B5'!$C$1:$K$1,0))</f>
        <v>17981</v>
      </c>
    </row>
    <row r="1510" spans="1:6" x14ac:dyDescent="0.25">
      <c r="A1510" t="s">
        <v>1336</v>
      </c>
      <c r="B1510" t="s">
        <v>1337</v>
      </c>
      <c r="C1510" t="s">
        <v>316</v>
      </c>
      <c r="D1510" t="s">
        <v>228</v>
      </c>
      <c r="E1510" t="str">
        <f>INDEX('State Codes'!$E$7:$E$70,MATCH(INDEX('State Codes'!$C$7:$C$70,MATCH('County Climates'!B1510,'State Codes'!$D$7:$D$70,0),1),'State Codes'!$C$7:$C$70,0),1)</f>
        <v>South Atlantic Division</v>
      </c>
      <c r="F1510">
        <f>INDEX('CBECS_Table B5'!$C$6:$K$6,1,MATCH('County Climates'!E1510,'CBECS_Table B5'!$C$1:$K$1,0))</f>
        <v>17981</v>
      </c>
    </row>
    <row r="1511" spans="1:6" x14ac:dyDescent="0.25">
      <c r="A1511" t="s">
        <v>1336</v>
      </c>
      <c r="B1511" t="s">
        <v>1337</v>
      </c>
      <c r="C1511" t="s">
        <v>1343</v>
      </c>
      <c r="D1511" t="s">
        <v>228</v>
      </c>
      <c r="E1511" t="str">
        <f>INDEX('State Codes'!$E$7:$E$70,MATCH(INDEX('State Codes'!$C$7:$C$70,MATCH('County Climates'!B1511,'State Codes'!$D$7:$D$70,0),1),'State Codes'!$C$7:$C$70,0),1)</f>
        <v>South Atlantic Division</v>
      </c>
      <c r="F1511">
        <f>INDEX('CBECS_Table B5'!$C$6:$K$6,1,MATCH('County Climates'!E1511,'CBECS_Table B5'!$C$1:$K$1,0))</f>
        <v>17981</v>
      </c>
    </row>
    <row r="1512" spans="1:6" x14ac:dyDescent="0.25">
      <c r="A1512" t="s">
        <v>1336</v>
      </c>
      <c r="B1512" t="s">
        <v>1337</v>
      </c>
      <c r="C1512" t="s">
        <v>757</v>
      </c>
      <c r="D1512" t="s">
        <v>228</v>
      </c>
      <c r="E1512" t="str">
        <f>INDEX('State Codes'!$E$7:$E$70,MATCH(INDEX('State Codes'!$C$7:$C$70,MATCH('County Climates'!B1512,'State Codes'!$D$7:$D$70,0),1),'State Codes'!$C$7:$C$70,0),1)</f>
        <v>South Atlantic Division</v>
      </c>
      <c r="F1512">
        <f>INDEX('CBECS_Table B5'!$C$6:$K$6,1,MATCH('County Climates'!E1512,'CBECS_Table B5'!$C$1:$K$1,0))</f>
        <v>17981</v>
      </c>
    </row>
    <row r="1513" spans="1:6" x14ac:dyDescent="0.25">
      <c r="A1513" t="s">
        <v>1336</v>
      </c>
      <c r="B1513" t="s">
        <v>1337</v>
      </c>
      <c r="C1513" t="s">
        <v>610</v>
      </c>
      <c r="D1513" t="s">
        <v>228</v>
      </c>
      <c r="E1513" t="str">
        <f>INDEX('State Codes'!$E$7:$E$70,MATCH(INDEX('State Codes'!$C$7:$C$70,MATCH('County Climates'!B1513,'State Codes'!$D$7:$D$70,0),1),'State Codes'!$C$7:$C$70,0),1)</f>
        <v>South Atlantic Division</v>
      </c>
      <c r="F1513">
        <f>INDEX('CBECS_Table B5'!$C$6:$K$6,1,MATCH('County Climates'!E1513,'CBECS_Table B5'!$C$1:$K$1,0))</f>
        <v>17981</v>
      </c>
    </row>
    <row r="1514" spans="1:6" x14ac:dyDescent="0.25">
      <c r="A1514" t="s">
        <v>1336</v>
      </c>
      <c r="B1514" t="s">
        <v>1337</v>
      </c>
      <c r="C1514" t="s">
        <v>1344</v>
      </c>
      <c r="D1514" t="s">
        <v>228</v>
      </c>
      <c r="E1514" t="str">
        <f>INDEX('State Codes'!$E$7:$E$70,MATCH(INDEX('State Codes'!$C$7:$C$70,MATCH('County Climates'!B1514,'State Codes'!$D$7:$D$70,0),1),'State Codes'!$C$7:$C$70,0),1)</f>
        <v>South Atlantic Division</v>
      </c>
      <c r="F1514">
        <f>INDEX('CBECS_Table B5'!$C$6:$K$6,1,MATCH('County Climates'!E1514,'CBECS_Table B5'!$C$1:$K$1,0))</f>
        <v>17981</v>
      </c>
    </row>
    <row r="1515" spans="1:6" x14ac:dyDescent="0.25">
      <c r="A1515" t="s">
        <v>1336</v>
      </c>
      <c r="B1515" t="s">
        <v>1337</v>
      </c>
      <c r="C1515" t="s">
        <v>612</v>
      </c>
      <c r="D1515" t="s">
        <v>228</v>
      </c>
      <c r="E1515" t="str">
        <f>INDEX('State Codes'!$E$7:$E$70,MATCH(INDEX('State Codes'!$C$7:$C$70,MATCH('County Climates'!B1515,'State Codes'!$D$7:$D$70,0),1),'State Codes'!$C$7:$C$70,0),1)</f>
        <v>South Atlantic Division</v>
      </c>
      <c r="F1515">
        <f>INDEX('CBECS_Table B5'!$C$6:$K$6,1,MATCH('County Climates'!E1515,'CBECS_Table B5'!$C$1:$K$1,0))</f>
        <v>17981</v>
      </c>
    </row>
    <row r="1516" spans="1:6" x14ac:dyDescent="0.25">
      <c r="A1516" t="s">
        <v>1336</v>
      </c>
      <c r="B1516" t="s">
        <v>1337</v>
      </c>
      <c r="C1516" t="s">
        <v>279</v>
      </c>
      <c r="D1516" t="s">
        <v>247</v>
      </c>
      <c r="E1516" t="str">
        <f>INDEX('State Codes'!$E$7:$E$70,MATCH(INDEX('State Codes'!$C$7:$C$70,MATCH('County Climates'!B1516,'State Codes'!$D$7:$D$70,0),1),'State Codes'!$C$7:$C$70,0),1)</f>
        <v>South Atlantic Division</v>
      </c>
      <c r="F1516">
        <f>INDEX('CBECS_Table B5'!$C$6:$K$6,1,MATCH('County Climates'!E1516,'CBECS_Table B5'!$C$1:$K$1,0))</f>
        <v>17981</v>
      </c>
    </row>
    <row r="1517" spans="1:6" x14ac:dyDescent="0.25">
      <c r="A1517" t="s">
        <v>1336</v>
      </c>
      <c r="B1517" t="s">
        <v>1337</v>
      </c>
      <c r="C1517" t="s">
        <v>280</v>
      </c>
      <c r="D1517" t="s">
        <v>247</v>
      </c>
      <c r="E1517" t="str">
        <f>INDEX('State Codes'!$E$7:$E$70,MATCH(INDEX('State Codes'!$C$7:$C$70,MATCH('County Climates'!B1517,'State Codes'!$D$7:$D$70,0),1),'State Codes'!$C$7:$C$70,0),1)</f>
        <v>South Atlantic Division</v>
      </c>
      <c r="F1517">
        <f>INDEX('CBECS_Table B5'!$C$6:$K$6,1,MATCH('County Climates'!E1517,'CBECS_Table B5'!$C$1:$K$1,0))</f>
        <v>17981</v>
      </c>
    </row>
    <row r="1518" spans="1:6" x14ac:dyDescent="0.25">
      <c r="A1518" t="s">
        <v>1336</v>
      </c>
      <c r="B1518" t="s">
        <v>1337</v>
      </c>
      <c r="C1518" t="s">
        <v>1345</v>
      </c>
      <c r="D1518" t="s">
        <v>247</v>
      </c>
      <c r="E1518" t="str">
        <f>INDEX('State Codes'!$E$7:$E$70,MATCH(INDEX('State Codes'!$C$7:$C$70,MATCH('County Climates'!B1518,'State Codes'!$D$7:$D$70,0),1),'State Codes'!$C$7:$C$70,0),1)</f>
        <v>South Atlantic Division</v>
      </c>
      <c r="F1518">
        <f>INDEX('CBECS_Table B5'!$C$6:$K$6,1,MATCH('County Climates'!E1518,'CBECS_Table B5'!$C$1:$K$1,0))</f>
        <v>17981</v>
      </c>
    </row>
    <row r="1519" spans="1:6" x14ac:dyDescent="0.25">
      <c r="A1519" t="s">
        <v>1336</v>
      </c>
      <c r="B1519" t="s">
        <v>1337</v>
      </c>
      <c r="C1519" t="s">
        <v>540</v>
      </c>
      <c r="D1519" t="s">
        <v>228</v>
      </c>
      <c r="E1519" t="str">
        <f>INDEX('State Codes'!$E$7:$E$70,MATCH(INDEX('State Codes'!$C$7:$C$70,MATCH('County Climates'!B1519,'State Codes'!$D$7:$D$70,0),1),'State Codes'!$C$7:$C$70,0),1)</f>
        <v>South Atlantic Division</v>
      </c>
      <c r="F1519">
        <f>INDEX('CBECS_Table B5'!$C$6:$K$6,1,MATCH('County Climates'!E1519,'CBECS_Table B5'!$C$1:$K$1,0))</f>
        <v>17981</v>
      </c>
    </row>
    <row r="1520" spans="1:6" x14ac:dyDescent="0.25">
      <c r="A1520" t="s">
        <v>1336</v>
      </c>
      <c r="B1520" t="s">
        <v>1337</v>
      </c>
      <c r="C1520" t="s">
        <v>324</v>
      </c>
      <c r="D1520" t="s">
        <v>247</v>
      </c>
      <c r="E1520" t="str">
        <f>INDEX('State Codes'!$E$7:$E$70,MATCH(INDEX('State Codes'!$C$7:$C$70,MATCH('County Climates'!B1520,'State Codes'!$D$7:$D$70,0),1),'State Codes'!$C$7:$C$70,0),1)</f>
        <v>South Atlantic Division</v>
      </c>
      <c r="F1520">
        <f>INDEX('CBECS_Table B5'!$C$6:$K$6,1,MATCH('County Climates'!E1520,'CBECS_Table B5'!$C$1:$K$1,0))</f>
        <v>17981</v>
      </c>
    </row>
    <row r="1521" spans="1:6" x14ac:dyDescent="0.25">
      <c r="A1521" t="s">
        <v>1336</v>
      </c>
      <c r="B1521" t="s">
        <v>1337</v>
      </c>
      <c r="C1521" t="s">
        <v>326</v>
      </c>
      <c r="D1521" t="s">
        <v>247</v>
      </c>
      <c r="E1521" t="str">
        <f>INDEX('State Codes'!$E$7:$E$70,MATCH(INDEX('State Codes'!$C$7:$C$70,MATCH('County Climates'!B1521,'State Codes'!$D$7:$D$70,0),1),'State Codes'!$C$7:$C$70,0),1)</f>
        <v>South Atlantic Division</v>
      </c>
      <c r="F1521">
        <f>INDEX('CBECS_Table B5'!$C$6:$K$6,1,MATCH('County Climates'!E1521,'CBECS_Table B5'!$C$1:$K$1,0))</f>
        <v>17981</v>
      </c>
    </row>
    <row r="1522" spans="1:6" x14ac:dyDescent="0.25">
      <c r="A1522" t="s">
        <v>1336</v>
      </c>
      <c r="B1522" t="s">
        <v>1337</v>
      </c>
      <c r="C1522" t="s">
        <v>290</v>
      </c>
      <c r="D1522" t="s">
        <v>228</v>
      </c>
      <c r="E1522" t="str">
        <f>INDEX('State Codes'!$E$7:$E$70,MATCH(INDEX('State Codes'!$C$7:$C$70,MATCH('County Climates'!B1522,'State Codes'!$D$7:$D$70,0),1),'State Codes'!$C$7:$C$70,0),1)</f>
        <v>South Atlantic Division</v>
      </c>
      <c r="F1522">
        <f>INDEX('CBECS_Table B5'!$C$6:$K$6,1,MATCH('County Climates'!E1522,'CBECS_Table B5'!$C$1:$K$1,0))</f>
        <v>17981</v>
      </c>
    </row>
    <row r="1523" spans="1:6" x14ac:dyDescent="0.25">
      <c r="A1523" t="s">
        <v>1336</v>
      </c>
      <c r="B1523" t="s">
        <v>1337</v>
      </c>
      <c r="C1523" t="s">
        <v>291</v>
      </c>
      <c r="D1523" t="s">
        <v>228</v>
      </c>
      <c r="E1523" t="str">
        <f>INDEX('State Codes'!$E$7:$E$70,MATCH(INDEX('State Codes'!$C$7:$C$70,MATCH('County Climates'!B1523,'State Codes'!$D$7:$D$70,0),1),'State Codes'!$C$7:$C$70,0),1)</f>
        <v>South Atlantic Division</v>
      </c>
      <c r="F1523">
        <f>INDEX('CBECS_Table B5'!$C$6:$K$6,1,MATCH('County Climates'!E1523,'CBECS_Table B5'!$C$1:$K$1,0))</f>
        <v>17981</v>
      </c>
    </row>
    <row r="1524" spans="1:6" x14ac:dyDescent="0.25">
      <c r="A1524" t="s">
        <v>1336</v>
      </c>
      <c r="B1524" t="s">
        <v>1337</v>
      </c>
      <c r="C1524" t="s">
        <v>545</v>
      </c>
      <c r="D1524" t="s">
        <v>247</v>
      </c>
      <c r="E1524" t="str">
        <f>INDEX('State Codes'!$E$7:$E$70,MATCH(INDEX('State Codes'!$C$7:$C$70,MATCH('County Climates'!B1524,'State Codes'!$D$7:$D$70,0),1),'State Codes'!$C$7:$C$70,0),1)</f>
        <v>South Atlantic Division</v>
      </c>
      <c r="F1524">
        <f>INDEX('CBECS_Table B5'!$C$6:$K$6,1,MATCH('County Climates'!E1524,'CBECS_Table B5'!$C$1:$K$1,0))</f>
        <v>17981</v>
      </c>
    </row>
    <row r="1525" spans="1:6" x14ac:dyDescent="0.25">
      <c r="A1525" t="s">
        <v>1336</v>
      </c>
      <c r="B1525" t="s">
        <v>1337</v>
      </c>
      <c r="C1525" t="s">
        <v>1346</v>
      </c>
      <c r="D1525" t="s">
        <v>247</v>
      </c>
      <c r="E1525" t="str">
        <f>INDEX('State Codes'!$E$7:$E$70,MATCH(INDEX('State Codes'!$C$7:$C$70,MATCH('County Climates'!B1525,'State Codes'!$D$7:$D$70,0),1),'State Codes'!$C$7:$C$70,0),1)</f>
        <v>South Atlantic Division</v>
      </c>
      <c r="F1525">
        <f>INDEX('CBECS_Table B5'!$C$6:$K$6,1,MATCH('County Climates'!E1525,'CBECS_Table B5'!$C$1:$K$1,0))</f>
        <v>17981</v>
      </c>
    </row>
    <row r="1526" spans="1:6" x14ac:dyDescent="0.25">
      <c r="A1526" t="s">
        <v>1336</v>
      </c>
      <c r="B1526" t="s">
        <v>1337</v>
      </c>
      <c r="C1526" t="s">
        <v>551</v>
      </c>
      <c r="D1526" t="s">
        <v>247</v>
      </c>
      <c r="E1526" t="str">
        <f>INDEX('State Codes'!$E$7:$E$70,MATCH(INDEX('State Codes'!$C$7:$C$70,MATCH('County Climates'!B1526,'State Codes'!$D$7:$D$70,0),1),'State Codes'!$C$7:$C$70,0),1)</f>
        <v>South Atlantic Division</v>
      </c>
      <c r="F1526">
        <f>INDEX('CBECS_Table B5'!$C$6:$K$6,1,MATCH('County Climates'!E1526,'CBECS_Table B5'!$C$1:$K$1,0))</f>
        <v>17981</v>
      </c>
    </row>
    <row r="1527" spans="1:6" x14ac:dyDescent="0.25">
      <c r="A1527" t="s">
        <v>1336</v>
      </c>
      <c r="B1527" t="s">
        <v>1337</v>
      </c>
      <c r="C1527" t="s">
        <v>387</v>
      </c>
      <c r="D1527" t="s">
        <v>228</v>
      </c>
      <c r="E1527" t="str">
        <f>INDEX('State Codes'!$E$7:$E$70,MATCH(INDEX('State Codes'!$C$7:$C$70,MATCH('County Climates'!B1527,'State Codes'!$D$7:$D$70,0),1),'State Codes'!$C$7:$C$70,0),1)</f>
        <v>South Atlantic Division</v>
      </c>
      <c r="F1527">
        <f>INDEX('CBECS_Table B5'!$C$6:$K$6,1,MATCH('County Climates'!E1527,'CBECS_Table B5'!$C$1:$K$1,0))</f>
        <v>17981</v>
      </c>
    </row>
    <row r="1528" spans="1:6" x14ac:dyDescent="0.25">
      <c r="A1528" t="s">
        <v>1336</v>
      </c>
      <c r="B1528" t="s">
        <v>1337</v>
      </c>
      <c r="C1528" t="s">
        <v>1347</v>
      </c>
      <c r="D1528" t="s">
        <v>247</v>
      </c>
      <c r="E1528" t="str">
        <f>INDEX('State Codes'!$E$7:$E$70,MATCH(INDEX('State Codes'!$C$7:$C$70,MATCH('County Climates'!B1528,'State Codes'!$D$7:$D$70,0),1),'State Codes'!$C$7:$C$70,0),1)</f>
        <v>South Atlantic Division</v>
      </c>
      <c r="F1528">
        <f>INDEX('CBECS_Table B5'!$C$6:$K$6,1,MATCH('County Climates'!E1528,'CBECS_Table B5'!$C$1:$K$1,0))</f>
        <v>17981</v>
      </c>
    </row>
    <row r="1529" spans="1:6" x14ac:dyDescent="0.25">
      <c r="A1529" t="s">
        <v>1336</v>
      </c>
      <c r="B1529" t="s">
        <v>1337</v>
      </c>
      <c r="C1529" t="s">
        <v>1348</v>
      </c>
      <c r="D1529" t="s">
        <v>228</v>
      </c>
      <c r="E1529" t="str">
        <f>INDEX('State Codes'!$E$7:$E$70,MATCH(INDEX('State Codes'!$C$7:$C$70,MATCH('County Climates'!B1529,'State Codes'!$D$7:$D$70,0),1),'State Codes'!$C$7:$C$70,0),1)</f>
        <v>South Atlantic Division</v>
      </c>
      <c r="F1529">
        <f>INDEX('CBECS_Table B5'!$C$6:$K$6,1,MATCH('County Climates'!E1529,'CBECS_Table B5'!$C$1:$K$1,0))</f>
        <v>17981</v>
      </c>
    </row>
    <row r="1530" spans="1:6" x14ac:dyDescent="0.25">
      <c r="A1530" t="s">
        <v>1336</v>
      </c>
      <c r="B1530" t="s">
        <v>1337</v>
      </c>
      <c r="C1530" t="s">
        <v>293</v>
      </c>
      <c r="D1530" t="s">
        <v>247</v>
      </c>
      <c r="E1530" t="str">
        <f>INDEX('State Codes'!$E$7:$E$70,MATCH(INDEX('State Codes'!$C$7:$C$70,MATCH('County Climates'!B1530,'State Codes'!$D$7:$D$70,0),1),'State Codes'!$C$7:$C$70,0),1)</f>
        <v>South Atlantic Division</v>
      </c>
      <c r="F1530">
        <f>INDEX('CBECS_Table B5'!$C$6:$K$6,1,MATCH('County Climates'!E1530,'CBECS_Table B5'!$C$1:$K$1,0))</f>
        <v>17981</v>
      </c>
    </row>
    <row r="1531" spans="1:6" x14ac:dyDescent="0.25">
      <c r="A1531" t="s">
        <v>1336</v>
      </c>
      <c r="B1531" t="s">
        <v>1337</v>
      </c>
      <c r="C1531" t="s">
        <v>295</v>
      </c>
      <c r="D1531" t="s">
        <v>247</v>
      </c>
      <c r="E1531" t="str">
        <f>INDEX('State Codes'!$E$7:$E$70,MATCH(INDEX('State Codes'!$C$7:$C$70,MATCH('County Climates'!B1531,'State Codes'!$D$7:$D$70,0),1),'State Codes'!$C$7:$C$70,0),1)</f>
        <v>South Atlantic Division</v>
      </c>
      <c r="F1531">
        <f>INDEX('CBECS_Table B5'!$C$6:$K$6,1,MATCH('County Climates'!E1531,'CBECS_Table B5'!$C$1:$K$1,0))</f>
        <v>17981</v>
      </c>
    </row>
    <row r="1532" spans="1:6" x14ac:dyDescent="0.25">
      <c r="A1532" t="s">
        <v>1336</v>
      </c>
      <c r="B1532" t="s">
        <v>1337</v>
      </c>
      <c r="C1532" t="s">
        <v>693</v>
      </c>
      <c r="D1532" t="s">
        <v>228</v>
      </c>
      <c r="E1532" t="str">
        <f>INDEX('State Codes'!$E$7:$E$70,MATCH(INDEX('State Codes'!$C$7:$C$70,MATCH('County Climates'!B1532,'State Codes'!$D$7:$D$70,0),1),'State Codes'!$C$7:$C$70,0),1)</f>
        <v>South Atlantic Division</v>
      </c>
      <c r="F1532">
        <f>INDEX('CBECS_Table B5'!$C$6:$K$6,1,MATCH('County Climates'!E1532,'CBECS_Table B5'!$C$1:$K$1,0))</f>
        <v>17981</v>
      </c>
    </row>
    <row r="1533" spans="1:6" x14ac:dyDescent="0.25">
      <c r="A1533" t="s">
        <v>1336</v>
      </c>
      <c r="B1533" t="s">
        <v>1337</v>
      </c>
      <c r="C1533" t="s">
        <v>694</v>
      </c>
      <c r="D1533" t="s">
        <v>228</v>
      </c>
      <c r="E1533" t="str">
        <f>INDEX('State Codes'!$E$7:$E$70,MATCH(INDEX('State Codes'!$C$7:$C$70,MATCH('County Climates'!B1533,'State Codes'!$D$7:$D$70,0),1),'State Codes'!$C$7:$C$70,0),1)</f>
        <v>South Atlantic Division</v>
      </c>
      <c r="F1533">
        <f>INDEX('CBECS_Table B5'!$C$6:$K$6,1,MATCH('County Climates'!E1533,'CBECS_Table B5'!$C$1:$K$1,0))</f>
        <v>17981</v>
      </c>
    </row>
    <row r="1534" spans="1:6" x14ac:dyDescent="0.25">
      <c r="A1534" t="s">
        <v>1336</v>
      </c>
      <c r="B1534" t="s">
        <v>1337</v>
      </c>
      <c r="C1534" t="s">
        <v>698</v>
      </c>
      <c r="D1534" t="s">
        <v>228</v>
      </c>
      <c r="E1534" t="str">
        <f>INDEX('State Codes'!$E$7:$E$70,MATCH(INDEX('State Codes'!$C$7:$C$70,MATCH('County Climates'!B1534,'State Codes'!$D$7:$D$70,0),1),'State Codes'!$C$7:$C$70,0),1)</f>
        <v>South Atlantic Division</v>
      </c>
      <c r="F1534">
        <f>INDEX('CBECS_Table B5'!$C$6:$K$6,1,MATCH('County Climates'!E1534,'CBECS_Table B5'!$C$1:$K$1,0))</f>
        <v>17981</v>
      </c>
    </row>
    <row r="1535" spans="1:6" x14ac:dyDescent="0.25">
      <c r="A1535" t="s">
        <v>1336</v>
      </c>
      <c r="B1535" t="s">
        <v>1337</v>
      </c>
      <c r="C1535" t="s">
        <v>1349</v>
      </c>
      <c r="D1535" t="s">
        <v>247</v>
      </c>
      <c r="E1535" t="str">
        <f>INDEX('State Codes'!$E$7:$E$70,MATCH(INDEX('State Codes'!$C$7:$C$70,MATCH('County Climates'!B1535,'State Codes'!$D$7:$D$70,0),1),'State Codes'!$C$7:$C$70,0),1)</f>
        <v>South Atlantic Division</v>
      </c>
      <c r="F1535">
        <f>INDEX('CBECS_Table B5'!$C$6:$K$6,1,MATCH('County Climates'!E1535,'CBECS_Table B5'!$C$1:$K$1,0))</f>
        <v>17981</v>
      </c>
    </row>
    <row r="1536" spans="1:6" x14ac:dyDescent="0.25">
      <c r="A1536" t="s">
        <v>1336</v>
      </c>
      <c r="B1536" t="s">
        <v>1337</v>
      </c>
      <c r="C1536" t="s">
        <v>1350</v>
      </c>
      <c r="D1536" t="s">
        <v>228</v>
      </c>
      <c r="E1536" t="str">
        <f>INDEX('State Codes'!$E$7:$E$70,MATCH(INDEX('State Codes'!$C$7:$C$70,MATCH('County Climates'!B1536,'State Codes'!$D$7:$D$70,0),1),'State Codes'!$C$7:$C$70,0),1)</f>
        <v>South Atlantic Division</v>
      </c>
      <c r="F1536">
        <f>INDEX('CBECS_Table B5'!$C$6:$K$6,1,MATCH('County Climates'!E1536,'CBECS_Table B5'!$C$1:$K$1,0))</f>
        <v>17981</v>
      </c>
    </row>
    <row r="1537" spans="1:6" x14ac:dyDescent="0.25">
      <c r="A1537" t="s">
        <v>1336</v>
      </c>
      <c r="B1537" t="s">
        <v>1337</v>
      </c>
      <c r="C1537" t="s">
        <v>1351</v>
      </c>
      <c r="D1537" t="s">
        <v>228</v>
      </c>
      <c r="E1537" t="str">
        <f>INDEX('State Codes'!$E$7:$E$70,MATCH(INDEX('State Codes'!$C$7:$C$70,MATCH('County Climates'!B1537,'State Codes'!$D$7:$D$70,0),1),'State Codes'!$C$7:$C$70,0),1)</f>
        <v>South Atlantic Division</v>
      </c>
      <c r="F1537">
        <f>INDEX('CBECS_Table B5'!$C$6:$K$6,1,MATCH('County Climates'!E1537,'CBECS_Table B5'!$C$1:$K$1,0))</f>
        <v>17981</v>
      </c>
    </row>
    <row r="1538" spans="1:6" x14ac:dyDescent="0.25">
      <c r="A1538" t="s">
        <v>1336</v>
      </c>
      <c r="B1538" t="s">
        <v>1337</v>
      </c>
      <c r="C1538" t="s">
        <v>556</v>
      </c>
      <c r="D1538" t="s">
        <v>247</v>
      </c>
      <c r="E1538" t="str">
        <f>INDEX('State Codes'!$E$7:$E$70,MATCH(INDEX('State Codes'!$C$7:$C$70,MATCH('County Climates'!B1538,'State Codes'!$D$7:$D$70,0),1),'State Codes'!$C$7:$C$70,0),1)</f>
        <v>South Atlantic Division</v>
      </c>
      <c r="F1538">
        <f>INDEX('CBECS_Table B5'!$C$6:$K$6,1,MATCH('County Climates'!E1538,'CBECS_Table B5'!$C$1:$K$1,0))</f>
        <v>17981</v>
      </c>
    </row>
    <row r="1539" spans="1:6" x14ac:dyDescent="0.25">
      <c r="A1539" t="s">
        <v>1336</v>
      </c>
      <c r="B1539" t="s">
        <v>1337</v>
      </c>
      <c r="C1539" t="s">
        <v>1352</v>
      </c>
      <c r="D1539" t="s">
        <v>228</v>
      </c>
      <c r="E1539" t="str">
        <f>INDEX('State Codes'!$E$7:$E$70,MATCH(INDEX('State Codes'!$C$7:$C$70,MATCH('County Climates'!B1539,'State Codes'!$D$7:$D$70,0),1),'State Codes'!$C$7:$C$70,0),1)</f>
        <v>South Atlantic Division</v>
      </c>
      <c r="F1539">
        <f>INDEX('CBECS_Table B5'!$C$6:$K$6,1,MATCH('County Climates'!E1539,'CBECS_Table B5'!$C$1:$K$1,0))</f>
        <v>17981</v>
      </c>
    </row>
    <row r="1540" spans="1:6" x14ac:dyDescent="0.25">
      <c r="A1540" t="s">
        <v>1336</v>
      </c>
      <c r="B1540" t="s">
        <v>1337</v>
      </c>
      <c r="C1540" t="s">
        <v>299</v>
      </c>
      <c r="D1540" t="s">
        <v>228</v>
      </c>
      <c r="E1540" t="str">
        <f>INDEX('State Codes'!$E$7:$E$70,MATCH(INDEX('State Codes'!$C$7:$C$70,MATCH('County Climates'!B1540,'State Codes'!$D$7:$D$70,0),1),'State Codes'!$C$7:$C$70,0),1)</f>
        <v>South Atlantic Division</v>
      </c>
      <c r="F1540">
        <f>INDEX('CBECS_Table B5'!$C$6:$K$6,1,MATCH('County Climates'!E1540,'CBECS_Table B5'!$C$1:$K$1,0))</f>
        <v>17981</v>
      </c>
    </row>
    <row r="1541" spans="1:6" x14ac:dyDescent="0.25">
      <c r="A1541" t="s">
        <v>1336</v>
      </c>
      <c r="B1541" t="s">
        <v>1337</v>
      </c>
      <c r="C1541" t="s">
        <v>1353</v>
      </c>
      <c r="D1541" t="s">
        <v>247</v>
      </c>
      <c r="E1541" t="str">
        <f>INDEX('State Codes'!$E$7:$E$70,MATCH(INDEX('State Codes'!$C$7:$C$70,MATCH('County Climates'!B1541,'State Codes'!$D$7:$D$70,0),1),'State Codes'!$C$7:$C$70,0),1)</f>
        <v>South Atlantic Division</v>
      </c>
      <c r="F1541">
        <f>INDEX('CBECS_Table B5'!$C$6:$K$6,1,MATCH('County Climates'!E1541,'CBECS_Table B5'!$C$1:$K$1,0))</f>
        <v>17981</v>
      </c>
    </row>
    <row r="1542" spans="1:6" x14ac:dyDescent="0.25">
      <c r="A1542" t="s">
        <v>1336</v>
      </c>
      <c r="B1542" t="s">
        <v>1337</v>
      </c>
      <c r="C1542" t="s">
        <v>1164</v>
      </c>
      <c r="D1542" t="s">
        <v>247</v>
      </c>
      <c r="E1542" t="str">
        <f>INDEX('State Codes'!$E$7:$E$70,MATCH(INDEX('State Codes'!$C$7:$C$70,MATCH('County Climates'!B1542,'State Codes'!$D$7:$D$70,0),1),'State Codes'!$C$7:$C$70,0),1)</f>
        <v>South Atlantic Division</v>
      </c>
      <c r="F1542">
        <f>INDEX('CBECS_Table B5'!$C$6:$K$6,1,MATCH('County Climates'!E1542,'CBECS_Table B5'!$C$1:$K$1,0))</f>
        <v>17981</v>
      </c>
    </row>
    <row r="1543" spans="1:6" x14ac:dyDescent="0.25">
      <c r="A1543" t="s">
        <v>1336</v>
      </c>
      <c r="B1543" t="s">
        <v>1337</v>
      </c>
      <c r="C1543" t="s">
        <v>1354</v>
      </c>
      <c r="D1543" t="s">
        <v>228</v>
      </c>
      <c r="E1543" t="str">
        <f>INDEX('State Codes'!$E$7:$E$70,MATCH(INDEX('State Codes'!$C$7:$C$70,MATCH('County Climates'!B1543,'State Codes'!$D$7:$D$70,0),1),'State Codes'!$C$7:$C$70,0),1)</f>
        <v>South Atlantic Division</v>
      </c>
      <c r="F1543">
        <f>INDEX('CBECS_Table B5'!$C$6:$K$6,1,MATCH('County Climates'!E1543,'CBECS_Table B5'!$C$1:$K$1,0))</f>
        <v>17981</v>
      </c>
    </row>
    <row r="1544" spans="1:6" x14ac:dyDescent="0.25">
      <c r="A1544" t="s">
        <v>1336</v>
      </c>
      <c r="B1544" t="s">
        <v>1337</v>
      </c>
      <c r="C1544" t="s">
        <v>705</v>
      </c>
      <c r="D1544" t="s">
        <v>228</v>
      </c>
      <c r="E1544" t="str">
        <f>INDEX('State Codes'!$E$7:$E$70,MATCH(INDEX('State Codes'!$C$7:$C$70,MATCH('County Climates'!B1544,'State Codes'!$D$7:$D$70,0),1),'State Codes'!$C$7:$C$70,0),1)</f>
        <v>South Atlantic Division</v>
      </c>
      <c r="F1544">
        <f>INDEX('CBECS_Table B5'!$C$6:$K$6,1,MATCH('County Climates'!E1544,'CBECS_Table B5'!$C$1:$K$1,0))</f>
        <v>17981</v>
      </c>
    </row>
    <row r="1545" spans="1:6" x14ac:dyDescent="0.25">
      <c r="A1545" t="s">
        <v>1336</v>
      </c>
      <c r="B1545" t="s">
        <v>1337</v>
      </c>
      <c r="C1545" t="s">
        <v>1355</v>
      </c>
      <c r="D1545" t="s">
        <v>228</v>
      </c>
      <c r="E1545" t="str">
        <f>INDEX('State Codes'!$E$7:$E$70,MATCH(INDEX('State Codes'!$C$7:$C$70,MATCH('County Climates'!B1545,'State Codes'!$D$7:$D$70,0),1),'State Codes'!$C$7:$C$70,0),1)</f>
        <v>South Atlantic Division</v>
      </c>
      <c r="F1545">
        <f>INDEX('CBECS_Table B5'!$C$6:$K$6,1,MATCH('County Climates'!E1545,'CBECS_Table B5'!$C$1:$K$1,0))</f>
        <v>17981</v>
      </c>
    </row>
    <row r="1546" spans="1:6" x14ac:dyDescent="0.25">
      <c r="A1546" t="s">
        <v>1336</v>
      </c>
      <c r="B1546" t="s">
        <v>1337</v>
      </c>
      <c r="C1546" t="s">
        <v>1244</v>
      </c>
      <c r="D1546" t="s">
        <v>247</v>
      </c>
      <c r="E1546" t="str">
        <f>INDEX('State Codes'!$E$7:$E$70,MATCH(INDEX('State Codes'!$C$7:$C$70,MATCH('County Climates'!B1546,'State Codes'!$D$7:$D$70,0),1),'State Codes'!$C$7:$C$70,0),1)</f>
        <v>South Atlantic Division</v>
      </c>
      <c r="F1546">
        <f>INDEX('CBECS_Table B5'!$C$6:$K$6,1,MATCH('County Climates'!E1546,'CBECS_Table B5'!$C$1:$K$1,0))</f>
        <v>17981</v>
      </c>
    </row>
    <row r="1547" spans="1:6" x14ac:dyDescent="0.25">
      <c r="A1547" t="s">
        <v>1336</v>
      </c>
      <c r="B1547" t="s">
        <v>1337</v>
      </c>
      <c r="C1547" t="s">
        <v>1245</v>
      </c>
      <c r="D1547" t="s">
        <v>228</v>
      </c>
      <c r="E1547" t="str">
        <f>INDEX('State Codes'!$E$7:$E$70,MATCH(INDEX('State Codes'!$C$7:$C$70,MATCH('County Climates'!B1547,'State Codes'!$D$7:$D$70,0),1),'State Codes'!$C$7:$C$70,0),1)</f>
        <v>South Atlantic Division</v>
      </c>
      <c r="F1547">
        <f>INDEX('CBECS_Table B5'!$C$6:$K$6,1,MATCH('County Climates'!E1547,'CBECS_Table B5'!$C$1:$K$1,0))</f>
        <v>17981</v>
      </c>
    </row>
    <row r="1548" spans="1:6" x14ac:dyDescent="0.25">
      <c r="A1548" t="s">
        <v>1336</v>
      </c>
      <c r="B1548" t="s">
        <v>1337</v>
      </c>
      <c r="C1548" t="s">
        <v>498</v>
      </c>
      <c r="D1548" t="s">
        <v>247</v>
      </c>
      <c r="E1548" t="str">
        <f>INDEX('State Codes'!$E$7:$E$70,MATCH(INDEX('State Codes'!$C$7:$C$70,MATCH('County Climates'!B1548,'State Codes'!$D$7:$D$70,0),1),'State Codes'!$C$7:$C$70,0),1)</f>
        <v>South Atlantic Division</v>
      </c>
      <c r="F1548">
        <f>INDEX('CBECS_Table B5'!$C$6:$K$6,1,MATCH('County Climates'!E1548,'CBECS_Table B5'!$C$1:$K$1,0))</f>
        <v>17981</v>
      </c>
    </row>
    <row r="1549" spans="1:6" x14ac:dyDescent="0.25">
      <c r="A1549" t="s">
        <v>1336</v>
      </c>
      <c r="B1549" t="s">
        <v>1337</v>
      </c>
      <c r="C1549" t="s">
        <v>499</v>
      </c>
      <c r="D1549" t="s">
        <v>228</v>
      </c>
      <c r="E1549" t="str">
        <f>INDEX('State Codes'!$E$7:$E$70,MATCH(INDEX('State Codes'!$C$7:$C$70,MATCH('County Climates'!B1549,'State Codes'!$D$7:$D$70,0),1),'State Codes'!$C$7:$C$70,0),1)</f>
        <v>South Atlantic Division</v>
      </c>
      <c r="F1549">
        <f>INDEX('CBECS_Table B5'!$C$6:$K$6,1,MATCH('County Climates'!E1549,'CBECS_Table B5'!$C$1:$K$1,0))</f>
        <v>17981</v>
      </c>
    </row>
    <row r="1550" spans="1:6" x14ac:dyDescent="0.25">
      <c r="A1550" t="s">
        <v>1336</v>
      </c>
      <c r="B1550" t="s">
        <v>1337</v>
      </c>
      <c r="C1550" t="s">
        <v>1356</v>
      </c>
      <c r="D1550" t="s">
        <v>228</v>
      </c>
      <c r="E1550" t="str">
        <f>INDEX('State Codes'!$E$7:$E$70,MATCH(INDEX('State Codes'!$C$7:$C$70,MATCH('County Climates'!B1550,'State Codes'!$D$7:$D$70,0),1),'State Codes'!$C$7:$C$70,0),1)</f>
        <v>South Atlantic Division</v>
      </c>
      <c r="F1550">
        <f>INDEX('CBECS_Table B5'!$C$6:$K$6,1,MATCH('County Climates'!E1550,'CBECS_Table B5'!$C$1:$K$1,0))</f>
        <v>17981</v>
      </c>
    </row>
    <row r="1551" spans="1:6" x14ac:dyDescent="0.25">
      <c r="A1551" t="s">
        <v>1336</v>
      </c>
      <c r="B1551" t="s">
        <v>1337</v>
      </c>
      <c r="C1551" t="s">
        <v>1357</v>
      </c>
      <c r="D1551" t="s">
        <v>247</v>
      </c>
      <c r="E1551" t="str">
        <f>INDEX('State Codes'!$E$7:$E$70,MATCH(INDEX('State Codes'!$C$7:$C$70,MATCH('County Climates'!B1551,'State Codes'!$D$7:$D$70,0),1),'State Codes'!$C$7:$C$70,0),1)</f>
        <v>South Atlantic Division</v>
      </c>
      <c r="F1551">
        <f>INDEX('CBECS_Table B5'!$C$6:$K$6,1,MATCH('County Climates'!E1551,'CBECS_Table B5'!$C$1:$K$1,0))</f>
        <v>17981</v>
      </c>
    </row>
    <row r="1552" spans="1:6" x14ac:dyDescent="0.25">
      <c r="A1552" t="s">
        <v>1336</v>
      </c>
      <c r="B1552" t="s">
        <v>1337</v>
      </c>
      <c r="C1552" t="s">
        <v>1057</v>
      </c>
      <c r="D1552" t="s">
        <v>247</v>
      </c>
      <c r="E1552" t="str">
        <f>INDEX('State Codes'!$E$7:$E$70,MATCH(INDEX('State Codes'!$C$7:$C$70,MATCH('County Climates'!B1552,'State Codes'!$D$7:$D$70,0),1),'State Codes'!$C$7:$C$70,0),1)</f>
        <v>South Atlantic Division</v>
      </c>
      <c r="F1552">
        <f>INDEX('CBECS_Table B5'!$C$6:$K$6,1,MATCH('County Climates'!E1552,'CBECS_Table B5'!$C$1:$K$1,0))</f>
        <v>17981</v>
      </c>
    </row>
    <row r="1553" spans="1:6" x14ac:dyDescent="0.25">
      <c r="A1553" t="s">
        <v>1336</v>
      </c>
      <c r="B1553" t="s">
        <v>1337</v>
      </c>
      <c r="C1553" t="s">
        <v>1358</v>
      </c>
      <c r="D1553" t="s">
        <v>247</v>
      </c>
      <c r="E1553" t="str">
        <f>INDEX('State Codes'!$E$7:$E$70,MATCH(INDEX('State Codes'!$C$7:$C$70,MATCH('County Climates'!B1553,'State Codes'!$D$7:$D$70,0),1),'State Codes'!$C$7:$C$70,0),1)</f>
        <v>South Atlantic Division</v>
      </c>
      <c r="F1553">
        <f>INDEX('CBECS_Table B5'!$C$6:$K$6,1,MATCH('County Climates'!E1553,'CBECS_Table B5'!$C$1:$K$1,0))</f>
        <v>17981</v>
      </c>
    </row>
    <row r="1554" spans="1:6" x14ac:dyDescent="0.25">
      <c r="A1554" t="s">
        <v>1359</v>
      </c>
      <c r="B1554" t="s">
        <v>1360</v>
      </c>
      <c r="C1554" t="s">
        <v>516</v>
      </c>
      <c r="D1554" t="s">
        <v>228</v>
      </c>
      <c r="E1554" t="str">
        <f>INDEX('State Codes'!$E$7:$E$70,MATCH(INDEX('State Codes'!$C$7:$C$70,MATCH('County Climates'!B1554,'State Codes'!$D$7:$D$70,0),1),'State Codes'!$C$7:$C$70,0),1)</f>
        <v>East North Central Division</v>
      </c>
      <c r="F1554">
        <f>INDEX('CBECS_Table B5'!$C$6:$K$6,1,MATCH('County Climates'!E1554,'CBECS_Table B5'!$C$1:$K$1,0))</f>
        <v>12742</v>
      </c>
    </row>
    <row r="1555" spans="1:6" x14ac:dyDescent="0.25">
      <c r="A1555" t="s">
        <v>1359</v>
      </c>
      <c r="B1555" t="s">
        <v>1360</v>
      </c>
      <c r="C1555" t="s">
        <v>1361</v>
      </c>
      <c r="D1555" t="s">
        <v>229</v>
      </c>
      <c r="E1555" t="str">
        <f>INDEX('State Codes'!$E$7:$E$70,MATCH(INDEX('State Codes'!$C$7:$C$70,MATCH('County Climates'!B1555,'State Codes'!$D$7:$D$70,0),1),'State Codes'!$C$7:$C$70,0),1)</f>
        <v>East North Central Division</v>
      </c>
      <c r="F1555">
        <f>INDEX('CBECS_Table B5'!$C$6:$K$6,1,MATCH('County Climates'!E1555,'CBECS_Table B5'!$C$1:$K$1,0))</f>
        <v>12742</v>
      </c>
    </row>
    <row r="1556" spans="1:6" x14ac:dyDescent="0.25">
      <c r="A1556" t="s">
        <v>1359</v>
      </c>
      <c r="B1556" t="s">
        <v>1360</v>
      </c>
      <c r="C1556" t="s">
        <v>1362</v>
      </c>
      <c r="D1556" t="s">
        <v>228</v>
      </c>
      <c r="E1556" t="str">
        <f>INDEX('State Codes'!$E$7:$E$70,MATCH(INDEX('State Codes'!$C$7:$C$70,MATCH('County Climates'!B1556,'State Codes'!$D$7:$D$70,0),1),'State Codes'!$C$7:$C$70,0),1)</f>
        <v>East North Central Division</v>
      </c>
      <c r="F1556">
        <f>INDEX('CBECS_Table B5'!$C$6:$K$6,1,MATCH('County Climates'!E1556,'CBECS_Table B5'!$C$1:$K$1,0))</f>
        <v>12742</v>
      </c>
    </row>
    <row r="1557" spans="1:6" x14ac:dyDescent="0.25">
      <c r="A1557" t="s">
        <v>1359</v>
      </c>
      <c r="B1557" t="s">
        <v>1360</v>
      </c>
      <c r="C1557" t="s">
        <v>1363</v>
      </c>
      <c r="D1557" t="s">
        <v>229</v>
      </c>
      <c r="E1557" t="str">
        <f>INDEX('State Codes'!$E$7:$E$70,MATCH(INDEX('State Codes'!$C$7:$C$70,MATCH('County Climates'!B1557,'State Codes'!$D$7:$D$70,0),1),'State Codes'!$C$7:$C$70,0),1)</f>
        <v>East North Central Division</v>
      </c>
      <c r="F1557">
        <f>INDEX('CBECS_Table B5'!$C$6:$K$6,1,MATCH('County Climates'!E1557,'CBECS_Table B5'!$C$1:$K$1,0))</f>
        <v>12742</v>
      </c>
    </row>
    <row r="1558" spans="1:6" x14ac:dyDescent="0.25">
      <c r="A1558" t="s">
        <v>1359</v>
      </c>
      <c r="B1558" t="s">
        <v>1360</v>
      </c>
      <c r="C1558" t="s">
        <v>578</v>
      </c>
      <c r="D1558" t="s">
        <v>228</v>
      </c>
      <c r="E1558" t="str">
        <f>INDEX('State Codes'!$E$7:$E$70,MATCH(INDEX('State Codes'!$C$7:$C$70,MATCH('County Climates'!B1558,'State Codes'!$D$7:$D$70,0),1),'State Codes'!$C$7:$C$70,0),1)</f>
        <v>East North Central Division</v>
      </c>
      <c r="F1558">
        <f>INDEX('CBECS_Table B5'!$C$6:$K$6,1,MATCH('County Climates'!E1558,'CBECS_Table B5'!$C$1:$K$1,0))</f>
        <v>12742</v>
      </c>
    </row>
    <row r="1559" spans="1:6" x14ac:dyDescent="0.25">
      <c r="A1559" t="s">
        <v>1359</v>
      </c>
      <c r="B1559" t="s">
        <v>1360</v>
      </c>
      <c r="C1559" t="s">
        <v>1129</v>
      </c>
      <c r="D1559" t="s">
        <v>228</v>
      </c>
      <c r="E1559" t="str">
        <f>INDEX('State Codes'!$E$7:$E$70,MATCH(INDEX('State Codes'!$C$7:$C$70,MATCH('County Climates'!B1559,'State Codes'!$D$7:$D$70,0),1),'State Codes'!$C$7:$C$70,0),1)</f>
        <v>East North Central Division</v>
      </c>
      <c r="F1559">
        <f>INDEX('CBECS_Table B5'!$C$6:$K$6,1,MATCH('County Climates'!E1559,'CBECS_Table B5'!$C$1:$K$1,0))</f>
        <v>12742</v>
      </c>
    </row>
    <row r="1560" spans="1:6" x14ac:dyDescent="0.25">
      <c r="A1560" t="s">
        <v>1359</v>
      </c>
      <c r="B1560" t="s">
        <v>1360</v>
      </c>
      <c r="C1560" t="s">
        <v>1057</v>
      </c>
      <c r="D1560" t="s">
        <v>228</v>
      </c>
      <c r="E1560" t="str">
        <f>INDEX('State Codes'!$E$7:$E$70,MATCH(INDEX('State Codes'!$C$7:$C$70,MATCH('County Climates'!B1560,'State Codes'!$D$7:$D$70,0),1),'State Codes'!$C$7:$C$70,0),1)</f>
        <v>East North Central Division</v>
      </c>
      <c r="F1560">
        <f>INDEX('CBECS_Table B5'!$C$6:$K$6,1,MATCH('County Climates'!E1560,'CBECS_Table B5'!$C$1:$K$1,0))</f>
        <v>12742</v>
      </c>
    </row>
    <row r="1561" spans="1:6" x14ac:dyDescent="0.25">
      <c r="A1561" t="s">
        <v>1364</v>
      </c>
      <c r="B1561" t="s">
        <v>1365</v>
      </c>
      <c r="C1561" t="s">
        <v>946</v>
      </c>
      <c r="D1561" t="s">
        <v>228</v>
      </c>
      <c r="E1561" t="str">
        <f>INDEX('State Codes'!$E$7:$E$70,MATCH(INDEX('State Codes'!$C$7:$C$70,MATCH('County Climates'!B1561,'State Codes'!$D$7:$D$70,0),1),'State Codes'!$C$7:$C$70,0),1)</f>
        <v>Mountain Division</v>
      </c>
      <c r="F1561">
        <f>INDEX('CBECS_Table B5'!$C$6:$K$6,1,MATCH('County Climates'!E1561,'CBECS_Table B5'!$C$1:$K$1,0))</f>
        <v>4981</v>
      </c>
    </row>
    <row r="1562" spans="1:6" x14ac:dyDescent="0.25">
      <c r="A1562" t="s">
        <v>1364</v>
      </c>
      <c r="B1562" t="s">
        <v>1365</v>
      </c>
      <c r="C1562" t="s">
        <v>874</v>
      </c>
      <c r="D1562" t="s">
        <v>228</v>
      </c>
      <c r="E1562" t="str">
        <f>INDEX('State Codes'!$E$7:$E$70,MATCH(INDEX('State Codes'!$C$7:$C$70,MATCH('County Climates'!B1562,'State Codes'!$D$7:$D$70,0),1),'State Codes'!$C$7:$C$70,0),1)</f>
        <v>Mountain Division</v>
      </c>
      <c r="F1562">
        <f>INDEX('CBECS_Table B5'!$C$6:$K$6,1,MATCH('County Climates'!E1562,'CBECS_Table B5'!$C$1:$K$1,0))</f>
        <v>4981</v>
      </c>
    </row>
    <row r="1563" spans="1:6" x14ac:dyDescent="0.25">
      <c r="A1563" t="s">
        <v>1364</v>
      </c>
      <c r="B1563" t="s">
        <v>1365</v>
      </c>
      <c r="C1563" t="s">
        <v>1130</v>
      </c>
      <c r="D1563" t="s">
        <v>228</v>
      </c>
      <c r="E1563" t="str">
        <f>INDEX('State Codes'!$E$7:$E$70,MATCH(INDEX('State Codes'!$C$7:$C$70,MATCH('County Climates'!B1563,'State Codes'!$D$7:$D$70,0),1),'State Codes'!$C$7:$C$70,0),1)</f>
        <v>Mountain Division</v>
      </c>
      <c r="F1563">
        <f>INDEX('CBECS_Table B5'!$C$6:$K$6,1,MATCH('County Climates'!E1563,'CBECS_Table B5'!$C$1:$K$1,0))</f>
        <v>4981</v>
      </c>
    </row>
    <row r="1564" spans="1:6" x14ac:dyDescent="0.25">
      <c r="A1564" t="s">
        <v>1364</v>
      </c>
      <c r="B1564" t="s">
        <v>1365</v>
      </c>
      <c r="C1564" t="s">
        <v>876</v>
      </c>
      <c r="D1564" t="s">
        <v>228</v>
      </c>
      <c r="E1564" t="str">
        <f>INDEX('State Codes'!$E$7:$E$70,MATCH(INDEX('State Codes'!$C$7:$C$70,MATCH('County Climates'!B1564,'State Codes'!$D$7:$D$70,0),1),'State Codes'!$C$7:$C$70,0),1)</f>
        <v>Mountain Division</v>
      </c>
      <c r="F1564">
        <f>INDEX('CBECS_Table B5'!$C$6:$K$6,1,MATCH('County Climates'!E1564,'CBECS_Table B5'!$C$1:$K$1,0))</f>
        <v>4981</v>
      </c>
    </row>
    <row r="1565" spans="1:6" x14ac:dyDescent="0.25">
      <c r="A1565" t="s">
        <v>1364</v>
      </c>
      <c r="B1565" t="s">
        <v>1365</v>
      </c>
      <c r="C1565" t="s">
        <v>1366</v>
      </c>
      <c r="D1565" t="s">
        <v>228</v>
      </c>
      <c r="E1565" t="str">
        <f>INDEX('State Codes'!$E$7:$E$70,MATCH(INDEX('State Codes'!$C$7:$C$70,MATCH('County Climates'!B1565,'State Codes'!$D$7:$D$70,0),1),'State Codes'!$C$7:$C$70,0),1)</f>
        <v>Mountain Division</v>
      </c>
      <c r="F1565">
        <f>INDEX('CBECS_Table B5'!$C$6:$K$6,1,MATCH('County Climates'!E1565,'CBECS_Table B5'!$C$1:$K$1,0))</f>
        <v>4981</v>
      </c>
    </row>
    <row r="1566" spans="1:6" x14ac:dyDescent="0.25">
      <c r="A1566" t="s">
        <v>1364</v>
      </c>
      <c r="B1566" t="s">
        <v>1365</v>
      </c>
      <c r="C1566" t="s">
        <v>1074</v>
      </c>
      <c r="D1566" t="s">
        <v>228</v>
      </c>
      <c r="E1566" t="str">
        <f>INDEX('State Codes'!$E$7:$E$70,MATCH(INDEX('State Codes'!$C$7:$C$70,MATCH('County Climates'!B1566,'State Codes'!$D$7:$D$70,0),1),'State Codes'!$C$7:$C$70,0),1)</f>
        <v>Mountain Division</v>
      </c>
      <c r="F1566">
        <f>INDEX('CBECS_Table B5'!$C$6:$K$6,1,MATCH('County Climates'!E1566,'CBECS_Table B5'!$C$1:$K$1,0))</f>
        <v>4981</v>
      </c>
    </row>
    <row r="1567" spans="1:6" x14ac:dyDescent="0.25">
      <c r="A1567" t="s">
        <v>1364</v>
      </c>
      <c r="B1567" t="s">
        <v>1365</v>
      </c>
      <c r="C1567" t="s">
        <v>373</v>
      </c>
      <c r="D1567" t="s">
        <v>228</v>
      </c>
      <c r="E1567" t="str">
        <f>INDEX('State Codes'!$E$7:$E$70,MATCH(INDEX('State Codes'!$C$7:$C$70,MATCH('County Climates'!B1567,'State Codes'!$D$7:$D$70,0),1),'State Codes'!$C$7:$C$70,0),1)</f>
        <v>Mountain Division</v>
      </c>
      <c r="F1567">
        <f>INDEX('CBECS_Table B5'!$C$6:$K$6,1,MATCH('County Climates'!E1567,'CBECS_Table B5'!$C$1:$K$1,0))</f>
        <v>4981</v>
      </c>
    </row>
    <row r="1568" spans="1:6" x14ac:dyDescent="0.25">
      <c r="A1568" t="s">
        <v>1364</v>
      </c>
      <c r="B1568" t="s">
        <v>1365</v>
      </c>
      <c r="C1568" t="s">
        <v>1367</v>
      </c>
      <c r="D1568" t="s">
        <v>228</v>
      </c>
      <c r="E1568" t="str">
        <f>INDEX('State Codes'!$E$7:$E$70,MATCH(INDEX('State Codes'!$C$7:$C$70,MATCH('County Climates'!B1568,'State Codes'!$D$7:$D$70,0),1),'State Codes'!$C$7:$C$70,0),1)</f>
        <v>Mountain Division</v>
      </c>
      <c r="F1568">
        <f>INDEX('CBECS_Table B5'!$C$6:$K$6,1,MATCH('County Climates'!E1568,'CBECS_Table B5'!$C$1:$K$1,0))</f>
        <v>4981</v>
      </c>
    </row>
    <row r="1569" spans="1:6" x14ac:dyDescent="0.25">
      <c r="A1569" t="s">
        <v>1364</v>
      </c>
      <c r="B1569" t="s">
        <v>1365</v>
      </c>
      <c r="C1569" t="s">
        <v>1368</v>
      </c>
      <c r="D1569" t="s">
        <v>228</v>
      </c>
      <c r="E1569" t="str">
        <f>INDEX('State Codes'!$E$7:$E$70,MATCH(INDEX('State Codes'!$C$7:$C$70,MATCH('County Climates'!B1569,'State Codes'!$D$7:$D$70,0),1),'State Codes'!$C$7:$C$70,0),1)</f>
        <v>Mountain Division</v>
      </c>
      <c r="F1569">
        <f>INDEX('CBECS_Table B5'!$C$6:$K$6,1,MATCH('County Climates'!E1569,'CBECS_Table B5'!$C$1:$K$1,0))</f>
        <v>4981</v>
      </c>
    </row>
    <row r="1570" spans="1:6" x14ac:dyDescent="0.25">
      <c r="A1570" t="s">
        <v>1364</v>
      </c>
      <c r="B1570" t="s">
        <v>1365</v>
      </c>
      <c r="C1570" t="s">
        <v>322</v>
      </c>
      <c r="D1570" t="s">
        <v>228</v>
      </c>
      <c r="E1570" t="str">
        <f>INDEX('State Codes'!$E$7:$E$70,MATCH(INDEX('State Codes'!$C$7:$C$70,MATCH('County Climates'!B1570,'State Codes'!$D$7:$D$70,0),1),'State Codes'!$C$7:$C$70,0),1)</f>
        <v>Mountain Division</v>
      </c>
      <c r="F1570">
        <f>INDEX('CBECS_Table B5'!$C$6:$K$6,1,MATCH('County Climates'!E1570,'CBECS_Table B5'!$C$1:$K$1,0))</f>
        <v>4981</v>
      </c>
    </row>
    <row r="1571" spans="1:6" x14ac:dyDescent="0.25">
      <c r="A1571" t="s">
        <v>1364</v>
      </c>
      <c r="B1571" t="s">
        <v>1365</v>
      </c>
      <c r="C1571" t="s">
        <v>1369</v>
      </c>
      <c r="D1571" t="s">
        <v>228</v>
      </c>
      <c r="E1571" t="str">
        <f>INDEX('State Codes'!$E$7:$E$70,MATCH(INDEX('State Codes'!$C$7:$C$70,MATCH('County Climates'!B1571,'State Codes'!$D$7:$D$70,0),1),'State Codes'!$C$7:$C$70,0),1)</f>
        <v>Mountain Division</v>
      </c>
      <c r="F1571">
        <f>INDEX('CBECS_Table B5'!$C$6:$K$6,1,MATCH('County Climates'!E1571,'CBECS_Table B5'!$C$1:$K$1,0))</f>
        <v>4981</v>
      </c>
    </row>
    <row r="1572" spans="1:6" x14ac:dyDescent="0.25">
      <c r="A1572" t="s">
        <v>1364</v>
      </c>
      <c r="B1572" t="s">
        <v>1365</v>
      </c>
      <c r="C1572" t="s">
        <v>324</v>
      </c>
      <c r="D1572" t="s">
        <v>229</v>
      </c>
      <c r="E1572" t="str">
        <f>INDEX('State Codes'!$E$7:$E$70,MATCH(INDEX('State Codes'!$C$7:$C$70,MATCH('County Climates'!B1572,'State Codes'!$D$7:$D$70,0),1),'State Codes'!$C$7:$C$70,0),1)</f>
        <v>Mountain Division</v>
      </c>
      <c r="F1572">
        <f>INDEX('CBECS_Table B5'!$C$6:$K$6,1,MATCH('County Climates'!E1572,'CBECS_Table B5'!$C$1:$K$1,0))</f>
        <v>4981</v>
      </c>
    </row>
    <row r="1573" spans="1:6" x14ac:dyDescent="0.25">
      <c r="A1573" t="s">
        <v>1364</v>
      </c>
      <c r="B1573" t="s">
        <v>1365</v>
      </c>
      <c r="C1573" t="s">
        <v>1370</v>
      </c>
      <c r="D1573" t="s">
        <v>228</v>
      </c>
      <c r="E1573" t="str">
        <f>INDEX('State Codes'!$E$7:$E$70,MATCH(INDEX('State Codes'!$C$7:$C$70,MATCH('County Climates'!B1573,'State Codes'!$D$7:$D$70,0),1),'State Codes'!$C$7:$C$70,0),1)</f>
        <v>Mountain Division</v>
      </c>
      <c r="F1573">
        <f>INDEX('CBECS_Table B5'!$C$6:$K$6,1,MATCH('County Climates'!E1573,'CBECS_Table B5'!$C$1:$K$1,0))</f>
        <v>4981</v>
      </c>
    </row>
    <row r="1574" spans="1:6" x14ac:dyDescent="0.25">
      <c r="A1574" t="s">
        <v>1364</v>
      </c>
      <c r="B1574" t="s">
        <v>1365</v>
      </c>
      <c r="C1574" t="s">
        <v>1371</v>
      </c>
      <c r="D1574" t="s">
        <v>228</v>
      </c>
      <c r="E1574" t="str">
        <f>INDEX('State Codes'!$E$7:$E$70,MATCH(INDEX('State Codes'!$C$7:$C$70,MATCH('County Climates'!B1574,'State Codes'!$D$7:$D$70,0),1),'State Codes'!$C$7:$C$70,0),1)</f>
        <v>Mountain Division</v>
      </c>
      <c r="F1574">
        <f>INDEX('CBECS_Table B5'!$C$6:$K$6,1,MATCH('County Climates'!E1574,'CBECS_Table B5'!$C$1:$K$1,0))</f>
        <v>4981</v>
      </c>
    </row>
    <row r="1575" spans="1:6" x14ac:dyDescent="0.25">
      <c r="A1575" t="s">
        <v>1364</v>
      </c>
      <c r="B1575" t="s">
        <v>1365</v>
      </c>
      <c r="C1575" t="s">
        <v>393</v>
      </c>
      <c r="D1575" t="s">
        <v>228</v>
      </c>
      <c r="E1575" t="str">
        <f>INDEX('State Codes'!$E$7:$E$70,MATCH(INDEX('State Codes'!$C$7:$C$70,MATCH('County Climates'!B1575,'State Codes'!$D$7:$D$70,0),1),'State Codes'!$C$7:$C$70,0),1)</f>
        <v>Mountain Division</v>
      </c>
      <c r="F1575">
        <f>INDEX('CBECS_Table B5'!$C$6:$K$6,1,MATCH('County Climates'!E1575,'CBECS_Table B5'!$C$1:$K$1,0))</f>
        <v>4981</v>
      </c>
    </row>
    <row r="1576" spans="1:6" x14ac:dyDescent="0.25">
      <c r="A1576" t="s">
        <v>1364</v>
      </c>
      <c r="B1576" t="s">
        <v>1365</v>
      </c>
      <c r="C1576" t="s">
        <v>854</v>
      </c>
      <c r="D1576" t="s">
        <v>228</v>
      </c>
      <c r="E1576" t="str">
        <f>INDEX('State Codes'!$E$7:$E$70,MATCH(INDEX('State Codes'!$C$7:$C$70,MATCH('County Climates'!B1576,'State Codes'!$D$7:$D$70,0),1),'State Codes'!$C$7:$C$70,0),1)</f>
        <v>Mountain Division</v>
      </c>
      <c r="F1576">
        <f>INDEX('CBECS_Table B5'!$C$6:$K$6,1,MATCH('County Climates'!E1576,'CBECS_Table B5'!$C$1:$K$1,0))</f>
        <v>4981</v>
      </c>
    </row>
    <row r="1577" spans="1:6" x14ac:dyDescent="0.25">
      <c r="A1577" t="s">
        <v>1364</v>
      </c>
      <c r="B1577" t="s">
        <v>1365</v>
      </c>
      <c r="C1577" t="s">
        <v>921</v>
      </c>
      <c r="D1577" t="s">
        <v>228</v>
      </c>
      <c r="E1577" t="str">
        <f>INDEX('State Codes'!$E$7:$E$70,MATCH(INDEX('State Codes'!$C$7:$C$70,MATCH('County Climates'!B1577,'State Codes'!$D$7:$D$70,0),1),'State Codes'!$C$7:$C$70,0),1)</f>
        <v>Mountain Division</v>
      </c>
      <c r="F1577">
        <f>INDEX('CBECS_Table B5'!$C$6:$K$6,1,MATCH('County Climates'!E1577,'CBECS_Table B5'!$C$1:$K$1,0))</f>
        <v>4981</v>
      </c>
    </row>
    <row r="1578" spans="1:6" x14ac:dyDescent="0.25">
      <c r="A1578" t="s">
        <v>1364</v>
      </c>
      <c r="B1578" t="s">
        <v>1365</v>
      </c>
      <c r="C1578" t="s">
        <v>1372</v>
      </c>
      <c r="D1578" t="s">
        <v>229</v>
      </c>
      <c r="E1578" t="str">
        <f>INDEX('State Codes'!$E$7:$E$70,MATCH(INDEX('State Codes'!$C$7:$C$70,MATCH('County Climates'!B1578,'State Codes'!$D$7:$D$70,0),1),'State Codes'!$C$7:$C$70,0),1)</f>
        <v>Mountain Division</v>
      </c>
      <c r="F1578">
        <f>INDEX('CBECS_Table B5'!$C$6:$K$6,1,MATCH('County Climates'!E1578,'CBECS_Table B5'!$C$1:$K$1,0))</f>
        <v>4981</v>
      </c>
    </row>
    <row r="1579" spans="1:6" x14ac:dyDescent="0.25">
      <c r="A1579" t="s">
        <v>1364</v>
      </c>
      <c r="B1579" t="s">
        <v>1365</v>
      </c>
      <c r="C1579" t="s">
        <v>1373</v>
      </c>
      <c r="D1579" t="s">
        <v>228</v>
      </c>
      <c r="E1579" t="str">
        <f>INDEX('State Codes'!$E$7:$E$70,MATCH(INDEX('State Codes'!$C$7:$C$70,MATCH('County Climates'!B1579,'State Codes'!$D$7:$D$70,0),1),'State Codes'!$C$7:$C$70,0),1)</f>
        <v>Mountain Division</v>
      </c>
      <c r="F1579">
        <f>INDEX('CBECS_Table B5'!$C$6:$K$6,1,MATCH('County Climates'!E1579,'CBECS_Table B5'!$C$1:$K$1,0))</f>
        <v>4981</v>
      </c>
    </row>
    <row r="1580" spans="1:6" x14ac:dyDescent="0.25">
      <c r="A1580" t="s">
        <v>1364</v>
      </c>
      <c r="B1580" t="s">
        <v>1365</v>
      </c>
      <c r="C1580" t="s">
        <v>1374</v>
      </c>
      <c r="D1580" t="s">
        <v>229</v>
      </c>
      <c r="E1580" t="str">
        <f>INDEX('State Codes'!$E$7:$E$70,MATCH(INDEX('State Codes'!$C$7:$C$70,MATCH('County Climates'!B1580,'State Codes'!$D$7:$D$70,0),1),'State Codes'!$C$7:$C$70,0),1)</f>
        <v>Mountain Division</v>
      </c>
      <c r="F1580">
        <f>INDEX('CBECS_Table B5'!$C$6:$K$6,1,MATCH('County Climates'!E1580,'CBECS_Table B5'!$C$1:$K$1,0))</f>
        <v>4981</v>
      </c>
    </row>
    <row r="1581" spans="1:6" x14ac:dyDescent="0.25">
      <c r="A1581" t="s">
        <v>1364</v>
      </c>
      <c r="B1581" t="s">
        <v>1365</v>
      </c>
      <c r="C1581" t="s">
        <v>1375</v>
      </c>
      <c r="D1581" t="s">
        <v>228</v>
      </c>
      <c r="E1581" t="str">
        <f>INDEX('State Codes'!$E$7:$E$70,MATCH(INDEX('State Codes'!$C$7:$C$70,MATCH('County Climates'!B1581,'State Codes'!$D$7:$D$70,0),1),'State Codes'!$C$7:$C$70,0),1)</f>
        <v>Mountain Division</v>
      </c>
      <c r="F1581">
        <f>INDEX('CBECS_Table B5'!$C$6:$K$6,1,MATCH('County Climates'!E1581,'CBECS_Table B5'!$C$1:$K$1,0))</f>
        <v>4981</v>
      </c>
    </row>
    <row r="1582" spans="1:6" x14ac:dyDescent="0.25">
      <c r="A1582" t="s">
        <v>1364</v>
      </c>
      <c r="B1582" t="s">
        <v>1365</v>
      </c>
      <c r="C1582" t="s">
        <v>1376</v>
      </c>
      <c r="D1582" t="s">
        <v>228</v>
      </c>
      <c r="E1582" t="str">
        <f>INDEX('State Codes'!$E$7:$E$70,MATCH(INDEX('State Codes'!$C$7:$C$70,MATCH('County Climates'!B1582,'State Codes'!$D$7:$D$70,0),1),'State Codes'!$C$7:$C$70,0),1)</f>
        <v>Mountain Division</v>
      </c>
      <c r="F1582">
        <f>INDEX('CBECS_Table B5'!$C$6:$K$6,1,MATCH('County Climates'!E1582,'CBECS_Table B5'!$C$1:$K$1,0))</f>
        <v>4981</v>
      </c>
    </row>
    <row r="1583" spans="1:6" x14ac:dyDescent="0.25">
      <c r="A1583" t="s">
        <v>1364</v>
      </c>
      <c r="B1583" t="s">
        <v>1365</v>
      </c>
      <c r="C1583" t="s">
        <v>1377</v>
      </c>
      <c r="D1583" t="s">
        <v>228</v>
      </c>
      <c r="E1583" t="str">
        <f>INDEX('State Codes'!$E$7:$E$70,MATCH(INDEX('State Codes'!$C$7:$C$70,MATCH('County Climates'!B1583,'State Codes'!$D$7:$D$70,0),1),'State Codes'!$C$7:$C$70,0),1)</f>
        <v>Mountain Division</v>
      </c>
      <c r="F1583">
        <f>INDEX('CBECS_Table B5'!$C$6:$K$6,1,MATCH('County Climates'!E1583,'CBECS_Table B5'!$C$1:$K$1,0))</f>
        <v>4981</v>
      </c>
    </row>
    <row r="1584" spans="1:6" x14ac:dyDescent="0.25">
      <c r="A1584" t="s">
        <v>1378</v>
      </c>
      <c r="B1584" t="s">
        <v>1379</v>
      </c>
      <c r="C1584" t="s">
        <v>502</v>
      </c>
      <c r="D1584" t="s">
        <v>243</v>
      </c>
      <c r="E1584" t="str">
        <f>INDEX('State Codes'!$E$7:$E$70,MATCH(INDEX('State Codes'!$C$7:$C$70,MATCH('County Climates'!B1584,'State Codes'!$D$7:$D$70,0),1),'State Codes'!$C$7:$C$70,0),1)</f>
        <v>East South Central Division</v>
      </c>
      <c r="F1584">
        <f>INDEX('CBECS_Table B5'!$C$6:$K$6,1,MATCH('County Climates'!E1584,'CBECS_Table B5'!$C$1:$K$1,0))</f>
        <v>4904</v>
      </c>
    </row>
    <row r="1585" spans="1:6" x14ac:dyDescent="0.25">
      <c r="A1585" t="s">
        <v>1378</v>
      </c>
      <c r="B1585" t="s">
        <v>1379</v>
      </c>
      <c r="C1585" t="s">
        <v>839</v>
      </c>
      <c r="D1585" t="s">
        <v>247</v>
      </c>
      <c r="E1585" t="str">
        <f>INDEX('State Codes'!$E$7:$E$70,MATCH(INDEX('State Codes'!$C$7:$C$70,MATCH('County Climates'!B1585,'State Codes'!$D$7:$D$70,0),1),'State Codes'!$C$7:$C$70,0),1)</f>
        <v>East South Central Division</v>
      </c>
      <c r="F1585">
        <f>INDEX('CBECS_Table B5'!$C$6:$K$6,1,MATCH('County Climates'!E1585,'CBECS_Table B5'!$C$1:$K$1,0))</f>
        <v>4904</v>
      </c>
    </row>
    <row r="1586" spans="1:6" x14ac:dyDescent="0.25">
      <c r="A1586" t="s">
        <v>1380</v>
      </c>
      <c r="B1586" t="s">
        <v>1381</v>
      </c>
      <c r="C1586" t="s">
        <v>1382</v>
      </c>
      <c r="D1586" t="s">
        <v>229</v>
      </c>
      <c r="E1586" t="str">
        <f>INDEX('State Codes'!$E$7:$E$70,MATCH(INDEX('State Codes'!$C$7:$C$70,MATCH('County Climates'!B1586,'State Codes'!$D$7:$D$70,0),1),'State Codes'!$C$7:$C$70,0),1)</f>
        <v>Pacific Division</v>
      </c>
      <c r="F1586">
        <f>INDEX('CBECS_Table B5'!$C$6:$K$6,1,MATCH('County Climates'!E1586,'CBECS_Table B5'!$C$1:$K$1,0))</f>
        <v>13379</v>
      </c>
    </row>
    <row r="1587" spans="1:6" x14ac:dyDescent="0.25">
      <c r="A1587" t="s">
        <v>1380</v>
      </c>
      <c r="B1587" t="s">
        <v>1381</v>
      </c>
      <c r="C1587" t="s">
        <v>1383</v>
      </c>
      <c r="D1587" t="s">
        <v>229</v>
      </c>
      <c r="E1587" t="str">
        <f>INDEX('State Codes'!$E$7:$E$70,MATCH(INDEX('State Codes'!$C$7:$C$70,MATCH('County Climates'!B1587,'State Codes'!$D$7:$D$70,0),1),'State Codes'!$C$7:$C$70,0),1)</f>
        <v>Pacific Division</v>
      </c>
      <c r="F1587">
        <f>INDEX('CBECS_Table B5'!$C$6:$K$6,1,MATCH('County Climates'!E1587,'CBECS_Table B5'!$C$1:$K$1,0))</f>
        <v>13379</v>
      </c>
    </row>
    <row r="1588" spans="1:6" x14ac:dyDescent="0.25">
      <c r="A1588" t="s">
        <v>1380</v>
      </c>
      <c r="B1588" t="s">
        <v>1381</v>
      </c>
      <c r="C1588" t="s">
        <v>1384</v>
      </c>
      <c r="D1588" t="s">
        <v>229</v>
      </c>
      <c r="E1588" t="str">
        <f>INDEX('State Codes'!$E$7:$E$70,MATCH(INDEX('State Codes'!$C$7:$C$70,MATCH('County Climates'!B1588,'State Codes'!$D$7:$D$70,0),1),'State Codes'!$C$7:$C$70,0),1)</f>
        <v>Pacific Division</v>
      </c>
      <c r="F1588">
        <f>INDEX('CBECS_Table B5'!$C$6:$K$6,1,MATCH('County Climates'!E1588,'CBECS_Table B5'!$C$1:$K$1,0))</f>
        <v>13379</v>
      </c>
    </row>
    <row r="1589" spans="1:6" x14ac:dyDescent="0.25">
      <c r="A1589" t="s">
        <v>1380</v>
      </c>
      <c r="B1589" t="s">
        <v>1381</v>
      </c>
      <c r="C1589" t="s">
        <v>1385</v>
      </c>
      <c r="D1589" t="s">
        <v>1386</v>
      </c>
      <c r="E1589" t="str">
        <f>INDEX('State Codes'!$E$7:$E$70,MATCH(INDEX('State Codes'!$C$7:$C$70,MATCH('County Climates'!B1589,'State Codes'!$D$7:$D$70,0),1),'State Codes'!$C$7:$C$70,0),1)</f>
        <v>Pacific Division</v>
      </c>
      <c r="F1589">
        <f>INDEX('CBECS_Table B5'!$C$6:$K$6,1,MATCH('County Climates'!E1589,'CBECS_Table B5'!$C$1:$K$1,0))</f>
        <v>13379</v>
      </c>
    </row>
    <row r="1590" spans="1:6" x14ac:dyDescent="0.25">
      <c r="A1590" t="s">
        <v>1380</v>
      </c>
      <c r="B1590" t="s">
        <v>1381</v>
      </c>
      <c r="C1590" t="s">
        <v>1387</v>
      </c>
      <c r="D1590" t="s">
        <v>229</v>
      </c>
      <c r="E1590" t="str">
        <f>INDEX('State Codes'!$E$7:$E$70,MATCH(INDEX('State Codes'!$C$7:$C$70,MATCH('County Climates'!B1590,'State Codes'!$D$7:$D$70,0),1),'State Codes'!$C$7:$C$70,0),1)</f>
        <v>Pacific Division</v>
      </c>
      <c r="F1590">
        <f>INDEX('CBECS_Table B5'!$C$6:$K$6,1,MATCH('County Climates'!E1590,'CBECS_Table B5'!$C$1:$K$1,0))</f>
        <v>13379</v>
      </c>
    </row>
    <row r="1591" spans="1:6" x14ac:dyDescent="0.25">
      <c r="A1591" t="s">
        <v>1380</v>
      </c>
      <c r="B1591" t="s">
        <v>1381</v>
      </c>
      <c r="C1591" t="s">
        <v>1388</v>
      </c>
      <c r="D1591" t="s">
        <v>229</v>
      </c>
      <c r="E1591" t="str">
        <f>INDEX('State Codes'!$E$7:$E$70,MATCH(INDEX('State Codes'!$C$7:$C$70,MATCH('County Climates'!B1591,'State Codes'!$D$7:$D$70,0),1),'State Codes'!$C$7:$C$70,0),1)</f>
        <v>Pacific Division</v>
      </c>
      <c r="F1591">
        <f>INDEX('CBECS_Table B5'!$C$6:$K$6,1,MATCH('County Climates'!E1591,'CBECS_Table B5'!$C$1:$K$1,0))</f>
        <v>13379</v>
      </c>
    </row>
    <row r="1592" spans="1:6" x14ac:dyDescent="0.25">
      <c r="A1592" t="s">
        <v>1380</v>
      </c>
      <c r="B1592" t="s">
        <v>1381</v>
      </c>
      <c r="C1592" t="s">
        <v>1389</v>
      </c>
      <c r="D1592" t="s">
        <v>1386</v>
      </c>
      <c r="E1592" t="str">
        <f>INDEX('State Codes'!$E$7:$E$70,MATCH(INDEX('State Codes'!$C$7:$C$70,MATCH('County Climates'!B1592,'State Codes'!$D$7:$D$70,0),1),'State Codes'!$C$7:$C$70,0),1)</f>
        <v>Pacific Division</v>
      </c>
      <c r="F1592">
        <f>INDEX('CBECS_Table B5'!$C$6:$K$6,1,MATCH('County Climates'!E1592,'CBECS_Table B5'!$C$1:$K$1,0))</f>
        <v>13379</v>
      </c>
    </row>
    <row r="1593" spans="1:6" x14ac:dyDescent="0.25">
      <c r="A1593" t="s">
        <v>1380</v>
      </c>
      <c r="B1593" t="s">
        <v>1381</v>
      </c>
      <c r="C1593" t="s">
        <v>1390</v>
      </c>
      <c r="D1593" t="s">
        <v>1386</v>
      </c>
      <c r="E1593" t="str">
        <f>INDEX('State Codes'!$E$7:$E$70,MATCH(INDEX('State Codes'!$C$7:$C$70,MATCH('County Climates'!B1593,'State Codes'!$D$7:$D$70,0),1),'State Codes'!$C$7:$C$70,0),1)</f>
        <v>Pacific Division</v>
      </c>
      <c r="F1593">
        <f>INDEX('CBECS_Table B5'!$C$6:$K$6,1,MATCH('County Climates'!E1593,'CBECS_Table B5'!$C$1:$K$1,0))</f>
        <v>13379</v>
      </c>
    </row>
    <row r="1594" spans="1:6" x14ac:dyDescent="0.25">
      <c r="A1594" t="s">
        <v>1380</v>
      </c>
      <c r="B1594" t="s">
        <v>1381</v>
      </c>
      <c r="C1594" t="s">
        <v>1391</v>
      </c>
      <c r="D1594" t="s">
        <v>229</v>
      </c>
      <c r="E1594" t="str">
        <f>INDEX('State Codes'!$E$7:$E$70,MATCH(INDEX('State Codes'!$C$7:$C$70,MATCH('County Climates'!B1594,'State Codes'!$D$7:$D$70,0),1),'State Codes'!$C$7:$C$70,0),1)</f>
        <v>Pacific Division</v>
      </c>
      <c r="F1594">
        <f>INDEX('CBECS_Table B5'!$C$6:$K$6,1,MATCH('County Climates'!E1594,'CBECS_Table B5'!$C$1:$K$1,0))</f>
        <v>13379</v>
      </c>
    </row>
    <row r="1595" spans="1:6" x14ac:dyDescent="0.25">
      <c r="A1595" t="s">
        <v>1380</v>
      </c>
      <c r="B1595" t="s">
        <v>1381</v>
      </c>
      <c r="C1595" t="s">
        <v>1392</v>
      </c>
      <c r="D1595" t="s">
        <v>229</v>
      </c>
      <c r="E1595" t="str">
        <f>INDEX('State Codes'!$E$7:$E$70,MATCH(INDEX('State Codes'!$C$7:$C$70,MATCH('County Climates'!B1595,'State Codes'!$D$7:$D$70,0),1),'State Codes'!$C$7:$C$70,0),1)</f>
        <v>Pacific Division</v>
      </c>
      <c r="F1595">
        <f>INDEX('CBECS_Table B5'!$C$6:$K$6,1,MATCH('County Climates'!E1595,'CBECS_Table B5'!$C$1:$K$1,0))</f>
        <v>13379</v>
      </c>
    </row>
    <row r="1596" spans="1:6" x14ac:dyDescent="0.25">
      <c r="A1596" t="s">
        <v>1380</v>
      </c>
      <c r="B1596" t="s">
        <v>1381</v>
      </c>
      <c r="C1596" t="s">
        <v>1393</v>
      </c>
      <c r="D1596" t="s">
        <v>229</v>
      </c>
      <c r="E1596" t="str">
        <f>INDEX('State Codes'!$E$7:$E$70,MATCH(INDEX('State Codes'!$C$7:$C$70,MATCH('County Climates'!B1596,'State Codes'!$D$7:$D$70,0),1),'State Codes'!$C$7:$C$70,0),1)</f>
        <v>Pacific Division</v>
      </c>
      <c r="F1596">
        <f>INDEX('CBECS_Table B5'!$C$6:$K$6,1,MATCH('County Climates'!E1596,'CBECS_Table B5'!$C$1:$K$1,0))</f>
        <v>13379</v>
      </c>
    </row>
    <row r="1597" spans="1:6" x14ac:dyDescent="0.25">
      <c r="A1597" t="s">
        <v>1380</v>
      </c>
      <c r="B1597" t="s">
        <v>1381</v>
      </c>
      <c r="C1597" t="s">
        <v>1394</v>
      </c>
      <c r="D1597" t="s">
        <v>229</v>
      </c>
      <c r="E1597" t="str">
        <f>INDEX('State Codes'!$E$7:$E$70,MATCH(INDEX('State Codes'!$C$7:$C$70,MATCH('County Climates'!B1597,'State Codes'!$D$7:$D$70,0),1),'State Codes'!$C$7:$C$70,0),1)</f>
        <v>Pacific Division</v>
      </c>
      <c r="F1597">
        <f>INDEX('CBECS_Table B5'!$C$6:$K$6,1,MATCH('County Climates'!E1597,'CBECS_Table B5'!$C$1:$K$1,0))</f>
        <v>13379</v>
      </c>
    </row>
    <row r="1598" spans="1:6" x14ac:dyDescent="0.25">
      <c r="A1598" t="s">
        <v>1380</v>
      </c>
      <c r="B1598" t="s">
        <v>1381</v>
      </c>
      <c r="C1598" t="s">
        <v>1395</v>
      </c>
      <c r="D1598" t="s">
        <v>229</v>
      </c>
      <c r="E1598" t="str">
        <f>INDEX('State Codes'!$E$7:$E$70,MATCH(INDEX('State Codes'!$C$7:$C$70,MATCH('County Climates'!B1598,'State Codes'!$D$7:$D$70,0),1),'State Codes'!$C$7:$C$70,0),1)</f>
        <v>Pacific Division</v>
      </c>
      <c r="F1598">
        <f>INDEX('CBECS_Table B5'!$C$6:$K$6,1,MATCH('County Climates'!E1598,'CBECS_Table B5'!$C$1:$K$1,0))</f>
        <v>13379</v>
      </c>
    </row>
    <row r="1599" spans="1:6" x14ac:dyDescent="0.25">
      <c r="A1599" t="s">
        <v>1380</v>
      </c>
      <c r="B1599" t="s">
        <v>1381</v>
      </c>
      <c r="C1599" t="s">
        <v>1396</v>
      </c>
      <c r="D1599" t="s">
        <v>229</v>
      </c>
      <c r="E1599" t="str">
        <f>INDEX('State Codes'!$E$7:$E$70,MATCH(INDEX('State Codes'!$C$7:$C$70,MATCH('County Climates'!B1599,'State Codes'!$D$7:$D$70,0),1),'State Codes'!$C$7:$C$70,0),1)</f>
        <v>Pacific Division</v>
      </c>
      <c r="F1599">
        <f>INDEX('CBECS_Table B5'!$C$6:$K$6,1,MATCH('County Climates'!E1599,'CBECS_Table B5'!$C$1:$K$1,0))</f>
        <v>13379</v>
      </c>
    </row>
    <row r="1600" spans="1:6" x14ac:dyDescent="0.25">
      <c r="A1600" t="s">
        <v>1380</v>
      </c>
      <c r="B1600" t="s">
        <v>1381</v>
      </c>
      <c r="C1600" t="s">
        <v>1397</v>
      </c>
      <c r="D1600" t="s">
        <v>229</v>
      </c>
      <c r="E1600" t="str">
        <f>INDEX('State Codes'!$E$7:$E$70,MATCH(INDEX('State Codes'!$C$7:$C$70,MATCH('County Climates'!B1600,'State Codes'!$D$7:$D$70,0),1),'State Codes'!$C$7:$C$70,0),1)</f>
        <v>Pacific Division</v>
      </c>
      <c r="F1600">
        <f>INDEX('CBECS_Table B5'!$C$6:$K$6,1,MATCH('County Climates'!E1600,'CBECS_Table B5'!$C$1:$K$1,0))</f>
        <v>13379</v>
      </c>
    </row>
    <row r="1601" spans="1:6" x14ac:dyDescent="0.25">
      <c r="A1601" t="s">
        <v>1380</v>
      </c>
      <c r="B1601" t="s">
        <v>1381</v>
      </c>
      <c r="C1601" t="s">
        <v>1398</v>
      </c>
      <c r="D1601" t="s">
        <v>1386</v>
      </c>
      <c r="E1601" t="str">
        <f>INDEX('State Codes'!$E$7:$E$70,MATCH(INDEX('State Codes'!$C$7:$C$70,MATCH('County Climates'!B1601,'State Codes'!$D$7:$D$70,0),1),'State Codes'!$C$7:$C$70,0),1)</f>
        <v>Pacific Division</v>
      </c>
      <c r="F1601">
        <f>INDEX('CBECS_Table B5'!$C$6:$K$6,1,MATCH('County Climates'!E1601,'CBECS_Table B5'!$C$1:$K$1,0))</f>
        <v>13379</v>
      </c>
    </row>
    <row r="1602" spans="1:6" x14ac:dyDescent="0.25">
      <c r="A1602" t="s">
        <v>1380</v>
      </c>
      <c r="B1602" t="s">
        <v>1381</v>
      </c>
      <c r="C1602" t="s">
        <v>1399</v>
      </c>
      <c r="D1602" t="s">
        <v>1386</v>
      </c>
      <c r="E1602" t="str">
        <f>INDEX('State Codes'!$E$7:$E$70,MATCH(INDEX('State Codes'!$C$7:$C$70,MATCH('County Climates'!B1602,'State Codes'!$D$7:$D$70,0),1),'State Codes'!$C$7:$C$70,0),1)</f>
        <v>Pacific Division</v>
      </c>
      <c r="F1602">
        <f>INDEX('CBECS_Table B5'!$C$6:$K$6,1,MATCH('County Climates'!E1602,'CBECS_Table B5'!$C$1:$K$1,0))</f>
        <v>13379</v>
      </c>
    </row>
    <row r="1603" spans="1:6" x14ac:dyDescent="0.25">
      <c r="A1603" t="s">
        <v>1380</v>
      </c>
      <c r="B1603" t="s">
        <v>1381</v>
      </c>
      <c r="C1603" t="s">
        <v>1400</v>
      </c>
      <c r="D1603" t="s">
        <v>1386</v>
      </c>
      <c r="E1603" t="str">
        <f>INDEX('State Codes'!$E$7:$E$70,MATCH(INDEX('State Codes'!$C$7:$C$70,MATCH('County Climates'!B1603,'State Codes'!$D$7:$D$70,0),1),'State Codes'!$C$7:$C$70,0),1)</f>
        <v>Pacific Division</v>
      </c>
      <c r="F1603">
        <f>INDEX('CBECS_Table B5'!$C$6:$K$6,1,MATCH('County Climates'!E1603,'CBECS_Table B5'!$C$1:$K$1,0))</f>
        <v>13379</v>
      </c>
    </row>
    <row r="1604" spans="1:6" x14ac:dyDescent="0.25">
      <c r="A1604" t="s">
        <v>1380</v>
      </c>
      <c r="B1604" t="s">
        <v>1381</v>
      </c>
      <c r="C1604" t="s">
        <v>1401</v>
      </c>
      <c r="D1604" t="s">
        <v>229</v>
      </c>
      <c r="E1604" t="str">
        <f>INDEX('State Codes'!$E$7:$E$70,MATCH(INDEX('State Codes'!$C$7:$C$70,MATCH('County Climates'!B1604,'State Codes'!$D$7:$D$70,0),1),'State Codes'!$C$7:$C$70,0),1)</f>
        <v>Pacific Division</v>
      </c>
      <c r="F1604">
        <f>INDEX('CBECS_Table B5'!$C$6:$K$6,1,MATCH('County Climates'!E1604,'CBECS_Table B5'!$C$1:$K$1,0))</f>
        <v>13379</v>
      </c>
    </row>
    <row r="1605" spans="1:6" x14ac:dyDescent="0.25">
      <c r="A1605" t="s">
        <v>1380</v>
      </c>
      <c r="B1605" t="s">
        <v>1381</v>
      </c>
      <c r="C1605" t="s">
        <v>1402</v>
      </c>
      <c r="D1605" t="s">
        <v>229</v>
      </c>
      <c r="E1605" t="str">
        <f>INDEX('State Codes'!$E$7:$E$70,MATCH(INDEX('State Codes'!$C$7:$C$70,MATCH('County Climates'!B1605,'State Codes'!$D$7:$D$70,0),1),'State Codes'!$C$7:$C$70,0),1)</f>
        <v>Pacific Division</v>
      </c>
      <c r="F1605">
        <f>INDEX('CBECS_Table B5'!$C$6:$K$6,1,MATCH('County Climates'!E1605,'CBECS_Table B5'!$C$1:$K$1,0))</f>
        <v>13379</v>
      </c>
    </row>
    <row r="1606" spans="1:6" x14ac:dyDescent="0.25">
      <c r="A1606" t="s">
        <v>1380</v>
      </c>
      <c r="B1606" t="s">
        <v>1381</v>
      </c>
      <c r="C1606" t="s">
        <v>1403</v>
      </c>
      <c r="D1606" t="s">
        <v>1386</v>
      </c>
      <c r="E1606" t="str">
        <f>INDEX('State Codes'!$E$7:$E$70,MATCH(INDEX('State Codes'!$C$7:$C$70,MATCH('County Climates'!B1606,'State Codes'!$D$7:$D$70,0),1),'State Codes'!$C$7:$C$70,0),1)</f>
        <v>Pacific Division</v>
      </c>
      <c r="F1606">
        <f>INDEX('CBECS_Table B5'!$C$6:$K$6,1,MATCH('County Climates'!E1606,'CBECS_Table B5'!$C$1:$K$1,0))</f>
        <v>13379</v>
      </c>
    </row>
    <row r="1607" spans="1:6" x14ac:dyDescent="0.25">
      <c r="A1607" t="s">
        <v>1380</v>
      </c>
      <c r="B1607" t="s">
        <v>1381</v>
      </c>
      <c r="C1607" t="s">
        <v>1404</v>
      </c>
      <c r="D1607" t="s">
        <v>229</v>
      </c>
      <c r="E1607" t="str">
        <f>INDEX('State Codes'!$E$7:$E$70,MATCH(INDEX('State Codes'!$C$7:$C$70,MATCH('County Climates'!B1607,'State Codes'!$D$7:$D$70,0),1),'State Codes'!$C$7:$C$70,0),1)</f>
        <v>Pacific Division</v>
      </c>
      <c r="F1607">
        <f>INDEX('CBECS_Table B5'!$C$6:$K$6,1,MATCH('County Climates'!E1607,'CBECS_Table B5'!$C$1:$K$1,0))</f>
        <v>13379</v>
      </c>
    </row>
    <row r="1608" spans="1:6" x14ac:dyDescent="0.25">
      <c r="A1608" t="s">
        <v>1380</v>
      </c>
      <c r="B1608" t="s">
        <v>1381</v>
      </c>
      <c r="C1608" t="s">
        <v>1405</v>
      </c>
      <c r="D1608" t="s">
        <v>1386</v>
      </c>
      <c r="E1608" t="str">
        <f>INDEX('State Codes'!$E$7:$E$70,MATCH(INDEX('State Codes'!$C$7:$C$70,MATCH('County Climates'!B1608,'State Codes'!$D$7:$D$70,0),1),'State Codes'!$C$7:$C$70,0),1)</f>
        <v>Pacific Division</v>
      </c>
      <c r="F1608">
        <f>INDEX('CBECS_Table B5'!$C$6:$K$6,1,MATCH('County Climates'!E1608,'CBECS_Table B5'!$C$1:$K$1,0))</f>
        <v>13379</v>
      </c>
    </row>
    <row r="1609" spans="1:6" x14ac:dyDescent="0.25">
      <c r="A1609" t="s">
        <v>1380</v>
      </c>
      <c r="B1609" t="s">
        <v>1381</v>
      </c>
      <c r="C1609" t="s">
        <v>1406</v>
      </c>
      <c r="D1609" t="s">
        <v>229</v>
      </c>
      <c r="E1609" t="str">
        <f>INDEX('State Codes'!$E$7:$E$70,MATCH(INDEX('State Codes'!$C$7:$C$70,MATCH('County Climates'!B1609,'State Codes'!$D$7:$D$70,0),1),'State Codes'!$C$7:$C$70,0),1)</f>
        <v>Pacific Division</v>
      </c>
      <c r="F1609">
        <f>INDEX('CBECS_Table B5'!$C$6:$K$6,1,MATCH('County Climates'!E1609,'CBECS_Table B5'!$C$1:$K$1,0))</f>
        <v>13379</v>
      </c>
    </row>
    <row r="1610" spans="1:6" x14ac:dyDescent="0.25">
      <c r="A1610" t="s">
        <v>1380</v>
      </c>
      <c r="B1610" t="s">
        <v>1381</v>
      </c>
      <c r="C1610" t="s">
        <v>1407</v>
      </c>
      <c r="D1610" t="s">
        <v>229</v>
      </c>
      <c r="E1610" t="str">
        <f>INDEX('State Codes'!$E$7:$E$70,MATCH(INDEX('State Codes'!$C$7:$C$70,MATCH('County Climates'!B1610,'State Codes'!$D$7:$D$70,0),1),'State Codes'!$C$7:$C$70,0),1)</f>
        <v>Pacific Division</v>
      </c>
      <c r="F1610">
        <f>INDEX('CBECS_Table B5'!$C$6:$K$6,1,MATCH('County Climates'!E1610,'CBECS_Table B5'!$C$1:$K$1,0))</f>
        <v>13379</v>
      </c>
    </row>
    <row r="1611" spans="1:6" x14ac:dyDescent="0.25">
      <c r="A1611" t="s">
        <v>1380</v>
      </c>
      <c r="B1611" t="s">
        <v>1381</v>
      </c>
      <c r="C1611" t="s">
        <v>1408</v>
      </c>
      <c r="D1611" t="s">
        <v>1386</v>
      </c>
      <c r="E1611" t="str">
        <f>INDEX('State Codes'!$E$7:$E$70,MATCH(INDEX('State Codes'!$C$7:$C$70,MATCH('County Climates'!B1611,'State Codes'!$D$7:$D$70,0),1),'State Codes'!$C$7:$C$70,0),1)</f>
        <v>Pacific Division</v>
      </c>
      <c r="F1611">
        <f>INDEX('CBECS_Table B5'!$C$6:$K$6,1,MATCH('County Climates'!E1611,'CBECS_Table B5'!$C$1:$K$1,0))</f>
        <v>13379</v>
      </c>
    </row>
    <row r="1612" spans="1:6" x14ac:dyDescent="0.25">
      <c r="A1612" t="s">
        <v>1409</v>
      </c>
      <c r="B1612" t="s">
        <v>1410</v>
      </c>
      <c r="C1612" t="s">
        <v>1411</v>
      </c>
      <c r="D1612" t="s">
        <v>228</v>
      </c>
      <c r="E1612" t="str">
        <f>INDEX('State Codes'!$E$7:$E$70,MATCH(INDEX('State Codes'!$C$7:$C$70,MATCH('County Climates'!B1612,'State Codes'!$D$7:$D$70,0),1),'State Codes'!$C$7:$C$70,0),1)</f>
        <v>Mountain Division</v>
      </c>
      <c r="F1612">
        <f>INDEX('CBECS_Table B5'!$C$6:$K$6,1,MATCH('County Climates'!E1612,'CBECS_Table B5'!$C$1:$K$1,0))</f>
        <v>4981</v>
      </c>
    </row>
    <row r="1613" spans="1:6" x14ac:dyDescent="0.25">
      <c r="A1613" t="s">
        <v>1409</v>
      </c>
      <c r="B1613" t="s">
        <v>1410</v>
      </c>
      <c r="C1613" t="s">
        <v>1412</v>
      </c>
      <c r="D1613" t="s">
        <v>359</v>
      </c>
      <c r="E1613" t="str">
        <f>INDEX('State Codes'!$E$7:$E$70,MATCH(INDEX('State Codes'!$C$7:$C$70,MATCH('County Climates'!B1613,'State Codes'!$D$7:$D$70,0),1),'State Codes'!$C$7:$C$70,0),1)</f>
        <v>Mountain Division</v>
      </c>
      <c r="F1613">
        <f>INDEX('CBECS_Table B5'!$C$6:$K$6,1,MATCH('County Climates'!E1613,'CBECS_Table B5'!$C$1:$K$1,0))</f>
        <v>4981</v>
      </c>
    </row>
    <row r="1614" spans="1:6" x14ac:dyDescent="0.25">
      <c r="A1614" t="s">
        <v>1409</v>
      </c>
      <c r="B1614" t="s">
        <v>1410</v>
      </c>
      <c r="C1614" t="s">
        <v>1413</v>
      </c>
      <c r="D1614" t="s">
        <v>228</v>
      </c>
      <c r="E1614" t="str">
        <f>INDEX('State Codes'!$E$7:$E$70,MATCH(INDEX('State Codes'!$C$7:$C$70,MATCH('County Climates'!B1614,'State Codes'!$D$7:$D$70,0),1),'State Codes'!$C$7:$C$70,0),1)</f>
        <v>Mountain Division</v>
      </c>
      <c r="F1614">
        <f>INDEX('CBECS_Table B5'!$C$6:$K$6,1,MATCH('County Climates'!E1614,'CBECS_Table B5'!$C$1:$K$1,0))</f>
        <v>4981</v>
      </c>
    </row>
    <row r="1615" spans="1:6" x14ac:dyDescent="0.25">
      <c r="A1615" t="s">
        <v>1409</v>
      </c>
      <c r="B1615" t="s">
        <v>1410</v>
      </c>
      <c r="C1615" t="s">
        <v>1414</v>
      </c>
      <c r="D1615" t="s">
        <v>357</v>
      </c>
      <c r="E1615" t="str">
        <f>INDEX('State Codes'!$E$7:$E$70,MATCH(INDEX('State Codes'!$C$7:$C$70,MATCH('County Climates'!B1615,'State Codes'!$D$7:$D$70,0),1),'State Codes'!$C$7:$C$70,0),1)</f>
        <v>Mountain Division</v>
      </c>
      <c r="F1615">
        <f>INDEX('CBECS_Table B5'!$C$6:$K$6,1,MATCH('County Climates'!E1615,'CBECS_Table B5'!$C$1:$K$1,0))</f>
        <v>4981</v>
      </c>
    </row>
    <row r="1616" spans="1:6" x14ac:dyDescent="0.25">
      <c r="A1616" t="s">
        <v>1409</v>
      </c>
      <c r="B1616" t="s">
        <v>1410</v>
      </c>
      <c r="C1616" t="s">
        <v>630</v>
      </c>
      <c r="D1616" t="s">
        <v>359</v>
      </c>
      <c r="E1616" t="str">
        <f>INDEX('State Codes'!$E$7:$E$70,MATCH(INDEX('State Codes'!$C$7:$C$70,MATCH('County Climates'!B1616,'State Codes'!$D$7:$D$70,0),1),'State Codes'!$C$7:$C$70,0),1)</f>
        <v>Mountain Division</v>
      </c>
      <c r="F1616">
        <f>INDEX('CBECS_Table B5'!$C$6:$K$6,1,MATCH('County Climates'!E1616,'CBECS_Table B5'!$C$1:$K$1,0))</f>
        <v>4981</v>
      </c>
    </row>
    <row r="1617" spans="1:6" x14ac:dyDescent="0.25">
      <c r="A1617" t="s">
        <v>1409</v>
      </c>
      <c r="B1617" t="s">
        <v>1410</v>
      </c>
      <c r="C1617" t="s">
        <v>1415</v>
      </c>
      <c r="D1617" t="s">
        <v>359</v>
      </c>
      <c r="E1617" t="str">
        <f>INDEX('State Codes'!$E$7:$E$70,MATCH(INDEX('State Codes'!$C$7:$C$70,MATCH('County Climates'!B1617,'State Codes'!$D$7:$D$70,0),1),'State Codes'!$C$7:$C$70,0),1)</f>
        <v>Mountain Division</v>
      </c>
      <c r="F1617">
        <f>INDEX('CBECS_Table B5'!$C$6:$K$6,1,MATCH('County Climates'!E1617,'CBECS_Table B5'!$C$1:$K$1,0))</f>
        <v>4981</v>
      </c>
    </row>
    <row r="1618" spans="1:6" x14ac:dyDescent="0.25">
      <c r="A1618" t="s">
        <v>1409</v>
      </c>
      <c r="B1618" t="s">
        <v>1410</v>
      </c>
      <c r="C1618" t="s">
        <v>1416</v>
      </c>
      <c r="D1618" t="s">
        <v>359</v>
      </c>
      <c r="E1618" t="str">
        <f>INDEX('State Codes'!$E$7:$E$70,MATCH(INDEX('State Codes'!$C$7:$C$70,MATCH('County Climates'!B1618,'State Codes'!$D$7:$D$70,0),1),'State Codes'!$C$7:$C$70,0),1)</f>
        <v>Mountain Division</v>
      </c>
      <c r="F1618">
        <f>INDEX('CBECS_Table B5'!$C$6:$K$6,1,MATCH('County Climates'!E1618,'CBECS_Table B5'!$C$1:$K$1,0))</f>
        <v>4981</v>
      </c>
    </row>
    <row r="1619" spans="1:6" x14ac:dyDescent="0.25">
      <c r="A1619" t="s">
        <v>1409</v>
      </c>
      <c r="B1619" t="s">
        <v>1410</v>
      </c>
      <c r="C1619" t="s">
        <v>1417</v>
      </c>
      <c r="D1619" t="s">
        <v>359</v>
      </c>
      <c r="E1619" t="str">
        <f>INDEX('State Codes'!$E$7:$E$70,MATCH(INDEX('State Codes'!$C$7:$C$70,MATCH('County Climates'!B1619,'State Codes'!$D$7:$D$70,0),1),'State Codes'!$C$7:$C$70,0),1)</f>
        <v>Mountain Division</v>
      </c>
      <c r="F1619">
        <f>INDEX('CBECS_Table B5'!$C$6:$K$6,1,MATCH('County Climates'!E1619,'CBECS_Table B5'!$C$1:$K$1,0))</f>
        <v>4981</v>
      </c>
    </row>
    <row r="1620" spans="1:6" x14ac:dyDescent="0.25">
      <c r="A1620" t="s">
        <v>1409</v>
      </c>
      <c r="B1620" t="s">
        <v>1410</v>
      </c>
      <c r="C1620" t="s">
        <v>1418</v>
      </c>
      <c r="D1620" t="s">
        <v>359</v>
      </c>
      <c r="E1620" t="str">
        <f>INDEX('State Codes'!$E$7:$E$70,MATCH(INDEX('State Codes'!$C$7:$C$70,MATCH('County Climates'!B1620,'State Codes'!$D$7:$D$70,0),1),'State Codes'!$C$7:$C$70,0),1)</f>
        <v>Mountain Division</v>
      </c>
      <c r="F1620">
        <f>INDEX('CBECS_Table B5'!$C$6:$K$6,1,MATCH('County Climates'!E1620,'CBECS_Table B5'!$C$1:$K$1,0))</f>
        <v>4981</v>
      </c>
    </row>
    <row r="1621" spans="1:6" x14ac:dyDescent="0.25">
      <c r="A1621" t="s">
        <v>1409</v>
      </c>
      <c r="B1621" t="s">
        <v>1410</v>
      </c>
      <c r="C1621" t="s">
        <v>1419</v>
      </c>
      <c r="D1621" t="s">
        <v>228</v>
      </c>
      <c r="E1621" t="str">
        <f>INDEX('State Codes'!$E$7:$E$70,MATCH(INDEX('State Codes'!$C$7:$C$70,MATCH('County Climates'!B1621,'State Codes'!$D$7:$D$70,0),1),'State Codes'!$C$7:$C$70,0),1)</f>
        <v>Mountain Division</v>
      </c>
      <c r="F1621">
        <f>INDEX('CBECS_Table B5'!$C$6:$K$6,1,MATCH('County Climates'!E1621,'CBECS_Table B5'!$C$1:$K$1,0))</f>
        <v>4981</v>
      </c>
    </row>
    <row r="1622" spans="1:6" x14ac:dyDescent="0.25">
      <c r="A1622" t="s">
        <v>1409</v>
      </c>
      <c r="B1622" t="s">
        <v>1410</v>
      </c>
      <c r="C1622" t="s">
        <v>1420</v>
      </c>
      <c r="D1622" t="s">
        <v>359</v>
      </c>
      <c r="E1622" t="str">
        <f>INDEX('State Codes'!$E$7:$E$70,MATCH(INDEX('State Codes'!$C$7:$C$70,MATCH('County Climates'!B1622,'State Codes'!$D$7:$D$70,0),1),'State Codes'!$C$7:$C$70,0),1)</f>
        <v>Mountain Division</v>
      </c>
      <c r="F1622">
        <f>INDEX('CBECS_Table B5'!$C$6:$K$6,1,MATCH('County Climates'!E1622,'CBECS_Table B5'!$C$1:$K$1,0))</f>
        <v>4981</v>
      </c>
    </row>
    <row r="1623" spans="1:6" x14ac:dyDescent="0.25">
      <c r="A1623" t="s">
        <v>1409</v>
      </c>
      <c r="B1623" t="s">
        <v>1410</v>
      </c>
      <c r="C1623" t="s">
        <v>1421</v>
      </c>
      <c r="D1623" t="s">
        <v>359</v>
      </c>
      <c r="E1623" t="str">
        <f>INDEX('State Codes'!$E$7:$E$70,MATCH(INDEX('State Codes'!$C$7:$C$70,MATCH('County Climates'!B1623,'State Codes'!$D$7:$D$70,0),1),'State Codes'!$C$7:$C$70,0),1)</f>
        <v>Mountain Division</v>
      </c>
      <c r="F1623">
        <f>INDEX('CBECS_Table B5'!$C$6:$K$6,1,MATCH('County Climates'!E1623,'CBECS_Table B5'!$C$1:$K$1,0))</f>
        <v>4981</v>
      </c>
    </row>
    <row r="1624" spans="1:6" x14ac:dyDescent="0.25">
      <c r="A1624" t="s">
        <v>1409</v>
      </c>
      <c r="B1624" t="s">
        <v>1410</v>
      </c>
      <c r="C1624" t="s">
        <v>1422</v>
      </c>
      <c r="D1624" t="s">
        <v>359</v>
      </c>
      <c r="E1624" t="str">
        <f>INDEX('State Codes'!$E$7:$E$70,MATCH(INDEX('State Codes'!$C$7:$C$70,MATCH('County Climates'!B1624,'State Codes'!$D$7:$D$70,0),1),'State Codes'!$C$7:$C$70,0),1)</f>
        <v>Mountain Division</v>
      </c>
      <c r="F1624">
        <f>INDEX('CBECS_Table B5'!$C$6:$K$6,1,MATCH('County Climates'!E1624,'CBECS_Table B5'!$C$1:$K$1,0))</f>
        <v>4981</v>
      </c>
    </row>
    <row r="1625" spans="1:6" x14ac:dyDescent="0.25">
      <c r="A1625" t="s">
        <v>1409</v>
      </c>
      <c r="B1625" t="s">
        <v>1410</v>
      </c>
      <c r="C1625" t="s">
        <v>1423</v>
      </c>
      <c r="D1625" t="s">
        <v>357</v>
      </c>
      <c r="E1625" t="str">
        <f>INDEX('State Codes'!$E$7:$E$70,MATCH(INDEX('State Codes'!$C$7:$C$70,MATCH('County Climates'!B1625,'State Codes'!$D$7:$D$70,0),1),'State Codes'!$C$7:$C$70,0),1)</f>
        <v>Mountain Division</v>
      </c>
      <c r="F1625">
        <f>INDEX('CBECS_Table B5'!$C$6:$K$6,1,MATCH('County Climates'!E1625,'CBECS_Table B5'!$C$1:$K$1,0))</f>
        <v>4981</v>
      </c>
    </row>
    <row r="1626" spans="1:6" x14ac:dyDescent="0.25">
      <c r="A1626" t="s">
        <v>1409</v>
      </c>
      <c r="B1626" t="s">
        <v>1410</v>
      </c>
      <c r="C1626" t="s">
        <v>407</v>
      </c>
      <c r="D1626" t="s">
        <v>359</v>
      </c>
      <c r="E1626" t="str">
        <f>INDEX('State Codes'!$E$7:$E$70,MATCH(INDEX('State Codes'!$C$7:$C$70,MATCH('County Climates'!B1626,'State Codes'!$D$7:$D$70,0),1),'State Codes'!$C$7:$C$70,0),1)</f>
        <v>Mountain Division</v>
      </c>
      <c r="F1626">
        <f>INDEX('CBECS_Table B5'!$C$6:$K$6,1,MATCH('County Climates'!E1626,'CBECS_Table B5'!$C$1:$K$1,0))</f>
        <v>4981</v>
      </c>
    </row>
    <row r="1627" spans="1:6" x14ac:dyDescent="0.25">
      <c r="A1627" t="s">
        <v>1424</v>
      </c>
      <c r="B1627" t="s">
        <v>1425</v>
      </c>
      <c r="C1627" t="s">
        <v>1425</v>
      </c>
      <c r="D1627" t="s">
        <v>247</v>
      </c>
      <c r="E1627" t="str">
        <f>INDEX('State Codes'!$E$7:$E$70,MATCH(INDEX('State Codes'!$C$7:$C$70,MATCH('County Climates'!B1627,'State Codes'!$D$7:$D$70,0),1),'State Codes'!$C$7:$C$70,0),1)</f>
        <v>West South Central Division</v>
      </c>
      <c r="F1627">
        <f>INDEX('CBECS_Table B5'!$C$6:$K$6,1,MATCH('County Climates'!E1627,'CBECS_Table B5'!$C$1:$K$1,0))</f>
        <v>11394</v>
      </c>
    </row>
    <row r="1628" spans="1:6" x14ac:dyDescent="0.25">
      <c r="A1628" t="s">
        <v>1424</v>
      </c>
      <c r="B1628" t="s">
        <v>1425</v>
      </c>
      <c r="C1628" t="s">
        <v>1426</v>
      </c>
      <c r="D1628" t="s">
        <v>247</v>
      </c>
      <c r="E1628" t="str">
        <f>INDEX('State Codes'!$E$7:$E$70,MATCH(INDEX('State Codes'!$C$7:$C$70,MATCH('County Climates'!B1628,'State Codes'!$D$7:$D$70,0),1),'State Codes'!$C$7:$C$70,0),1)</f>
        <v>West South Central Division</v>
      </c>
      <c r="F1628">
        <f>INDEX('CBECS_Table B5'!$C$6:$K$6,1,MATCH('County Climates'!E1628,'CBECS_Table B5'!$C$1:$K$1,0))</f>
        <v>11394</v>
      </c>
    </row>
    <row r="1629" spans="1:6" x14ac:dyDescent="0.25">
      <c r="A1629" t="s">
        <v>1424</v>
      </c>
      <c r="B1629" t="s">
        <v>1425</v>
      </c>
      <c r="C1629" t="s">
        <v>1427</v>
      </c>
      <c r="D1629" t="s">
        <v>247</v>
      </c>
      <c r="E1629" t="str">
        <f>INDEX('State Codes'!$E$7:$E$70,MATCH(INDEX('State Codes'!$C$7:$C$70,MATCH('County Climates'!B1629,'State Codes'!$D$7:$D$70,0),1),'State Codes'!$C$7:$C$70,0),1)</f>
        <v>West South Central Division</v>
      </c>
      <c r="F1629">
        <f>INDEX('CBECS_Table B5'!$C$6:$K$6,1,MATCH('County Climates'!E1629,'CBECS_Table B5'!$C$1:$K$1,0))</f>
        <v>11394</v>
      </c>
    </row>
    <row r="1630" spans="1:6" x14ac:dyDescent="0.25">
      <c r="A1630" t="s">
        <v>1424</v>
      </c>
      <c r="B1630" t="s">
        <v>1425</v>
      </c>
      <c r="C1630" t="s">
        <v>575</v>
      </c>
      <c r="D1630" t="s">
        <v>247</v>
      </c>
      <c r="E1630" t="str">
        <f>INDEX('State Codes'!$E$7:$E$70,MATCH(INDEX('State Codes'!$C$7:$C$70,MATCH('County Climates'!B1630,'State Codes'!$D$7:$D$70,0),1),'State Codes'!$C$7:$C$70,0),1)</f>
        <v>West South Central Division</v>
      </c>
      <c r="F1630">
        <f>INDEX('CBECS_Table B5'!$C$6:$K$6,1,MATCH('County Climates'!E1630,'CBECS_Table B5'!$C$1:$K$1,0))</f>
        <v>11394</v>
      </c>
    </row>
    <row r="1631" spans="1:6" x14ac:dyDescent="0.25">
      <c r="A1631" t="s">
        <v>1424</v>
      </c>
      <c r="B1631" t="s">
        <v>1425</v>
      </c>
      <c r="C1631" t="s">
        <v>577</v>
      </c>
      <c r="D1631" t="s">
        <v>247</v>
      </c>
      <c r="E1631" t="str">
        <f>INDEX('State Codes'!$E$7:$E$70,MATCH(INDEX('State Codes'!$C$7:$C$70,MATCH('County Climates'!B1631,'State Codes'!$D$7:$D$70,0),1),'State Codes'!$C$7:$C$70,0),1)</f>
        <v>West South Central Division</v>
      </c>
      <c r="F1631">
        <f>INDEX('CBECS_Table B5'!$C$6:$K$6,1,MATCH('County Climates'!E1631,'CBECS_Table B5'!$C$1:$K$1,0))</f>
        <v>11394</v>
      </c>
    </row>
    <row r="1632" spans="1:6" x14ac:dyDescent="0.25">
      <c r="A1632" t="s">
        <v>1424</v>
      </c>
      <c r="B1632" t="s">
        <v>1425</v>
      </c>
      <c r="C1632" t="s">
        <v>1428</v>
      </c>
      <c r="D1632" t="s">
        <v>247</v>
      </c>
      <c r="E1632" t="str">
        <f>INDEX('State Codes'!$E$7:$E$70,MATCH(INDEX('State Codes'!$C$7:$C$70,MATCH('County Climates'!B1632,'State Codes'!$D$7:$D$70,0),1),'State Codes'!$C$7:$C$70,0),1)</f>
        <v>West South Central Division</v>
      </c>
      <c r="F1632">
        <f>INDEX('CBECS_Table B5'!$C$6:$K$6,1,MATCH('County Climates'!E1632,'CBECS_Table B5'!$C$1:$K$1,0))</f>
        <v>11394</v>
      </c>
    </row>
    <row r="1633" spans="1:6" x14ac:dyDescent="0.25">
      <c r="A1633" t="s">
        <v>1424</v>
      </c>
      <c r="B1633" t="s">
        <v>1425</v>
      </c>
      <c r="C1633" t="s">
        <v>251</v>
      </c>
      <c r="D1633" t="s">
        <v>247</v>
      </c>
      <c r="E1633" t="str">
        <f>INDEX('State Codes'!$E$7:$E$70,MATCH(INDEX('State Codes'!$C$7:$C$70,MATCH('County Climates'!B1633,'State Codes'!$D$7:$D$70,0),1),'State Codes'!$C$7:$C$70,0),1)</f>
        <v>West South Central Division</v>
      </c>
      <c r="F1633">
        <f>INDEX('CBECS_Table B5'!$C$6:$K$6,1,MATCH('County Climates'!E1633,'CBECS_Table B5'!$C$1:$K$1,0))</f>
        <v>11394</v>
      </c>
    </row>
    <row r="1634" spans="1:6" x14ac:dyDescent="0.25">
      <c r="A1634" t="s">
        <v>1424</v>
      </c>
      <c r="B1634" t="s">
        <v>1425</v>
      </c>
      <c r="C1634" t="s">
        <v>447</v>
      </c>
      <c r="D1634" t="s">
        <v>247</v>
      </c>
      <c r="E1634" t="str">
        <f>INDEX('State Codes'!$E$7:$E$70,MATCH(INDEX('State Codes'!$C$7:$C$70,MATCH('County Climates'!B1634,'State Codes'!$D$7:$D$70,0),1),'State Codes'!$C$7:$C$70,0),1)</f>
        <v>West South Central Division</v>
      </c>
      <c r="F1634">
        <f>INDEX('CBECS_Table B5'!$C$6:$K$6,1,MATCH('County Climates'!E1634,'CBECS_Table B5'!$C$1:$K$1,0))</f>
        <v>11394</v>
      </c>
    </row>
    <row r="1635" spans="1:6" x14ac:dyDescent="0.25">
      <c r="A1635" t="s">
        <v>1424</v>
      </c>
      <c r="B1635" t="s">
        <v>1425</v>
      </c>
      <c r="C1635" t="s">
        <v>1429</v>
      </c>
      <c r="D1635" t="s">
        <v>247</v>
      </c>
      <c r="E1635" t="str">
        <f>INDEX('State Codes'!$E$7:$E$70,MATCH(INDEX('State Codes'!$C$7:$C$70,MATCH('County Climates'!B1635,'State Codes'!$D$7:$D$70,0),1),'State Codes'!$C$7:$C$70,0),1)</f>
        <v>West South Central Division</v>
      </c>
      <c r="F1635">
        <f>INDEX('CBECS_Table B5'!$C$6:$K$6,1,MATCH('County Climates'!E1635,'CBECS_Table B5'!$C$1:$K$1,0))</f>
        <v>11394</v>
      </c>
    </row>
    <row r="1636" spans="1:6" x14ac:dyDescent="0.25">
      <c r="A1636" t="s">
        <v>1424</v>
      </c>
      <c r="B1636" t="s">
        <v>1425</v>
      </c>
      <c r="C1636" t="s">
        <v>530</v>
      </c>
      <c r="D1636" t="s">
        <v>247</v>
      </c>
      <c r="E1636" t="str">
        <f>INDEX('State Codes'!$E$7:$E$70,MATCH(INDEX('State Codes'!$C$7:$C$70,MATCH('County Climates'!B1636,'State Codes'!$D$7:$D$70,0),1),'State Codes'!$C$7:$C$70,0),1)</f>
        <v>West South Central Division</v>
      </c>
      <c r="F1636">
        <f>INDEX('CBECS_Table B5'!$C$6:$K$6,1,MATCH('County Climates'!E1636,'CBECS_Table B5'!$C$1:$K$1,0))</f>
        <v>11394</v>
      </c>
    </row>
    <row r="1637" spans="1:6" x14ac:dyDescent="0.25">
      <c r="A1637" t="s">
        <v>1424</v>
      </c>
      <c r="B1637" t="s">
        <v>1425</v>
      </c>
      <c r="C1637" t="s">
        <v>257</v>
      </c>
      <c r="D1637" t="s">
        <v>247</v>
      </c>
      <c r="E1637" t="str">
        <f>INDEX('State Codes'!$E$7:$E$70,MATCH(INDEX('State Codes'!$C$7:$C$70,MATCH('County Climates'!B1637,'State Codes'!$D$7:$D$70,0),1),'State Codes'!$C$7:$C$70,0),1)</f>
        <v>West South Central Division</v>
      </c>
      <c r="F1637">
        <f>INDEX('CBECS_Table B5'!$C$6:$K$6,1,MATCH('County Climates'!E1637,'CBECS_Table B5'!$C$1:$K$1,0))</f>
        <v>11394</v>
      </c>
    </row>
    <row r="1638" spans="1:6" x14ac:dyDescent="0.25">
      <c r="A1638" t="s">
        <v>1424</v>
      </c>
      <c r="B1638" t="s">
        <v>1425</v>
      </c>
      <c r="C1638" t="s">
        <v>258</v>
      </c>
      <c r="D1638" t="s">
        <v>247</v>
      </c>
      <c r="E1638" t="str">
        <f>INDEX('State Codes'!$E$7:$E$70,MATCH(INDEX('State Codes'!$C$7:$C$70,MATCH('County Climates'!B1638,'State Codes'!$D$7:$D$70,0),1),'State Codes'!$C$7:$C$70,0),1)</f>
        <v>West South Central Division</v>
      </c>
      <c r="F1638">
        <f>INDEX('CBECS_Table B5'!$C$6:$K$6,1,MATCH('County Climates'!E1638,'CBECS_Table B5'!$C$1:$K$1,0))</f>
        <v>11394</v>
      </c>
    </row>
    <row r="1639" spans="1:6" x14ac:dyDescent="0.25">
      <c r="A1639" t="s">
        <v>1424</v>
      </c>
      <c r="B1639" t="s">
        <v>1425</v>
      </c>
      <c r="C1639" t="s">
        <v>1068</v>
      </c>
      <c r="D1639" t="s">
        <v>247</v>
      </c>
      <c r="E1639" t="str">
        <f>INDEX('State Codes'!$E$7:$E$70,MATCH(INDEX('State Codes'!$C$7:$C$70,MATCH('County Climates'!B1639,'State Codes'!$D$7:$D$70,0),1),'State Codes'!$C$7:$C$70,0),1)</f>
        <v>West South Central Division</v>
      </c>
      <c r="F1639">
        <f>INDEX('CBECS_Table B5'!$C$6:$K$6,1,MATCH('County Climates'!E1639,'CBECS_Table B5'!$C$1:$K$1,0))</f>
        <v>11394</v>
      </c>
    </row>
    <row r="1640" spans="1:6" x14ac:dyDescent="0.25">
      <c r="A1640" t="s">
        <v>1424</v>
      </c>
      <c r="B1640" t="s">
        <v>1425</v>
      </c>
      <c r="C1640" t="s">
        <v>457</v>
      </c>
      <c r="D1640" t="s">
        <v>243</v>
      </c>
      <c r="E1640" t="str">
        <f>INDEX('State Codes'!$E$7:$E$70,MATCH(INDEX('State Codes'!$C$7:$C$70,MATCH('County Climates'!B1640,'State Codes'!$D$7:$D$70,0),1),'State Codes'!$C$7:$C$70,0),1)</f>
        <v>West South Central Division</v>
      </c>
      <c r="F1640">
        <f>INDEX('CBECS_Table B5'!$C$6:$K$6,1,MATCH('County Climates'!E1640,'CBECS_Table B5'!$C$1:$K$1,0))</f>
        <v>11394</v>
      </c>
    </row>
    <row r="1641" spans="1:6" x14ac:dyDescent="0.25">
      <c r="A1641" t="s">
        <v>1424</v>
      </c>
      <c r="B1641" t="s">
        <v>1425</v>
      </c>
      <c r="C1641" t="s">
        <v>1430</v>
      </c>
      <c r="D1641" t="s">
        <v>247</v>
      </c>
      <c r="E1641" t="str">
        <f>INDEX('State Codes'!$E$7:$E$70,MATCH(INDEX('State Codes'!$C$7:$C$70,MATCH('County Climates'!B1641,'State Codes'!$D$7:$D$70,0),1),'State Codes'!$C$7:$C$70,0),1)</f>
        <v>West South Central Division</v>
      </c>
      <c r="F1641">
        <f>INDEX('CBECS_Table B5'!$C$6:$K$6,1,MATCH('County Climates'!E1641,'CBECS_Table B5'!$C$1:$K$1,0))</f>
        <v>11394</v>
      </c>
    </row>
    <row r="1642" spans="1:6" x14ac:dyDescent="0.25">
      <c r="A1642" t="s">
        <v>1424</v>
      </c>
      <c r="B1642" t="s">
        <v>1425</v>
      </c>
      <c r="C1642" t="s">
        <v>1431</v>
      </c>
      <c r="D1642" t="s">
        <v>247</v>
      </c>
      <c r="E1642" t="str">
        <f>INDEX('State Codes'!$E$7:$E$70,MATCH(INDEX('State Codes'!$C$7:$C$70,MATCH('County Climates'!B1642,'State Codes'!$D$7:$D$70,0),1),'State Codes'!$C$7:$C$70,0),1)</f>
        <v>West South Central Division</v>
      </c>
      <c r="F1642">
        <f>INDEX('CBECS_Table B5'!$C$6:$K$6,1,MATCH('County Climates'!E1642,'CBECS_Table B5'!$C$1:$K$1,0))</f>
        <v>11394</v>
      </c>
    </row>
    <row r="1643" spans="1:6" x14ac:dyDescent="0.25">
      <c r="A1643" t="s">
        <v>1424</v>
      </c>
      <c r="B1643" t="s">
        <v>1425</v>
      </c>
      <c r="C1643" t="s">
        <v>460</v>
      </c>
      <c r="D1643" t="s">
        <v>247</v>
      </c>
      <c r="E1643" t="str">
        <f>INDEX('State Codes'!$E$7:$E$70,MATCH(INDEX('State Codes'!$C$7:$C$70,MATCH('County Climates'!B1643,'State Codes'!$D$7:$D$70,0),1),'State Codes'!$C$7:$C$70,0),1)</f>
        <v>West South Central Division</v>
      </c>
      <c r="F1643">
        <f>INDEX('CBECS_Table B5'!$C$6:$K$6,1,MATCH('County Climates'!E1643,'CBECS_Table B5'!$C$1:$K$1,0))</f>
        <v>11394</v>
      </c>
    </row>
    <row r="1644" spans="1:6" x14ac:dyDescent="0.25">
      <c r="A1644" t="s">
        <v>1424</v>
      </c>
      <c r="B1644" t="s">
        <v>1425</v>
      </c>
      <c r="C1644" t="s">
        <v>1432</v>
      </c>
      <c r="D1644" t="s">
        <v>247</v>
      </c>
      <c r="E1644" t="str">
        <f>INDEX('State Codes'!$E$7:$E$70,MATCH(INDEX('State Codes'!$C$7:$C$70,MATCH('County Climates'!B1644,'State Codes'!$D$7:$D$70,0),1),'State Codes'!$C$7:$C$70,0),1)</f>
        <v>West South Central Division</v>
      </c>
      <c r="F1644">
        <f>INDEX('CBECS_Table B5'!$C$6:$K$6,1,MATCH('County Climates'!E1644,'CBECS_Table B5'!$C$1:$K$1,0))</f>
        <v>11394</v>
      </c>
    </row>
    <row r="1645" spans="1:6" x14ac:dyDescent="0.25">
      <c r="A1645" t="s">
        <v>1424</v>
      </c>
      <c r="B1645" t="s">
        <v>1425</v>
      </c>
      <c r="C1645" t="s">
        <v>1433</v>
      </c>
      <c r="D1645" t="s">
        <v>247</v>
      </c>
      <c r="E1645" t="str">
        <f>INDEX('State Codes'!$E$7:$E$70,MATCH(INDEX('State Codes'!$C$7:$C$70,MATCH('County Climates'!B1645,'State Codes'!$D$7:$D$70,0),1),'State Codes'!$C$7:$C$70,0),1)</f>
        <v>West South Central Division</v>
      </c>
      <c r="F1645">
        <f>INDEX('CBECS_Table B5'!$C$6:$K$6,1,MATCH('County Climates'!E1645,'CBECS_Table B5'!$C$1:$K$1,0))</f>
        <v>11394</v>
      </c>
    </row>
    <row r="1646" spans="1:6" x14ac:dyDescent="0.25">
      <c r="A1646" t="s">
        <v>1424</v>
      </c>
      <c r="B1646" t="s">
        <v>1425</v>
      </c>
      <c r="C1646" t="s">
        <v>267</v>
      </c>
      <c r="D1646" t="s">
        <v>247</v>
      </c>
      <c r="E1646" t="str">
        <f>INDEX('State Codes'!$E$7:$E$70,MATCH(INDEX('State Codes'!$C$7:$C$70,MATCH('County Climates'!B1646,'State Codes'!$D$7:$D$70,0),1),'State Codes'!$C$7:$C$70,0),1)</f>
        <v>West South Central Division</v>
      </c>
      <c r="F1646">
        <f>INDEX('CBECS_Table B5'!$C$6:$K$6,1,MATCH('County Climates'!E1646,'CBECS_Table B5'!$C$1:$K$1,0))</f>
        <v>11394</v>
      </c>
    </row>
    <row r="1647" spans="1:6" x14ac:dyDescent="0.25">
      <c r="A1647" t="s">
        <v>1434</v>
      </c>
      <c r="B1647" t="s">
        <v>1435</v>
      </c>
      <c r="C1647" t="s">
        <v>1436</v>
      </c>
      <c r="D1647" t="s">
        <v>359</v>
      </c>
      <c r="E1647" t="str">
        <f>INDEX('State Codes'!$E$7:$E$70,MATCH(INDEX('State Codes'!$C$7:$C$70,MATCH('County Climates'!B1647,'State Codes'!$D$7:$D$70,0),1),'State Codes'!$C$7:$C$70,0),1)</f>
        <v>Pacific Division</v>
      </c>
      <c r="F1647">
        <f>INDEX('CBECS_Table B5'!$C$6:$K$6,1,MATCH('County Climates'!E1647,'CBECS_Table B5'!$C$1:$K$1,0))</f>
        <v>13379</v>
      </c>
    </row>
    <row r="1648" spans="1:6" x14ac:dyDescent="0.25">
      <c r="A1648" t="s">
        <v>1434</v>
      </c>
      <c r="B1648" t="s">
        <v>1435</v>
      </c>
      <c r="C1648" t="s">
        <v>613</v>
      </c>
      <c r="D1648" t="s">
        <v>227</v>
      </c>
      <c r="E1648" t="str">
        <f>INDEX('State Codes'!$E$7:$E$70,MATCH(INDEX('State Codes'!$C$7:$C$70,MATCH('County Climates'!B1648,'State Codes'!$D$7:$D$70,0),1),'State Codes'!$C$7:$C$70,0),1)</f>
        <v>Pacific Division</v>
      </c>
      <c r="F1648">
        <f>INDEX('CBECS_Table B5'!$C$6:$K$6,1,MATCH('County Climates'!E1648,'CBECS_Table B5'!$C$1:$K$1,0))</f>
        <v>13379</v>
      </c>
    </row>
    <row r="1649" spans="1:6" x14ac:dyDescent="0.25">
      <c r="A1649" t="s">
        <v>1434</v>
      </c>
      <c r="B1649" t="s">
        <v>1435</v>
      </c>
      <c r="C1649" t="s">
        <v>1437</v>
      </c>
      <c r="D1649" t="s">
        <v>359</v>
      </c>
      <c r="E1649" t="str">
        <f>INDEX('State Codes'!$E$7:$E$70,MATCH(INDEX('State Codes'!$C$7:$C$70,MATCH('County Climates'!B1649,'State Codes'!$D$7:$D$70,0),1),'State Codes'!$C$7:$C$70,0),1)</f>
        <v>Pacific Division</v>
      </c>
      <c r="F1649">
        <f>INDEX('CBECS_Table B5'!$C$6:$K$6,1,MATCH('County Climates'!E1649,'CBECS_Table B5'!$C$1:$K$1,0))</f>
        <v>13379</v>
      </c>
    </row>
    <row r="1650" spans="1:6" x14ac:dyDescent="0.25">
      <c r="A1650" t="s">
        <v>1434</v>
      </c>
      <c r="B1650" t="s">
        <v>1435</v>
      </c>
      <c r="C1650" t="s">
        <v>1438</v>
      </c>
      <c r="D1650" t="s">
        <v>357</v>
      </c>
      <c r="E1650" t="str">
        <f>INDEX('State Codes'!$E$7:$E$70,MATCH(INDEX('State Codes'!$C$7:$C$70,MATCH('County Climates'!B1650,'State Codes'!$D$7:$D$70,0),1),'State Codes'!$C$7:$C$70,0),1)</f>
        <v>Pacific Division</v>
      </c>
      <c r="F1650">
        <f>INDEX('CBECS_Table B5'!$C$6:$K$6,1,MATCH('County Climates'!E1650,'CBECS_Table B5'!$C$1:$K$1,0))</f>
        <v>13379</v>
      </c>
    </row>
    <row r="1651" spans="1:6" x14ac:dyDescent="0.25">
      <c r="A1651" t="s">
        <v>1434</v>
      </c>
      <c r="B1651" t="s">
        <v>1435</v>
      </c>
      <c r="C1651" t="s">
        <v>1439</v>
      </c>
      <c r="D1651" t="s">
        <v>359</v>
      </c>
      <c r="E1651" t="str">
        <f>INDEX('State Codes'!$E$7:$E$70,MATCH(INDEX('State Codes'!$C$7:$C$70,MATCH('County Climates'!B1651,'State Codes'!$D$7:$D$70,0),1),'State Codes'!$C$7:$C$70,0),1)</f>
        <v>Pacific Division</v>
      </c>
      <c r="F1651">
        <f>INDEX('CBECS_Table B5'!$C$6:$K$6,1,MATCH('County Climates'!E1651,'CBECS_Table B5'!$C$1:$K$1,0))</f>
        <v>13379</v>
      </c>
    </row>
    <row r="1652" spans="1:6" x14ac:dyDescent="0.25">
      <c r="A1652" t="s">
        <v>1434</v>
      </c>
      <c r="B1652" t="s">
        <v>1435</v>
      </c>
      <c r="C1652" t="s">
        <v>959</v>
      </c>
      <c r="D1652" t="s">
        <v>359</v>
      </c>
      <c r="E1652" t="str">
        <f>INDEX('State Codes'!$E$7:$E$70,MATCH(INDEX('State Codes'!$C$7:$C$70,MATCH('County Climates'!B1652,'State Codes'!$D$7:$D$70,0),1),'State Codes'!$C$7:$C$70,0),1)</f>
        <v>Pacific Division</v>
      </c>
      <c r="F1652">
        <f>INDEX('CBECS_Table B5'!$C$6:$K$6,1,MATCH('County Climates'!E1652,'CBECS_Table B5'!$C$1:$K$1,0))</f>
        <v>13379</v>
      </c>
    </row>
    <row r="1653" spans="1:6" x14ac:dyDescent="0.25">
      <c r="A1653" t="s">
        <v>1434</v>
      </c>
      <c r="B1653" t="s">
        <v>1435</v>
      </c>
      <c r="C1653" t="s">
        <v>383</v>
      </c>
      <c r="D1653" t="s">
        <v>357</v>
      </c>
      <c r="E1653" t="str">
        <f>INDEX('State Codes'!$E$7:$E$70,MATCH(INDEX('State Codes'!$C$7:$C$70,MATCH('County Climates'!B1653,'State Codes'!$D$7:$D$70,0),1),'State Codes'!$C$7:$C$70,0),1)</f>
        <v>Pacific Division</v>
      </c>
      <c r="F1653">
        <f>INDEX('CBECS_Table B5'!$C$6:$K$6,1,MATCH('County Climates'!E1653,'CBECS_Table B5'!$C$1:$K$1,0))</f>
        <v>13379</v>
      </c>
    </row>
    <row r="1654" spans="1:6" x14ac:dyDescent="0.25">
      <c r="A1654" t="s">
        <v>1434</v>
      </c>
      <c r="B1654" t="s">
        <v>1435</v>
      </c>
      <c r="C1654" t="s">
        <v>1440</v>
      </c>
      <c r="D1654" t="s">
        <v>228</v>
      </c>
      <c r="E1654" t="str">
        <f>INDEX('State Codes'!$E$7:$E$70,MATCH(INDEX('State Codes'!$C$7:$C$70,MATCH('County Climates'!B1654,'State Codes'!$D$7:$D$70,0),1),'State Codes'!$C$7:$C$70,0),1)</f>
        <v>Pacific Division</v>
      </c>
      <c r="F1654">
        <f>INDEX('CBECS_Table B5'!$C$6:$K$6,1,MATCH('County Climates'!E1654,'CBECS_Table B5'!$C$1:$K$1,0))</f>
        <v>13379</v>
      </c>
    </row>
    <row r="1655" spans="1:6" x14ac:dyDescent="0.25">
      <c r="A1655" t="s">
        <v>1434</v>
      </c>
      <c r="B1655" t="s">
        <v>1435</v>
      </c>
      <c r="C1655" t="s">
        <v>1441</v>
      </c>
      <c r="D1655" t="s">
        <v>359</v>
      </c>
      <c r="E1655" t="str">
        <f>INDEX('State Codes'!$E$7:$E$70,MATCH(INDEX('State Codes'!$C$7:$C$70,MATCH('County Climates'!B1655,'State Codes'!$D$7:$D$70,0),1),'State Codes'!$C$7:$C$70,0),1)</f>
        <v>Pacific Division</v>
      </c>
      <c r="F1655">
        <f>INDEX('CBECS_Table B5'!$C$6:$K$6,1,MATCH('County Climates'!E1655,'CBECS_Table B5'!$C$1:$K$1,0))</f>
        <v>13379</v>
      </c>
    </row>
    <row r="1656" spans="1:6" x14ac:dyDescent="0.25">
      <c r="A1656" t="s">
        <v>1434</v>
      </c>
      <c r="B1656" t="s">
        <v>1435</v>
      </c>
      <c r="C1656" t="s">
        <v>1442</v>
      </c>
      <c r="D1656" t="s">
        <v>359</v>
      </c>
      <c r="E1656" t="str">
        <f>INDEX('State Codes'!$E$7:$E$70,MATCH(INDEX('State Codes'!$C$7:$C$70,MATCH('County Climates'!B1656,'State Codes'!$D$7:$D$70,0),1),'State Codes'!$C$7:$C$70,0),1)</f>
        <v>Pacific Division</v>
      </c>
      <c r="F1656">
        <f>INDEX('CBECS_Table B5'!$C$6:$K$6,1,MATCH('County Climates'!E1656,'CBECS_Table B5'!$C$1:$K$1,0))</f>
        <v>13379</v>
      </c>
    </row>
    <row r="1657" spans="1:6" x14ac:dyDescent="0.25">
      <c r="A1657" t="s">
        <v>1434</v>
      </c>
      <c r="B1657" t="s">
        <v>1435</v>
      </c>
      <c r="C1657" t="s">
        <v>1443</v>
      </c>
      <c r="D1657" t="s">
        <v>227</v>
      </c>
      <c r="E1657" t="str">
        <f>INDEX('State Codes'!$E$7:$E$70,MATCH(INDEX('State Codes'!$C$7:$C$70,MATCH('County Climates'!B1657,'State Codes'!$D$7:$D$70,0),1),'State Codes'!$C$7:$C$70,0),1)</f>
        <v>Pacific Division</v>
      </c>
      <c r="F1657">
        <f>INDEX('CBECS_Table B5'!$C$6:$K$6,1,MATCH('County Climates'!E1657,'CBECS_Table B5'!$C$1:$K$1,0))</f>
        <v>13379</v>
      </c>
    </row>
    <row r="1658" spans="1:6" x14ac:dyDescent="0.25">
      <c r="A1658" t="s">
        <v>1434</v>
      </c>
      <c r="B1658" t="s">
        <v>1435</v>
      </c>
      <c r="C1658" t="s">
        <v>1444</v>
      </c>
      <c r="D1658" t="s">
        <v>357</v>
      </c>
      <c r="E1658" t="str">
        <f>INDEX('State Codes'!$E$7:$E$70,MATCH(INDEX('State Codes'!$C$7:$C$70,MATCH('County Climates'!B1658,'State Codes'!$D$7:$D$70,0),1),'State Codes'!$C$7:$C$70,0),1)</f>
        <v>Pacific Division</v>
      </c>
      <c r="F1658">
        <f>INDEX('CBECS_Table B5'!$C$6:$K$6,1,MATCH('County Climates'!E1658,'CBECS_Table B5'!$C$1:$K$1,0))</f>
        <v>13379</v>
      </c>
    </row>
    <row r="1659" spans="1:6" x14ac:dyDescent="0.25">
      <c r="A1659" t="s">
        <v>1434</v>
      </c>
      <c r="B1659" t="s">
        <v>1435</v>
      </c>
      <c r="C1659" t="s">
        <v>1445</v>
      </c>
      <c r="D1659" t="s">
        <v>227</v>
      </c>
      <c r="E1659" t="str">
        <f>INDEX('State Codes'!$E$7:$E$70,MATCH(INDEX('State Codes'!$C$7:$C$70,MATCH('County Climates'!B1659,'State Codes'!$D$7:$D$70,0),1),'State Codes'!$C$7:$C$70,0),1)</f>
        <v>Pacific Division</v>
      </c>
      <c r="F1659">
        <f>INDEX('CBECS_Table B5'!$C$6:$K$6,1,MATCH('County Climates'!E1659,'CBECS_Table B5'!$C$1:$K$1,0))</f>
        <v>13379</v>
      </c>
    </row>
    <row r="1660" spans="1:6" x14ac:dyDescent="0.25">
      <c r="A1660" t="s">
        <v>1434</v>
      </c>
      <c r="B1660" t="s">
        <v>1435</v>
      </c>
      <c r="C1660" t="s">
        <v>1446</v>
      </c>
      <c r="D1660" t="s">
        <v>359</v>
      </c>
      <c r="E1660" t="str">
        <f>INDEX('State Codes'!$E$7:$E$70,MATCH(INDEX('State Codes'!$C$7:$C$70,MATCH('County Climates'!B1660,'State Codes'!$D$7:$D$70,0),1),'State Codes'!$C$7:$C$70,0),1)</f>
        <v>Pacific Division</v>
      </c>
      <c r="F1660">
        <f>INDEX('CBECS_Table B5'!$C$6:$K$6,1,MATCH('County Climates'!E1660,'CBECS_Table B5'!$C$1:$K$1,0))</f>
        <v>13379</v>
      </c>
    </row>
    <row r="1661" spans="1:6" x14ac:dyDescent="0.25">
      <c r="A1661" t="s">
        <v>1434</v>
      </c>
      <c r="B1661" t="s">
        <v>1435</v>
      </c>
      <c r="C1661" t="s">
        <v>1447</v>
      </c>
      <c r="D1661" t="s">
        <v>228</v>
      </c>
      <c r="E1661" t="str">
        <f>INDEX('State Codes'!$E$7:$E$70,MATCH(INDEX('State Codes'!$C$7:$C$70,MATCH('County Climates'!B1661,'State Codes'!$D$7:$D$70,0),1),'State Codes'!$C$7:$C$70,0),1)</f>
        <v>Pacific Division</v>
      </c>
      <c r="F1661">
        <f>INDEX('CBECS_Table B5'!$C$6:$K$6,1,MATCH('County Climates'!E1661,'CBECS_Table B5'!$C$1:$K$1,0))</f>
        <v>13379</v>
      </c>
    </row>
    <row r="1662" spans="1:6" x14ac:dyDescent="0.25">
      <c r="A1662" t="s">
        <v>1434</v>
      </c>
      <c r="B1662" t="s">
        <v>1435</v>
      </c>
      <c r="C1662" t="s">
        <v>1448</v>
      </c>
      <c r="D1662" t="s">
        <v>228</v>
      </c>
      <c r="E1662" t="str">
        <f>INDEX('State Codes'!$E$7:$E$70,MATCH(INDEX('State Codes'!$C$7:$C$70,MATCH('County Climates'!B1662,'State Codes'!$D$7:$D$70,0),1),'State Codes'!$C$7:$C$70,0),1)</f>
        <v>Pacific Division</v>
      </c>
      <c r="F1662">
        <f>INDEX('CBECS_Table B5'!$C$6:$K$6,1,MATCH('County Climates'!E1662,'CBECS_Table B5'!$C$1:$K$1,0))</f>
        <v>13379</v>
      </c>
    </row>
    <row r="1663" spans="1:6" x14ac:dyDescent="0.25">
      <c r="A1663" t="s">
        <v>1434</v>
      </c>
      <c r="B1663" t="s">
        <v>1435</v>
      </c>
      <c r="C1663" t="s">
        <v>1449</v>
      </c>
      <c r="D1663" t="s">
        <v>227</v>
      </c>
      <c r="E1663" t="str">
        <f>INDEX('State Codes'!$E$7:$E$70,MATCH(INDEX('State Codes'!$C$7:$C$70,MATCH('County Climates'!B1663,'State Codes'!$D$7:$D$70,0),1),'State Codes'!$C$7:$C$70,0),1)</f>
        <v>Pacific Division</v>
      </c>
      <c r="F1663">
        <f>INDEX('CBECS_Table B5'!$C$6:$K$6,1,MATCH('County Climates'!E1663,'CBECS_Table B5'!$C$1:$K$1,0))</f>
        <v>13379</v>
      </c>
    </row>
    <row r="1664" spans="1:6" x14ac:dyDescent="0.25">
      <c r="A1664" t="s">
        <v>1434</v>
      </c>
      <c r="B1664" t="s">
        <v>1435</v>
      </c>
      <c r="C1664" t="s">
        <v>1450</v>
      </c>
      <c r="D1664" t="s">
        <v>227</v>
      </c>
      <c r="E1664" t="str">
        <f>INDEX('State Codes'!$E$7:$E$70,MATCH(INDEX('State Codes'!$C$7:$C$70,MATCH('County Climates'!B1664,'State Codes'!$D$7:$D$70,0),1),'State Codes'!$C$7:$C$70,0),1)</f>
        <v>Pacific Division</v>
      </c>
      <c r="F1664">
        <f>INDEX('CBECS_Table B5'!$C$6:$K$6,1,MATCH('County Climates'!E1664,'CBECS_Table B5'!$C$1:$K$1,0))</f>
        <v>13379</v>
      </c>
    </row>
    <row r="1665" spans="1:6" x14ac:dyDescent="0.25">
      <c r="A1665" t="s">
        <v>1434</v>
      </c>
      <c r="B1665" t="s">
        <v>1435</v>
      </c>
      <c r="C1665" t="s">
        <v>330</v>
      </c>
      <c r="D1665" t="s">
        <v>228</v>
      </c>
      <c r="E1665" t="str">
        <f>INDEX('State Codes'!$E$7:$E$70,MATCH(INDEX('State Codes'!$C$7:$C$70,MATCH('County Climates'!B1665,'State Codes'!$D$7:$D$70,0),1),'State Codes'!$C$7:$C$70,0),1)</f>
        <v>Pacific Division</v>
      </c>
      <c r="F1665">
        <f>INDEX('CBECS_Table B5'!$C$6:$K$6,1,MATCH('County Climates'!E1665,'CBECS_Table B5'!$C$1:$K$1,0))</f>
        <v>13379</v>
      </c>
    </row>
    <row r="1666" spans="1:6" x14ac:dyDescent="0.25">
      <c r="A1666" t="s">
        <v>1434</v>
      </c>
      <c r="B1666" t="s">
        <v>1435</v>
      </c>
      <c r="C1666" t="s">
        <v>966</v>
      </c>
      <c r="D1666" t="s">
        <v>359</v>
      </c>
      <c r="E1666" t="str">
        <f>INDEX('State Codes'!$E$7:$E$70,MATCH(INDEX('State Codes'!$C$7:$C$70,MATCH('County Climates'!B1666,'State Codes'!$D$7:$D$70,0),1),'State Codes'!$C$7:$C$70,0),1)</f>
        <v>Pacific Division</v>
      </c>
      <c r="F1666">
        <f>INDEX('CBECS_Table B5'!$C$6:$K$6,1,MATCH('County Climates'!E1666,'CBECS_Table B5'!$C$1:$K$1,0))</f>
        <v>13379</v>
      </c>
    </row>
    <row r="1667" spans="1:6" x14ac:dyDescent="0.25">
      <c r="A1667" t="s">
        <v>1434</v>
      </c>
      <c r="B1667" t="s">
        <v>1435</v>
      </c>
      <c r="C1667" t="s">
        <v>1451</v>
      </c>
      <c r="D1667" t="s">
        <v>359</v>
      </c>
      <c r="E1667" t="str">
        <f>INDEX('State Codes'!$E$7:$E$70,MATCH(INDEX('State Codes'!$C$7:$C$70,MATCH('County Climates'!B1667,'State Codes'!$D$7:$D$70,0),1),'State Codes'!$C$7:$C$70,0),1)</f>
        <v>Pacific Division</v>
      </c>
      <c r="F1667">
        <f>INDEX('CBECS_Table B5'!$C$6:$K$6,1,MATCH('County Climates'!E1667,'CBECS_Table B5'!$C$1:$K$1,0))</f>
        <v>13379</v>
      </c>
    </row>
    <row r="1668" spans="1:6" x14ac:dyDescent="0.25">
      <c r="A1668" t="s">
        <v>1434</v>
      </c>
      <c r="B1668" t="s">
        <v>1435</v>
      </c>
      <c r="C1668" t="s">
        <v>1452</v>
      </c>
      <c r="D1668" t="s">
        <v>228</v>
      </c>
      <c r="E1668" t="str">
        <f>INDEX('State Codes'!$E$7:$E$70,MATCH(INDEX('State Codes'!$C$7:$C$70,MATCH('County Climates'!B1668,'State Codes'!$D$7:$D$70,0),1),'State Codes'!$C$7:$C$70,0),1)</f>
        <v>Pacific Division</v>
      </c>
      <c r="F1668">
        <f>INDEX('CBECS_Table B5'!$C$6:$K$6,1,MATCH('County Climates'!E1668,'CBECS_Table B5'!$C$1:$K$1,0))</f>
        <v>13379</v>
      </c>
    </row>
    <row r="1669" spans="1:6" x14ac:dyDescent="0.25">
      <c r="A1669" t="s">
        <v>1434</v>
      </c>
      <c r="B1669" t="s">
        <v>1435</v>
      </c>
      <c r="C1669" t="s">
        <v>1453</v>
      </c>
      <c r="D1669" t="s">
        <v>359</v>
      </c>
      <c r="E1669" t="str">
        <f>INDEX('State Codes'!$E$7:$E$70,MATCH(INDEX('State Codes'!$C$7:$C$70,MATCH('County Climates'!B1669,'State Codes'!$D$7:$D$70,0),1),'State Codes'!$C$7:$C$70,0),1)</f>
        <v>Pacific Division</v>
      </c>
      <c r="F1669">
        <f>INDEX('CBECS_Table B5'!$C$6:$K$6,1,MATCH('County Climates'!E1669,'CBECS_Table B5'!$C$1:$K$1,0))</f>
        <v>13379</v>
      </c>
    </row>
    <row r="1670" spans="1:6" x14ac:dyDescent="0.25">
      <c r="A1670" t="s">
        <v>1434</v>
      </c>
      <c r="B1670" t="s">
        <v>1435</v>
      </c>
      <c r="C1670" t="s">
        <v>1454</v>
      </c>
      <c r="D1670" t="s">
        <v>359</v>
      </c>
      <c r="E1670" t="str">
        <f>INDEX('State Codes'!$E$7:$E$70,MATCH(INDEX('State Codes'!$C$7:$C$70,MATCH('County Climates'!B1670,'State Codes'!$D$7:$D$70,0),1),'State Codes'!$C$7:$C$70,0),1)</f>
        <v>Pacific Division</v>
      </c>
      <c r="F1670">
        <f>INDEX('CBECS_Table B5'!$C$6:$K$6,1,MATCH('County Climates'!E1670,'CBECS_Table B5'!$C$1:$K$1,0))</f>
        <v>13379</v>
      </c>
    </row>
    <row r="1671" spans="1:6" x14ac:dyDescent="0.25">
      <c r="A1671" t="s">
        <v>1434</v>
      </c>
      <c r="B1671" t="s">
        <v>1435</v>
      </c>
      <c r="C1671" t="s">
        <v>1455</v>
      </c>
      <c r="D1671" t="s">
        <v>227</v>
      </c>
      <c r="E1671" t="str">
        <f>INDEX('State Codes'!$E$7:$E$70,MATCH(INDEX('State Codes'!$C$7:$C$70,MATCH('County Climates'!B1671,'State Codes'!$D$7:$D$70,0),1),'State Codes'!$C$7:$C$70,0),1)</f>
        <v>Pacific Division</v>
      </c>
      <c r="F1671">
        <f>INDEX('CBECS_Table B5'!$C$6:$K$6,1,MATCH('County Climates'!E1671,'CBECS_Table B5'!$C$1:$K$1,0))</f>
        <v>13379</v>
      </c>
    </row>
    <row r="1672" spans="1:6" x14ac:dyDescent="0.25">
      <c r="A1672" t="s">
        <v>1434</v>
      </c>
      <c r="B1672" t="s">
        <v>1435</v>
      </c>
      <c r="C1672" t="s">
        <v>1456</v>
      </c>
      <c r="D1672" t="s">
        <v>359</v>
      </c>
      <c r="E1672" t="str">
        <f>INDEX('State Codes'!$E$7:$E$70,MATCH(INDEX('State Codes'!$C$7:$C$70,MATCH('County Climates'!B1672,'State Codes'!$D$7:$D$70,0),1),'State Codes'!$C$7:$C$70,0),1)</f>
        <v>Pacific Division</v>
      </c>
      <c r="F1672">
        <f>INDEX('CBECS_Table B5'!$C$6:$K$6,1,MATCH('County Climates'!E1672,'CBECS_Table B5'!$C$1:$K$1,0))</f>
        <v>13379</v>
      </c>
    </row>
    <row r="1673" spans="1:6" x14ac:dyDescent="0.25">
      <c r="A1673" t="s">
        <v>1434</v>
      </c>
      <c r="B1673" t="s">
        <v>1435</v>
      </c>
      <c r="C1673" t="s">
        <v>1457</v>
      </c>
      <c r="D1673" t="s">
        <v>359</v>
      </c>
      <c r="E1673" t="str">
        <f>INDEX('State Codes'!$E$7:$E$70,MATCH(INDEX('State Codes'!$C$7:$C$70,MATCH('County Climates'!B1673,'State Codes'!$D$7:$D$70,0),1),'State Codes'!$C$7:$C$70,0),1)</f>
        <v>Pacific Division</v>
      </c>
      <c r="F1673">
        <f>INDEX('CBECS_Table B5'!$C$6:$K$6,1,MATCH('County Climates'!E1673,'CBECS_Table B5'!$C$1:$K$1,0))</f>
        <v>13379</v>
      </c>
    </row>
    <row r="1674" spans="1:6" x14ac:dyDescent="0.25">
      <c r="A1674" t="s">
        <v>1434</v>
      </c>
      <c r="B1674" t="s">
        <v>1435</v>
      </c>
      <c r="C1674" t="s">
        <v>1458</v>
      </c>
      <c r="D1674" t="s">
        <v>227</v>
      </c>
      <c r="E1674" t="str">
        <f>INDEX('State Codes'!$E$7:$E$70,MATCH(INDEX('State Codes'!$C$7:$C$70,MATCH('County Climates'!B1674,'State Codes'!$D$7:$D$70,0),1),'State Codes'!$C$7:$C$70,0),1)</f>
        <v>Pacific Division</v>
      </c>
      <c r="F1674">
        <f>INDEX('CBECS_Table B5'!$C$6:$K$6,1,MATCH('County Climates'!E1674,'CBECS_Table B5'!$C$1:$K$1,0))</f>
        <v>13379</v>
      </c>
    </row>
    <row r="1675" spans="1:6" x14ac:dyDescent="0.25">
      <c r="A1675" t="s">
        <v>1434</v>
      </c>
      <c r="B1675" t="s">
        <v>1435</v>
      </c>
      <c r="C1675" t="s">
        <v>1459</v>
      </c>
      <c r="D1675" t="s">
        <v>359</v>
      </c>
      <c r="E1675" t="str">
        <f>INDEX('State Codes'!$E$7:$E$70,MATCH(INDEX('State Codes'!$C$7:$C$70,MATCH('County Climates'!B1675,'State Codes'!$D$7:$D$70,0),1),'State Codes'!$C$7:$C$70,0),1)</f>
        <v>Pacific Division</v>
      </c>
      <c r="F1675">
        <f>INDEX('CBECS_Table B5'!$C$6:$K$6,1,MATCH('County Climates'!E1675,'CBECS_Table B5'!$C$1:$K$1,0))</f>
        <v>13379</v>
      </c>
    </row>
    <row r="1676" spans="1:6" x14ac:dyDescent="0.25">
      <c r="A1676" t="s">
        <v>1434</v>
      </c>
      <c r="B1676" t="s">
        <v>1435</v>
      </c>
      <c r="C1676" t="s">
        <v>1460</v>
      </c>
      <c r="D1676" t="s">
        <v>227</v>
      </c>
      <c r="E1676" t="str">
        <f>INDEX('State Codes'!$E$7:$E$70,MATCH(INDEX('State Codes'!$C$7:$C$70,MATCH('County Climates'!B1676,'State Codes'!$D$7:$D$70,0),1),'State Codes'!$C$7:$C$70,0),1)</f>
        <v>Pacific Division</v>
      </c>
      <c r="F1676">
        <f>INDEX('CBECS_Table B5'!$C$6:$K$6,1,MATCH('County Climates'!E1676,'CBECS_Table B5'!$C$1:$K$1,0))</f>
        <v>13379</v>
      </c>
    </row>
    <row r="1677" spans="1:6" x14ac:dyDescent="0.25">
      <c r="A1677" t="s">
        <v>1434</v>
      </c>
      <c r="B1677" t="s">
        <v>1435</v>
      </c>
      <c r="C1677" t="s">
        <v>1461</v>
      </c>
      <c r="D1677" t="s">
        <v>227</v>
      </c>
      <c r="E1677" t="str">
        <f>INDEX('State Codes'!$E$7:$E$70,MATCH(INDEX('State Codes'!$C$7:$C$70,MATCH('County Climates'!B1677,'State Codes'!$D$7:$D$70,0),1),'State Codes'!$C$7:$C$70,0),1)</f>
        <v>Pacific Division</v>
      </c>
      <c r="F1677">
        <f>INDEX('CBECS_Table B5'!$C$6:$K$6,1,MATCH('County Climates'!E1677,'CBECS_Table B5'!$C$1:$K$1,0))</f>
        <v>13379</v>
      </c>
    </row>
    <row r="1678" spans="1:6" x14ac:dyDescent="0.25">
      <c r="A1678" t="s">
        <v>1434</v>
      </c>
      <c r="B1678" t="s">
        <v>1435</v>
      </c>
      <c r="C1678" t="s">
        <v>1462</v>
      </c>
      <c r="D1678" t="s">
        <v>227</v>
      </c>
      <c r="E1678" t="str">
        <f>INDEX('State Codes'!$E$7:$E$70,MATCH(INDEX('State Codes'!$C$7:$C$70,MATCH('County Climates'!B1678,'State Codes'!$D$7:$D$70,0),1),'State Codes'!$C$7:$C$70,0),1)</f>
        <v>Pacific Division</v>
      </c>
      <c r="F1678">
        <f>INDEX('CBECS_Table B5'!$C$6:$K$6,1,MATCH('County Climates'!E1678,'CBECS_Table B5'!$C$1:$K$1,0))</f>
        <v>13379</v>
      </c>
    </row>
    <row r="1679" spans="1:6" x14ac:dyDescent="0.25">
      <c r="A1679" t="s">
        <v>1434</v>
      </c>
      <c r="B1679" t="s">
        <v>1435</v>
      </c>
      <c r="C1679" t="s">
        <v>1463</v>
      </c>
      <c r="D1679" t="s">
        <v>227</v>
      </c>
      <c r="E1679" t="str">
        <f>INDEX('State Codes'!$E$7:$E$70,MATCH(INDEX('State Codes'!$C$7:$C$70,MATCH('County Climates'!B1679,'State Codes'!$D$7:$D$70,0),1),'State Codes'!$C$7:$C$70,0),1)</f>
        <v>Pacific Division</v>
      </c>
      <c r="F1679">
        <f>INDEX('CBECS_Table B5'!$C$6:$K$6,1,MATCH('County Climates'!E1679,'CBECS_Table B5'!$C$1:$K$1,0))</f>
        <v>13379</v>
      </c>
    </row>
    <row r="1680" spans="1:6" x14ac:dyDescent="0.25">
      <c r="A1680" t="s">
        <v>1434</v>
      </c>
      <c r="B1680" t="s">
        <v>1435</v>
      </c>
      <c r="C1680" t="s">
        <v>1422</v>
      </c>
      <c r="D1680" t="s">
        <v>227</v>
      </c>
      <c r="E1680" t="str">
        <f>INDEX('State Codes'!$E$7:$E$70,MATCH(INDEX('State Codes'!$C$7:$C$70,MATCH('County Climates'!B1680,'State Codes'!$D$7:$D$70,0),1),'State Codes'!$C$7:$C$70,0),1)</f>
        <v>Pacific Division</v>
      </c>
      <c r="F1680">
        <f>INDEX('CBECS_Table B5'!$C$6:$K$6,1,MATCH('County Climates'!E1680,'CBECS_Table B5'!$C$1:$K$1,0))</f>
        <v>13379</v>
      </c>
    </row>
    <row r="1681" spans="1:6" x14ac:dyDescent="0.25">
      <c r="A1681" t="s">
        <v>1434</v>
      </c>
      <c r="B1681" t="s">
        <v>1435</v>
      </c>
      <c r="C1681" t="s">
        <v>1464</v>
      </c>
      <c r="D1681" t="s">
        <v>359</v>
      </c>
      <c r="E1681" t="str">
        <f>INDEX('State Codes'!$E$7:$E$70,MATCH(INDEX('State Codes'!$C$7:$C$70,MATCH('County Climates'!B1681,'State Codes'!$D$7:$D$70,0),1),'State Codes'!$C$7:$C$70,0),1)</f>
        <v>Pacific Division</v>
      </c>
      <c r="F1681">
        <f>INDEX('CBECS_Table B5'!$C$6:$K$6,1,MATCH('County Climates'!E1681,'CBECS_Table B5'!$C$1:$K$1,0))</f>
        <v>13379</v>
      </c>
    </row>
    <row r="1682" spans="1:6" x14ac:dyDescent="0.25">
      <c r="A1682" t="s">
        <v>1434</v>
      </c>
      <c r="B1682" t="s">
        <v>1435</v>
      </c>
      <c r="C1682" t="s">
        <v>939</v>
      </c>
      <c r="D1682" t="s">
        <v>228</v>
      </c>
      <c r="E1682" t="str">
        <f>INDEX('State Codes'!$E$7:$E$70,MATCH(INDEX('State Codes'!$C$7:$C$70,MATCH('County Climates'!B1682,'State Codes'!$D$7:$D$70,0),1),'State Codes'!$C$7:$C$70,0),1)</f>
        <v>Pacific Division</v>
      </c>
      <c r="F1682">
        <f>INDEX('CBECS_Table B5'!$C$6:$K$6,1,MATCH('County Climates'!E1682,'CBECS_Table B5'!$C$1:$K$1,0))</f>
        <v>13379</v>
      </c>
    </row>
    <row r="1683" spans="1:6" x14ac:dyDescent="0.25">
      <c r="A1683" t="s">
        <v>1434</v>
      </c>
      <c r="B1683" t="s">
        <v>1435</v>
      </c>
      <c r="C1683" t="s">
        <v>1465</v>
      </c>
      <c r="D1683" t="s">
        <v>228</v>
      </c>
      <c r="E1683" t="str">
        <f>INDEX('State Codes'!$E$7:$E$70,MATCH(INDEX('State Codes'!$C$7:$C$70,MATCH('County Climates'!B1683,'State Codes'!$D$7:$D$70,0),1),'State Codes'!$C$7:$C$70,0),1)</f>
        <v>Pacific Division</v>
      </c>
      <c r="F1683">
        <f>INDEX('CBECS_Table B5'!$C$6:$K$6,1,MATCH('County Climates'!E1683,'CBECS_Table B5'!$C$1:$K$1,0))</f>
        <v>13379</v>
      </c>
    </row>
    <row r="1684" spans="1:6" x14ac:dyDescent="0.25">
      <c r="A1684" t="s">
        <v>1434</v>
      </c>
      <c r="B1684" t="s">
        <v>1435</v>
      </c>
      <c r="C1684" t="s">
        <v>1466</v>
      </c>
      <c r="D1684" t="s">
        <v>359</v>
      </c>
      <c r="E1684" t="str">
        <f>INDEX('State Codes'!$E$7:$E$70,MATCH(INDEX('State Codes'!$C$7:$C$70,MATCH('County Climates'!B1684,'State Codes'!$D$7:$D$70,0),1),'State Codes'!$C$7:$C$70,0),1)</f>
        <v>Pacific Division</v>
      </c>
      <c r="F1684">
        <f>INDEX('CBECS_Table B5'!$C$6:$K$6,1,MATCH('County Climates'!E1684,'CBECS_Table B5'!$C$1:$K$1,0))</f>
        <v>13379</v>
      </c>
    </row>
    <row r="1685" spans="1:6" x14ac:dyDescent="0.25">
      <c r="A1685" t="s">
        <v>1434</v>
      </c>
      <c r="B1685" t="s">
        <v>1435</v>
      </c>
      <c r="C1685" t="s">
        <v>1467</v>
      </c>
      <c r="D1685" t="s">
        <v>227</v>
      </c>
      <c r="E1685" t="str">
        <f>INDEX('State Codes'!$E$7:$E$70,MATCH(INDEX('State Codes'!$C$7:$C$70,MATCH('County Climates'!B1685,'State Codes'!$D$7:$D$70,0),1),'State Codes'!$C$7:$C$70,0),1)</f>
        <v>Pacific Division</v>
      </c>
      <c r="F1685">
        <f>INDEX('CBECS_Table B5'!$C$6:$K$6,1,MATCH('County Climates'!E1685,'CBECS_Table B5'!$C$1:$K$1,0))</f>
        <v>13379</v>
      </c>
    </row>
    <row r="1686" spans="1:6" x14ac:dyDescent="0.25">
      <c r="A1686" t="s">
        <v>1434</v>
      </c>
      <c r="B1686" t="s">
        <v>1435</v>
      </c>
      <c r="C1686" t="s">
        <v>1468</v>
      </c>
      <c r="D1686" t="s">
        <v>359</v>
      </c>
      <c r="E1686" t="str">
        <f>INDEX('State Codes'!$E$7:$E$70,MATCH(INDEX('State Codes'!$C$7:$C$70,MATCH('County Climates'!B1686,'State Codes'!$D$7:$D$70,0),1),'State Codes'!$C$7:$C$70,0),1)</f>
        <v>Pacific Division</v>
      </c>
      <c r="F1686">
        <f>INDEX('CBECS_Table B5'!$C$6:$K$6,1,MATCH('County Climates'!E1686,'CBECS_Table B5'!$C$1:$K$1,0))</f>
        <v>13379</v>
      </c>
    </row>
    <row r="1687" spans="1:6" x14ac:dyDescent="0.25">
      <c r="A1687" t="s">
        <v>1434</v>
      </c>
      <c r="B1687" t="s">
        <v>1435</v>
      </c>
      <c r="C1687" t="s">
        <v>1469</v>
      </c>
      <c r="D1687" t="s">
        <v>359</v>
      </c>
      <c r="E1687" t="str">
        <f>INDEX('State Codes'!$E$7:$E$70,MATCH(INDEX('State Codes'!$C$7:$C$70,MATCH('County Climates'!B1687,'State Codes'!$D$7:$D$70,0),1),'State Codes'!$C$7:$C$70,0),1)</f>
        <v>Pacific Division</v>
      </c>
      <c r="F1687">
        <f>INDEX('CBECS_Table B5'!$C$6:$K$6,1,MATCH('County Climates'!E1687,'CBECS_Table B5'!$C$1:$K$1,0))</f>
        <v>13379</v>
      </c>
    </row>
    <row r="1688" spans="1:6" x14ac:dyDescent="0.25">
      <c r="A1688" t="s">
        <v>1434</v>
      </c>
      <c r="B1688" t="s">
        <v>1435</v>
      </c>
      <c r="C1688" t="s">
        <v>1470</v>
      </c>
      <c r="D1688" t="s">
        <v>359</v>
      </c>
      <c r="E1688" t="str">
        <f>INDEX('State Codes'!$E$7:$E$70,MATCH(INDEX('State Codes'!$C$7:$C$70,MATCH('County Climates'!B1688,'State Codes'!$D$7:$D$70,0),1),'State Codes'!$C$7:$C$70,0),1)</f>
        <v>Pacific Division</v>
      </c>
      <c r="F1688">
        <f>INDEX('CBECS_Table B5'!$C$6:$K$6,1,MATCH('County Climates'!E1688,'CBECS_Table B5'!$C$1:$K$1,0))</f>
        <v>13379</v>
      </c>
    </row>
    <row r="1689" spans="1:6" x14ac:dyDescent="0.25">
      <c r="A1689" t="s">
        <v>1434</v>
      </c>
      <c r="B1689" t="s">
        <v>1435</v>
      </c>
      <c r="C1689" t="s">
        <v>1243</v>
      </c>
      <c r="D1689" t="s">
        <v>357</v>
      </c>
      <c r="E1689" t="str">
        <f>INDEX('State Codes'!$E$7:$E$70,MATCH(INDEX('State Codes'!$C$7:$C$70,MATCH('County Climates'!B1689,'State Codes'!$D$7:$D$70,0),1),'State Codes'!$C$7:$C$70,0),1)</f>
        <v>Pacific Division</v>
      </c>
      <c r="F1689">
        <f>INDEX('CBECS_Table B5'!$C$6:$K$6,1,MATCH('County Climates'!E1689,'CBECS_Table B5'!$C$1:$K$1,0))</f>
        <v>13379</v>
      </c>
    </row>
    <row r="1690" spans="1:6" x14ac:dyDescent="0.25">
      <c r="A1690" t="s">
        <v>1434</v>
      </c>
      <c r="B1690" t="s">
        <v>1435</v>
      </c>
      <c r="C1690" t="s">
        <v>1471</v>
      </c>
      <c r="D1690" t="s">
        <v>359</v>
      </c>
      <c r="E1690" t="str">
        <f>INDEX('State Codes'!$E$7:$E$70,MATCH(INDEX('State Codes'!$C$7:$C$70,MATCH('County Climates'!B1690,'State Codes'!$D$7:$D$70,0),1),'State Codes'!$C$7:$C$70,0),1)</f>
        <v>Pacific Division</v>
      </c>
      <c r="F1690">
        <f>INDEX('CBECS_Table B5'!$C$6:$K$6,1,MATCH('County Climates'!E1690,'CBECS_Table B5'!$C$1:$K$1,0))</f>
        <v>13379</v>
      </c>
    </row>
    <row r="1691" spans="1:6" x14ac:dyDescent="0.25">
      <c r="A1691" t="s">
        <v>1434</v>
      </c>
      <c r="B1691" t="s">
        <v>1435</v>
      </c>
      <c r="C1691" t="s">
        <v>1472</v>
      </c>
      <c r="D1691" t="s">
        <v>357</v>
      </c>
      <c r="E1691" t="str">
        <f>INDEX('State Codes'!$E$7:$E$70,MATCH(INDEX('State Codes'!$C$7:$C$70,MATCH('County Climates'!B1691,'State Codes'!$D$7:$D$70,0),1),'State Codes'!$C$7:$C$70,0),1)</f>
        <v>Pacific Division</v>
      </c>
      <c r="F1691">
        <f>INDEX('CBECS_Table B5'!$C$6:$K$6,1,MATCH('County Climates'!E1691,'CBECS_Table B5'!$C$1:$K$1,0))</f>
        <v>13379</v>
      </c>
    </row>
    <row r="1692" spans="1:6" x14ac:dyDescent="0.25">
      <c r="A1692" t="s">
        <v>1434</v>
      </c>
      <c r="B1692" t="s">
        <v>1435</v>
      </c>
      <c r="C1692" t="s">
        <v>1473</v>
      </c>
      <c r="D1692" t="s">
        <v>227</v>
      </c>
      <c r="E1692" t="str">
        <f>INDEX('State Codes'!$E$7:$E$70,MATCH(INDEX('State Codes'!$C$7:$C$70,MATCH('County Climates'!B1692,'State Codes'!$D$7:$D$70,0),1),'State Codes'!$C$7:$C$70,0),1)</f>
        <v>Pacific Division</v>
      </c>
      <c r="F1692">
        <f>INDEX('CBECS_Table B5'!$C$6:$K$6,1,MATCH('County Climates'!E1692,'CBECS_Table B5'!$C$1:$K$1,0))</f>
        <v>13379</v>
      </c>
    </row>
    <row r="1693" spans="1:6" x14ac:dyDescent="0.25">
      <c r="A1693" t="s">
        <v>1434</v>
      </c>
      <c r="B1693" t="s">
        <v>1435</v>
      </c>
      <c r="C1693" t="s">
        <v>1474</v>
      </c>
      <c r="D1693" t="s">
        <v>359</v>
      </c>
      <c r="E1693" t="str">
        <f>INDEX('State Codes'!$E$7:$E$70,MATCH(INDEX('State Codes'!$C$7:$C$70,MATCH('County Climates'!B1693,'State Codes'!$D$7:$D$70,0),1),'State Codes'!$C$7:$C$70,0),1)</f>
        <v>Pacific Division</v>
      </c>
      <c r="F1693">
        <f>INDEX('CBECS_Table B5'!$C$6:$K$6,1,MATCH('County Climates'!E1693,'CBECS_Table B5'!$C$1:$K$1,0))</f>
        <v>13379</v>
      </c>
    </row>
    <row r="1694" spans="1:6" x14ac:dyDescent="0.25">
      <c r="A1694" t="s">
        <v>1434</v>
      </c>
      <c r="B1694" t="s">
        <v>1435</v>
      </c>
      <c r="C1694" t="s">
        <v>1475</v>
      </c>
      <c r="D1694" t="s">
        <v>359</v>
      </c>
      <c r="E1694" t="str">
        <f>INDEX('State Codes'!$E$7:$E$70,MATCH(INDEX('State Codes'!$C$7:$C$70,MATCH('County Climates'!B1694,'State Codes'!$D$7:$D$70,0),1),'State Codes'!$C$7:$C$70,0),1)</f>
        <v>Pacific Division</v>
      </c>
      <c r="F1694">
        <f>INDEX('CBECS_Table B5'!$C$6:$K$6,1,MATCH('County Climates'!E1694,'CBECS_Table B5'!$C$1:$K$1,0))</f>
        <v>13379</v>
      </c>
    </row>
    <row r="1695" spans="1:6" x14ac:dyDescent="0.25">
      <c r="A1695" t="s">
        <v>1476</v>
      </c>
      <c r="B1695" t="s">
        <v>1477</v>
      </c>
      <c r="C1695" t="s">
        <v>516</v>
      </c>
      <c r="D1695" t="s">
        <v>228</v>
      </c>
      <c r="E1695" t="str">
        <f>INDEX('State Codes'!$E$7:$E$70,MATCH(INDEX('State Codes'!$C$7:$C$70,MATCH('County Climates'!B1695,'State Codes'!$D$7:$D$70,0),1),'State Codes'!$C$7:$C$70,0),1)</f>
        <v>Mountain Division</v>
      </c>
      <c r="F1695">
        <f>INDEX('CBECS_Table B5'!$C$6:$K$6,1,MATCH('County Climates'!E1695,'CBECS_Table B5'!$C$1:$K$1,0))</f>
        <v>4981</v>
      </c>
    </row>
    <row r="1696" spans="1:6" x14ac:dyDescent="0.25">
      <c r="A1696" t="s">
        <v>1476</v>
      </c>
      <c r="B1696" t="s">
        <v>1477</v>
      </c>
      <c r="C1696" t="s">
        <v>1478</v>
      </c>
      <c r="D1696" t="s">
        <v>228</v>
      </c>
      <c r="E1696" t="str">
        <f>INDEX('State Codes'!$E$7:$E$70,MATCH(INDEX('State Codes'!$C$7:$C$70,MATCH('County Climates'!B1696,'State Codes'!$D$7:$D$70,0),1),'State Codes'!$C$7:$C$70,0),1)</f>
        <v>Mountain Division</v>
      </c>
      <c r="F1696">
        <f>INDEX('CBECS_Table B5'!$C$6:$K$6,1,MATCH('County Climates'!E1696,'CBECS_Table B5'!$C$1:$K$1,0))</f>
        <v>4981</v>
      </c>
    </row>
    <row r="1697" spans="1:6" x14ac:dyDescent="0.25">
      <c r="A1697" t="s">
        <v>1476</v>
      </c>
      <c r="B1697" t="s">
        <v>1477</v>
      </c>
      <c r="C1697" t="s">
        <v>1479</v>
      </c>
      <c r="D1697" t="s">
        <v>228</v>
      </c>
      <c r="E1697" t="str">
        <f>INDEX('State Codes'!$E$7:$E$70,MATCH(INDEX('State Codes'!$C$7:$C$70,MATCH('County Climates'!B1697,'State Codes'!$D$7:$D$70,0),1),'State Codes'!$C$7:$C$70,0),1)</f>
        <v>Mountain Division</v>
      </c>
      <c r="F1697">
        <f>INDEX('CBECS_Table B5'!$C$6:$K$6,1,MATCH('County Climates'!E1697,'CBECS_Table B5'!$C$1:$K$1,0))</f>
        <v>4981</v>
      </c>
    </row>
    <row r="1698" spans="1:6" x14ac:dyDescent="0.25">
      <c r="A1698" t="s">
        <v>1476</v>
      </c>
      <c r="B1698" t="s">
        <v>1477</v>
      </c>
      <c r="C1698" t="s">
        <v>1480</v>
      </c>
      <c r="D1698" t="s">
        <v>228</v>
      </c>
      <c r="E1698" t="str">
        <f>INDEX('State Codes'!$E$7:$E$70,MATCH(INDEX('State Codes'!$C$7:$C$70,MATCH('County Climates'!B1698,'State Codes'!$D$7:$D$70,0),1),'State Codes'!$C$7:$C$70,0),1)</f>
        <v>Mountain Division</v>
      </c>
      <c r="F1698">
        <f>INDEX('CBECS_Table B5'!$C$6:$K$6,1,MATCH('County Climates'!E1698,'CBECS_Table B5'!$C$1:$K$1,0))</f>
        <v>4981</v>
      </c>
    </row>
    <row r="1699" spans="1:6" x14ac:dyDescent="0.25">
      <c r="A1699" t="s">
        <v>1476</v>
      </c>
      <c r="B1699" t="s">
        <v>1477</v>
      </c>
      <c r="C1699" t="s">
        <v>1481</v>
      </c>
      <c r="D1699" t="s">
        <v>357</v>
      </c>
      <c r="E1699" t="str">
        <f>INDEX('State Codes'!$E$7:$E$70,MATCH(INDEX('State Codes'!$C$7:$C$70,MATCH('County Climates'!B1699,'State Codes'!$D$7:$D$70,0),1),'State Codes'!$C$7:$C$70,0),1)</f>
        <v>Mountain Division</v>
      </c>
      <c r="F1699">
        <f>INDEX('CBECS_Table B5'!$C$6:$K$6,1,MATCH('County Climates'!E1699,'CBECS_Table B5'!$C$1:$K$1,0))</f>
        <v>4981</v>
      </c>
    </row>
    <row r="1700" spans="1:6" x14ac:dyDescent="0.25">
      <c r="A1700" t="s">
        <v>1476</v>
      </c>
      <c r="B1700" t="s">
        <v>1477</v>
      </c>
      <c r="C1700" t="s">
        <v>1482</v>
      </c>
      <c r="D1700" t="s">
        <v>228</v>
      </c>
      <c r="E1700" t="str">
        <f>INDEX('State Codes'!$E$7:$E$70,MATCH(INDEX('State Codes'!$C$7:$C$70,MATCH('County Climates'!B1700,'State Codes'!$D$7:$D$70,0),1),'State Codes'!$C$7:$C$70,0),1)</f>
        <v>Mountain Division</v>
      </c>
      <c r="F1700">
        <f>INDEX('CBECS_Table B5'!$C$6:$K$6,1,MATCH('County Climates'!E1700,'CBECS_Table B5'!$C$1:$K$1,0))</f>
        <v>4981</v>
      </c>
    </row>
    <row r="1701" spans="1:6" x14ac:dyDescent="0.25">
      <c r="A1701" t="s">
        <v>1476</v>
      </c>
      <c r="B1701" t="s">
        <v>1477</v>
      </c>
      <c r="C1701" t="s">
        <v>1483</v>
      </c>
      <c r="D1701" t="s">
        <v>228</v>
      </c>
      <c r="E1701" t="str">
        <f>INDEX('State Codes'!$E$7:$E$70,MATCH(INDEX('State Codes'!$C$7:$C$70,MATCH('County Climates'!B1701,'State Codes'!$D$7:$D$70,0),1),'State Codes'!$C$7:$C$70,0),1)</f>
        <v>Mountain Division</v>
      </c>
      <c r="F1701">
        <f>INDEX('CBECS_Table B5'!$C$6:$K$6,1,MATCH('County Climates'!E1701,'CBECS_Table B5'!$C$1:$K$1,0))</f>
        <v>4981</v>
      </c>
    </row>
    <row r="1702" spans="1:6" x14ac:dyDescent="0.25">
      <c r="A1702" t="s">
        <v>1476</v>
      </c>
      <c r="B1702" t="s">
        <v>1477</v>
      </c>
      <c r="C1702" t="s">
        <v>1484</v>
      </c>
      <c r="D1702" t="s">
        <v>228</v>
      </c>
      <c r="E1702" t="str">
        <f>INDEX('State Codes'!$E$7:$E$70,MATCH(INDEX('State Codes'!$C$7:$C$70,MATCH('County Climates'!B1702,'State Codes'!$D$7:$D$70,0),1),'State Codes'!$C$7:$C$70,0),1)</f>
        <v>Mountain Division</v>
      </c>
      <c r="F1702">
        <f>INDEX('CBECS_Table B5'!$C$6:$K$6,1,MATCH('County Climates'!E1702,'CBECS_Table B5'!$C$1:$K$1,0))</f>
        <v>4981</v>
      </c>
    </row>
    <row r="1703" spans="1:6" x14ac:dyDescent="0.25">
      <c r="A1703" t="s">
        <v>1476</v>
      </c>
      <c r="B1703" t="s">
        <v>1477</v>
      </c>
      <c r="C1703" t="s">
        <v>1485</v>
      </c>
      <c r="D1703" t="s">
        <v>228</v>
      </c>
      <c r="E1703" t="str">
        <f>INDEX('State Codes'!$E$7:$E$70,MATCH(INDEX('State Codes'!$C$7:$C$70,MATCH('County Climates'!B1703,'State Codes'!$D$7:$D$70,0),1),'State Codes'!$C$7:$C$70,0),1)</f>
        <v>Mountain Division</v>
      </c>
      <c r="F1703">
        <f>INDEX('CBECS_Table B5'!$C$6:$K$6,1,MATCH('County Climates'!E1703,'CBECS_Table B5'!$C$1:$K$1,0))</f>
        <v>4981</v>
      </c>
    </row>
    <row r="1704" spans="1:6" x14ac:dyDescent="0.25">
      <c r="A1704" t="s">
        <v>1476</v>
      </c>
      <c r="B1704" t="s">
        <v>1477</v>
      </c>
      <c r="C1704" t="s">
        <v>1486</v>
      </c>
      <c r="D1704" t="s">
        <v>228</v>
      </c>
      <c r="E1704" t="str">
        <f>INDEX('State Codes'!$E$7:$E$70,MATCH(INDEX('State Codes'!$C$7:$C$70,MATCH('County Climates'!B1704,'State Codes'!$D$7:$D$70,0),1),'State Codes'!$C$7:$C$70,0),1)</f>
        <v>Mountain Division</v>
      </c>
      <c r="F1704">
        <f>INDEX('CBECS_Table B5'!$C$6:$K$6,1,MATCH('County Climates'!E1704,'CBECS_Table B5'!$C$1:$K$1,0))</f>
        <v>4981</v>
      </c>
    </row>
    <row r="1705" spans="1:6" x14ac:dyDescent="0.25">
      <c r="A1705" t="s">
        <v>1476</v>
      </c>
      <c r="B1705" t="s">
        <v>1477</v>
      </c>
      <c r="C1705" t="s">
        <v>1487</v>
      </c>
      <c r="D1705" t="s">
        <v>229</v>
      </c>
      <c r="E1705" t="str">
        <f>INDEX('State Codes'!$E$7:$E$70,MATCH(INDEX('State Codes'!$C$7:$C$70,MATCH('County Climates'!B1705,'State Codes'!$D$7:$D$70,0),1),'State Codes'!$C$7:$C$70,0),1)</f>
        <v>Mountain Division</v>
      </c>
      <c r="F1705">
        <f>INDEX('CBECS_Table B5'!$C$6:$K$6,1,MATCH('County Climates'!E1705,'CBECS_Table B5'!$C$1:$K$1,0))</f>
        <v>4981</v>
      </c>
    </row>
    <row r="1706" spans="1:6" x14ac:dyDescent="0.25">
      <c r="A1706" t="s">
        <v>1476</v>
      </c>
      <c r="B1706" t="s">
        <v>1477</v>
      </c>
      <c r="C1706" t="s">
        <v>1488</v>
      </c>
      <c r="D1706" t="s">
        <v>228</v>
      </c>
      <c r="E1706" t="str">
        <f>INDEX('State Codes'!$E$7:$E$70,MATCH(INDEX('State Codes'!$C$7:$C$70,MATCH('County Climates'!B1706,'State Codes'!$D$7:$D$70,0),1),'State Codes'!$C$7:$C$70,0),1)</f>
        <v>Mountain Division</v>
      </c>
      <c r="F1706">
        <f>INDEX('CBECS_Table B5'!$C$6:$K$6,1,MATCH('County Climates'!E1706,'CBECS_Table B5'!$C$1:$K$1,0))</f>
        <v>4981</v>
      </c>
    </row>
    <row r="1707" spans="1:6" x14ac:dyDescent="0.25">
      <c r="A1707" t="s">
        <v>1476</v>
      </c>
      <c r="B1707" t="s">
        <v>1477</v>
      </c>
      <c r="C1707" t="s">
        <v>1489</v>
      </c>
      <c r="D1707" t="s">
        <v>228</v>
      </c>
      <c r="E1707" t="str">
        <f>INDEX('State Codes'!$E$7:$E$70,MATCH(INDEX('State Codes'!$C$7:$C$70,MATCH('County Climates'!B1707,'State Codes'!$D$7:$D$70,0),1),'State Codes'!$C$7:$C$70,0),1)</f>
        <v>Mountain Division</v>
      </c>
      <c r="F1707">
        <f>INDEX('CBECS_Table B5'!$C$6:$K$6,1,MATCH('County Climates'!E1707,'CBECS_Table B5'!$C$1:$K$1,0))</f>
        <v>4981</v>
      </c>
    </row>
    <row r="1708" spans="1:6" x14ac:dyDescent="0.25">
      <c r="A1708" t="s">
        <v>1476</v>
      </c>
      <c r="B1708" t="s">
        <v>1477</v>
      </c>
      <c r="C1708" t="s">
        <v>1490</v>
      </c>
      <c r="D1708" t="s">
        <v>228</v>
      </c>
      <c r="E1708" t="str">
        <f>INDEX('State Codes'!$E$7:$E$70,MATCH(INDEX('State Codes'!$C$7:$C$70,MATCH('County Climates'!B1708,'State Codes'!$D$7:$D$70,0),1),'State Codes'!$C$7:$C$70,0),1)</f>
        <v>Mountain Division</v>
      </c>
      <c r="F1708">
        <f>INDEX('CBECS_Table B5'!$C$6:$K$6,1,MATCH('County Climates'!E1708,'CBECS_Table B5'!$C$1:$K$1,0))</f>
        <v>4981</v>
      </c>
    </row>
    <row r="1709" spans="1:6" x14ac:dyDescent="0.25">
      <c r="A1709" t="s">
        <v>1476</v>
      </c>
      <c r="B1709" t="s">
        <v>1477</v>
      </c>
      <c r="C1709" t="s">
        <v>532</v>
      </c>
      <c r="D1709" t="s">
        <v>228</v>
      </c>
      <c r="E1709" t="str">
        <f>INDEX('State Codes'!$E$7:$E$70,MATCH(INDEX('State Codes'!$C$7:$C$70,MATCH('County Climates'!B1709,'State Codes'!$D$7:$D$70,0),1),'State Codes'!$C$7:$C$70,0),1)</f>
        <v>Mountain Division</v>
      </c>
      <c r="F1709">
        <f>INDEX('CBECS_Table B5'!$C$6:$K$6,1,MATCH('County Climates'!E1709,'CBECS_Table B5'!$C$1:$K$1,0))</f>
        <v>4981</v>
      </c>
    </row>
    <row r="1710" spans="1:6" x14ac:dyDescent="0.25">
      <c r="A1710" t="s">
        <v>1476</v>
      </c>
      <c r="B1710" t="s">
        <v>1477</v>
      </c>
      <c r="C1710" t="s">
        <v>1491</v>
      </c>
      <c r="D1710" t="s">
        <v>228</v>
      </c>
      <c r="E1710" t="str">
        <f>INDEX('State Codes'!$E$7:$E$70,MATCH(INDEX('State Codes'!$C$7:$C$70,MATCH('County Climates'!B1710,'State Codes'!$D$7:$D$70,0),1),'State Codes'!$C$7:$C$70,0),1)</f>
        <v>Mountain Division</v>
      </c>
      <c r="F1710">
        <f>INDEX('CBECS_Table B5'!$C$6:$K$6,1,MATCH('County Climates'!E1710,'CBECS_Table B5'!$C$1:$K$1,0))</f>
        <v>4981</v>
      </c>
    </row>
    <row r="1711" spans="1:6" x14ac:dyDescent="0.25">
      <c r="A1711" t="s">
        <v>1476</v>
      </c>
      <c r="B1711" t="s">
        <v>1477</v>
      </c>
      <c r="C1711" t="s">
        <v>1492</v>
      </c>
      <c r="D1711" t="s">
        <v>228</v>
      </c>
      <c r="E1711" t="str">
        <f>INDEX('State Codes'!$E$7:$E$70,MATCH(INDEX('State Codes'!$C$7:$C$70,MATCH('County Climates'!B1711,'State Codes'!$D$7:$D$70,0),1),'State Codes'!$C$7:$C$70,0),1)</f>
        <v>Mountain Division</v>
      </c>
      <c r="F1711">
        <f>INDEX('CBECS_Table B5'!$C$6:$K$6,1,MATCH('County Climates'!E1711,'CBECS_Table B5'!$C$1:$K$1,0))</f>
        <v>4981</v>
      </c>
    </row>
    <row r="1712" spans="1:6" x14ac:dyDescent="0.25">
      <c r="A1712" t="s">
        <v>1493</v>
      </c>
      <c r="B1712" t="s">
        <v>1494</v>
      </c>
      <c r="C1712" t="s">
        <v>1495</v>
      </c>
      <c r="D1712" t="s">
        <v>243</v>
      </c>
      <c r="E1712" t="str">
        <f>INDEX('State Codes'!$E$7:$E$70,MATCH(INDEX('State Codes'!$C$7:$C$70,MATCH('County Climates'!B1712,'State Codes'!$D$7:$D$70,0),1),'State Codes'!$C$7:$C$70,0),1)</f>
        <v>South Atlantic Division</v>
      </c>
      <c r="F1712">
        <f>INDEX('CBECS_Table B5'!$C$6:$K$6,1,MATCH('County Climates'!E1712,'CBECS_Table B5'!$C$1:$K$1,0))</f>
        <v>17981</v>
      </c>
    </row>
    <row r="1713" spans="1:6" x14ac:dyDescent="0.25">
      <c r="A1713" t="s">
        <v>1493</v>
      </c>
      <c r="B1713" t="s">
        <v>1494</v>
      </c>
      <c r="C1713" t="s">
        <v>251</v>
      </c>
      <c r="D1713" t="s">
        <v>243</v>
      </c>
      <c r="E1713" t="str">
        <f>INDEX('State Codes'!$E$7:$E$70,MATCH(INDEX('State Codes'!$C$7:$C$70,MATCH('County Climates'!B1713,'State Codes'!$D$7:$D$70,0),1),'State Codes'!$C$7:$C$70,0),1)</f>
        <v>South Atlantic Division</v>
      </c>
      <c r="F1713">
        <f>INDEX('CBECS_Table B5'!$C$6:$K$6,1,MATCH('County Climates'!E1713,'CBECS_Table B5'!$C$1:$K$1,0))</f>
        <v>17981</v>
      </c>
    </row>
    <row r="1714" spans="1:6" x14ac:dyDescent="0.25">
      <c r="A1714" t="s">
        <v>1493</v>
      </c>
      <c r="B1714" t="s">
        <v>1494</v>
      </c>
      <c r="C1714" t="s">
        <v>1496</v>
      </c>
      <c r="D1714" t="s">
        <v>243</v>
      </c>
      <c r="E1714" t="str">
        <f>INDEX('State Codes'!$E$7:$E$70,MATCH(INDEX('State Codes'!$C$7:$C$70,MATCH('County Climates'!B1714,'State Codes'!$D$7:$D$70,0),1),'State Codes'!$C$7:$C$70,0),1)</f>
        <v>South Atlantic Division</v>
      </c>
      <c r="F1714">
        <f>INDEX('CBECS_Table B5'!$C$6:$K$6,1,MATCH('County Climates'!E1714,'CBECS_Table B5'!$C$1:$K$1,0))</f>
        <v>17981</v>
      </c>
    </row>
    <row r="1715" spans="1:6" x14ac:dyDescent="0.25">
      <c r="A1715" t="s">
        <v>1493</v>
      </c>
      <c r="B1715" t="s">
        <v>1494</v>
      </c>
      <c r="C1715" t="s">
        <v>1497</v>
      </c>
      <c r="D1715" t="s">
        <v>243</v>
      </c>
      <c r="E1715" t="str">
        <f>INDEX('State Codes'!$E$7:$E$70,MATCH(INDEX('State Codes'!$C$7:$C$70,MATCH('County Climates'!B1715,'State Codes'!$D$7:$D$70,0),1),'State Codes'!$C$7:$C$70,0),1)</f>
        <v>South Atlantic Division</v>
      </c>
      <c r="F1715">
        <f>INDEX('CBECS_Table B5'!$C$6:$K$6,1,MATCH('County Climates'!E1715,'CBECS_Table B5'!$C$1:$K$1,0))</f>
        <v>17981</v>
      </c>
    </row>
    <row r="1716" spans="1:6" x14ac:dyDescent="0.25">
      <c r="A1716" t="s">
        <v>1493</v>
      </c>
      <c r="B1716" t="s">
        <v>1494</v>
      </c>
      <c r="C1716" t="s">
        <v>257</v>
      </c>
      <c r="D1716" t="s">
        <v>243</v>
      </c>
      <c r="E1716" t="str">
        <f>INDEX('State Codes'!$E$7:$E$70,MATCH(INDEX('State Codes'!$C$7:$C$70,MATCH('County Climates'!B1716,'State Codes'!$D$7:$D$70,0),1),'State Codes'!$C$7:$C$70,0),1)</f>
        <v>South Atlantic Division</v>
      </c>
      <c r="F1716">
        <f>INDEX('CBECS_Table B5'!$C$6:$K$6,1,MATCH('County Climates'!E1716,'CBECS_Table B5'!$C$1:$K$1,0))</f>
        <v>17981</v>
      </c>
    </row>
    <row r="1717" spans="1:6" x14ac:dyDescent="0.25">
      <c r="A1717" t="s">
        <v>1493</v>
      </c>
      <c r="B1717" t="s">
        <v>1494</v>
      </c>
      <c r="C1717" t="s">
        <v>1498</v>
      </c>
      <c r="D1717" t="s">
        <v>243</v>
      </c>
      <c r="E1717" t="str">
        <f>INDEX('State Codes'!$E$7:$E$70,MATCH(INDEX('State Codes'!$C$7:$C$70,MATCH('County Climates'!B1717,'State Codes'!$D$7:$D$70,0),1),'State Codes'!$C$7:$C$70,0),1)</f>
        <v>South Atlantic Division</v>
      </c>
      <c r="F1717">
        <f>INDEX('CBECS_Table B5'!$C$6:$K$6,1,MATCH('County Climates'!E1717,'CBECS_Table B5'!$C$1:$K$1,0))</f>
        <v>17981</v>
      </c>
    </row>
    <row r="1718" spans="1:6" x14ac:dyDescent="0.25">
      <c r="A1718" t="s">
        <v>1493</v>
      </c>
      <c r="B1718" t="s">
        <v>1494</v>
      </c>
      <c r="C1718" t="s">
        <v>457</v>
      </c>
      <c r="D1718" t="s">
        <v>243</v>
      </c>
      <c r="E1718" t="str">
        <f>INDEX('State Codes'!$E$7:$E$70,MATCH(INDEX('State Codes'!$C$7:$C$70,MATCH('County Climates'!B1718,'State Codes'!$D$7:$D$70,0),1),'State Codes'!$C$7:$C$70,0),1)</f>
        <v>South Atlantic Division</v>
      </c>
      <c r="F1718">
        <f>INDEX('CBECS_Table B5'!$C$6:$K$6,1,MATCH('County Climates'!E1718,'CBECS_Table B5'!$C$1:$K$1,0))</f>
        <v>17981</v>
      </c>
    </row>
    <row r="1719" spans="1:6" x14ac:dyDescent="0.25">
      <c r="A1719" t="s">
        <v>1493</v>
      </c>
      <c r="B1719" t="s">
        <v>1494</v>
      </c>
      <c r="C1719" t="s">
        <v>1499</v>
      </c>
      <c r="D1719" t="s">
        <v>243</v>
      </c>
      <c r="E1719" t="str">
        <f>INDEX('State Codes'!$E$7:$E$70,MATCH(INDEX('State Codes'!$C$7:$C$70,MATCH('County Climates'!B1719,'State Codes'!$D$7:$D$70,0),1),'State Codes'!$C$7:$C$70,0),1)</f>
        <v>South Atlantic Division</v>
      </c>
      <c r="F1719">
        <f>INDEX('CBECS_Table B5'!$C$6:$K$6,1,MATCH('County Climates'!E1719,'CBECS_Table B5'!$C$1:$K$1,0))</f>
        <v>17981</v>
      </c>
    </row>
    <row r="1720" spans="1:6" x14ac:dyDescent="0.25">
      <c r="A1720" t="s">
        <v>1493</v>
      </c>
      <c r="B1720" t="s">
        <v>1494</v>
      </c>
      <c r="C1720" t="s">
        <v>1500</v>
      </c>
      <c r="D1720" t="s">
        <v>243</v>
      </c>
      <c r="E1720" t="str">
        <f>INDEX('State Codes'!$E$7:$E$70,MATCH(INDEX('State Codes'!$C$7:$C$70,MATCH('County Climates'!B1720,'State Codes'!$D$7:$D$70,0),1),'State Codes'!$C$7:$C$70,0),1)</f>
        <v>South Atlantic Division</v>
      </c>
      <c r="F1720">
        <f>INDEX('CBECS_Table B5'!$C$6:$K$6,1,MATCH('County Climates'!E1720,'CBECS_Table B5'!$C$1:$K$1,0))</f>
        <v>17981</v>
      </c>
    </row>
    <row r="1721" spans="1:6" x14ac:dyDescent="0.25">
      <c r="A1721" t="s">
        <v>1493</v>
      </c>
      <c r="B1721" t="s">
        <v>1494</v>
      </c>
      <c r="C1721" t="s">
        <v>1501</v>
      </c>
      <c r="D1721" t="s">
        <v>243</v>
      </c>
      <c r="E1721" t="str">
        <f>INDEX('State Codes'!$E$7:$E$70,MATCH(INDEX('State Codes'!$C$7:$C$70,MATCH('County Climates'!B1721,'State Codes'!$D$7:$D$70,0),1),'State Codes'!$C$7:$C$70,0),1)</f>
        <v>South Atlantic Division</v>
      </c>
      <c r="F1721">
        <f>INDEX('CBECS_Table B5'!$C$6:$K$6,1,MATCH('County Climates'!E1721,'CBECS_Table B5'!$C$1:$K$1,0))</f>
        <v>17981</v>
      </c>
    </row>
    <row r="1722" spans="1:6" x14ac:dyDescent="0.25">
      <c r="A1722" t="s">
        <v>1493</v>
      </c>
      <c r="B1722" t="s">
        <v>1494</v>
      </c>
      <c r="C1722" t="s">
        <v>270</v>
      </c>
      <c r="D1722" t="s">
        <v>243</v>
      </c>
      <c r="E1722" t="str">
        <f>INDEX('State Codes'!$E$7:$E$70,MATCH(INDEX('State Codes'!$C$7:$C$70,MATCH('County Climates'!B1722,'State Codes'!$D$7:$D$70,0),1),'State Codes'!$C$7:$C$70,0),1)</f>
        <v>South Atlantic Division</v>
      </c>
      <c r="F1722">
        <f>INDEX('CBECS_Table B5'!$C$6:$K$6,1,MATCH('County Climates'!E1722,'CBECS_Table B5'!$C$1:$K$1,0))</f>
        <v>17981</v>
      </c>
    </row>
    <row r="1723" spans="1:6" x14ac:dyDescent="0.25">
      <c r="A1723" t="s">
        <v>1493</v>
      </c>
      <c r="B1723" t="s">
        <v>1494</v>
      </c>
      <c r="C1723" t="s">
        <v>1502</v>
      </c>
      <c r="D1723" t="s">
        <v>243</v>
      </c>
      <c r="E1723" t="str">
        <f>INDEX('State Codes'!$E$7:$E$70,MATCH(INDEX('State Codes'!$C$7:$C$70,MATCH('County Climates'!B1723,'State Codes'!$D$7:$D$70,0),1),'State Codes'!$C$7:$C$70,0),1)</f>
        <v>South Atlantic Division</v>
      </c>
      <c r="F1723">
        <f>INDEX('CBECS_Table B5'!$C$6:$K$6,1,MATCH('County Climates'!E1723,'CBECS_Table B5'!$C$1:$K$1,0))</f>
        <v>17981</v>
      </c>
    </row>
    <row r="1724" spans="1:6" x14ac:dyDescent="0.25">
      <c r="A1724" t="s">
        <v>1493</v>
      </c>
      <c r="B1724" t="s">
        <v>1494</v>
      </c>
      <c r="C1724" t="s">
        <v>273</v>
      </c>
      <c r="D1724" t="s">
        <v>243</v>
      </c>
      <c r="E1724" t="str">
        <f>INDEX('State Codes'!$E$7:$E$70,MATCH(INDEX('State Codes'!$C$7:$C$70,MATCH('County Climates'!B1724,'State Codes'!$D$7:$D$70,0),1),'State Codes'!$C$7:$C$70,0),1)</f>
        <v>South Atlantic Division</v>
      </c>
      <c r="F1724">
        <f>INDEX('CBECS_Table B5'!$C$6:$K$6,1,MATCH('County Climates'!E1724,'CBECS_Table B5'!$C$1:$K$1,0))</f>
        <v>17981</v>
      </c>
    </row>
    <row r="1725" spans="1:6" x14ac:dyDescent="0.25">
      <c r="A1725" t="s">
        <v>1493</v>
      </c>
      <c r="B1725" t="s">
        <v>1494</v>
      </c>
      <c r="C1725" t="s">
        <v>1503</v>
      </c>
      <c r="D1725" t="s">
        <v>243</v>
      </c>
      <c r="E1725" t="str">
        <f>INDEX('State Codes'!$E$7:$E$70,MATCH(INDEX('State Codes'!$C$7:$C$70,MATCH('County Climates'!B1725,'State Codes'!$D$7:$D$70,0),1),'State Codes'!$C$7:$C$70,0),1)</f>
        <v>South Atlantic Division</v>
      </c>
      <c r="F1725">
        <f>INDEX('CBECS_Table B5'!$C$6:$K$6,1,MATCH('County Climates'!E1725,'CBECS_Table B5'!$C$1:$K$1,0))</f>
        <v>17981</v>
      </c>
    </row>
    <row r="1726" spans="1:6" x14ac:dyDescent="0.25">
      <c r="A1726" t="s">
        <v>1493</v>
      </c>
      <c r="B1726" t="s">
        <v>1494</v>
      </c>
      <c r="C1726" t="s">
        <v>1504</v>
      </c>
      <c r="D1726" t="s">
        <v>243</v>
      </c>
      <c r="E1726" t="str">
        <f>INDEX('State Codes'!$E$7:$E$70,MATCH(INDEX('State Codes'!$C$7:$C$70,MATCH('County Climates'!B1726,'State Codes'!$D$7:$D$70,0),1),'State Codes'!$C$7:$C$70,0),1)</f>
        <v>South Atlantic Division</v>
      </c>
      <c r="F1726">
        <f>INDEX('CBECS_Table B5'!$C$6:$K$6,1,MATCH('County Climates'!E1726,'CBECS_Table B5'!$C$1:$K$1,0))</f>
        <v>17981</v>
      </c>
    </row>
    <row r="1727" spans="1:6" x14ac:dyDescent="0.25">
      <c r="A1727" t="s">
        <v>1493</v>
      </c>
      <c r="B1727" t="s">
        <v>1494</v>
      </c>
      <c r="C1727" t="s">
        <v>1505</v>
      </c>
      <c r="D1727" t="s">
        <v>243</v>
      </c>
      <c r="E1727" t="str">
        <f>INDEX('State Codes'!$E$7:$E$70,MATCH(INDEX('State Codes'!$C$7:$C$70,MATCH('County Climates'!B1727,'State Codes'!$D$7:$D$70,0),1),'State Codes'!$C$7:$C$70,0),1)</f>
        <v>South Atlantic Division</v>
      </c>
      <c r="F1727">
        <f>INDEX('CBECS_Table B5'!$C$6:$K$6,1,MATCH('County Climates'!E1727,'CBECS_Table B5'!$C$1:$K$1,0))</f>
        <v>17981</v>
      </c>
    </row>
    <row r="1728" spans="1:6" x14ac:dyDescent="0.25">
      <c r="A1728" t="s">
        <v>1493</v>
      </c>
      <c r="B1728" t="s">
        <v>1494</v>
      </c>
      <c r="C1728" t="s">
        <v>1506</v>
      </c>
      <c r="D1728" t="s">
        <v>243</v>
      </c>
      <c r="E1728" t="str">
        <f>INDEX('State Codes'!$E$7:$E$70,MATCH(INDEX('State Codes'!$C$7:$C$70,MATCH('County Climates'!B1728,'State Codes'!$D$7:$D$70,0),1),'State Codes'!$C$7:$C$70,0),1)</f>
        <v>South Atlantic Division</v>
      </c>
      <c r="F1728">
        <f>INDEX('CBECS_Table B5'!$C$6:$K$6,1,MATCH('County Climates'!E1728,'CBECS_Table B5'!$C$1:$K$1,0))</f>
        <v>17981</v>
      </c>
    </row>
    <row r="1729" spans="1:6" x14ac:dyDescent="0.25">
      <c r="A1729" t="s">
        <v>1493</v>
      </c>
      <c r="B1729" t="s">
        <v>1494</v>
      </c>
      <c r="C1729" t="s">
        <v>609</v>
      </c>
      <c r="D1729" t="s">
        <v>243</v>
      </c>
      <c r="E1729" t="str">
        <f>INDEX('State Codes'!$E$7:$E$70,MATCH(INDEX('State Codes'!$C$7:$C$70,MATCH('County Climates'!B1729,'State Codes'!$D$7:$D$70,0),1),'State Codes'!$C$7:$C$70,0),1)</f>
        <v>South Atlantic Division</v>
      </c>
      <c r="F1729">
        <f>INDEX('CBECS_Table B5'!$C$6:$K$6,1,MATCH('County Climates'!E1729,'CBECS_Table B5'!$C$1:$K$1,0))</f>
        <v>17981</v>
      </c>
    </row>
    <row r="1730" spans="1:6" x14ac:dyDescent="0.25">
      <c r="A1730" t="s">
        <v>1493</v>
      </c>
      <c r="B1730" t="s">
        <v>1494</v>
      </c>
      <c r="C1730" t="s">
        <v>1507</v>
      </c>
      <c r="D1730" t="s">
        <v>243</v>
      </c>
      <c r="E1730" t="str">
        <f>INDEX('State Codes'!$E$7:$E$70,MATCH(INDEX('State Codes'!$C$7:$C$70,MATCH('County Climates'!B1730,'State Codes'!$D$7:$D$70,0),1),'State Codes'!$C$7:$C$70,0),1)</f>
        <v>South Atlantic Division</v>
      </c>
      <c r="F1730">
        <f>INDEX('CBECS_Table B5'!$C$6:$K$6,1,MATCH('County Climates'!E1730,'CBECS_Table B5'!$C$1:$K$1,0))</f>
        <v>17981</v>
      </c>
    </row>
    <row r="1731" spans="1:6" x14ac:dyDescent="0.25">
      <c r="A1731" t="s">
        <v>1493</v>
      </c>
      <c r="B1731" t="s">
        <v>1494</v>
      </c>
      <c r="C1731" t="s">
        <v>1508</v>
      </c>
      <c r="D1731" t="s">
        <v>243</v>
      </c>
      <c r="E1731" t="str">
        <f>INDEX('State Codes'!$E$7:$E$70,MATCH(INDEX('State Codes'!$C$7:$C$70,MATCH('County Climates'!B1731,'State Codes'!$D$7:$D$70,0),1),'State Codes'!$C$7:$C$70,0),1)</f>
        <v>South Atlantic Division</v>
      </c>
      <c r="F1731">
        <f>INDEX('CBECS_Table B5'!$C$6:$K$6,1,MATCH('County Climates'!E1731,'CBECS_Table B5'!$C$1:$K$1,0))</f>
        <v>17981</v>
      </c>
    </row>
    <row r="1732" spans="1:6" x14ac:dyDescent="0.25">
      <c r="A1732" t="s">
        <v>1493</v>
      </c>
      <c r="B1732" t="s">
        <v>1494</v>
      </c>
      <c r="C1732" t="s">
        <v>1509</v>
      </c>
      <c r="D1732" t="s">
        <v>243</v>
      </c>
      <c r="E1732" t="str">
        <f>INDEX('State Codes'!$E$7:$E$70,MATCH(INDEX('State Codes'!$C$7:$C$70,MATCH('County Climates'!B1732,'State Codes'!$D$7:$D$70,0),1),'State Codes'!$C$7:$C$70,0),1)</f>
        <v>South Atlantic Division</v>
      </c>
      <c r="F1732">
        <f>INDEX('CBECS_Table B5'!$C$6:$K$6,1,MATCH('County Climates'!E1732,'CBECS_Table B5'!$C$1:$K$1,0))</f>
        <v>17981</v>
      </c>
    </row>
    <row r="1733" spans="1:6" x14ac:dyDescent="0.25">
      <c r="A1733" t="s">
        <v>1493</v>
      </c>
      <c r="B1733" t="s">
        <v>1494</v>
      </c>
      <c r="C1733" t="s">
        <v>1510</v>
      </c>
      <c r="D1733" t="s">
        <v>243</v>
      </c>
      <c r="E1733" t="str">
        <f>INDEX('State Codes'!$E$7:$E$70,MATCH(INDEX('State Codes'!$C$7:$C$70,MATCH('County Climates'!B1733,'State Codes'!$D$7:$D$70,0),1),'State Codes'!$C$7:$C$70,0),1)</f>
        <v>South Atlantic Division</v>
      </c>
      <c r="F1733">
        <f>INDEX('CBECS_Table B5'!$C$6:$K$6,1,MATCH('County Climates'!E1733,'CBECS_Table B5'!$C$1:$K$1,0))</f>
        <v>17981</v>
      </c>
    </row>
    <row r="1734" spans="1:6" x14ac:dyDescent="0.25">
      <c r="A1734" t="s">
        <v>1493</v>
      </c>
      <c r="B1734" t="s">
        <v>1494</v>
      </c>
      <c r="C1734" t="s">
        <v>1511</v>
      </c>
      <c r="D1734" t="s">
        <v>243</v>
      </c>
      <c r="E1734" t="str">
        <f>INDEX('State Codes'!$E$7:$E$70,MATCH(INDEX('State Codes'!$C$7:$C$70,MATCH('County Climates'!B1734,'State Codes'!$D$7:$D$70,0),1),'State Codes'!$C$7:$C$70,0),1)</f>
        <v>South Atlantic Division</v>
      </c>
      <c r="F1734">
        <f>INDEX('CBECS_Table B5'!$C$6:$K$6,1,MATCH('County Climates'!E1734,'CBECS_Table B5'!$C$1:$K$1,0))</f>
        <v>17981</v>
      </c>
    </row>
    <row r="1735" spans="1:6" x14ac:dyDescent="0.25">
      <c r="A1735" t="s">
        <v>1493</v>
      </c>
      <c r="B1735" t="s">
        <v>1494</v>
      </c>
      <c r="C1735" t="s">
        <v>1034</v>
      </c>
      <c r="D1735" t="s">
        <v>243</v>
      </c>
      <c r="E1735" t="str">
        <f>INDEX('State Codes'!$E$7:$E$70,MATCH(INDEX('State Codes'!$C$7:$C$70,MATCH('County Climates'!B1735,'State Codes'!$D$7:$D$70,0),1),'State Codes'!$C$7:$C$70,0),1)</f>
        <v>South Atlantic Division</v>
      </c>
      <c r="F1735">
        <f>INDEX('CBECS_Table B5'!$C$6:$K$6,1,MATCH('County Climates'!E1735,'CBECS_Table B5'!$C$1:$K$1,0))</f>
        <v>17981</v>
      </c>
    </row>
    <row r="1736" spans="1:6" x14ac:dyDescent="0.25">
      <c r="A1736" t="s">
        <v>1493</v>
      </c>
      <c r="B1736" t="s">
        <v>1494</v>
      </c>
      <c r="C1736" t="s">
        <v>1512</v>
      </c>
      <c r="D1736" t="s">
        <v>243</v>
      </c>
      <c r="E1736" t="str">
        <f>INDEX('State Codes'!$E$7:$E$70,MATCH(INDEX('State Codes'!$C$7:$C$70,MATCH('County Climates'!B1736,'State Codes'!$D$7:$D$70,0),1),'State Codes'!$C$7:$C$70,0),1)</f>
        <v>South Atlantic Division</v>
      </c>
      <c r="F1736">
        <f>INDEX('CBECS_Table B5'!$C$6:$K$6,1,MATCH('County Climates'!E1736,'CBECS_Table B5'!$C$1:$K$1,0))</f>
        <v>17981</v>
      </c>
    </row>
    <row r="1737" spans="1:6" x14ac:dyDescent="0.25">
      <c r="A1737" t="s">
        <v>1493</v>
      </c>
      <c r="B1737" t="s">
        <v>1494</v>
      </c>
      <c r="C1737" t="s">
        <v>279</v>
      </c>
      <c r="D1737" t="s">
        <v>243</v>
      </c>
      <c r="E1737" t="str">
        <f>INDEX('State Codes'!$E$7:$E$70,MATCH(INDEX('State Codes'!$C$7:$C$70,MATCH('County Climates'!B1737,'State Codes'!$D$7:$D$70,0),1),'State Codes'!$C$7:$C$70,0),1)</f>
        <v>South Atlantic Division</v>
      </c>
      <c r="F1737">
        <f>INDEX('CBECS_Table B5'!$C$6:$K$6,1,MATCH('County Climates'!E1737,'CBECS_Table B5'!$C$1:$K$1,0))</f>
        <v>17981</v>
      </c>
    </row>
    <row r="1738" spans="1:6" x14ac:dyDescent="0.25">
      <c r="A1738" t="s">
        <v>1493</v>
      </c>
      <c r="B1738" t="s">
        <v>1494</v>
      </c>
      <c r="C1738" t="s">
        <v>280</v>
      </c>
      <c r="D1738" t="s">
        <v>243</v>
      </c>
      <c r="E1738" t="str">
        <f>INDEX('State Codes'!$E$7:$E$70,MATCH(INDEX('State Codes'!$C$7:$C$70,MATCH('County Climates'!B1738,'State Codes'!$D$7:$D$70,0),1),'State Codes'!$C$7:$C$70,0),1)</f>
        <v>South Atlantic Division</v>
      </c>
      <c r="F1738">
        <f>INDEX('CBECS_Table B5'!$C$6:$K$6,1,MATCH('County Climates'!E1738,'CBECS_Table B5'!$C$1:$K$1,0))</f>
        <v>17981</v>
      </c>
    </row>
    <row r="1739" spans="1:6" x14ac:dyDescent="0.25">
      <c r="A1739" t="s">
        <v>1493</v>
      </c>
      <c r="B1739" t="s">
        <v>1494</v>
      </c>
      <c r="C1739" t="s">
        <v>323</v>
      </c>
      <c r="D1739" t="s">
        <v>243</v>
      </c>
      <c r="E1739" t="str">
        <f>INDEX('State Codes'!$E$7:$E$70,MATCH(INDEX('State Codes'!$C$7:$C$70,MATCH('County Climates'!B1739,'State Codes'!$D$7:$D$70,0),1),'State Codes'!$C$7:$C$70,0),1)</f>
        <v>South Atlantic Division</v>
      </c>
      <c r="F1739">
        <f>INDEX('CBECS_Table B5'!$C$6:$K$6,1,MATCH('County Climates'!E1739,'CBECS_Table B5'!$C$1:$K$1,0))</f>
        <v>17981</v>
      </c>
    </row>
    <row r="1740" spans="1:6" x14ac:dyDescent="0.25">
      <c r="A1740" t="s">
        <v>1493</v>
      </c>
      <c r="B1740" t="s">
        <v>1494</v>
      </c>
      <c r="C1740" t="s">
        <v>383</v>
      </c>
      <c r="D1740" t="s">
        <v>243</v>
      </c>
      <c r="E1740" t="str">
        <f>INDEX('State Codes'!$E$7:$E$70,MATCH(INDEX('State Codes'!$C$7:$C$70,MATCH('County Climates'!B1740,'State Codes'!$D$7:$D$70,0),1),'State Codes'!$C$7:$C$70,0),1)</f>
        <v>South Atlantic Division</v>
      </c>
      <c r="F1740">
        <f>INDEX('CBECS_Table B5'!$C$6:$K$6,1,MATCH('County Climates'!E1740,'CBECS_Table B5'!$C$1:$K$1,0))</f>
        <v>17981</v>
      </c>
    </row>
    <row r="1741" spans="1:6" x14ac:dyDescent="0.25">
      <c r="A1741" t="s">
        <v>1493</v>
      </c>
      <c r="B1741" t="s">
        <v>1494</v>
      </c>
      <c r="C1741" t="s">
        <v>284</v>
      </c>
      <c r="D1741" t="s">
        <v>243</v>
      </c>
      <c r="E1741" t="str">
        <f>INDEX('State Codes'!$E$7:$E$70,MATCH(INDEX('State Codes'!$C$7:$C$70,MATCH('County Climates'!B1741,'State Codes'!$D$7:$D$70,0),1),'State Codes'!$C$7:$C$70,0),1)</f>
        <v>South Atlantic Division</v>
      </c>
      <c r="F1741">
        <f>INDEX('CBECS_Table B5'!$C$6:$K$6,1,MATCH('County Climates'!E1741,'CBECS_Table B5'!$C$1:$K$1,0))</f>
        <v>17981</v>
      </c>
    </row>
    <row r="1742" spans="1:6" x14ac:dyDescent="0.25">
      <c r="A1742" t="s">
        <v>1493</v>
      </c>
      <c r="B1742" t="s">
        <v>1494</v>
      </c>
      <c r="C1742" t="s">
        <v>1513</v>
      </c>
      <c r="D1742" t="s">
        <v>243</v>
      </c>
      <c r="E1742" t="str">
        <f>INDEX('State Codes'!$E$7:$E$70,MATCH(INDEX('State Codes'!$C$7:$C$70,MATCH('County Climates'!B1742,'State Codes'!$D$7:$D$70,0),1),'State Codes'!$C$7:$C$70,0),1)</f>
        <v>South Atlantic Division</v>
      </c>
      <c r="F1742">
        <f>INDEX('CBECS_Table B5'!$C$6:$K$6,1,MATCH('County Climates'!E1742,'CBECS_Table B5'!$C$1:$K$1,0))</f>
        <v>17981</v>
      </c>
    </row>
    <row r="1743" spans="1:6" x14ac:dyDescent="0.25">
      <c r="A1743" t="s">
        <v>1493</v>
      </c>
      <c r="B1743" t="s">
        <v>1494</v>
      </c>
      <c r="C1743" t="s">
        <v>1514</v>
      </c>
      <c r="D1743" t="s">
        <v>243</v>
      </c>
      <c r="E1743" t="str">
        <f>INDEX('State Codes'!$E$7:$E$70,MATCH(INDEX('State Codes'!$C$7:$C$70,MATCH('County Climates'!B1743,'State Codes'!$D$7:$D$70,0),1),'State Codes'!$C$7:$C$70,0),1)</f>
        <v>South Atlantic Division</v>
      </c>
      <c r="F1743">
        <f>INDEX('CBECS_Table B5'!$C$6:$K$6,1,MATCH('County Climates'!E1743,'CBECS_Table B5'!$C$1:$K$1,0))</f>
        <v>17981</v>
      </c>
    </row>
    <row r="1744" spans="1:6" x14ac:dyDescent="0.25">
      <c r="A1744" t="s">
        <v>1493</v>
      </c>
      <c r="B1744" t="s">
        <v>1494</v>
      </c>
      <c r="C1744" t="s">
        <v>892</v>
      </c>
      <c r="D1744" t="s">
        <v>243</v>
      </c>
      <c r="E1744" t="str">
        <f>INDEX('State Codes'!$E$7:$E$70,MATCH(INDEX('State Codes'!$C$7:$C$70,MATCH('County Climates'!B1744,'State Codes'!$D$7:$D$70,0),1),'State Codes'!$C$7:$C$70,0),1)</f>
        <v>South Atlantic Division</v>
      </c>
      <c r="F1744">
        <f>INDEX('CBECS_Table B5'!$C$6:$K$6,1,MATCH('County Climates'!E1744,'CBECS_Table B5'!$C$1:$K$1,0))</f>
        <v>17981</v>
      </c>
    </row>
    <row r="1745" spans="1:6" x14ac:dyDescent="0.25">
      <c r="A1745" t="s">
        <v>1493</v>
      </c>
      <c r="B1745" t="s">
        <v>1494</v>
      </c>
      <c r="C1745" t="s">
        <v>288</v>
      </c>
      <c r="D1745" t="s">
        <v>243</v>
      </c>
      <c r="E1745" t="str">
        <f>INDEX('State Codes'!$E$7:$E$70,MATCH(INDEX('State Codes'!$C$7:$C$70,MATCH('County Climates'!B1745,'State Codes'!$D$7:$D$70,0),1),'State Codes'!$C$7:$C$70,0),1)</f>
        <v>South Atlantic Division</v>
      </c>
      <c r="F1745">
        <f>INDEX('CBECS_Table B5'!$C$6:$K$6,1,MATCH('County Climates'!E1745,'CBECS_Table B5'!$C$1:$K$1,0))</f>
        <v>17981</v>
      </c>
    </row>
    <row r="1746" spans="1:6" x14ac:dyDescent="0.25">
      <c r="A1746" t="s">
        <v>1493</v>
      </c>
      <c r="B1746" t="s">
        <v>1494</v>
      </c>
      <c r="C1746" t="s">
        <v>1515</v>
      </c>
      <c r="D1746" t="s">
        <v>243</v>
      </c>
      <c r="E1746" t="str">
        <f>INDEX('State Codes'!$E$7:$E$70,MATCH(INDEX('State Codes'!$C$7:$C$70,MATCH('County Climates'!B1746,'State Codes'!$D$7:$D$70,0),1),'State Codes'!$C$7:$C$70,0),1)</f>
        <v>South Atlantic Division</v>
      </c>
      <c r="F1746">
        <f>INDEX('CBECS_Table B5'!$C$6:$K$6,1,MATCH('County Climates'!E1746,'CBECS_Table B5'!$C$1:$K$1,0))</f>
        <v>17981</v>
      </c>
    </row>
    <row r="1747" spans="1:6" x14ac:dyDescent="0.25">
      <c r="A1747" t="s">
        <v>1493</v>
      </c>
      <c r="B1747" t="s">
        <v>1494</v>
      </c>
      <c r="C1747" t="s">
        <v>290</v>
      </c>
      <c r="D1747" t="s">
        <v>243</v>
      </c>
      <c r="E1747" t="str">
        <f>INDEX('State Codes'!$E$7:$E$70,MATCH(INDEX('State Codes'!$C$7:$C$70,MATCH('County Climates'!B1747,'State Codes'!$D$7:$D$70,0),1),'State Codes'!$C$7:$C$70,0),1)</f>
        <v>South Atlantic Division</v>
      </c>
      <c r="F1747">
        <f>INDEX('CBECS_Table B5'!$C$6:$K$6,1,MATCH('County Climates'!E1747,'CBECS_Table B5'!$C$1:$K$1,0))</f>
        <v>17981</v>
      </c>
    </row>
    <row r="1748" spans="1:6" x14ac:dyDescent="0.25">
      <c r="A1748" t="s">
        <v>1493</v>
      </c>
      <c r="B1748" t="s">
        <v>1494</v>
      </c>
      <c r="C1748" t="s">
        <v>686</v>
      </c>
      <c r="D1748" t="s">
        <v>243</v>
      </c>
      <c r="E1748" t="str">
        <f>INDEX('State Codes'!$E$7:$E$70,MATCH(INDEX('State Codes'!$C$7:$C$70,MATCH('County Climates'!B1748,'State Codes'!$D$7:$D$70,0),1),'State Codes'!$C$7:$C$70,0),1)</f>
        <v>South Atlantic Division</v>
      </c>
      <c r="F1748">
        <f>INDEX('CBECS_Table B5'!$C$6:$K$6,1,MATCH('County Climates'!E1748,'CBECS_Table B5'!$C$1:$K$1,0))</f>
        <v>17981</v>
      </c>
    </row>
    <row r="1749" spans="1:6" x14ac:dyDescent="0.25">
      <c r="A1749" t="s">
        <v>1493</v>
      </c>
      <c r="B1749" t="s">
        <v>1494</v>
      </c>
      <c r="C1749" t="s">
        <v>1516</v>
      </c>
      <c r="D1749" t="s">
        <v>243</v>
      </c>
      <c r="E1749" t="str">
        <f>INDEX('State Codes'!$E$7:$E$70,MATCH(INDEX('State Codes'!$C$7:$C$70,MATCH('County Climates'!B1749,'State Codes'!$D$7:$D$70,0),1),'State Codes'!$C$7:$C$70,0),1)</f>
        <v>South Atlantic Division</v>
      </c>
      <c r="F1749">
        <f>INDEX('CBECS_Table B5'!$C$6:$K$6,1,MATCH('County Climates'!E1749,'CBECS_Table B5'!$C$1:$K$1,0))</f>
        <v>17981</v>
      </c>
    </row>
    <row r="1750" spans="1:6" x14ac:dyDescent="0.25">
      <c r="A1750" t="s">
        <v>1493</v>
      </c>
      <c r="B1750" t="s">
        <v>1494</v>
      </c>
      <c r="C1750" t="s">
        <v>293</v>
      </c>
      <c r="D1750" t="s">
        <v>243</v>
      </c>
      <c r="E1750" t="str">
        <f>INDEX('State Codes'!$E$7:$E$70,MATCH(INDEX('State Codes'!$C$7:$C$70,MATCH('County Climates'!B1750,'State Codes'!$D$7:$D$70,0),1),'State Codes'!$C$7:$C$70,0),1)</f>
        <v>South Atlantic Division</v>
      </c>
      <c r="F1750">
        <f>INDEX('CBECS_Table B5'!$C$6:$K$6,1,MATCH('County Climates'!E1750,'CBECS_Table B5'!$C$1:$K$1,0))</f>
        <v>17981</v>
      </c>
    </row>
    <row r="1751" spans="1:6" x14ac:dyDescent="0.25">
      <c r="A1751" t="s">
        <v>1493</v>
      </c>
      <c r="B1751" t="s">
        <v>1494</v>
      </c>
      <c r="C1751" t="s">
        <v>960</v>
      </c>
      <c r="D1751" t="s">
        <v>243</v>
      </c>
      <c r="E1751" t="str">
        <f>INDEX('State Codes'!$E$7:$E$70,MATCH(INDEX('State Codes'!$C$7:$C$70,MATCH('County Climates'!B1751,'State Codes'!$D$7:$D$70,0),1),'State Codes'!$C$7:$C$70,0),1)</f>
        <v>South Atlantic Division</v>
      </c>
      <c r="F1751">
        <f>INDEX('CBECS_Table B5'!$C$6:$K$6,1,MATCH('County Climates'!E1751,'CBECS_Table B5'!$C$1:$K$1,0))</f>
        <v>17981</v>
      </c>
    </row>
    <row r="1752" spans="1:6" x14ac:dyDescent="0.25">
      <c r="A1752" t="s">
        <v>1493</v>
      </c>
      <c r="B1752" t="s">
        <v>1494</v>
      </c>
      <c r="C1752" t="s">
        <v>1517</v>
      </c>
      <c r="D1752" t="s">
        <v>243</v>
      </c>
      <c r="E1752" t="str">
        <f>INDEX('State Codes'!$E$7:$E$70,MATCH(INDEX('State Codes'!$C$7:$C$70,MATCH('County Climates'!B1752,'State Codes'!$D$7:$D$70,0),1),'State Codes'!$C$7:$C$70,0),1)</f>
        <v>South Atlantic Division</v>
      </c>
      <c r="F1752">
        <f>INDEX('CBECS_Table B5'!$C$6:$K$6,1,MATCH('County Climates'!E1752,'CBECS_Table B5'!$C$1:$K$1,0))</f>
        <v>17981</v>
      </c>
    </row>
    <row r="1753" spans="1:6" x14ac:dyDescent="0.25">
      <c r="A1753" t="s">
        <v>1493</v>
      </c>
      <c r="B1753" t="s">
        <v>1494</v>
      </c>
      <c r="C1753" t="s">
        <v>1518</v>
      </c>
      <c r="D1753" t="s">
        <v>243</v>
      </c>
      <c r="E1753" t="str">
        <f>INDEX('State Codes'!$E$7:$E$70,MATCH(INDEX('State Codes'!$C$7:$C$70,MATCH('County Climates'!B1753,'State Codes'!$D$7:$D$70,0),1),'State Codes'!$C$7:$C$70,0),1)</f>
        <v>South Atlantic Division</v>
      </c>
      <c r="F1753">
        <f>INDEX('CBECS_Table B5'!$C$6:$K$6,1,MATCH('County Climates'!E1753,'CBECS_Table B5'!$C$1:$K$1,0))</f>
        <v>17981</v>
      </c>
    </row>
    <row r="1754" spans="1:6" x14ac:dyDescent="0.25">
      <c r="A1754" t="s">
        <v>1493</v>
      </c>
      <c r="B1754" t="s">
        <v>1494</v>
      </c>
      <c r="C1754" t="s">
        <v>966</v>
      </c>
      <c r="D1754" t="s">
        <v>243</v>
      </c>
      <c r="E1754" t="str">
        <f>INDEX('State Codes'!$E$7:$E$70,MATCH(INDEX('State Codes'!$C$7:$C$70,MATCH('County Climates'!B1754,'State Codes'!$D$7:$D$70,0),1),'State Codes'!$C$7:$C$70,0),1)</f>
        <v>South Atlantic Division</v>
      </c>
      <c r="F1754">
        <f>INDEX('CBECS_Table B5'!$C$6:$K$6,1,MATCH('County Climates'!E1754,'CBECS_Table B5'!$C$1:$K$1,0))</f>
        <v>17981</v>
      </c>
    </row>
    <row r="1755" spans="1:6" x14ac:dyDescent="0.25">
      <c r="A1755" t="s">
        <v>1493</v>
      </c>
      <c r="B1755" t="s">
        <v>1494</v>
      </c>
      <c r="C1755" t="s">
        <v>1519</v>
      </c>
      <c r="D1755" t="s">
        <v>243</v>
      </c>
      <c r="E1755" t="str">
        <f>INDEX('State Codes'!$E$7:$E$70,MATCH(INDEX('State Codes'!$C$7:$C$70,MATCH('County Climates'!B1755,'State Codes'!$D$7:$D$70,0),1),'State Codes'!$C$7:$C$70,0),1)</f>
        <v>South Atlantic Division</v>
      </c>
      <c r="F1755">
        <f>INDEX('CBECS_Table B5'!$C$6:$K$6,1,MATCH('County Climates'!E1755,'CBECS_Table B5'!$C$1:$K$1,0))</f>
        <v>17981</v>
      </c>
    </row>
    <row r="1756" spans="1:6" x14ac:dyDescent="0.25">
      <c r="A1756" t="s">
        <v>1493</v>
      </c>
      <c r="B1756" t="s">
        <v>1494</v>
      </c>
      <c r="C1756" t="s">
        <v>1520</v>
      </c>
      <c r="D1756" t="s">
        <v>243</v>
      </c>
      <c r="E1756" t="str">
        <f>INDEX('State Codes'!$E$7:$E$70,MATCH(INDEX('State Codes'!$C$7:$C$70,MATCH('County Climates'!B1756,'State Codes'!$D$7:$D$70,0),1),'State Codes'!$C$7:$C$70,0),1)</f>
        <v>South Atlantic Division</v>
      </c>
      <c r="F1756">
        <f>INDEX('CBECS_Table B5'!$C$6:$K$6,1,MATCH('County Climates'!E1756,'CBECS_Table B5'!$C$1:$K$1,0))</f>
        <v>17981</v>
      </c>
    </row>
    <row r="1757" spans="1:6" x14ac:dyDescent="0.25">
      <c r="A1757" t="s">
        <v>1493</v>
      </c>
      <c r="B1757" t="s">
        <v>1494</v>
      </c>
      <c r="C1757" t="s">
        <v>1521</v>
      </c>
      <c r="D1757" t="s">
        <v>243</v>
      </c>
      <c r="E1757" t="str">
        <f>INDEX('State Codes'!$E$7:$E$70,MATCH(INDEX('State Codes'!$C$7:$C$70,MATCH('County Climates'!B1757,'State Codes'!$D$7:$D$70,0),1),'State Codes'!$C$7:$C$70,0),1)</f>
        <v>South Atlantic Division</v>
      </c>
      <c r="F1757">
        <f>INDEX('CBECS_Table B5'!$C$6:$K$6,1,MATCH('County Climates'!E1757,'CBECS_Table B5'!$C$1:$K$1,0))</f>
        <v>17981</v>
      </c>
    </row>
    <row r="1758" spans="1:6" x14ac:dyDescent="0.25">
      <c r="A1758" t="s">
        <v>1493</v>
      </c>
      <c r="B1758" t="s">
        <v>1494</v>
      </c>
      <c r="C1758" t="s">
        <v>1522</v>
      </c>
      <c r="D1758" t="s">
        <v>243</v>
      </c>
      <c r="E1758" t="str">
        <f>INDEX('State Codes'!$E$7:$E$70,MATCH(INDEX('State Codes'!$C$7:$C$70,MATCH('County Climates'!B1758,'State Codes'!$D$7:$D$70,0),1),'State Codes'!$C$7:$C$70,0),1)</f>
        <v>South Atlantic Division</v>
      </c>
      <c r="F1758">
        <f>INDEX('CBECS_Table B5'!$C$6:$K$6,1,MATCH('County Climates'!E1758,'CBECS_Table B5'!$C$1:$K$1,0))</f>
        <v>17981</v>
      </c>
    </row>
    <row r="1759" spans="1:6" x14ac:dyDescent="0.25">
      <c r="A1759" t="s">
        <v>1493</v>
      </c>
      <c r="B1759" t="s">
        <v>1494</v>
      </c>
      <c r="C1759" t="s">
        <v>335</v>
      </c>
      <c r="D1759" t="s">
        <v>243</v>
      </c>
      <c r="E1759" t="str">
        <f>INDEX('State Codes'!$E$7:$E$70,MATCH(INDEX('State Codes'!$C$7:$C$70,MATCH('County Climates'!B1759,'State Codes'!$D$7:$D$70,0),1),'State Codes'!$C$7:$C$70,0),1)</f>
        <v>South Atlantic Division</v>
      </c>
      <c r="F1759">
        <f>INDEX('CBECS_Table B5'!$C$6:$K$6,1,MATCH('County Climates'!E1759,'CBECS_Table B5'!$C$1:$K$1,0))</f>
        <v>17981</v>
      </c>
    </row>
    <row r="1760" spans="1:6" x14ac:dyDescent="0.25">
      <c r="A1760" t="s">
        <v>1493</v>
      </c>
      <c r="B1760" t="s">
        <v>1494</v>
      </c>
      <c r="C1760" t="s">
        <v>556</v>
      </c>
      <c r="D1760" t="s">
        <v>243</v>
      </c>
      <c r="E1760" t="str">
        <f>INDEX('State Codes'!$E$7:$E$70,MATCH(INDEX('State Codes'!$C$7:$C$70,MATCH('County Climates'!B1760,'State Codes'!$D$7:$D$70,0),1),'State Codes'!$C$7:$C$70,0),1)</f>
        <v>South Atlantic Division</v>
      </c>
      <c r="F1760">
        <f>INDEX('CBECS_Table B5'!$C$6:$K$6,1,MATCH('County Climates'!E1760,'CBECS_Table B5'!$C$1:$K$1,0))</f>
        <v>17981</v>
      </c>
    </row>
    <row r="1761" spans="1:6" x14ac:dyDescent="0.25">
      <c r="A1761" t="s">
        <v>1493</v>
      </c>
      <c r="B1761" t="s">
        <v>1494</v>
      </c>
      <c r="C1761" t="s">
        <v>1523</v>
      </c>
      <c r="D1761" t="s">
        <v>243</v>
      </c>
      <c r="E1761" t="str">
        <f>INDEX('State Codes'!$E$7:$E$70,MATCH(INDEX('State Codes'!$C$7:$C$70,MATCH('County Climates'!B1761,'State Codes'!$D$7:$D$70,0),1),'State Codes'!$C$7:$C$70,0),1)</f>
        <v>South Atlantic Division</v>
      </c>
      <c r="F1761">
        <f>INDEX('CBECS_Table B5'!$C$6:$K$6,1,MATCH('County Climates'!E1761,'CBECS_Table B5'!$C$1:$K$1,0))</f>
        <v>17981</v>
      </c>
    </row>
    <row r="1762" spans="1:6" x14ac:dyDescent="0.25">
      <c r="A1762" t="s">
        <v>1493</v>
      </c>
      <c r="B1762" t="s">
        <v>1494</v>
      </c>
      <c r="C1762" t="s">
        <v>1524</v>
      </c>
      <c r="D1762" t="s">
        <v>243</v>
      </c>
      <c r="E1762" t="str">
        <f>INDEX('State Codes'!$E$7:$E$70,MATCH(INDEX('State Codes'!$C$7:$C$70,MATCH('County Climates'!B1762,'State Codes'!$D$7:$D$70,0),1),'State Codes'!$C$7:$C$70,0),1)</f>
        <v>South Atlantic Division</v>
      </c>
      <c r="F1762">
        <f>INDEX('CBECS_Table B5'!$C$6:$K$6,1,MATCH('County Climates'!E1762,'CBECS_Table B5'!$C$1:$K$1,0))</f>
        <v>17981</v>
      </c>
    </row>
    <row r="1763" spans="1:6" x14ac:dyDescent="0.25">
      <c r="A1763" t="s">
        <v>1493</v>
      </c>
      <c r="B1763" t="s">
        <v>1494</v>
      </c>
      <c r="C1763" t="s">
        <v>1525</v>
      </c>
      <c r="D1763" t="s">
        <v>243</v>
      </c>
      <c r="E1763" t="str">
        <f>INDEX('State Codes'!$E$7:$E$70,MATCH(INDEX('State Codes'!$C$7:$C$70,MATCH('County Climates'!B1763,'State Codes'!$D$7:$D$70,0),1),'State Codes'!$C$7:$C$70,0),1)</f>
        <v>South Atlantic Division</v>
      </c>
      <c r="F1763">
        <f>INDEX('CBECS_Table B5'!$C$6:$K$6,1,MATCH('County Climates'!E1763,'CBECS_Table B5'!$C$1:$K$1,0))</f>
        <v>17981</v>
      </c>
    </row>
    <row r="1764" spans="1:6" x14ac:dyDescent="0.25">
      <c r="A1764" t="s">
        <v>1493</v>
      </c>
      <c r="B1764" t="s">
        <v>1494</v>
      </c>
      <c r="C1764" t="s">
        <v>1526</v>
      </c>
      <c r="D1764" t="s">
        <v>243</v>
      </c>
      <c r="E1764" t="str">
        <f>INDEX('State Codes'!$E$7:$E$70,MATCH(INDEX('State Codes'!$C$7:$C$70,MATCH('County Climates'!B1764,'State Codes'!$D$7:$D$70,0),1),'State Codes'!$C$7:$C$70,0),1)</f>
        <v>South Atlantic Division</v>
      </c>
      <c r="F1764">
        <f>INDEX('CBECS_Table B5'!$C$6:$K$6,1,MATCH('County Climates'!E1764,'CBECS_Table B5'!$C$1:$K$1,0))</f>
        <v>17981</v>
      </c>
    </row>
    <row r="1765" spans="1:6" x14ac:dyDescent="0.25">
      <c r="A1765" t="s">
        <v>1493</v>
      </c>
      <c r="B1765" t="s">
        <v>1494</v>
      </c>
      <c r="C1765" t="s">
        <v>1527</v>
      </c>
      <c r="D1765" t="s">
        <v>243</v>
      </c>
      <c r="E1765" t="str">
        <f>INDEX('State Codes'!$E$7:$E$70,MATCH(INDEX('State Codes'!$C$7:$C$70,MATCH('County Climates'!B1765,'State Codes'!$D$7:$D$70,0),1),'State Codes'!$C$7:$C$70,0),1)</f>
        <v>South Atlantic Division</v>
      </c>
      <c r="F1765">
        <f>INDEX('CBECS_Table B5'!$C$6:$K$6,1,MATCH('County Climates'!E1765,'CBECS_Table B5'!$C$1:$K$1,0))</f>
        <v>17981</v>
      </c>
    </row>
    <row r="1766" spans="1:6" x14ac:dyDescent="0.25">
      <c r="A1766" t="s">
        <v>1493</v>
      </c>
      <c r="B1766" t="s">
        <v>1494</v>
      </c>
      <c r="C1766" t="s">
        <v>303</v>
      </c>
      <c r="D1766" t="s">
        <v>243</v>
      </c>
      <c r="E1766" t="str">
        <f>INDEX('State Codes'!$E$7:$E$70,MATCH(INDEX('State Codes'!$C$7:$C$70,MATCH('County Climates'!B1766,'State Codes'!$D$7:$D$70,0),1),'State Codes'!$C$7:$C$70,0),1)</f>
        <v>South Atlantic Division</v>
      </c>
      <c r="F1766">
        <f>INDEX('CBECS_Table B5'!$C$6:$K$6,1,MATCH('County Climates'!E1766,'CBECS_Table B5'!$C$1:$K$1,0))</f>
        <v>17981</v>
      </c>
    </row>
    <row r="1767" spans="1:6" x14ac:dyDescent="0.25">
      <c r="A1767" t="s">
        <v>1493</v>
      </c>
      <c r="B1767" t="s">
        <v>1494</v>
      </c>
      <c r="C1767" t="s">
        <v>1528</v>
      </c>
      <c r="D1767" t="s">
        <v>243</v>
      </c>
      <c r="E1767" t="str">
        <f>INDEX('State Codes'!$E$7:$E$70,MATCH(INDEX('State Codes'!$C$7:$C$70,MATCH('County Climates'!B1767,'State Codes'!$D$7:$D$70,0),1),'State Codes'!$C$7:$C$70,0),1)</f>
        <v>South Atlantic Division</v>
      </c>
      <c r="F1767">
        <f>INDEX('CBECS_Table B5'!$C$6:$K$6,1,MATCH('County Climates'!E1767,'CBECS_Table B5'!$C$1:$K$1,0))</f>
        <v>17981</v>
      </c>
    </row>
    <row r="1768" spans="1:6" x14ac:dyDescent="0.25">
      <c r="A1768" t="s">
        <v>1493</v>
      </c>
      <c r="B1768" t="s">
        <v>1494</v>
      </c>
      <c r="C1768" t="s">
        <v>705</v>
      </c>
      <c r="D1768" t="s">
        <v>243</v>
      </c>
      <c r="E1768" t="str">
        <f>INDEX('State Codes'!$E$7:$E$70,MATCH(INDEX('State Codes'!$C$7:$C$70,MATCH('County Climates'!B1768,'State Codes'!$D$7:$D$70,0),1),'State Codes'!$C$7:$C$70,0),1)</f>
        <v>South Atlantic Division</v>
      </c>
      <c r="F1768">
        <f>INDEX('CBECS_Table B5'!$C$6:$K$6,1,MATCH('County Climates'!E1768,'CBECS_Table B5'!$C$1:$K$1,0))</f>
        <v>17981</v>
      </c>
    </row>
    <row r="1769" spans="1:6" x14ac:dyDescent="0.25">
      <c r="A1769" t="s">
        <v>1493</v>
      </c>
      <c r="B1769" t="s">
        <v>1494</v>
      </c>
      <c r="C1769" t="s">
        <v>347</v>
      </c>
      <c r="D1769" t="s">
        <v>243</v>
      </c>
      <c r="E1769" t="str">
        <f>INDEX('State Codes'!$E$7:$E$70,MATCH(INDEX('State Codes'!$C$7:$C$70,MATCH('County Climates'!B1769,'State Codes'!$D$7:$D$70,0),1),'State Codes'!$C$7:$C$70,0),1)</f>
        <v>South Atlantic Division</v>
      </c>
      <c r="F1769">
        <f>INDEX('CBECS_Table B5'!$C$6:$K$6,1,MATCH('County Climates'!E1769,'CBECS_Table B5'!$C$1:$K$1,0))</f>
        <v>17981</v>
      </c>
    </row>
    <row r="1770" spans="1:6" x14ac:dyDescent="0.25">
      <c r="A1770" t="s">
        <v>1493</v>
      </c>
      <c r="B1770" t="s">
        <v>1494</v>
      </c>
      <c r="C1770" t="s">
        <v>1529</v>
      </c>
      <c r="D1770" t="s">
        <v>243</v>
      </c>
      <c r="E1770" t="str">
        <f>INDEX('State Codes'!$E$7:$E$70,MATCH(INDEX('State Codes'!$C$7:$C$70,MATCH('County Climates'!B1770,'State Codes'!$D$7:$D$70,0),1),'State Codes'!$C$7:$C$70,0),1)</f>
        <v>South Atlantic Division</v>
      </c>
      <c r="F1770">
        <f>INDEX('CBECS_Table B5'!$C$6:$K$6,1,MATCH('County Climates'!E1770,'CBECS_Table B5'!$C$1:$K$1,0))</f>
        <v>17981</v>
      </c>
    </row>
    <row r="1771" spans="1:6" x14ac:dyDescent="0.25">
      <c r="A1771" t="s">
        <v>1493</v>
      </c>
      <c r="B1771" t="s">
        <v>1494</v>
      </c>
      <c r="C1771" t="s">
        <v>1530</v>
      </c>
      <c r="D1771" t="s">
        <v>243</v>
      </c>
      <c r="E1771" t="str">
        <f>INDEX('State Codes'!$E$7:$E$70,MATCH(INDEX('State Codes'!$C$7:$C$70,MATCH('County Climates'!B1771,'State Codes'!$D$7:$D$70,0),1),'State Codes'!$C$7:$C$70,0),1)</f>
        <v>South Atlantic Division</v>
      </c>
      <c r="F1771">
        <f>INDEX('CBECS_Table B5'!$C$6:$K$6,1,MATCH('County Climates'!E1771,'CBECS_Table B5'!$C$1:$K$1,0))</f>
        <v>17981</v>
      </c>
    </row>
    <row r="1772" spans="1:6" x14ac:dyDescent="0.25">
      <c r="A1772" t="s">
        <v>1493</v>
      </c>
      <c r="B1772" t="s">
        <v>1494</v>
      </c>
      <c r="C1772" t="s">
        <v>495</v>
      </c>
      <c r="D1772" t="s">
        <v>243</v>
      </c>
      <c r="E1772" t="str">
        <f>INDEX('State Codes'!$E$7:$E$70,MATCH(INDEX('State Codes'!$C$7:$C$70,MATCH('County Climates'!B1772,'State Codes'!$D$7:$D$70,0),1),'State Codes'!$C$7:$C$70,0),1)</f>
        <v>South Atlantic Division</v>
      </c>
      <c r="F1772">
        <f>INDEX('CBECS_Table B5'!$C$6:$K$6,1,MATCH('County Climates'!E1772,'CBECS_Table B5'!$C$1:$K$1,0))</f>
        <v>17981</v>
      </c>
    </row>
    <row r="1773" spans="1:6" x14ac:dyDescent="0.25">
      <c r="A1773" t="s">
        <v>1493</v>
      </c>
      <c r="B1773" t="s">
        <v>1494</v>
      </c>
      <c r="C1773" t="s">
        <v>308</v>
      </c>
      <c r="D1773" t="s">
        <v>243</v>
      </c>
      <c r="E1773" t="str">
        <f>INDEX('State Codes'!$E$7:$E$70,MATCH(INDEX('State Codes'!$C$7:$C$70,MATCH('County Climates'!B1773,'State Codes'!$D$7:$D$70,0),1),'State Codes'!$C$7:$C$70,0),1)</f>
        <v>South Atlantic Division</v>
      </c>
      <c r="F1773">
        <f>INDEX('CBECS_Table B5'!$C$6:$K$6,1,MATCH('County Climates'!E1773,'CBECS_Table B5'!$C$1:$K$1,0))</f>
        <v>17981</v>
      </c>
    </row>
    <row r="1774" spans="1:6" x14ac:dyDescent="0.25">
      <c r="A1774" t="s">
        <v>1531</v>
      </c>
      <c r="B1774" t="s">
        <v>1532</v>
      </c>
      <c r="C1774" t="s">
        <v>1533</v>
      </c>
      <c r="D1774" t="s">
        <v>243</v>
      </c>
      <c r="E1774" t="str">
        <f>INDEX('State Codes'!$E$7:$E$70,MATCH(INDEX('State Codes'!$C$7:$C$70,MATCH('County Climates'!B1774,'State Codes'!$D$7:$D$70,0),1),'State Codes'!$C$7:$C$70,0),1)</f>
        <v>South Atlantic Division</v>
      </c>
      <c r="F1774">
        <f>INDEX('CBECS_Table B5'!$C$6:$K$6,1,MATCH('County Climates'!E1774,'CBECS_Table B5'!$C$1:$K$1,0))</f>
        <v>17981</v>
      </c>
    </row>
    <row r="1775" spans="1:6" x14ac:dyDescent="0.25">
      <c r="A1775" t="s">
        <v>1531</v>
      </c>
      <c r="B1775" t="s">
        <v>1532</v>
      </c>
      <c r="C1775" t="s">
        <v>1534</v>
      </c>
      <c r="D1775" t="s">
        <v>243</v>
      </c>
      <c r="E1775" t="str">
        <f>INDEX('State Codes'!$E$7:$E$70,MATCH(INDEX('State Codes'!$C$7:$C$70,MATCH('County Climates'!B1775,'State Codes'!$D$7:$D$70,0),1),'State Codes'!$C$7:$C$70,0),1)</f>
        <v>South Atlantic Division</v>
      </c>
      <c r="F1775">
        <f>INDEX('CBECS_Table B5'!$C$6:$K$6,1,MATCH('County Climates'!E1775,'CBECS_Table B5'!$C$1:$K$1,0))</f>
        <v>17981</v>
      </c>
    </row>
    <row r="1776" spans="1:6" x14ac:dyDescent="0.25">
      <c r="A1776" t="s">
        <v>1531</v>
      </c>
      <c r="B1776" t="s">
        <v>1532</v>
      </c>
      <c r="C1776" t="s">
        <v>1535</v>
      </c>
      <c r="D1776" t="s">
        <v>243</v>
      </c>
      <c r="E1776" t="str">
        <f>INDEX('State Codes'!$E$7:$E$70,MATCH(INDEX('State Codes'!$C$7:$C$70,MATCH('County Climates'!B1776,'State Codes'!$D$7:$D$70,0),1),'State Codes'!$C$7:$C$70,0),1)</f>
        <v>South Atlantic Division</v>
      </c>
      <c r="F1776">
        <f>INDEX('CBECS_Table B5'!$C$6:$K$6,1,MATCH('County Climates'!E1776,'CBECS_Table B5'!$C$1:$K$1,0))</f>
        <v>17981</v>
      </c>
    </row>
    <row r="1777" spans="1:6" x14ac:dyDescent="0.25">
      <c r="A1777" t="s">
        <v>1531</v>
      </c>
      <c r="B1777" t="s">
        <v>1532</v>
      </c>
      <c r="C1777" t="s">
        <v>896</v>
      </c>
      <c r="D1777" t="s">
        <v>247</v>
      </c>
      <c r="E1777" t="str">
        <f>INDEX('State Codes'!$E$7:$E$70,MATCH(INDEX('State Codes'!$C$7:$C$70,MATCH('County Climates'!B1777,'State Codes'!$D$7:$D$70,0),1),'State Codes'!$C$7:$C$70,0),1)</f>
        <v>South Atlantic Division</v>
      </c>
      <c r="F1777">
        <f>INDEX('CBECS_Table B5'!$C$6:$K$6,1,MATCH('County Climates'!E1777,'CBECS_Table B5'!$C$1:$K$1,0))</f>
        <v>17981</v>
      </c>
    </row>
    <row r="1778" spans="1:6" x14ac:dyDescent="0.25">
      <c r="A1778" t="s">
        <v>1531</v>
      </c>
      <c r="B1778" t="s">
        <v>1532</v>
      </c>
      <c r="C1778" t="s">
        <v>610</v>
      </c>
      <c r="D1778" t="s">
        <v>247</v>
      </c>
      <c r="E1778" t="str">
        <f>INDEX('State Codes'!$E$7:$E$70,MATCH(INDEX('State Codes'!$C$7:$C$70,MATCH('County Climates'!B1778,'State Codes'!$D$7:$D$70,0),1),'State Codes'!$C$7:$C$70,0),1)</f>
        <v>South Atlantic Division</v>
      </c>
      <c r="F1778">
        <f>INDEX('CBECS_Table B5'!$C$6:$K$6,1,MATCH('County Climates'!E1778,'CBECS_Table B5'!$C$1:$K$1,0))</f>
        <v>17981</v>
      </c>
    </row>
    <row r="1779" spans="1:6" x14ac:dyDescent="0.25">
      <c r="A1779" t="s">
        <v>1531</v>
      </c>
      <c r="B1779" t="s">
        <v>1532</v>
      </c>
      <c r="C1779" t="s">
        <v>1536</v>
      </c>
      <c r="D1779" t="s">
        <v>247</v>
      </c>
      <c r="E1779" t="str">
        <f>INDEX('State Codes'!$E$7:$E$70,MATCH(INDEX('State Codes'!$C$7:$C$70,MATCH('County Climates'!B1779,'State Codes'!$D$7:$D$70,0),1),'State Codes'!$C$7:$C$70,0),1)</f>
        <v>South Atlantic Division</v>
      </c>
      <c r="F1779">
        <f>INDEX('CBECS_Table B5'!$C$6:$K$6,1,MATCH('County Climates'!E1779,'CBECS_Table B5'!$C$1:$K$1,0))</f>
        <v>17981</v>
      </c>
    </row>
    <row r="1780" spans="1:6" x14ac:dyDescent="0.25">
      <c r="A1780" t="s">
        <v>1531</v>
      </c>
      <c r="B1780" t="s">
        <v>1532</v>
      </c>
      <c r="C1780" t="s">
        <v>1202</v>
      </c>
      <c r="D1780" t="s">
        <v>247</v>
      </c>
      <c r="E1780" t="str">
        <f>INDEX('State Codes'!$E$7:$E$70,MATCH(INDEX('State Codes'!$C$7:$C$70,MATCH('County Climates'!B1780,'State Codes'!$D$7:$D$70,0),1),'State Codes'!$C$7:$C$70,0),1)</f>
        <v>South Atlantic Division</v>
      </c>
      <c r="F1780">
        <f>INDEX('CBECS_Table B5'!$C$6:$K$6,1,MATCH('County Climates'!E1780,'CBECS_Table B5'!$C$1:$K$1,0))</f>
        <v>17981</v>
      </c>
    </row>
    <row r="1781" spans="1:6" x14ac:dyDescent="0.25">
      <c r="A1781" t="s">
        <v>1531</v>
      </c>
      <c r="B1781" t="s">
        <v>1532</v>
      </c>
      <c r="C1781" t="s">
        <v>672</v>
      </c>
      <c r="D1781" t="s">
        <v>247</v>
      </c>
      <c r="E1781" t="str">
        <f>INDEX('State Codes'!$E$7:$E$70,MATCH(INDEX('State Codes'!$C$7:$C$70,MATCH('County Climates'!B1781,'State Codes'!$D$7:$D$70,0),1),'State Codes'!$C$7:$C$70,0),1)</f>
        <v>South Atlantic Division</v>
      </c>
      <c r="F1781">
        <f>INDEX('CBECS_Table B5'!$C$6:$K$6,1,MATCH('County Climates'!E1781,'CBECS_Table B5'!$C$1:$K$1,0))</f>
        <v>17981</v>
      </c>
    </row>
    <row r="1782" spans="1:6" x14ac:dyDescent="0.25">
      <c r="A1782" t="s">
        <v>1531</v>
      </c>
      <c r="B1782" t="s">
        <v>1532</v>
      </c>
      <c r="C1782" t="s">
        <v>1537</v>
      </c>
      <c r="D1782" t="s">
        <v>247</v>
      </c>
      <c r="E1782" t="str">
        <f>INDEX('State Codes'!$E$7:$E$70,MATCH(INDEX('State Codes'!$C$7:$C$70,MATCH('County Climates'!B1782,'State Codes'!$D$7:$D$70,0),1),'State Codes'!$C$7:$C$70,0),1)</f>
        <v>South Atlantic Division</v>
      </c>
      <c r="F1782">
        <f>INDEX('CBECS_Table B5'!$C$6:$K$6,1,MATCH('County Climates'!E1782,'CBECS_Table B5'!$C$1:$K$1,0))</f>
        <v>17981</v>
      </c>
    </row>
    <row r="1783" spans="1:6" x14ac:dyDescent="0.25">
      <c r="A1783" t="s">
        <v>1531</v>
      </c>
      <c r="B1783" t="s">
        <v>1532</v>
      </c>
      <c r="C1783" t="s">
        <v>277</v>
      </c>
      <c r="D1783" t="s">
        <v>247</v>
      </c>
      <c r="E1783" t="str">
        <f>INDEX('State Codes'!$E$7:$E$70,MATCH(INDEX('State Codes'!$C$7:$C$70,MATCH('County Climates'!B1783,'State Codes'!$D$7:$D$70,0),1),'State Codes'!$C$7:$C$70,0),1)</f>
        <v>South Atlantic Division</v>
      </c>
      <c r="F1783">
        <f>INDEX('CBECS_Table B5'!$C$6:$K$6,1,MATCH('County Climates'!E1783,'CBECS_Table B5'!$C$1:$K$1,0))</f>
        <v>17981</v>
      </c>
    </row>
    <row r="1784" spans="1:6" x14ac:dyDescent="0.25">
      <c r="A1784" t="s">
        <v>1531</v>
      </c>
      <c r="B1784" t="s">
        <v>1532</v>
      </c>
      <c r="C1784" t="s">
        <v>278</v>
      </c>
      <c r="D1784" t="s">
        <v>243</v>
      </c>
      <c r="E1784" t="str">
        <f>INDEX('State Codes'!$E$7:$E$70,MATCH(INDEX('State Codes'!$C$7:$C$70,MATCH('County Climates'!B1784,'State Codes'!$D$7:$D$70,0),1),'State Codes'!$C$7:$C$70,0),1)</f>
        <v>South Atlantic Division</v>
      </c>
      <c r="F1784">
        <f>INDEX('CBECS_Table B5'!$C$6:$K$6,1,MATCH('County Climates'!E1784,'CBECS_Table B5'!$C$1:$K$1,0))</f>
        <v>17981</v>
      </c>
    </row>
    <row r="1785" spans="1:6" x14ac:dyDescent="0.25">
      <c r="A1785" t="s">
        <v>1531</v>
      </c>
      <c r="B1785" t="s">
        <v>1532</v>
      </c>
      <c r="C1785" t="s">
        <v>1538</v>
      </c>
      <c r="D1785" t="s">
        <v>243</v>
      </c>
      <c r="E1785" t="str">
        <f>INDEX('State Codes'!$E$7:$E$70,MATCH(INDEX('State Codes'!$C$7:$C$70,MATCH('County Climates'!B1785,'State Codes'!$D$7:$D$70,0),1),'State Codes'!$C$7:$C$70,0),1)</f>
        <v>South Atlantic Division</v>
      </c>
      <c r="F1785">
        <f>INDEX('CBECS_Table B5'!$C$6:$K$6,1,MATCH('County Climates'!E1785,'CBECS_Table B5'!$C$1:$K$1,0))</f>
        <v>17981</v>
      </c>
    </row>
    <row r="1786" spans="1:6" x14ac:dyDescent="0.25">
      <c r="A1786" t="s">
        <v>1531</v>
      </c>
      <c r="B1786" t="s">
        <v>1532</v>
      </c>
      <c r="C1786" t="s">
        <v>279</v>
      </c>
      <c r="D1786" t="s">
        <v>247</v>
      </c>
      <c r="E1786" t="str">
        <f>INDEX('State Codes'!$E$7:$E$70,MATCH(INDEX('State Codes'!$C$7:$C$70,MATCH('County Climates'!B1786,'State Codes'!$D$7:$D$70,0),1),'State Codes'!$C$7:$C$70,0),1)</f>
        <v>South Atlantic Division</v>
      </c>
      <c r="F1786">
        <f>INDEX('CBECS_Table B5'!$C$6:$K$6,1,MATCH('County Climates'!E1786,'CBECS_Table B5'!$C$1:$K$1,0))</f>
        <v>17981</v>
      </c>
    </row>
    <row r="1787" spans="1:6" x14ac:dyDescent="0.25">
      <c r="A1787" t="s">
        <v>1531</v>
      </c>
      <c r="B1787" t="s">
        <v>1532</v>
      </c>
      <c r="C1787" t="s">
        <v>616</v>
      </c>
      <c r="D1787" t="s">
        <v>247</v>
      </c>
      <c r="E1787" t="str">
        <f>INDEX('State Codes'!$E$7:$E$70,MATCH(INDEX('State Codes'!$C$7:$C$70,MATCH('County Climates'!B1787,'State Codes'!$D$7:$D$70,0),1),'State Codes'!$C$7:$C$70,0),1)</f>
        <v>South Atlantic Division</v>
      </c>
      <c r="F1787">
        <f>INDEX('CBECS_Table B5'!$C$6:$K$6,1,MATCH('County Climates'!E1787,'CBECS_Table B5'!$C$1:$K$1,0))</f>
        <v>17981</v>
      </c>
    </row>
    <row r="1788" spans="1:6" x14ac:dyDescent="0.25">
      <c r="A1788" t="s">
        <v>1531</v>
      </c>
      <c r="B1788" t="s">
        <v>1532</v>
      </c>
      <c r="C1788" t="s">
        <v>1213</v>
      </c>
      <c r="D1788" t="s">
        <v>243</v>
      </c>
      <c r="E1788" t="str">
        <f>INDEX('State Codes'!$E$7:$E$70,MATCH(INDEX('State Codes'!$C$7:$C$70,MATCH('County Climates'!B1788,'State Codes'!$D$7:$D$70,0),1),'State Codes'!$C$7:$C$70,0),1)</f>
        <v>South Atlantic Division</v>
      </c>
      <c r="F1788">
        <f>INDEX('CBECS_Table B5'!$C$6:$K$6,1,MATCH('County Climates'!E1788,'CBECS_Table B5'!$C$1:$K$1,0))</f>
        <v>17981</v>
      </c>
    </row>
    <row r="1789" spans="1:6" x14ac:dyDescent="0.25">
      <c r="A1789" t="s">
        <v>1531</v>
      </c>
      <c r="B1789" t="s">
        <v>1532</v>
      </c>
      <c r="C1789" t="s">
        <v>280</v>
      </c>
      <c r="D1789" t="s">
        <v>247</v>
      </c>
      <c r="E1789" t="str">
        <f>INDEX('State Codes'!$E$7:$E$70,MATCH(INDEX('State Codes'!$C$7:$C$70,MATCH('County Climates'!B1789,'State Codes'!$D$7:$D$70,0),1),'State Codes'!$C$7:$C$70,0),1)</f>
        <v>South Atlantic Division</v>
      </c>
      <c r="F1789">
        <f>INDEX('CBECS_Table B5'!$C$6:$K$6,1,MATCH('County Climates'!E1789,'CBECS_Table B5'!$C$1:$K$1,0))</f>
        <v>17981</v>
      </c>
    </row>
    <row r="1790" spans="1:6" x14ac:dyDescent="0.25">
      <c r="A1790" t="s">
        <v>1531</v>
      </c>
      <c r="B1790" t="s">
        <v>1532</v>
      </c>
      <c r="C1790" t="s">
        <v>1539</v>
      </c>
      <c r="D1790" t="s">
        <v>243</v>
      </c>
      <c r="E1790" t="str">
        <f>INDEX('State Codes'!$E$7:$E$70,MATCH(INDEX('State Codes'!$C$7:$C$70,MATCH('County Climates'!B1790,'State Codes'!$D$7:$D$70,0),1),'State Codes'!$C$7:$C$70,0),1)</f>
        <v>South Atlantic Division</v>
      </c>
      <c r="F1790">
        <f>INDEX('CBECS_Table B5'!$C$6:$K$6,1,MATCH('County Climates'!E1790,'CBECS_Table B5'!$C$1:$K$1,0))</f>
        <v>17981</v>
      </c>
    </row>
    <row r="1791" spans="1:6" x14ac:dyDescent="0.25">
      <c r="A1791" t="s">
        <v>1531</v>
      </c>
      <c r="B1791" t="s">
        <v>1532</v>
      </c>
      <c r="C1791" t="s">
        <v>322</v>
      </c>
      <c r="D1791" t="s">
        <v>243</v>
      </c>
      <c r="E1791" t="str">
        <f>INDEX('State Codes'!$E$7:$E$70,MATCH(INDEX('State Codes'!$C$7:$C$70,MATCH('County Climates'!B1791,'State Codes'!$D$7:$D$70,0),1),'State Codes'!$C$7:$C$70,0),1)</f>
        <v>South Atlantic Division</v>
      </c>
      <c r="F1791">
        <f>INDEX('CBECS_Table B5'!$C$6:$K$6,1,MATCH('County Climates'!E1791,'CBECS_Table B5'!$C$1:$K$1,0))</f>
        <v>17981</v>
      </c>
    </row>
    <row r="1792" spans="1:6" x14ac:dyDescent="0.25">
      <c r="A1792" t="s">
        <v>1531</v>
      </c>
      <c r="B1792" t="s">
        <v>1532</v>
      </c>
      <c r="C1792" t="s">
        <v>617</v>
      </c>
      <c r="D1792" t="s">
        <v>247</v>
      </c>
      <c r="E1792" t="str">
        <f>INDEX('State Codes'!$E$7:$E$70,MATCH(INDEX('State Codes'!$C$7:$C$70,MATCH('County Climates'!B1792,'State Codes'!$D$7:$D$70,0),1),'State Codes'!$C$7:$C$70,0),1)</f>
        <v>South Atlantic Division</v>
      </c>
      <c r="F1792">
        <f>INDEX('CBECS_Table B5'!$C$6:$K$6,1,MATCH('County Climates'!E1792,'CBECS_Table B5'!$C$1:$K$1,0))</f>
        <v>17981</v>
      </c>
    </row>
    <row r="1793" spans="1:6" x14ac:dyDescent="0.25">
      <c r="A1793" t="s">
        <v>1531</v>
      </c>
      <c r="B1793" t="s">
        <v>1532</v>
      </c>
      <c r="C1793" t="s">
        <v>281</v>
      </c>
      <c r="D1793" t="s">
        <v>247</v>
      </c>
      <c r="E1793" t="str">
        <f>INDEX('State Codes'!$E$7:$E$70,MATCH(INDEX('State Codes'!$C$7:$C$70,MATCH('County Climates'!B1793,'State Codes'!$D$7:$D$70,0),1),'State Codes'!$C$7:$C$70,0),1)</f>
        <v>South Atlantic Division</v>
      </c>
      <c r="F1793">
        <f>INDEX('CBECS_Table B5'!$C$6:$K$6,1,MATCH('County Climates'!E1793,'CBECS_Table B5'!$C$1:$K$1,0))</f>
        <v>17981</v>
      </c>
    </row>
    <row r="1794" spans="1:6" x14ac:dyDescent="0.25">
      <c r="A1794" t="s">
        <v>1531</v>
      </c>
      <c r="B1794" t="s">
        <v>1532</v>
      </c>
      <c r="C1794" t="s">
        <v>1540</v>
      </c>
      <c r="D1794" t="s">
        <v>243</v>
      </c>
      <c r="E1794" t="str">
        <f>INDEX('State Codes'!$E$7:$E$70,MATCH(INDEX('State Codes'!$C$7:$C$70,MATCH('County Climates'!B1794,'State Codes'!$D$7:$D$70,0),1),'State Codes'!$C$7:$C$70,0),1)</f>
        <v>South Atlantic Division</v>
      </c>
      <c r="F1794">
        <f>INDEX('CBECS_Table B5'!$C$6:$K$6,1,MATCH('County Climates'!E1794,'CBECS_Table B5'!$C$1:$K$1,0))</f>
        <v>17981</v>
      </c>
    </row>
    <row r="1795" spans="1:6" x14ac:dyDescent="0.25">
      <c r="A1795" t="s">
        <v>1531</v>
      </c>
      <c r="B1795" t="s">
        <v>1532</v>
      </c>
      <c r="C1795" t="s">
        <v>1111</v>
      </c>
      <c r="D1795" t="s">
        <v>243</v>
      </c>
      <c r="E1795" t="str">
        <f>INDEX('State Codes'!$E$7:$E$70,MATCH(INDEX('State Codes'!$C$7:$C$70,MATCH('County Climates'!B1795,'State Codes'!$D$7:$D$70,0),1),'State Codes'!$C$7:$C$70,0),1)</f>
        <v>South Atlantic Division</v>
      </c>
      <c r="F1795">
        <f>INDEX('CBECS_Table B5'!$C$6:$K$6,1,MATCH('County Climates'!E1795,'CBECS_Table B5'!$C$1:$K$1,0))</f>
        <v>17981</v>
      </c>
    </row>
    <row r="1796" spans="1:6" x14ac:dyDescent="0.25">
      <c r="A1796" t="s">
        <v>1531</v>
      </c>
      <c r="B1796" t="s">
        <v>1532</v>
      </c>
      <c r="C1796" t="s">
        <v>284</v>
      </c>
      <c r="D1796" t="s">
        <v>243</v>
      </c>
      <c r="E1796" t="str">
        <f>INDEX('State Codes'!$E$7:$E$70,MATCH(INDEX('State Codes'!$C$7:$C$70,MATCH('County Climates'!B1796,'State Codes'!$D$7:$D$70,0),1),'State Codes'!$C$7:$C$70,0),1)</f>
        <v>South Atlantic Division</v>
      </c>
      <c r="F1796">
        <f>INDEX('CBECS_Table B5'!$C$6:$K$6,1,MATCH('County Climates'!E1796,'CBECS_Table B5'!$C$1:$K$1,0))</f>
        <v>17981</v>
      </c>
    </row>
    <row r="1797" spans="1:6" x14ac:dyDescent="0.25">
      <c r="A1797" t="s">
        <v>1531</v>
      </c>
      <c r="B1797" t="s">
        <v>1532</v>
      </c>
      <c r="C1797" t="s">
        <v>892</v>
      </c>
      <c r="D1797" t="s">
        <v>243</v>
      </c>
      <c r="E1797" t="str">
        <f>INDEX('State Codes'!$E$7:$E$70,MATCH(INDEX('State Codes'!$C$7:$C$70,MATCH('County Climates'!B1797,'State Codes'!$D$7:$D$70,0),1),'State Codes'!$C$7:$C$70,0),1)</f>
        <v>South Atlantic Division</v>
      </c>
      <c r="F1797">
        <f>INDEX('CBECS_Table B5'!$C$6:$K$6,1,MATCH('County Climates'!E1797,'CBECS_Table B5'!$C$1:$K$1,0))</f>
        <v>17981</v>
      </c>
    </row>
    <row r="1798" spans="1:6" x14ac:dyDescent="0.25">
      <c r="A1798" t="s">
        <v>1531</v>
      </c>
      <c r="B1798" t="s">
        <v>1532</v>
      </c>
      <c r="C1798" t="s">
        <v>324</v>
      </c>
      <c r="D1798" t="s">
        <v>247</v>
      </c>
      <c r="E1798" t="str">
        <f>INDEX('State Codes'!$E$7:$E$70,MATCH(INDEX('State Codes'!$C$7:$C$70,MATCH('County Climates'!B1798,'State Codes'!$D$7:$D$70,0),1),'State Codes'!$C$7:$C$70,0),1)</f>
        <v>South Atlantic Division</v>
      </c>
      <c r="F1798">
        <f>INDEX('CBECS_Table B5'!$C$6:$K$6,1,MATCH('County Climates'!E1798,'CBECS_Table B5'!$C$1:$K$1,0))</f>
        <v>17981</v>
      </c>
    </row>
    <row r="1799" spans="1:6" x14ac:dyDescent="0.25">
      <c r="A1799" t="s">
        <v>1531</v>
      </c>
      <c r="B1799" t="s">
        <v>1532</v>
      </c>
      <c r="C1799" t="s">
        <v>1541</v>
      </c>
      <c r="D1799" t="s">
        <v>243</v>
      </c>
      <c r="E1799" t="str">
        <f>INDEX('State Codes'!$E$7:$E$70,MATCH(INDEX('State Codes'!$C$7:$C$70,MATCH('County Climates'!B1799,'State Codes'!$D$7:$D$70,0),1),'State Codes'!$C$7:$C$70,0),1)</f>
        <v>South Atlantic Division</v>
      </c>
      <c r="F1799">
        <f>INDEX('CBECS_Table B5'!$C$6:$K$6,1,MATCH('County Climates'!E1799,'CBECS_Table B5'!$C$1:$K$1,0))</f>
        <v>17981</v>
      </c>
    </row>
    <row r="1800" spans="1:6" x14ac:dyDescent="0.25">
      <c r="A1800" t="s">
        <v>1531</v>
      </c>
      <c r="B1800" t="s">
        <v>1532</v>
      </c>
      <c r="C1800" t="s">
        <v>286</v>
      </c>
      <c r="D1800" t="s">
        <v>243</v>
      </c>
      <c r="E1800" t="str">
        <f>INDEX('State Codes'!$E$7:$E$70,MATCH(INDEX('State Codes'!$C$7:$C$70,MATCH('County Climates'!B1800,'State Codes'!$D$7:$D$70,0),1),'State Codes'!$C$7:$C$70,0),1)</f>
        <v>South Atlantic Division</v>
      </c>
      <c r="F1800">
        <f>INDEX('CBECS_Table B5'!$C$6:$K$6,1,MATCH('County Climates'!E1800,'CBECS_Table B5'!$C$1:$K$1,0))</f>
        <v>17981</v>
      </c>
    </row>
    <row r="1801" spans="1:6" x14ac:dyDescent="0.25">
      <c r="A1801" t="s">
        <v>1531</v>
      </c>
      <c r="B1801" t="s">
        <v>1532</v>
      </c>
      <c r="C1801" t="s">
        <v>1542</v>
      </c>
      <c r="D1801" t="s">
        <v>247</v>
      </c>
      <c r="E1801" t="str">
        <f>INDEX('State Codes'!$E$7:$E$70,MATCH(INDEX('State Codes'!$C$7:$C$70,MATCH('County Climates'!B1801,'State Codes'!$D$7:$D$70,0),1),'State Codes'!$C$7:$C$70,0),1)</f>
        <v>South Atlantic Division</v>
      </c>
      <c r="F1801">
        <f>INDEX('CBECS_Table B5'!$C$6:$K$6,1,MATCH('County Climates'!E1801,'CBECS_Table B5'!$C$1:$K$1,0))</f>
        <v>17981</v>
      </c>
    </row>
    <row r="1802" spans="1:6" x14ac:dyDescent="0.25">
      <c r="A1802" t="s">
        <v>1531</v>
      </c>
      <c r="B1802" t="s">
        <v>1532</v>
      </c>
      <c r="C1802" t="s">
        <v>287</v>
      </c>
      <c r="D1802" t="s">
        <v>484</v>
      </c>
      <c r="E1802" t="str">
        <f>INDEX('State Codes'!$E$7:$E$70,MATCH(INDEX('State Codes'!$C$7:$C$70,MATCH('County Climates'!B1802,'State Codes'!$D$7:$D$70,0),1),'State Codes'!$C$7:$C$70,0),1)</f>
        <v>South Atlantic Division</v>
      </c>
      <c r="F1802">
        <f>INDEX('CBECS_Table B5'!$C$6:$K$6,1,MATCH('County Climates'!E1802,'CBECS_Table B5'!$C$1:$K$1,0))</f>
        <v>17981</v>
      </c>
    </row>
    <row r="1803" spans="1:6" x14ac:dyDescent="0.25">
      <c r="A1803" t="s">
        <v>1531</v>
      </c>
      <c r="B1803" t="s">
        <v>1532</v>
      </c>
      <c r="C1803" t="s">
        <v>288</v>
      </c>
      <c r="D1803" t="s">
        <v>247</v>
      </c>
      <c r="E1803" t="str">
        <f>INDEX('State Codes'!$E$7:$E$70,MATCH(INDEX('State Codes'!$C$7:$C$70,MATCH('County Climates'!B1803,'State Codes'!$D$7:$D$70,0),1),'State Codes'!$C$7:$C$70,0),1)</f>
        <v>South Atlantic Division</v>
      </c>
      <c r="F1803">
        <f>INDEX('CBECS_Table B5'!$C$6:$K$6,1,MATCH('County Climates'!E1803,'CBECS_Table B5'!$C$1:$K$1,0))</f>
        <v>17981</v>
      </c>
    </row>
    <row r="1804" spans="1:6" x14ac:dyDescent="0.25">
      <c r="A1804" t="s">
        <v>1531</v>
      </c>
      <c r="B1804" t="s">
        <v>1532</v>
      </c>
      <c r="C1804" t="s">
        <v>290</v>
      </c>
      <c r="D1804" t="s">
        <v>484</v>
      </c>
      <c r="E1804" t="str">
        <f>INDEX('State Codes'!$E$7:$E$70,MATCH(INDEX('State Codes'!$C$7:$C$70,MATCH('County Climates'!B1804,'State Codes'!$D$7:$D$70,0),1),'State Codes'!$C$7:$C$70,0),1)</f>
        <v>South Atlantic Division</v>
      </c>
      <c r="F1804">
        <f>INDEX('CBECS_Table B5'!$C$6:$K$6,1,MATCH('County Climates'!E1804,'CBECS_Table B5'!$C$1:$K$1,0))</f>
        <v>17981</v>
      </c>
    </row>
    <row r="1805" spans="1:6" x14ac:dyDescent="0.25">
      <c r="A1805" t="s">
        <v>1531</v>
      </c>
      <c r="B1805" t="s">
        <v>1532</v>
      </c>
      <c r="C1805" t="s">
        <v>1543</v>
      </c>
      <c r="D1805" t="s">
        <v>247</v>
      </c>
      <c r="E1805" t="str">
        <f>INDEX('State Codes'!$E$7:$E$70,MATCH(INDEX('State Codes'!$C$7:$C$70,MATCH('County Climates'!B1805,'State Codes'!$D$7:$D$70,0),1),'State Codes'!$C$7:$C$70,0),1)</f>
        <v>South Atlantic Division</v>
      </c>
      <c r="F1805">
        <f>INDEX('CBECS_Table B5'!$C$6:$K$6,1,MATCH('County Climates'!E1805,'CBECS_Table B5'!$C$1:$K$1,0))</f>
        <v>17981</v>
      </c>
    </row>
    <row r="1806" spans="1:6" x14ac:dyDescent="0.25">
      <c r="A1806" t="s">
        <v>1531</v>
      </c>
      <c r="B1806" t="s">
        <v>1532</v>
      </c>
      <c r="C1806" t="s">
        <v>1544</v>
      </c>
      <c r="D1806" t="s">
        <v>243</v>
      </c>
      <c r="E1806" t="str">
        <f>INDEX('State Codes'!$E$7:$E$70,MATCH(INDEX('State Codes'!$C$7:$C$70,MATCH('County Climates'!B1806,'State Codes'!$D$7:$D$70,0),1),'State Codes'!$C$7:$C$70,0),1)</f>
        <v>South Atlantic Division</v>
      </c>
      <c r="F1806">
        <f>INDEX('CBECS_Table B5'!$C$6:$K$6,1,MATCH('County Climates'!E1806,'CBECS_Table B5'!$C$1:$K$1,0))</f>
        <v>17981</v>
      </c>
    </row>
    <row r="1807" spans="1:6" x14ac:dyDescent="0.25">
      <c r="A1807" t="s">
        <v>1531</v>
      </c>
      <c r="B1807" t="s">
        <v>1532</v>
      </c>
      <c r="C1807" t="s">
        <v>1545</v>
      </c>
      <c r="D1807" t="s">
        <v>247</v>
      </c>
      <c r="E1807" t="str">
        <f>INDEX('State Codes'!$E$7:$E$70,MATCH(INDEX('State Codes'!$C$7:$C$70,MATCH('County Climates'!B1807,'State Codes'!$D$7:$D$70,0),1),'State Codes'!$C$7:$C$70,0),1)</f>
        <v>South Atlantic Division</v>
      </c>
      <c r="F1807">
        <f>INDEX('CBECS_Table B5'!$C$6:$K$6,1,MATCH('County Climates'!E1807,'CBECS_Table B5'!$C$1:$K$1,0))</f>
        <v>17981</v>
      </c>
    </row>
    <row r="1808" spans="1:6" x14ac:dyDescent="0.25">
      <c r="A1808" t="s">
        <v>1531</v>
      </c>
      <c r="B1808" t="s">
        <v>1532</v>
      </c>
      <c r="C1808" t="s">
        <v>328</v>
      </c>
      <c r="D1808" t="s">
        <v>243</v>
      </c>
      <c r="E1808" t="str">
        <f>INDEX('State Codes'!$E$7:$E$70,MATCH(INDEX('State Codes'!$C$7:$C$70,MATCH('County Climates'!B1808,'State Codes'!$D$7:$D$70,0),1),'State Codes'!$C$7:$C$70,0),1)</f>
        <v>South Atlantic Division</v>
      </c>
      <c r="F1808">
        <f>INDEX('CBECS_Table B5'!$C$6:$K$6,1,MATCH('County Climates'!E1808,'CBECS_Table B5'!$C$1:$K$1,0))</f>
        <v>17981</v>
      </c>
    </row>
    <row r="1809" spans="1:6" x14ac:dyDescent="0.25">
      <c r="A1809" t="s">
        <v>1531</v>
      </c>
      <c r="B1809" t="s">
        <v>1532</v>
      </c>
      <c r="C1809" t="s">
        <v>649</v>
      </c>
      <c r="D1809" t="s">
        <v>243</v>
      </c>
      <c r="E1809" t="str">
        <f>INDEX('State Codes'!$E$7:$E$70,MATCH(INDEX('State Codes'!$C$7:$C$70,MATCH('County Climates'!B1809,'State Codes'!$D$7:$D$70,0),1),'State Codes'!$C$7:$C$70,0),1)</f>
        <v>South Atlantic Division</v>
      </c>
      <c r="F1809">
        <f>INDEX('CBECS_Table B5'!$C$6:$K$6,1,MATCH('County Climates'!E1809,'CBECS_Table B5'!$C$1:$K$1,0))</f>
        <v>17981</v>
      </c>
    </row>
    <row r="1810" spans="1:6" x14ac:dyDescent="0.25">
      <c r="A1810" t="s">
        <v>1531</v>
      </c>
      <c r="B1810" t="s">
        <v>1532</v>
      </c>
      <c r="C1810" t="s">
        <v>293</v>
      </c>
      <c r="D1810" t="s">
        <v>247</v>
      </c>
      <c r="E1810" t="str">
        <f>INDEX('State Codes'!$E$7:$E$70,MATCH(INDEX('State Codes'!$C$7:$C$70,MATCH('County Climates'!B1810,'State Codes'!$D$7:$D$70,0),1),'State Codes'!$C$7:$C$70,0),1)</f>
        <v>South Atlantic Division</v>
      </c>
      <c r="F1810">
        <f>INDEX('CBECS_Table B5'!$C$6:$K$6,1,MATCH('County Climates'!E1810,'CBECS_Table B5'!$C$1:$K$1,0))</f>
        <v>17981</v>
      </c>
    </row>
    <row r="1811" spans="1:6" x14ac:dyDescent="0.25">
      <c r="A1811" t="s">
        <v>1531</v>
      </c>
      <c r="B1811" t="s">
        <v>1532</v>
      </c>
      <c r="C1811" t="s">
        <v>294</v>
      </c>
      <c r="D1811" t="s">
        <v>484</v>
      </c>
      <c r="E1811" t="str">
        <f>INDEX('State Codes'!$E$7:$E$70,MATCH(INDEX('State Codes'!$C$7:$C$70,MATCH('County Climates'!B1811,'State Codes'!$D$7:$D$70,0),1),'State Codes'!$C$7:$C$70,0),1)</f>
        <v>South Atlantic Division</v>
      </c>
      <c r="F1811">
        <f>INDEX('CBECS_Table B5'!$C$6:$K$6,1,MATCH('County Climates'!E1811,'CBECS_Table B5'!$C$1:$K$1,0))</f>
        <v>17981</v>
      </c>
    </row>
    <row r="1812" spans="1:6" x14ac:dyDescent="0.25">
      <c r="A1812" t="s">
        <v>1531</v>
      </c>
      <c r="B1812" t="s">
        <v>1532</v>
      </c>
      <c r="C1812" t="s">
        <v>295</v>
      </c>
      <c r="D1812" t="s">
        <v>247</v>
      </c>
      <c r="E1812" t="str">
        <f>INDEX('State Codes'!$E$7:$E$70,MATCH(INDEX('State Codes'!$C$7:$C$70,MATCH('County Climates'!B1812,'State Codes'!$D$7:$D$70,0),1),'State Codes'!$C$7:$C$70,0),1)</f>
        <v>South Atlantic Division</v>
      </c>
      <c r="F1812">
        <f>INDEX('CBECS_Table B5'!$C$6:$K$6,1,MATCH('County Climates'!E1812,'CBECS_Table B5'!$C$1:$K$1,0))</f>
        <v>17981</v>
      </c>
    </row>
    <row r="1813" spans="1:6" x14ac:dyDescent="0.25">
      <c r="A1813" t="s">
        <v>1531</v>
      </c>
      <c r="B1813" t="s">
        <v>1532</v>
      </c>
      <c r="C1813" t="s">
        <v>814</v>
      </c>
      <c r="D1813" t="s">
        <v>247</v>
      </c>
      <c r="E1813" t="str">
        <f>INDEX('State Codes'!$E$7:$E$70,MATCH(INDEX('State Codes'!$C$7:$C$70,MATCH('County Climates'!B1813,'State Codes'!$D$7:$D$70,0),1),'State Codes'!$C$7:$C$70,0),1)</f>
        <v>South Atlantic Division</v>
      </c>
      <c r="F1813">
        <f>INDEX('CBECS_Table B5'!$C$6:$K$6,1,MATCH('County Climates'!E1813,'CBECS_Table B5'!$C$1:$K$1,0))</f>
        <v>17981</v>
      </c>
    </row>
    <row r="1814" spans="1:6" x14ac:dyDescent="0.25">
      <c r="A1814" t="s">
        <v>1531</v>
      </c>
      <c r="B1814" t="s">
        <v>1532</v>
      </c>
      <c r="C1814" t="s">
        <v>1546</v>
      </c>
      <c r="D1814" t="s">
        <v>247</v>
      </c>
      <c r="E1814" t="str">
        <f>INDEX('State Codes'!$E$7:$E$70,MATCH(INDEX('State Codes'!$C$7:$C$70,MATCH('County Climates'!B1814,'State Codes'!$D$7:$D$70,0),1),'State Codes'!$C$7:$C$70,0),1)</f>
        <v>South Atlantic Division</v>
      </c>
      <c r="F1814">
        <f>INDEX('CBECS_Table B5'!$C$6:$K$6,1,MATCH('County Climates'!E1814,'CBECS_Table B5'!$C$1:$K$1,0))</f>
        <v>17981</v>
      </c>
    </row>
    <row r="1815" spans="1:6" x14ac:dyDescent="0.25">
      <c r="A1815" t="s">
        <v>1531</v>
      </c>
      <c r="B1815" t="s">
        <v>1532</v>
      </c>
      <c r="C1815" t="s">
        <v>331</v>
      </c>
      <c r="D1815" t="s">
        <v>247</v>
      </c>
      <c r="E1815" t="str">
        <f>INDEX('State Codes'!$E$7:$E$70,MATCH(INDEX('State Codes'!$C$7:$C$70,MATCH('County Climates'!B1815,'State Codes'!$D$7:$D$70,0),1),'State Codes'!$C$7:$C$70,0),1)</f>
        <v>South Atlantic Division</v>
      </c>
      <c r="F1815">
        <f>INDEX('CBECS_Table B5'!$C$6:$K$6,1,MATCH('County Climates'!E1815,'CBECS_Table B5'!$C$1:$K$1,0))</f>
        <v>17981</v>
      </c>
    </row>
    <row r="1816" spans="1:6" x14ac:dyDescent="0.25">
      <c r="A1816" t="s">
        <v>1531</v>
      </c>
      <c r="B1816" t="s">
        <v>1532</v>
      </c>
      <c r="C1816" t="s">
        <v>1116</v>
      </c>
      <c r="D1816" t="s">
        <v>247</v>
      </c>
      <c r="E1816" t="str">
        <f>INDEX('State Codes'!$E$7:$E$70,MATCH(INDEX('State Codes'!$C$7:$C$70,MATCH('County Climates'!B1816,'State Codes'!$D$7:$D$70,0),1),'State Codes'!$C$7:$C$70,0),1)</f>
        <v>South Atlantic Division</v>
      </c>
      <c r="F1816">
        <f>INDEX('CBECS_Table B5'!$C$6:$K$6,1,MATCH('County Climates'!E1816,'CBECS_Table B5'!$C$1:$K$1,0))</f>
        <v>17981</v>
      </c>
    </row>
    <row r="1817" spans="1:6" x14ac:dyDescent="0.25">
      <c r="A1817" t="s">
        <v>1531</v>
      </c>
      <c r="B1817" t="s">
        <v>1532</v>
      </c>
      <c r="C1817" t="s">
        <v>1547</v>
      </c>
      <c r="D1817" t="s">
        <v>247</v>
      </c>
      <c r="E1817" t="str">
        <f>INDEX('State Codes'!$E$7:$E$70,MATCH(INDEX('State Codes'!$C$7:$C$70,MATCH('County Climates'!B1817,'State Codes'!$D$7:$D$70,0),1),'State Codes'!$C$7:$C$70,0),1)</f>
        <v>South Atlantic Division</v>
      </c>
      <c r="F1817">
        <f>INDEX('CBECS_Table B5'!$C$6:$K$6,1,MATCH('County Climates'!E1817,'CBECS_Table B5'!$C$1:$K$1,0))</f>
        <v>17981</v>
      </c>
    </row>
    <row r="1818" spans="1:6" x14ac:dyDescent="0.25">
      <c r="A1818" t="s">
        <v>1531</v>
      </c>
      <c r="B1818" t="s">
        <v>1532</v>
      </c>
      <c r="C1818" t="s">
        <v>1045</v>
      </c>
      <c r="D1818" t="s">
        <v>247</v>
      </c>
      <c r="E1818" t="str">
        <f>INDEX('State Codes'!$E$7:$E$70,MATCH(INDEX('State Codes'!$C$7:$C$70,MATCH('County Climates'!B1818,'State Codes'!$D$7:$D$70,0),1),'State Codes'!$C$7:$C$70,0),1)</f>
        <v>South Atlantic Division</v>
      </c>
      <c r="F1818">
        <f>INDEX('CBECS_Table B5'!$C$6:$K$6,1,MATCH('County Climates'!E1818,'CBECS_Table B5'!$C$1:$K$1,0))</f>
        <v>17981</v>
      </c>
    </row>
    <row r="1819" spans="1:6" x14ac:dyDescent="0.25">
      <c r="A1819" t="s">
        <v>1531</v>
      </c>
      <c r="B1819" t="s">
        <v>1532</v>
      </c>
      <c r="C1819" t="s">
        <v>1548</v>
      </c>
      <c r="D1819" t="s">
        <v>484</v>
      </c>
      <c r="E1819" t="str">
        <f>INDEX('State Codes'!$E$7:$E$70,MATCH(INDEX('State Codes'!$C$7:$C$70,MATCH('County Climates'!B1819,'State Codes'!$D$7:$D$70,0),1),'State Codes'!$C$7:$C$70,0),1)</f>
        <v>South Atlantic Division</v>
      </c>
      <c r="F1819">
        <f>INDEX('CBECS_Table B5'!$C$6:$K$6,1,MATCH('County Climates'!E1819,'CBECS_Table B5'!$C$1:$K$1,0))</f>
        <v>17981</v>
      </c>
    </row>
    <row r="1820" spans="1:6" x14ac:dyDescent="0.25">
      <c r="A1820" t="s">
        <v>1531</v>
      </c>
      <c r="B1820" t="s">
        <v>1532</v>
      </c>
      <c r="C1820" t="s">
        <v>297</v>
      </c>
      <c r="D1820" t="s">
        <v>247</v>
      </c>
      <c r="E1820" t="str">
        <f>INDEX('State Codes'!$E$7:$E$70,MATCH(INDEX('State Codes'!$C$7:$C$70,MATCH('County Climates'!B1820,'State Codes'!$D$7:$D$70,0),1),'State Codes'!$C$7:$C$70,0),1)</f>
        <v>South Atlantic Division</v>
      </c>
      <c r="F1820">
        <f>INDEX('CBECS_Table B5'!$C$6:$K$6,1,MATCH('County Climates'!E1820,'CBECS_Table B5'!$C$1:$K$1,0))</f>
        <v>17981</v>
      </c>
    </row>
    <row r="1821" spans="1:6" x14ac:dyDescent="0.25">
      <c r="A1821" t="s">
        <v>1531</v>
      </c>
      <c r="B1821" t="s">
        <v>1532</v>
      </c>
      <c r="C1821" t="s">
        <v>913</v>
      </c>
      <c r="D1821" t="s">
        <v>243</v>
      </c>
      <c r="E1821" t="str">
        <f>INDEX('State Codes'!$E$7:$E$70,MATCH(INDEX('State Codes'!$C$7:$C$70,MATCH('County Climates'!B1821,'State Codes'!$D$7:$D$70,0),1),'State Codes'!$C$7:$C$70,0),1)</f>
        <v>South Atlantic Division</v>
      </c>
      <c r="F1821">
        <f>INDEX('CBECS_Table B5'!$C$6:$K$6,1,MATCH('County Climates'!E1821,'CBECS_Table B5'!$C$1:$K$1,0))</f>
        <v>17981</v>
      </c>
    </row>
    <row r="1822" spans="1:6" x14ac:dyDescent="0.25">
      <c r="A1822" t="s">
        <v>1531</v>
      </c>
      <c r="B1822" t="s">
        <v>1532</v>
      </c>
      <c r="C1822" t="s">
        <v>298</v>
      </c>
      <c r="D1822" t="s">
        <v>247</v>
      </c>
      <c r="E1822" t="str">
        <f>INDEX('State Codes'!$E$7:$E$70,MATCH(INDEX('State Codes'!$C$7:$C$70,MATCH('County Climates'!B1822,'State Codes'!$D$7:$D$70,0),1),'State Codes'!$C$7:$C$70,0),1)</f>
        <v>South Atlantic Division</v>
      </c>
      <c r="F1822">
        <f>INDEX('CBECS_Table B5'!$C$6:$K$6,1,MATCH('County Climates'!E1822,'CBECS_Table B5'!$C$1:$K$1,0))</f>
        <v>17981</v>
      </c>
    </row>
    <row r="1823" spans="1:6" x14ac:dyDescent="0.25">
      <c r="A1823" t="s">
        <v>1531</v>
      </c>
      <c r="B1823" t="s">
        <v>1532</v>
      </c>
      <c r="C1823" t="s">
        <v>335</v>
      </c>
      <c r="D1823" t="s">
        <v>247</v>
      </c>
      <c r="E1823" t="str">
        <f>INDEX('State Codes'!$E$7:$E$70,MATCH(INDEX('State Codes'!$C$7:$C$70,MATCH('County Climates'!B1823,'State Codes'!$D$7:$D$70,0),1),'State Codes'!$C$7:$C$70,0),1)</f>
        <v>South Atlantic Division</v>
      </c>
      <c r="F1823">
        <f>INDEX('CBECS_Table B5'!$C$6:$K$6,1,MATCH('County Climates'!E1823,'CBECS_Table B5'!$C$1:$K$1,0))</f>
        <v>17981</v>
      </c>
    </row>
    <row r="1824" spans="1:6" x14ac:dyDescent="0.25">
      <c r="A1824" t="s">
        <v>1531</v>
      </c>
      <c r="B1824" t="s">
        <v>1532</v>
      </c>
      <c r="C1824" t="s">
        <v>338</v>
      </c>
      <c r="D1824" t="s">
        <v>484</v>
      </c>
      <c r="E1824" t="str">
        <f>INDEX('State Codes'!$E$7:$E$70,MATCH(INDEX('State Codes'!$C$7:$C$70,MATCH('County Climates'!B1824,'State Codes'!$D$7:$D$70,0),1),'State Codes'!$C$7:$C$70,0),1)</f>
        <v>South Atlantic Division</v>
      </c>
      <c r="F1824">
        <f>INDEX('CBECS_Table B5'!$C$6:$K$6,1,MATCH('County Climates'!E1824,'CBECS_Table B5'!$C$1:$K$1,0))</f>
        <v>17981</v>
      </c>
    </row>
    <row r="1825" spans="1:6" x14ac:dyDescent="0.25">
      <c r="A1825" t="s">
        <v>1531</v>
      </c>
      <c r="B1825" t="s">
        <v>1532</v>
      </c>
      <c r="C1825" t="s">
        <v>556</v>
      </c>
      <c r="D1825" t="s">
        <v>247</v>
      </c>
      <c r="E1825" t="str">
        <f>INDEX('State Codes'!$E$7:$E$70,MATCH(INDEX('State Codes'!$C$7:$C$70,MATCH('County Climates'!B1825,'State Codes'!$D$7:$D$70,0),1),'State Codes'!$C$7:$C$70,0),1)</f>
        <v>South Atlantic Division</v>
      </c>
      <c r="F1825">
        <f>INDEX('CBECS_Table B5'!$C$6:$K$6,1,MATCH('County Climates'!E1825,'CBECS_Table B5'!$C$1:$K$1,0))</f>
        <v>17981</v>
      </c>
    </row>
    <row r="1826" spans="1:6" x14ac:dyDescent="0.25">
      <c r="A1826" t="s">
        <v>1531</v>
      </c>
      <c r="B1826" t="s">
        <v>1532</v>
      </c>
      <c r="C1826" t="s">
        <v>828</v>
      </c>
      <c r="D1826" t="s">
        <v>484</v>
      </c>
      <c r="E1826" t="str">
        <f>INDEX('State Codes'!$E$7:$E$70,MATCH(INDEX('State Codes'!$C$7:$C$70,MATCH('County Climates'!B1826,'State Codes'!$D$7:$D$70,0),1),'State Codes'!$C$7:$C$70,0),1)</f>
        <v>South Atlantic Division</v>
      </c>
      <c r="F1826">
        <f>INDEX('CBECS_Table B5'!$C$6:$K$6,1,MATCH('County Climates'!E1826,'CBECS_Table B5'!$C$1:$K$1,0))</f>
        <v>17981</v>
      </c>
    </row>
    <row r="1827" spans="1:6" x14ac:dyDescent="0.25">
      <c r="A1827" t="s">
        <v>1531</v>
      </c>
      <c r="B1827" t="s">
        <v>1532</v>
      </c>
      <c r="C1827" t="s">
        <v>1549</v>
      </c>
      <c r="D1827" t="s">
        <v>247</v>
      </c>
      <c r="E1827" t="str">
        <f>INDEX('State Codes'!$E$7:$E$70,MATCH(INDEX('State Codes'!$C$7:$C$70,MATCH('County Climates'!B1827,'State Codes'!$D$7:$D$70,0),1),'State Codes'!$C$7:$C$70,0),1)</f>
        <v>South Atlantic Division</v>
      </c>
      <c r="F1827">
        <f>INDEX('CBECS_Table B5'!$C$6:$K$6,1,MATCH('County Climates'!E1827,'CBECS_Table B5'!$C$1:$K$1,0))</f>
        <v>17981</v>
      </c>
    </row>
    <row r="1828" spans="1:6" x14ac:dyDescent="0.25">
      <c r="A1828" t="s">
        <v>1531</v>
      </c>
      <c r="B1828" t="s">
        <v>1532</v>
      </c>
      <c r="C1828" t="s">
        <v>299</v>
      </c>
      <c r="D1828" t="s">
        <v>484</v>
      </c>
      <c r="E1828" t="str">
        <f>INDEX('State Codes'!$E$7:$E$70,MATCH(INDEX('State Codes'!$C$7:$C$70,MATCH('County Climates'!B1828,'State Codes'!$D$7:$D$70,0),1),'State Codes'!$C$7:$C$70,0),1)</f>
        <v>South Atlantic Division</v>
      </c>
      <c r="F1828">
        <f>INDEX('CBECS_Table B5'!$C$6:$K$6,1,MATCH('County Climates'!E1828,'CBECS_Table B5'!$C$1:$K$1,0))</f>
        <v>17981</v>
      </c>
    </row>
    <row r="1829" spans="1:6" x14ac:dyDescent="0.25">
      <c r="A1829" t="s">
        <v>1531</v>
      </c>
      <c r="B1829" t="s">
        <v>1532</v>
      </c>
      <c r="C1829" t="s">
        <v>972</v>
      </c>
      <c r="D1829" t="s">
        <v>247</v>
      </c>
      <c r="E1829" t="str">
        <f>INDEX('State Codes'!$E$7:$E$70,MATCH(INDEX('State Codes'!$C$7:$C$70,MATCH('County Climates'!B1829,'State Codes'!$D$7:$D$70,0),1),'State Codes'!$C$7:$C$70,0),1)</f>
        <v>South Atlantic Division</v>
      </c>
      <c r="F1829">
        <f>INDEX('CBECS_Table B5'!$C$6:$K$6,1,MATCH('County Climates'!E1829,'CBECS_Table B5'!$C$1:$K$1,0))</f>
        <v>17981</v>
      </c>
    </row>
    <row r="1830" spans="1:6" x14ac:dyDescent="0.25">
      <c r="A1830" t="s">
        <v>1531</v>
      </c>
      <c r="B1830" t="s">
        <v>1532</v>
      </c>
      <c r="C1830" t="s">
        <v>1550</v>
      </c>
      <c r="D1830" t="s">
        <v>247</v>
      </c>
      <c r="E1830" t="str">
        <f>INDEX('State Codes'!$E$7:$E$70,MATCH(INDEX('State Codes'!$C$7:$C$70,MATCH('County Climates'!B1830,'State Codes'!$D$7:$D$70,0),1),'State Codes'!$C$7:$C$70,0),1)</f>
        <v>South Atlantic Division</v>
      </c>
      <c r="F1830">
        <f>INDEX('CBECS_Table B5'!$C$6:$K$6,1,MATCH('County Climates'!E1830,'CBECS_Table B5'!$C$1:$K$1,0))</f>
        <v>17981</v>
      </c>
    </row>
    <row r="1831" spans="1:6" x14ac:dyDescent="0.25">
      <c r="A1831" t="s">
        <v>1531</v>
      </c>
      <c r="B1831" t="s">
        <v>1532</v>
      </c>
      <c r="C1831" t="s">
        <v>1551</v>
      </c>
      <c r="D1831" t="s">
        <v>484</v>
      </c>
      <c r="E1831" t="str">
        <f>INDEX('State Codes'!$E$7:$E$70,MATCH(INDEX('State Codes'!$C$7:$C$70,MATCH('County Climates'!B1831,'State Codes'!$D$7:$D$70,0),1),'State Codes'!$C$7:$C$70,0),1)</f>
        <v>South Atlantic Division</v>
      </c>
      <c r="F1831">
        <f>INDEX('CBECS_Table B5'!$C$6:$K$6,1,MATCH('County Climates'!E1831,'CBECS_Table B5'!$C$1:$K$1,0))</f>
        <v>17981</v>
      </c>
    </row>
    <row r="1832" spans="1:6" x14ac:dyDescent="0.25">
      <c r="A1832" t="s">
        <v>1531</v>
      </c>
      <c r="B1832" t="s">
        <v>1532</v>
      </c>
      <c r="C1832" t="s">
        <v>1552</v>
      </c>
      <c r="D1832" t="s">
        <v>484</v>
      </c>
      <c r="E1832" t="str">
        <f>INDEX('State Codes'!$E$7:$E$70,MATCH(INDEX('State Codes'!$C$7:$C$70,MATCH('County Climates'!B1832,'State Codes'!$D$7:$D$70,0),1),'State Codes'!$C$7:$C$70,0),1)</f>
        <v>South Atlantic Division</v>
      </c>
      <c r="F1832">
        <f>INDEX('CBECS_Table B5'!$C$6:$K$6,1,MATCH('County Climates'!E1832,'CBECS_Table B5'!$C$1:$K$1,0))</f>
        <v>17981</v>
      </c>
    </row>
    <row r="1833" spans="1:6" x14ac:dyDescent="0.25">
      <c r="A1833" t="s">
        <v>1531</v>
      </c>
      <c r="B1833" t="s">
        <v>1532</v>
      </c>
      <c r="C1833" t="s">
        <v>1525</v>
      </c>
      <c r="D1833" t="s">
        <v>243</v>
      </c>
      <c r="E1833" t="str">
        <f>INDEX('State Codes'!$E$7:$E$70,MATCH(INDEX('State Codes'!$C$7:$C$70,MATCH('County Climates'!B1833,'State Codes'!$D$7:$D$70,0),1),'State Codes'!$C$7:$C$70,0),1)</f>
        <v>South Atlantic Division</v>
      </c>
      <c r="F1833">
        <f>INDEX('CBECS_Table B5'!$C$6:$K$6,1,MATCH('County Climates'!E1833,'CBECS_Table B5'!$C$1:$K$1,0))</f>
        <v>17981</v>
      </c>
    </row>
    <row r="1834" spans="1:6" x14ac:dyDescent="0.25">
      <c r="A1834" t="s">
        <v>1531</v>
      </c>
      <c r="B1834" t="s">
        <v>1532</v>
      </c>
      <c r="C1834" t="s">
        <v>1553</v>
      </c>
      <c r="D1834" t="s">
        <v>247</v>
      </c>
      <c r="E1834" t="str">
        <f>INDEX('State Codes'!$E$7:$E$70,MATCH(INDEX('State Codes'!$C$7:$C$70,MATCH('County Climates'!B1834,'State Codes'!$D$7:$D$70,0),1),'State Codes'!$C$7:$C$70,0),1)</f>
        <v>South Atlantic Division</v>
      </c>
      <c r="F1834">
        <f>INDEX('CBECS_Table B5'!$C$6:$K$6,1,MATCH('County Climates'!E1834,'CBECS_Table B5'!$C$1:$K$1,0))</f>
        <v>17981</v>
      </c>
    </row>
    <row r="1835" spans="1:6" x14ac:dyDescent="0.25">
      <c r="A1835" t="s">
        <v>1531</v>
      </c>
      <c r="B1835" t="s">
        <v>1532</v>
      </c>
      <c r="C1835" t="s">
        <v>1232</v>
      </c>
      <c r="D1835" t="s">
        <v>247</v>
      </c>
      <c r="E1835" t="str">
        <f>INDEX('State Codes'!$E$7:$E$70,MATCH(INDEX('State Codes'!$C$7:$C$70,MATCH('County Climates'!B1835,'State Codes'!$D$7:$D$70,0),1),'State Codes'!$C$7:$C$70,0),1)</f>
        <v>South Atlantic Division</v>
      </c>
      <c r="F1835">
        <f>INDEX('CBECS_Table B5'!$C$6:$K$6,1,MATCH('County Climates'!E1835,'CBECS_Table B5'!$C$1:$K$1,0))</f>
        <v>17981</v>
      </c>
    </row>
    <row r="1836" spans="1:6" x14ac:dyDescent="0.25">
      <c r="A1836" t="s">
        <v>1531</v>
      </c>
      <c r="B1836" t="s">
        <v>1532</v>
      </c>
      <c r="C1836" t="s">
        <v>1166</v>
      </c>
      <c r="D1836" t="s">
        <v>484</v>
      </c>
      <c r="E1836" t="str">
        <f>INDEX('State Codes'!$E$7:$E$70,MATCH(INDEX('State Codes'!$C$7:$C$70,MATCH('County Climates'!B1836,'State Codes'!$D$7:$D$70,0),1),'State Codes'!$C$7:$C$70,0),1)</f>
        <v>South Atlantic Division</v>
      </c>
      <c r="F1836">
        <f>INDEX('CBECS_Table B5'!$C$6:$K$6,1,MATCH('County Climates'!E1836,'CBECS_Table B5'!$C$1:$K$1,0))</f>
        <v>17981</v>
      </c>
    </row>
    <row r="1837" spans="1:6" x14ac:dyDescent="0.25">
      <c r="A1837" t="s">
        <v>1531</v>
      </c>
      <c r="B1837" t="s">
        <v>1532</v>
      </c>
      <c r="C1837" t="s">
        <v>303</v>
      </c>
      <c r="D1837" t="s">
        <v>484</v>
      </c>
      <c r="E1837" t="str">
        <f>INDEX('State Codes'!$E$7:$E$70,MATCH(INDEX('State Codes'!$C$7:$C$70,MATCH('County Climates'!B1837,'State Codes'!$D$7:$D$70,0),1),'State Codes'!$C$7:$C$70,0),1)</f>
        <v>South Atlantic Division</v>
      </c>
      <c r="F1837">
        <f>INDEX('CBECS_Table B5'!$C$6:$K$6,1,MATCH('County Climates'!E1837,'CBECS_Table B5'!$C$1:$K$1,0))</f>
        <v>17981</v>
      </c>
    </row>
    <row r="1838" spans="1:6" x14ac:dyDescent="0.25">
      <c r="A1838" t="s">
        <v>1531</v>
      </c>
      <c r="B1838" t="s">
        <v>1532</v>
      </c>
      <c r="C1838" t="s">
        <v>746</v>
      </c>
      <c r="D1838" t="s">
        <v>247</v>
      </c>
      <c r="E1838" t="str">
        <f>INDEX('State Codes'!$E$7:$E$70,MATCH(INDEX('State Codes'!$C$7:$C$70,MATCH('County Climates'!B1838,'State Codes'!$D$7:$D$70,0),1),'State Codes'!$C$7:$C$70,0),1)</f>
        <v>South Atlantic Division</v>
      </c>
      <c r="F1838">
        <f>INDEX('CBECS_Table B5'!$C$6:$K$6,1,MATCH('County Climates'!E1838,'CBECS_Table B5'!$C$1:$K$1,0))</f>
        <v>17981</v>
      </c>
    </row>
    <row r="1839" spans="1:6" x14ac:dyDescent="0.25">
      <c r="A1839" t="s">
        <v>1531</v>
      </c>
      <c r="B1839" t="s">
        <v>1532</v>
      </c>
      <c r="C1839" t="s">
        <v>1554</v>
      </c>
      <c r="D1839" t="s">
        <v>247</v>
      </c>
      <c r="E1839" t="str">
        <f>INDEX('State Codes'!$E$7:$E$70,MATCH(INDEX('State Codes'!$C$7:$C$70,MATCH('County Climates'!B1839,'State Codes'!$D$7:$D$70,0),1),'State Codes'!$C$7:$C$70,0),1)</f>
        <v>South Atlantic Division</v>
      </c>
      <c r="F1839">
        <f>INDEX('CBECS_Table B5'!$C$6:$K$6,1,MATCH('County Climates'!E1839,'CBECS_Table B5'!$C$1:$K$1,0))</f>
        <v>17981</v>
      </c>
    </row>
    <row r="1840" spans="1:6" x14ac:dyDescent="0.25">
      <c r="A1840" t="s">
        <v>1531</v>
      </c>
      <c r="B1840" t="s">
        <v>1532</v>
      </c>
      <c r="C1840" t="s">
        <v>1555</v>
      </c>
      <c r="D1840" t="s">
        <v>243</v>
      </c>
      <c r="E1840" t="str">
        <f>INDEX('State Codes'!$E$7:$E$70,MATCH(INDEX('State Codes'!$C$7:$C$70,MATCH('County Climates'!B1840,'State Codes'!$D$7:$D$70,0),1),'State Codes'!$C$7:$C$70,0),1)</f>
        <v>South Atlantic Division</v>
      </c>
      <c r="F1840">
        <f>INDEX('CBECS_Table B5'!$C$6:$K$6,1,MATCH('County Climates'!E1840,'CBECS_Table B5'!$C$1:$K$1,0))</f>
        <v>17981</v>
      </c>
    </row>
    <row r="1841" spans="1:6" x14ac:dyDescent="0.25">
      <c r="A1841" t="s">
        <v>1531</v>
      </c>
      <c r="B1841" t="s">
        <v>1532</v>
      </c>
      <c r="C1841" t="s">
        <v>705</v>
      </c>
      <c r="D1841" t="s">
        <v>484</v>
      </c>
      <c r="E1841" t="str">
        <f>INDEX('State Codes'!$E$7:$E$70,MATCH(INDEX('State Codes'!$C$7:$C$70,MATCH('County Climates'!B1841,'State Codes'!$D$7:$D$70,0),1),'State Codes'!$C$7:$C$70,0),1)</f>
        <v>South Atlantic Division</v>
      </c>
      <c r="F1841">
        <f>INDEX('CBECS_Table B5'!$C$6:$K$6,1,MATCH('County Climates'!E1841,'CBECS_Table B5'!$C$1:$K$1,0))</f>
        <v>17981</v>
      </c>
    </row>
    <row r="1842" spans="1:6" x14ac:dyDescent="0.25">
      <c r="A1842" t="s">
        <v>1556</v>
      </c>
      <c r="B1842" t="s">
        <v>535</v>
      </c>
      <c r="C1842" t="s">
        <v>1557</v>
      </c>
      <c r="D1842" t="s">
        <v>228</v>
      </c>
      <c r="E1842" t="str">
        <f>INDEX('State Codes'!$E$7:$E$70,MATCH(INDEX('State Codes'!$C$7:$C$70,MATCH('County Climates'!B1842,'State Codes'!$D$7:$D$70,0),1),'State Codes'!$C$7:$C$70,0),1)</f>
        <v>Mountain Division</v>
      </c>
      <c r="F1842">
        <f>INDEX('CBECS_Table B5'!$C$6:$K$6,1,MATCH('County Climates'!E1842,'CBECS_Table B5'!$C$1:$K$1,0))</f>
        <v>4981</v>
      </c>
    </row>
    <row r="1843" spans="1:6" x14ac:dyDescent="0.25">
      <c r="A1843" t="s">
        <v>1556</v>
      </c>
      <c r="B1843" t="s">
        <v>535</v>
      </c>
      <c r="C1843" t="s">
        <v>963</v>
      </c>
      <c r="D1843" t="s">
        <v>228</v>
      </c>
      <c r="E1843" t="str">
        <f>INDEX('State Codes'!$E$7:$E$70,MATCH(INDEX('State Codes'!$C$7:$C$70,MATCH('County Climates'!B1843,'State Codes'!$D$7:$D$70,0),1),'State Codes'!$C$7:$C$70,0),1)</f>
        <v>Mountain Division</v>
      </c>
      <c r="F1843">
        <f>INDEX('CBECS_Table B5'!$C$6:$K$6,1,MATCH('County Climates'!E1843,'CBECS_Table B5'!$C$1:$K$1,0))</f>
        <v>4981</v>
      </c>
    </row>
    <row r="1844" spans="1:6" x14ac:dyDescent="0.25">
      <c r="A1844" t="s">
        <v>1556</v>
      </c>
      <c r="B1844" t="s">
        <v>535</v>
      </c>
      <c r="C1844" t="s">
        <v>1558</v>
      </c>
      <c r="D1844" t="s">
        <v>228</v>
      </c>
      <c r="E1844" t="str">
        <f>INDEX('State Codes'!$E$7:$E$70,MATCH(INDEX('State Codes'!$C$7:$C$70,MATCH('County Climates'!B1844,'State Codes'!$D$7:$D$70,0),1),'State Codes'!$C$7:$C$70,0),1)</f>
        <v>Mountain Division</v>
      </c>
      <c r="F1844">
        <f>INDEX('CBECS_Table B5'!$C$6:$K$6,1,MATCH('County Climates'!E1844,'CBECS_Table B5'!$C$1:$K$1,0))</f>
        <v>4981</v>
      </c>
    </row>
    <row r="1845" spans="1:6" x14ac:dyDescent="0.25">
      <c r="A1845" t="s">
        <v>1556</v>
      </c>
      <c r="B1845" t="s">
        <v>535</v>
      </c>
      <c r="C1845" t="s">
        <v>1559</v>
      </c>
      <c r="D1845" t="s">
        <v>228</v>
      </c>
      <c r="E1845" t="str">
        <f>INDEX('State Codes'!$E$7:$E$70,MATCH(INDEX('State Codes'!$C$7:$C$70,MATCH('County Climates'!B1845,'State Codes'!$D$7:$D$70,0),1),'State Codes'!$C$7:$C$70,0),1)</f>
        <v>Mountain Division</v>
      </c>
      <c r="F1845">
        <f>INDEX('CBECS_Table B5'!$C$6:$K$6,1,MATCH('County Climates'!E1845,'CBECS_Table B5'!$C$1:$K$1,0))</f>
        <v>4981</v>
      </c>
    </row>
    <row r="1846" spans="1:6" x14ac:dyDescent="0.25">
      <c r="A1846" t="s">
        <v>1556</v>
      </c>
      <c r="B1846" t="s">
        <v>535</v>
      </c>
      <c r="C1846" t="s">
        <v>1560</v>
      </c>
      <c r="D1846" t="s">
        <v>228</v>
      </c>
      <c r="E1846" t="str">
        <f>INDEX('State Codes'!$E$7:$E$70,MATCH(INDEX('State Codes'!$C$7:$C$70,MATCH('County Climates'!B1846,'State Codes'!$D$7:$D$70,0),1),'State Codes'!$C$7:$C$70,0),1)</f>
        <v>Mountain Division</v>
      </c>
      <c r="F1846">
        <f>INDEX('CBECS_Table B5'!$C$6:$K$6,1,MATCH('County Climates'!E1846,'CBECS_Table B5'!$C$1:$K$1,0))</f>
        <v>4981</v>
      </c>
    </row>
    <row r="1847" spans="1:6" x14ac:dyDescent="0.25">
      <c r="A1847" t="s">
        <v>1556</v>
      </c>
      <c r="B1847" t="s">
        <v>535</v>
      </c>
      <c r="C1847" t="s">
        <v>1561</v>
      </c>
      <c r="D1847" t="s">
        <v>228</v>
      </c>
      <c r="E1847" t="str">
        <f>INDEX('State Codes'!$E$7:$E$70,MATCH(INDEX('State Codes'!$C$7:$C$70,MATCH('County Climates'!B1847,'State Codes'!$D$7:$D$70,0),1),'State Codes'!$C$7:$C$70,0),1)</f>
        <v>Mountain Division</v>
      </c>
      <c r="F1847">
        <f>INDEX('CBECS_Table B5'!$C$6:$K$6,1,MATCH('County Climates'!E1847,'CBECS_Table B5'!$C$1:$K$1,0))</f>
        <v>4981</v>
      </c>
    </row>
    <row r="1848" spans="1:6" x14ac:dyDescent="0.25">
      <c r="A1848" t="s">
        <v>1556</v>
      </c>
      <c r="B1848" t="s">
        <v>535</v>
      </c>
      <c r="C1848" t="s">
        <v>1374</v>
      </c>
      <c r="D1848" t="s">
        <v>228</v>
      </c>
      <c r="E1848" t="str">
        <f>INDEX('State Codes'!$E$7:$E$70,MATCH(INDEX('State Codes'!$C$7:$C$70,MATCH('County Climates'!B1848,'State Codes'!$D$7:$D$70,0),1),'State Codes'!$C$7:$C$70,0),1)</f>
        <v>Mountain Division</v>
      </c>
      <c r="F1848">
        <f>INDEX('CBECS_Table B5'!$C$6:$K$6,1,MATCH('County Climates'!E1848,'CBECS_Table B5'!$C$1:$K$1,0))</f>
        <v>4981</v>
      </c>
    </row>
    <row r="1849" spans="1:6" x14ac:dyDescent="0.25">
      <c r="A1849" t="s">
        <v>1556</v>
      </c>
      <c r="B1849" t="s">
        <v>535</v>
      </c>
      <c r="C1849" t="s">
        <v>1562</v>
      </c>
      <c r="D1849" t="s">
        <v>228</v>
      </c>
      <c r="E1849" t="str">
        <f>INDEX('State Codes'!$E$7:$E$70,MATCH(INDEX('State Codes'!$C$7:$C$70,MATCH('County Climates'!B1849,'State Codes'!$D$7:$D$70,0),1),'State Codes'!$C$7:$C$70,0),1)</f>
        <v>Mountain Division</v>
      </c>
      <c r="F1849">
        <f>INDEX('CBECS_Table B5'!$C$6:$K$6,1,MATCH('County Climates'!E1849,'CBECS_Table B5'!$C$1:$K$1,0))</f>
        <v>4981</v>
      </c>
    </row>
    <row r="1850" spans="1:6" x14ac:dyDescent="0.25">
      <c r="A1850" t="s">
        <v>1556</v>
      </c>
      <c r="B1850" t="s">
        <v>535</v>
      </c>
      <c r="C1850" t="s">
        <v>927</v>
      </c>
      <c r="D1850" t="s">
        <v>228</v>
      </c>
      <c r="E1850" t="str">
        <f>INDEX('State Codes'!$E$7:$E$70,MATCH(INDEX('State Codes'!$C$7:$C$70,MATCH('County Climates'!B1850,'State Codes'!$D$7:$D$70,0),1),'State Codes'!$C$7:$C$70,0),1)</f>
        <v>Mountain Division</v>
      </c>
      <c r="F1850">
        <f>INDEX('CBECS_Table B5'!$C$6:$K$6,1,MATCH('County Climates'!E1850,'CBECS_Table B5'!$C$1:$K$1,0))</f>
        <v>4981</v>
      </c>
    </row>
    <row r="1851" spans="1:6" x14ac:dyDescent="0.25">
      <c r="A1851" t="s">
        <v>1556</v>
      </c>
      <c r="B1851" t="s">
        <v>535</v>
      </c>
      <c r="C1851" t="s">
        <v>308</v>
      </c>
      <c r="D1851" t="s">
        <v>228</v>
      </c>
      <c r="E1851" t="str">
        <f>INDEX('State Codes'!$E$7:$E$70,MATCH(INDEX('State Codes'!$C$7:$C$70,MATCH('County Climates'!B1851,'State Codes'!$D$7:$D$70,0),1),'State Codes'!$C$7:$C$70,0),1)</f>
        <v>Mountain Division</v>
      </c>
      <c r="F1851">
        <f>INDEX('CBECS_Table B5'!$C$6:$K$6,1,MATCH('County Climates'!E1851,'CBECS_Table B5'!$C$1:$K$1,0))</f>
        <v>4981</v>
      </c>
    </row>
    <row r="1852" spans="1:6" x14ac:dyDescent="0.25">
      <c r="A1852" t="s">
        <v>1563</v>
      </c>
      <c r="B1852" t="s">
        <v>1564</v>
      </c>
      <c r="C1852" t="s">
        <v>516</v>
      </c>
      <c r="D1852" t="s">
        <v>228</v>
      </c>
      <c r="E1852" t="str">
        <f>INDEX('State Codes'!$E$7:$E$70,MATCH(INDEX('State Codes'!$C$7:$C$70,MATCH('County Climates'!B1852,'State Codes'!$D$7:$D$70,0),1),'State Codes'!$C$7:$C$70,0),1)</f>
        <v>East North Central Division</v>
      </c>
      <c r="F1852">
        <f>INDEX('CBECS_Table B5'!$C$6:$K$6,1,MATCH('County Climates'!E1852,'CBECS_Table B5'!$C$1:$K$1,0))</f>
        <v>12742</v>
      </c>
    </row>
    <row r="1853" spans="1:6" x14ac:dyDescent="0.25">
      <c r="A1853" t="s">
        <v>1563</v>
      </c>
      <c r="B1853" t="s">
        <v>1564</v>
      </c>
      <c r="C1853" t="s">
        <v>1565</v>
      </c>
      <c r="D1853" t="s">
        <v>247</v>
      </c>
      <c r="E1853" t="str">
        <f>INDEX('State Codes'!$E$7:$E$70,MATCH(INDEX('State Codes'!$C$7:$C$70,MATCH('County Climates'!B1853,'State Codes'!$D$7:$D$70,0),1),'State Codes'!$C$7:$C$70,0),1)</f>
        <v>East North Central Division</v>
      </c>
      <c r="F1853">
        <f>INDEX('CBECS_Table B5'!$C$6:$K$6,1,MATCH('County Climates'!E1853,'CBECS_Table B5'!$C$1:$K$1,0))</f>
        <v>12742</v>
      </c>
    </row>
    <row r="1854" spans="1:6" x14ac:dyDescent="0.25">
      <c r="A1854" t="s">
        <v>1563</v>
      </c>
      <c r="B1854" t="s">
        <v>1564</v>
      </c>
      <c r="C1854" t="s">
        <v>1566</v>
      </c>
      <c r="D1854" t="s">
        <v>247</v>
      </c>
      <c r="E1854" t="str">
        <f>INDEX('State Codes'!$E$7:$E$70,MATCH(INDEX('State Codes'!$C$7:$C$70,MATCH('County Climates'!B1854,'State Codes'!$D$7:$D$70,0),1),'State Codes'!$C$7:$C$70,0),1)</f>
        <v>East North Central Division</v>
      </c>
      <c r="F1854">
        <f>INDEX('CBECS_Table B5'!$C$6:$K$6,1,MATCH('County Climates'!E1854,'CBECS_Table B5'!$C$1:$K$1,0))</f>
        <v>12742</v>
      </c>
    </row>
    <row r="1855" spans="1:6" x14ac:dyDescent="0.25">
      <c r="A1855" t="s">
        <v>1563</v>
      </c>
      <c r="B1855" t="s">
        <v>1564</v>
      </c>
      <c r="C1855" t="s">
        <v>577</v>
      </c>
      <c r="D1855" t="s">
        <v>228</v>
      </c>
      <c r="E1855" t="str">
        <f>INDEX('State Codes'!$E$7:$E$70,MATCH(INDEX('State Codes'!$C$7:$C$70,MATCH('County Climates'!B1855,'State Codes'!$D$7:$D$70,0),1),'State Codes'!$C$7:$C$70,0),1)</f>
        <v>East North Central Division</v>
      </c>
      <c r="F1855">
        <f>INDEX('CBECS_Table B5'!$C$6:$K$6,1,MATCH('County Climates'!E1855,'CBECS_Table B5'!$C$1:$K$1,0))</f>
        <v>12742</v>
      </c>
    </row>
    <row r="1856" spans="1:6" x14ac:dyDescent="0.25">
      <c r="A1856" t="s">
        <v>1563</v>
      </c>
      <c r="B1856" t="s">
        <v>1564</v>
      </c>
      <c r="C1856" t="s">
        <v>578</v>
      </c>
      <c r="D1856" t="s">
        <v>228</v>
      </c>
      <c r="E1856" t="str">
        <f>INDEX('State Codes'!$E$7:$E$70,MATCH(INDEX('State Codes'!$C$7:$C$70,MATCH('County Climates'!B1856,'State Codes'!$D$7:$D$70,0),1),'State Codes'!$C$7:$C$70,0),1)</f>
        <v>East North Central Division</v>
      </c>
      <c r="F1856">
        <f>INDEX('CBECS_Table B5'!$C$6:$K$6,1,MATCH('County Climates'!E1856,'CBECS_Table B5'!$C$1:$K$1,0))</f>
        <v>12742</v>
      </c>
    </row>
    <row r="1857" spans="1:6" x14ac:dyDescent="0.25">
      <c r="A1857" t="s">
        <v>1563</v>
      </c>
      <c r="B1857" t="s">
        <v>1564</v>
      </c>
      <c r="C1857" t="s">
        <v>1567</v>
      </c>
      <c r="D1857" t="s">
        <v>228</v>
      </c>
      <c r="E1857" t="str">
        <f>INDEX('State Codes'!$E$7:$E$70,MATCH(INDEX('State Codes'!$C$7:$C$70,MATCH('County Climates'!B1857,'State Codes'!$D$7:$D$70,0),1),'State Codes'!$C$7:$C$70,0),1)</f>
        <v>East North Central Division</v>
      </c>
      <c r="F1857">
        <f>INDEX('CBECS_Table B5'!$C$6:$K$6,1,MATCH('County Climates'!E1857,'CBECS_Table B5'!$C$1:$K$1,0))</f>
        <v>12742</v>
      </c>
    </row>
    <row r="1858" spans="1:6" x14ac:dyDescent="0.25">
      <c r="A1858" t="s">
        <v>1563</v>
      </c>
      <c r="B1858" t="s">
        <v>1564</v>
      </c>
      <c r="C1858" t="s">
        <v>251</v>
      </c>
      <c r="D1858" t="s">
        <v>228</v>
      </c>
      <c r="E1858" t="str">
        <f>INDEX('State Codes'!$E$7:$E$70,MATCH(INDEX('State Codes'!$C$7:$C$70,MATCH('County Climates'!B1858,'State Codes'!$D$7:$D$70,0),1),'State Codes'!$C$7:$C$70,0),1)</f>
        <v>East North Central Division</v>
      </c>
      <c r="F1858">
        <f>INDEX('CBECS_Table B5'!$C$6:$K$6,1,MATCH('County Climates'!E1858,'CBECS_Table B5'!$C$1:$K$1,0))</f>
        <v>12742</v>
      </c>
    </row>
    <row r="1859" spans="1:6" x14ac:dyDescent="0.25">
      <c r="A1859" t="s">
        <v>1563</v>
      </c>
      <c r="B1859" t="s">
        <v>1564</v>
      </c>
      <c r="C1859" t="s">
        <v>447</v>
      </c>
      <c r="D1859" t="s">
        <v>228</v>
      </c>
      <c r="E1859" t="str">
        <f>INDEX('State Codes'!$E$7:$E$70,MATCH(INDEX('State Codes'!$C$7:$C$70,MATCH('County Climates'!B1859,'State Codes'!$D$7:$D$70,0),1),'State Codes'!$C$7:$C$70,0),1)</f>
        <v>East North Central Division</v>
      </c>
      <c r="F1859">
        <f>INDEX('CBECS_Table B5'!$C$6:$K$6,1,MATCH('County Climates'!E1859,'CBECS_Table B5'!$C$1:$K$1,0))</f>
        <v>12742</v>
      </c>
    </row>
    <row r="1860" spans="1:6" x14ac:dyDescent="0.25">
      <c r="A1860" t="s">
        <v>1563</v>
      </c>
      <c r="B1860" t="s">
        <v>1564</v>
      </c>
      <c r="C1860" t="s">
        <v>579</v>
      </c>
      <c r="D1860" t="s">
        <v>228</v>
      </c>
      <c r="E1860" t="str">
        <f>INDEX('State Codes'!$E$7:$E$70,MATCH(INDEX('State Codes'!$C$7:$C$70,MATCH('County Climates'!B1860,'State Codes'!$D$7:$D$70,0),1),'State Codes'!$C$7:$C$70,0),1)</f>
        <v>East North Central Division</v>
      </c>
      <c r="F1860">
        <f>INDEX('CBECS_Table B5'!$C$6:$K$6,1,MATCH('County Climates'!E1860,'CBECS_Table B5'!$C$1:$K$1,0))</f>
        <v>12742</v>
      </c>
    </row>
    <row r="1861" spans="1:6" x14ac:dyDescent="0.25">
      <c r="A1861" t="s">
        <v>1563</v>
      </c>
      <c r="B1861" t="s">
        <v>1564</v>
      </c>
      <c r="C1861" t="s">
        <v>1568</v>
      </c>
      <c r="D1861" t="s">
        <v>228</v>
      </c>
      <c r="E1861" t="str">
        <f>INDEX('State Codes'!$E$7:$E$70,MATCH(INDEX('State Codes'!$C$7:$C$70,MATCH('County Climates'!B1861,'State Codes'!$D$7:$D$70,0),1),'State Codes'!$C$7:$C$70,0),1)</f>
        <v>East North Central Division</v>
      </c>
      <c r="F1861">
        <f>INDEX('CBECS_Table B5'!$C$6:$K$6,1,MATCH('County Climates'!E1861,'CBECS_Table B5'!$C$1:$K$1,0))</f>
        <v>12742</v>
      </c>
    </row>
    <row r="1862" spans="1:6" x14ac:dyDescent="0.25">
      <c r="A1862" t="s">
        <v>1563</v>
      </c>
      <c r="B1862" t="s">
        <v>1564</v>
      </c>
      <c r="C1862" t="s">
        <v>1569</v>
      </c>
      <c r="D1862" t="s">
        <v>247</v>
      </c>
      <c r="E1862" t="str">
        <f>INDEX('State Codes'!$E$7:$E$70,MATCH(INDEX('State Codes'!$C$7:$C$70,MATCH('County Climates'!B1862,'State Codes'!$D$7:$D$70,0),1),'State Codes'!$C$7:$C$70,0),1)</f>
        <v>East North Central Division</v>
      </c>
      <c r="F1862">
        <f>INDEX('CBECS_Table B5'!$C$6:$K$6,1,MATCH('County Climates'!E1862,'CBECS_Table B5'!$C$1:$K$1,0))</f>
        <v>12742</v>
      </c>
    </row>
    <row r="1863" spans="1:6" x14ac:dyDescent="0.25">
      <c r="A1863" t="s">
        <v>1563</v>
      </c>
      <c r="B1863" t="s">
        <v>1564</v>
      </c>
      <c r="C1863" t="s">
        <v>530</v>
      </c>
      <c r="D1863" t="s">
        <v>228</v>
      </c>
      <c r="E1863" t="str">
        <f>INDEX('State Codes'!$E$7:$E$70,MATCH(INDEX('State Codes'!$C$7:$C$70,MATCH('County Climates'!B1863,'State Codes'!$D$7:$D$70,0),1),'State Codes'!$C$7:$C$70,0),1)</f>
        <v>East North Central Division</v>
      </c>
      <c r="F1863">
        <f>INDEX('CBECS_Table B5'!$C$6:$K$6,1,MATCH('County Climates'!E1863,'CBECS_Table B5'!$C$1:$K$1,0))</f>
        <v>12742</v>
      </c>
    </row>
    <row r="1864" spans="1:6" x14ac:dyDescent="0.25">
      <c r="A1864" t="s">
        <v>1563</v>
      </c>
      <c r="B1864" t="s">
        <v>1564</v>
      </c>
      <c r="C1864" t="s">
        <v>257</v>
      </c>
      <c r="D1864" t="s">
        <v>247</v>
      </c>
      <c r="E1864" t="str">
        <f>INDEX('State Codes'!$E$7:$E$70,MATCH(INDEX('State Codes'!$C$7:$C$70,MATCH('County Climates'!B1864,'State Codes'!$D$7:$D$70,0),1),'State Codes'!$C$7:$C$70,0),1)</f>
        <v>East North Central Division</v>
      </c>
      <c r="F1864">
        <f>INDEX('CBECS_Table B5'!$C$6:$K$6,1,MATCH('County Climates'!E1864,'CBECS_Table B5'!$C$1:$K$1,0))</f>
        <v>12742</v>
      </c>
    </row>
    <row r="1865" spans="1:6" x14ac:dyDescent="0.25">
      <c r="A1865" t="s">
        <v>1563</v>
      </c>
      <c r="B1865" t="s">
        <v>1564</v>
      </c>
      <c r="C1865" t="s">
        <v>580</v>
      </c>
      <c r="D1865" t="s">
        <v>247</v>
      </c>
      <c r="E1865" t="str">
        <f>INDEX('State Codes'!$E$7:$E$70,MATCH(INDEX('State Codes'!$C$7:$C$70,MATCH('County Climates'!B1865,'State Codes'!$D$7:$D$70,0),1),'State Codes'!$C$7:$C$70,0),1)</f>
        <v>East North Central Division</v>
      </c>
      <c r="F1865">
        <f>INDEX('CBECS_Table B5'!$C$6:$K$6,1,MATCH('County Climates'!E1865,'CBECS_Table B5'!$C$1:$K$1,0))</f>
        <v>12742</v>
      </c>
    </row>
    <row r="1866" spans="1:6" x14ac:dyDescent="0.25">
      <c r="A1866" t="s">
        <v>1563</v>
      </c>
      <c r="B1866" t="s">
        <v>1564</v>
      </c>
      <c r="C1866" t="s">
        <v>1570</v>
      </c>
      <c r="D1866" t="s">
        <v>228</v>
      </c>
      <c r="E1866" t="str">
        <f>INDEX('State Codes'!$E$7:$E$70,MATCH(INDEX('State Codes'!$C$7:$C$70,MATCH('County Climates'!B1866,'State Codes'!$D$7:$D$70,0),1),'State Codes'!$C$7:$C$70,0),1)</f>
        <v>East North Central Division</v>
      </c>
      <c r="F1866">
        <f>INDEX('CBECS_Table B5'!$C$6:$K$6,1,MATCH('County Climates'!E1866,'CBECS_Table B5'!$C$1:$K$1,0))</f>
        <v>12742</v>
      </c>
    </row>
    <row r="1867" spans="1:6" x14ac:dyDescent="0.25">
      <c r="A1867" t="s">
        <v>1563</v>
      </c>
      <c r="B1867" t="s">
        <v>1564</v>
      </c>
      <c r="C1867" t="s">
        <v>458</v>
      </c>
      <c r="D1867" t="s">
        <v>228</v>
      </c>
      <c r="E1867" t="str">
        <f>INDEX('State Codes'!$E$7:$E$70,MATCH(INDEX('State Codes'!$C$7:$C$70,MATCH('County Climates'!B1867,'State Codes'!$D$7:$D$70,0),1),'State Codes'!$C$7:$C$70,0),1)</f>
        <v>East North Central Division</v>
      </c>
      <c r="F1867">
        <f>INDEX('CBECS_Table B5'!$C$6:$K$6,1,MATCH('County Climates'!E1867,'CBECS_Table B5'!$C$1:$K$1,0))</f>
        <v>12742</v>
      </c>
    </row>
    <row r="1868" spans="1:6" x14ac:dyDescent="0.25">
      <c r="A1868" t="s">
        <v>1563</v>
      </c>
      <c r="B1868" t="s">
        <v>1564</v>
      </c>
      <c r="C1868" t="s">
        <v>460</v>
      </c>
      <c r="D1868" t="s">
        <v>247</v>
      </c>
      <c r="E1868" t="str">
        <f>INDEX('State Codes'!$E$7:$E$70,MATCH(INDEX('State Codes'!$C$7:$C$70,MATCH('County Climates'!B1868,'State Codes'!$D$7:$D$70,0),1),'State Codes'!$C$7:$C$70,0),1)</f>
        <v>East North Central Division</v>
      </c>
      <c r="F1868">
        <f>INDEX('CBECS_Table B5'!$C$6:$K$6,1,MATCH('County Climates'!E1868,'CBECS_Table B5'!$C$1:$K$1,0))</f>
        <v>12742</v>
      </c>
    </row>
    <row r="1869" spans="1:6" x14ac:dyDescent="0.25">
      <c r="A1869" t="s">
        <v>1563</v>
      </c>
      <c r="B1869" t="s">
        <v>1564</v>
      </c>
      <c r="C1869" t="s">
        <v>720</v>
      </c>
      <c r="D1869" t="s">
        <v>228</v>
      </c>
      <c r="E1869" t="str">
        <f>INDEX('State Codes'!$E$7:$E$70,MATCH(INDEX('State Codes'!$C$7:$C$70,MATCH('County Climates'!B1869,'State Codes'!$D$7:$D$70,0),1),'State Codes'!$C$7:$C$70,0),1)</f>
        <v>East North Central Division</v>
      </c>
      <c r="F1869">
        <f>INDEX('CBECS_Table B5'!$C$6:$K$6,1,MATCH('County Climates'!E1869,'CBECS_Table B5'!$C$1:$K$1,0))</f>
        <v>12742</v>
      </c>
    </row>
    <row r="1870" spans="1:6" x14ac:dyDescent="0.25">
      <c r="A1870" t="s">
        <v>1563</v>
      </c>
      <c r="B1870" t="s">
        <v>1564</v>
      </c>
      <c r="C1870" t="s">
        <v>1571</v>
      </c>
      <c r="D1870" t="s">
        <v>228</v>
      </c>
      <c r="E1870" t="str">
        <f>INDEX('State Codes'!$E$7:$E$70,MATCH(INDEX('State Codes'!$C$7:$C$70,MATCH('County Climates'!B1870,'State Codes'!$D$7:$D$70,0),1),'State Codes'!$C$7:$C$70,0),1)</f>
        <v>East North Central Division</v>
      </c>
      <c r="F1870">
        <f>INDEX('CBECS_Table B5'!$C$6:$K$6,1,MATCH('County Climates'!E1870,'CBECS_Table B5'!$C$1:$K$1,0))</f>
        <v>12742</v>
      </c>
    </row>
    <row r="1871" spans="1:6" x14ac:dyDescent="0.25">
      <c r="A1871" t="s">
        <v>1563</v>
      </c>
      <c r="B1871" t="s">
        <v>1564</v>
      </c>
      <c r="C1871" t="s">
        <v>268</v>
      </c>
      <c r="D1871" t="s">
        <v>228</v>
      </c>
      <c r="E1871" t="str">
        <f>INDEX('State Codes'!$E$7:$E$70,MATCH(INDEX('State Codes'!$C$7:$C$70,MATCH('County Climates'!B1871,'State Codes'!$D$7:$D$70,0),1),'State Codes'!$C$7:$C$70,0),1)</f>
        <v>East North Central Division</v>
      </c>
      <c r="F1871">
        <f>INDEX('CBECS_Table B5'!$C$6:$K$6,1,MATCH('County Climates'!E1871,'CBECS_Table B5'!$C$1:$K$1,0))</f>
        <v>12742</v>
      </c>
    </row>
    <row r="1872" spans="1:6" x14ac:dyDescent="0.25">
      <c r="A1872" t="s">
        <v>1563</v>
      </c>
      <c r="B1872" t="s">
        <v>1564</v>
      </c>
      <c r="C1872" t="s">
        <v>369</v>
      </c>
      <c r="D1872" t="s">
        <v>228</v>
      </c>
      <c r="E1872" t="str">
        <f>INDEX('State Codes'!$E$7:$E$70,MATCH(INDEX('State Codes'!$C$7:$C$70,MATCH('County Climates'!B1872,'State Codes'!$D$7:$D$70,0),1),'State Codes'!$C$7:$C$70,0),1)</f>
        <v>East North Central Division</v>
      </c>
      <c r="F1872">
        <f>INDEX('CBECS_Table B5'!$C$6:$K$6,1,MATCH('County Climates'!E1872,'CBECS_Table B5'!$C$1:$K$1,0))</f>
        <v>12742</v>
      </c>
    </row>
    <row r="1873" spans="1:6" x14ac:dyDescent="0.25">
      <c r="A1873" t="s">
        <v>1563</v>
      </c>
      <c r="B1873" t="s">
        <v>1564</v>
      </c>
      <c r="C1873" t="s">
        <v>1572</v>
      </c>
      <c r="D1873" t="s">
        <v>228</v>
      </c>
      <c r="E1873" t="str">
        <f>INDEX('State Codes'!$E$7:$E$70,MATCH(INDEX('State Codes'!$C$7:$C$70,MATCH('County Climates'!B1873,'State Codes'!$D$7:$D$70,0),1),'State Codes'!$C$7:$C$70,0),1)</f>
        <v>East North Central Division</v>
      </c>
      <c r="F1873">
        <f>INDEX('CBECS_Table B5'!$C$6:$K$6,1,MATCH('County Climates'!E1873,'CBECS_Table B5'!$C$1:$K$1,0))</f>
        <v>12742</v>
      </c>
    </row>
    <row r="1874" spans="1:6" x14ac:dyDescent="0.25">
      <c r="A1874" t="s">
        <v>1563</v>
      </c>
      <c r="B1874" t="s">
        <v>1564</v>
      </c>
      <c r="C1874" t="s">
        <v>1573</v>
      </c>
      <c r="D1874" t="s">
        <v>228</v>
      </c>
      <c r="E1874" t="str">
        <f>INDEX('State Codes'!$E$7:$E$70,MATCH(INDEX('State Codes'!$C$7:$C$70,MATCH('County Climates'!B1874,'State Codes'!$D$7:$D$70,0),1),'State Codes'!$C$7:$C$70,0),1)</f>
        <v>East North Central Division</v>
      </c>
      <c r="F1874">
        <f>INDEX('CBECS_Table B5'!$C$6:$K$6,1,MATCH('County Climates'!E1874,'CBECS_Table B5'!$C$1:$K$1,0))</f>
        <v>12742</v>
      </c>
    </row>
    <row r="1875" spans="1:6" x14ac:dyDescent="0.25">
      <c r="A1875" t="s">
        <v>1563</v>
      </c>
      <c r="B1875" t="s">
        <v>1564</v>
      </c>
      <c r="C1875" t="s">
        <v>622</v>
      </c>
      <c r="D1875" t="s">
        <v>247</v>
      </c>
      <c r="E1875" t="str">
        <f>INDEX('State Codes'!$E$7:$E$70,MATCH(INDEX('State Codes'!$C$7:$C$70,MATCH('County Climates'!B1875,'State Codes'!$D$7:$D$70,0),1),'State Codes'!$C$7:$C$70,0),1)</f>
        <v>East North Central Division</v>
      </c>
      <c r="F1875">
        <f>INDEX('CBECS_Table B5'!$C$6:$K$6,1,MATCH('County Climates'!E1875,'CBECS_Table B5'!$C$1:$K$1,0))</f>
        <v>12742</v>
      </c>
    </row>
    <row r="1876" spans="1:6" x14ac:dyDescent="0.25">
      <c r="A1876" t="s">
        <v>1563</v>
      </c>
      <c r="B1876" t="s">
        <v>1564</v>
      </c>
      <c r="C1876" t="s">
        <v>470</v>
      </c>
      <c r="D1876" t="s">
        <v>247</v>
      </c>
      <c r="E1876" t="str">
        <f>INDEX('State Codes'!$E$7:$E$70,MATCH(INDEX('State Codes'!$C$7:$C$70,MATCH('County Climates'!B1876,'State Codes'!$D$7:$D$70,0),1),'State Codes'!$C$7:$C$70,0),1)</f>
        <v>East North Central Division</v>
      </c>
      <c r="F1876">
        <f>INDEX('CBECS_Table B5'!$C$6:$K$6,1,MATCH('County Climates'!E1876,'CBECS_Table B5'!$C$1:$K$1,0))</f>
        <v>12742</v>
      </c>
    </row>
    <row r="1877" spans="1:6" x14ac:dyDescent="0.25">
      <c r="A1877" t="s">
        <v>1563</v>
      </c>
      <c r="B1877" t="s">
        <v>1564</v>
      </c>
      <c r="C1877" t="s">
        <v>272</v>
      </c>
      <c r="D1877" t="s">
        <v>247</v>
      </c>
      <c r="E1877" t="str">
        <f>INDEX('State Codes'!$E$7:$E$70,MATCH(INDEX('State Codes'!$C$7:$C$70,MATCH('County Climates'!B1877,'State Codes'!$D$7:$D$70,0),1),'State Codes'!$C$7:$C$70,0),1)</f>
        <v>East North Central Division</v>
      </c>
      <c r="F1877">
        <f>INDEX('CBECS_Table B5'!$C$6:$K$6,1,MATCH('County Climates'!E1877,'CBECS_Table B5'!$C$1:$K$1,0))</f>
        <v>12742</v>
      </c>
    </row>
    <row r="1878" spans="1:6" x14ac:dyDescent="0.25">
      <c r="A1878" t="s">
        <v>1563</v>
      </c>
      <c r="B1878" t="s">
        <v>1564</v>
      </c>
      <c r="C1878" t="s">
        <v>627</v>
      </c>
      <c r="D1878" t="s">
        <v>228</v>
      </c>
      <c r="E1878" t="str">
        <f>INDEX('State Codes'!$E$7:$E$70,MATCH(INDEX('State Codes'!$C$7:$C$70,MATCH('County Climates'!B1878,'State Codes'!$D$7:$D$70,0),1),'State Codes'!$C$7:$C$70,0),1)</f>
        <v>East North Central Division</v>
      </c>
      <c r="F1878">
        <f>INDEX('CBECS_Table B5'!$C$6:$K$6,1,MATCH('County Climates'!E1878,'CBECS_Table B5'!$C$1:$K$1,0))</f>
        <v>12742</v>
      </c>
    </row>
    <row r="1879" spans="1:6" x14ac:dyDescent="0.25">
      <c r="A1879" t="s">
        <v>1563</v>
      </c>
      <c r="B1879" t="s">
        <v>1564</v>
      </c>
      <c r="C1879" t="s">
        <v>273</v>
      </c>
      <c r="D1879" t="s">
        <v>247</v>
      </c>
      <c r="E1879" t="str">
        <f>INDEX('State Codes'!$E$7:$E$70,MATCH(INDEX('State Codes'!$C$7:$C$70,MATCH('County Climates'!B1879,'State Codes'!$D$7:$D$70,0),1),'State Codes'!$C$7:$C$70,0),1)</f>
        <v>East North Central Division</v>
      </c>
      <c r="F1879">
        <f>INDEX('CBECS_Table B5'!$C$6:$K$6,1,MATCH('County Climates'!E1879,'CBECS_Table B5'!$C$1:$K$1,0))</f>
        <v>12742</v>
      </c>
    </row>
    <row r="1880" spans="1:6" x14ac:dyDescent="0.25">
      <c r="A1880" t="s">
        <v>1563</v>
      </c>
      <c r="B1880" t="s">
        <v>1564</v>
      </c>
      <c r="C1880" t="s">
        <v>314</v>
      </c>
      <c r="D1880" t="s">
        <v>228</v>
      </c>
      <c r="E1880" t="str">
        <f>INDEX('State Codes'!$E$7:$E$70,MATCH(INDEX('State Codes'!$C$7:$C$70,MATCH('County Climates'!B1880,'State Codes'!$D$7:$D$70,0),1),'State Codes'!$C$7:$C$70,0),1)</f>
        <v>East North Central Division</v>
      </c>
      <c r="F1880">
        <f>INDEX('CBECS_Table B5'!$C$6:$K$6,1,MATCH('County Climates'!E1880,'CBECS_Table B5'!$C$1:$K$1,0))</f>
        <v>12742</v>
      </c>
    </row>
    <row r="1881" spans="1:6" x14ac:dyDescent="0.25">
      <c r="A1881" t="s">
        <v>1563</v>
      </c>
      <c r="B1881" t="s">
        <v>1564</v>
      </c>
      <c r="C1881" t="s">
        <v>885</v>
      </c>
      <c r="D1881" t="s">
        <v>247</v>
      </c>
      <c r="E1881" t="str">
        <f>INDEX('State Codes'!$E$7:$E$70,MATCH(INDEX('State Codes'!$C$7:$C$70,MATCH('County Climates'!B1881,'State Codes'!$D$7:$D$70,0),1),'State Codes'!$C$7:$C$70,0),1)</f>
        <v>East North Central Division</v>
      </c>
      <c r="F1881">
        <f>INDEX('CBECS_Table B5'!$C$6:$K$6,1,MATCH('County Climates'!E1881,'CBECS_Table B5'!$C$1:$K$1,0))</f>
        <v>12742</v>
      </c>
    </row>
    <row r="1882" spans="1:6" x14ac:dyDescent="0.25">
      <c r="A1882" t="s">
        <v>1563</v>
      </c>
      <c r="B1882" t="s">
        <v>1564</v>
      </c>
      <c r="C1882" t="s">
        <v>275</v>
      </c>
      <c r="D1882" t="s">
        <v>228</v>
      </c>
      <c r="E1882" t="str">
        <f>INDEX('State Codes'!$E$7:$E$70,MATCH(INDEX('State Codes'!$C$7:$C$70,MATCH('County Climates'!B1882,'State Codes'!$D$7:$D$70,0),1),'State Codes'!$C$7:$C$70,0),1)</f>
        <v>East North Central Division</v>
      </c>
      <c r="F1882">
        <f>INDEX('CBECS_Table B5'!$C$6:$K$6,1,MATCH('County Climates'!E1882,'CBECS_Table B5'!$C$1:$K$1,0))</f>
        <v>12742</v>
      </c>
    </row>
    <row r="1883" spans="1:6" x14ac:dyDescent="0.25">
      <c r="A1883" t="s">
        <v>1563</v>
      </c>
      <c r="B1883" t="s">
        <v>1564</v>
      </c>
      <c r="C1883" t="s">
        <v>607</v>
      </c>
      <c r="D1883" t="s">
        <v>228</v>
      </c>
      <c r="E1883" t="str">
        <f>INDEX('State Codes'!$E$7:$E$70,MATCH(INDEX('State Codes'!$C$7:$C$70,MATCH('County Climates'!B1883,'State Codes'!$D$7:$D$70,0),1),'State Codes'!$C$7:$C$70,0),1)</f>
        <v>East North Central Division</v>
      </c>
      <c r="F1883">
        <f>INDEX('CBECS_Table B5'!$C$6:$K$6,1,MATCH('County Climates'!E1883,'CBECS_Table B5'!$C$1:$K$1,0))</f>
        <v>12742</v>
      </c>
    </row>
    <row r="1884" spans="1:6" x14ac:dyDescent="0.25">
      <c r="A1884" t="s">
        <v>1563</v>
      </c>
      <c r="B1884" t="s">
        <v>1564</v>
      </c>
      <c r="C1884" t="s">
        <v>609</v>
      </c>
      <c r="D1884" t="s">
        <v>247</v>
      </c>
      <c r="E1884" t="str">
        <f>INDEX('State Codes'!$E$7:$E$70,MATCH(INDEX('State Codes'!$C$7:$C$70,MATCH('County Climates'!B1884,'State Codes'!$D$7:$D$70,0),1),'State Codes'!$C$7:$C$70,0),1)</f>
        <v>East North Central Division</v>
      </c>
      <c r="F1884">
        <f>INDEX('CBECS_Table B5'!$C$6:$K$6,1,MATCH('County Climates'!E1884,'CBECS_Table B5'!$C$1:$K$1,0))</f>
        <v>12742</v>
      </c>
    </row>
    <row r="1885" spans="1:6" x14ac:dyDescent="0.25">
      <c r="A1885" t="s">
        <v>1563</v>
      </c>
      <c r="B1885" t="s">
        <v>1564</v>
      </c>
      <c r="C1885" t="s">
        <v>610</v>
      </c>
      <c r="D1885" t="s">
        <v>228</v>
      </c>
      <c r="E1885" t="str">
        <f>INDEX('State Codes'!$E$7:$E$70,MATCH(INDEX('State Codes'!$C$7:$C$70,MATCH('County Climates'!B1885,'State Codes'!$D$7:$D$70,0),1),'State Codes'!$C$7:$C$70,0),1)</f>
        <v>East North Central Division</v>
      </c>
      <c r="F1885">
        <f>INDEX('CBECS_Table B5'!$C$6:$K$6,1,MATCH('County Climates'!E1885,'CBECS_Table B5'!$C$1:$K$1,0))</f>
        <v>12742</v>
      </c>
    </row>
    <row r="1886" spans="1:6" x14ac:dyDescent="0.25">
      <c r="A1886" t="s">
        <v>1563</v>
      </c>
      <c r="B1886" t="s">
        <v>1564</v>
      </c>
      <c r="C1886" t="s">
        <v>611</v>
      </c>
      <c r="D1886" t="s">
        <v>247</v>
      </c>
      <c r="E1886" t="str">
        <f>INDEX('State Codes'!$E$7:$E$70,MATCH(INDEX('State Codes'!$C$7:$C$70,MATCH('County Climates'!B1886,'State Codes'!$D$7:$D$70,0),1),'State Codes'!$C$7:$C$70,0),1)</f>
        <v>East North Central Division</v>
      </c>
      <c r="F1886">
        <f>INDEX('CBECS_Table B5'!$C$6:$K$6,1,MATCH('County Climates'!E1886,'CBECS_Table B5'!$C$1:$K$1,0))</f>
        <v>12742</v>
      </c>
    </row>
    <row r="1887" spans="1:6" x14ac:dyDescent="0.25">
      <c r="A1887" t="s">
        <v>1563</v>
      </c>
      <c r="B1887" t="s">
        <v>1564</v>
      </c>
      <c r="C1887" t="s">
        <v>673</v>
      </c>
      <c r="D1887" t="s">
        <v>228</v>
      </c>
      <c r="E1887" t="str">
        <f>INDEX('State Codes'!$E$7:$E$70,MATCH(INDEX('State Codes'!$C$7:$C$70,MATCH('County Climates'!B1887,'State Codes'!$D$7:$D$70,0),1),'State Codes'!$C$7:$C$70,0),1)</f>
        <v>East North Central Division</v>
      </c>
      <c r="F1887">
        <f>INDEX('CBECS_Table B5'!$C$6:$K$6,1,MATCH('County Climates'!E1887,'CBECS_Table B5'!$C$1:$K$1,0))</f>
        <v>12742</v>
      </c>
    </row>
    <row r="1888" spans="1:6" x14ac:dyDescent="0.25">
      <c r="A1888" t="s">
        <v>1563</v>
      </c>
      <c r="B1888" t="s">
        <v>1564</v>
      </c>
      <c r="C1888" t="s">
        <v>277</v>
      </c>
      <c r="D1888" t="s">
        <v>228</v>
      </c>
      <c r="E1888" t="str">
        <f>INDEX('State Codes'!$E$7:$E$70,MATCH(INDEX('State Codes'!$C$7:$C$70,MATCH('County Climates'!B1888,'State Codes'!$D$7:$D$70,0),1),'State Codes'!$C$7:$C$70,0),1)</f>
        <v>East North Central Division</v>
      </c>
      <c r="F1888">
        <f>INDEX('CBECS_Table B5'!$C$6:$K$6,1,MATCH('County Climates'!E1888,'CBECS_Table B5'!$C$1:$K$1,0))</f>
        <v>12742</v>
      </c>
    </row>
    <row r="1889" spans="1:6" x14ac:dyDescent="0.25">
      <c r="A1889" t="s">
        <v>1563</v>
      </c>
      <c r="B1889" t="s">
        <v>1564</v>
      </c>
      <c r="C1889" t="s">
        <v>1574</v>
      </c>
      <c r="D1889" t="s">
        <v>228</v>
      </c>
      <c r="E1889" t="str">
        <f>INDEX('State Codes'!$E$7:$E$70,MATCH(INDEX('State Codes'!$C$7:$C$70,MATCH('County Climates'!B1889,'State Codes'!$D$7:$D$70,0),1),'State Codes'!$C$7:$C$70,0),1)</f>
        <v>East North Central Division</v>
      </c>
      <c r="F1889">
        <f>INDEX('CBECS_Table B5'!$C$6:$K$6,1,MATCH('County Climates'!E1889,'CBECS_Table B5'!$C$1:$K$1,0))</f>
        <v>12742</v>
      </c>
    </row>
    <row r="1890" spans="1:6" x14ac:dyDescent="0.25">
      <c r="A1890" t="s">
        <v>1563</v>
      </c>
      <c r="B1890" t="s">
        <v>1564</v>
      </c>
      <c r="C1890" t="s">
        <v>279</v>
      </c>
      <c r="D1890" t="s">
        <v>247</v>
      </c>
      <c r="E1890" t="str">
        <f>INDEX('State Codes'!$E$7:$E$70,MATCH(INDEX('State Codes'!$C$7:$C$70,MATCH('County Climates'!B1890,'State Codes'!$D$7:$D$70,0),1),'State Codes'!$C$7:$C$70,0),1)</f>
        <v>East North Central Division</v>
      </c>
      <c r="F1890">
        <f>INDEX('CBECS_Table B5'!$C$6:$K$6,1,MATCH('County Climates'!E1890,'CBECS_Table B5'!$C$1:$K$1,0))</f>
        <v>12742</v>
      </c>
    </row>
    <row r="1891" spans="1:6" x14ac:dyDescent="0.25">
      <c r="A1891" t="s">
        <v>1563</v>
      </c>
      <c r="B1891" t="s">
        <v>1564</v>
      </c>
      <c r="C1891" t="s">
        <v>616</v>
      </c>
      <c r="D1891" t="s">
        <v>247</v>
      </c>
      <c r="E1891" t="str">
        <f>INDEX('State Codes'!$E$7:$E$70,MATCH(INDEX('State Codes'!$C$7:$C$70,MATCH('County Climates'!B1891,'State Codes'!$D$7:$D$70,0),1),'State Codes'!$C$7:$C$70,0),1)</f>
        <v>East North Central Division</v>
      </c>
      <c r="F1891">
        <f>INDEX('CBECS_Table B5'!$C$6:$K$6,1,MATCH('County Climates'!E1891,'CBECS_Table B5'!$C$1:$K$1,0))</f>
        <v>12742</v>
      </c>
    </row>
    <row r="1892" spans="1:6" x14ac:dyDescent="0.25">
      <c r="A1892" t="s">
        <v>1563</v>
      </c>
      <c r="B1892" t="s">
        <v>1564</v>
      </c>
      <c r="C1892" t="s">
        <v>280</v>
      </c>
      <c r="D1892" t="s">
        <v>247</v>
      </c>
      <c r="E1892" t="str">
        <f>INDEX('State Codes'!$E$7:$E$70,MATCH(INDEX('State Codes'!$C$7:$C$70,MATCH('County Climates'!B1892,'State Codes'!$D$7:$D$70,0),1),'State Codes'!$C$7:$C$70,0),1)</f>
        <v>East North Central Division</v>
      </c>
      <c r="F1892">
        <f>INDEX('CBECS_Table B5'!$C$6:$K$6,1,MATCH('County Climates'!E1892,'CBECS_Table B5'!$C$1:$K$1,0))</f>
        <v>12742</v>
      </c>
    </row>
    <row r="1893" spans="1:6" x14ac:dyDescent="0.25">
      <c r="A1893" t="s">
        <v>1563</v>
      </c>
      <c r="B1893" t="s">
        <v>1564</v>
      </c>
      <c r="C1893" t="s">
        <v>1575</v>
      </c>
      <c r="D1893" t="s">
        <v>228</v>
      </c>
      <c r="E1893" t="str">
        <f>INDEX('State Codes'!$E$7:$E$70,MATCH(INDEX('State Codes'!$C$7:$C$70,MATCH('County Climates'!B1893,'State Codes'!$D$7:$D$70,0),1),'State Codes'!$C$7:$C$70,0),1)</f>
        <v>East North Central Division</v>
      </c>
      <c r="F1893">
        <f>INDEX('CBECS_Table B5'!$C$6:$K$6,1,MATCH('County Climates'!E1893,'CBECS_Table B5'!$C$1:$K$1,0))</f>
        <v>12742</v>
      </c>
    </row>
    <row r="1894" spans="1:6" x14ac:dyDescent="0.25">
      <c r="A1894" t="s">
        <v>1563</v>
      </c>
      <c r="B1894" t="s">
        <v>1564</v>
      </c>
      <c r="C1894" t="s">
        <v>1576</v>
      </c>
      <c r="D1894" t="s">
        <v>228</v>
      </c>
      <c r="E1894" t="str">
        <f>INDEX('State Codes'!$E$7:$E$70,MATCH(INDEX('State Codes'!$C$7:$C$70,MATCH('County Climates'!B1894,'State Codes'!$D$7:$D$70,0),1),'State Codes'!$C$7:$C$70,0),1)</f>
        <v>East North Central Division</v>
      </c>
      <c r="F1894">
        <f>INDEX('CBECS_Table B5'!$C$6:$K$6,1,MATCH('County Climates'!E1894,'CBECS_Table B5'!$C$1:$K$1,0))</f>
        <v>12742</v>
      </c>
    </row>
    <row r="1895" spans="1:6" x14ac:dyDescent="0.25">
      <c r="A1895" t="s">
        <v>1563</v>
      </c>
      <c r="B1895" t="s">
        <v>1564</v>
      </c>
      <c r="C1895" t="s">
        <v>322</v>
      </c>
      <c r="D1895" t="s">
        <v>247</v>
      </c>
      <c r="E1895" t="str">
        <f>INDEX('State Codes'!$E$7:$E$70,MATCH(INDEX('State Codes'!$C$7:$C$70,MATCH('County Climates'!B1895,'State Codes'!$D$7:$D$70,0),1),'State Codes'!$C$7:$C$70,0),1)</f>
        <v>East North Central Division</v>
      </c>
      <c r="F1895">
        <f>INDEX('CBECS_Table B5'!$C$6:$K$6,1,MATCH('County Climates'!E1895,'CBECS_Table B5'!$C$1:$K$1,0))</f>
        <v>12742</v>
      </c>
    </row>
    <row r="1896" spans="1:6" x14ac:dyDescent="0.25">
      <c r="A1896" t="s">
        <v>1563</v>
      </c>
      <c r="B1896" t="s">
        <v>1564</v>
      </c>
      <c r="C1896" t="s">
        <v>1273</v>
      </c>
      <c r="D1896" t="s">
        <v>228</v>
      </c>
      <c r="E1896" t="str">
        <f>INDEX('State Codes'!$E$7:$E$70,MATCH(INDEX('State Codes'!$C$7:$C$70,MATCH('County Climates'!B1896,'State Codes'!$D$7:$D$70,0),1),'State Codes'!$C$7:$C$70,0),1)</f>
        <v>East North Central Division</v>
      </c>
      <c r="F1896">
        <f>INDEX('CBECS_Table B5'!$C$6:$K$6,1,MATCH('County Climates'!E1896,'CBECS_Table B5'!$C$1:$K$1,0))</f>
        <v>12742</v>
      </c>
    </row>
    <row r="1897" spans="1:6" x14ac:dyDescent="0.25">
      <c r="A1897" t="s">
        <v>1563</v>
      </c>
      <c r="B1897" t="s">
        <v>1564</v>
      </c>
      <c r="C1897" t="s">
        <v>1577</v>
      </c>
      <c r="D1897" t="s">
        <v>228</v>
      </c>
      <c r="E1897" t="str">
        <f>INDEX('State Codes'!$E$7:$E$70,MATCH(INDEX('State Codes'!$C$7:$C$70,MATCH('County Climates'!B1897,'State Codes'!$D$7:$D$70,0),1),'State Codes'!$C$7:$C$70,0),1)</f>
        <v>East North Central Division</v>
      </c>
      <c r="F1897">
        <f>INDEX('CBECS_Table B5'!$C$6:$K$6,1,MATCH('County Climates'!E1897,'CBECS_Table B5'!$C$1:$K$1,0))</f>
        <v>12742</v>
      </c>
    </row>
    <row r="1898" spans="1:6" x14ac:dyDescent="0.25">
      <c r="A1898" t="s">
        <v>1563</v>
      </c>
      <c r="B1898" t="s">
        <v>1564</v>
      </c>
      <c r="C1898" t="s">
        <v>1218</v>
      </c>
      <c r="D1898" t="s">
        <v>228</v>
      </c>
      <c r="E1898" t="str">
        <f>INDEX('State Codes'!$E$7:$E$70,MATCH(INDEX('State Codes'!$C$7:$C$70,MATCH('County Climates'!B1898,'State Codes'!$D$7:$D$70,0),1),'State Codes'!$C$7:$C$70,0),1)</f>
        <v>East North Central Division</v>
      </c>
      <c r="F1898">
        <f>INDEX('CBECS_Table B5'!$C$6:$K$6,1,MATCH('County Climates'!E1898,'CBECS_Table B5'!$C$1:$K$1,0))</f>
        <v>12742</v>
      </c>
    </row>
    <row r="1899" spans="1:6" x14ac:dyDescent="0.25">
      <c r="A1899" t="s">
        <v>1563</v>
      </c>
      <c r="B1899" t="s">
        <v>1564</v>
      </c>
      <c r="C1899" t="s">
        <v>679</v>
      </c>
      <c r="D1899" t="s">
        <v>228</v>
      </c>
      <c r="E1899" t="str">
        <f>INDEX('State Codes'!$E$7:$E$70,MATCH(INDEX('State Codes'!$C$7:$C$70,MATCH('County Climates'!B1899,'State Codes'!$D$7:$D$70,0),1),'State Codes'!$C$7:$C$70,0),1)</f>
        <v>East North Central Division</v>
      </c>
      <c r="F1899">
        <f>INDEX('CBECS_Table B5'!$C$6:$K$6,1,MATCH('County Climates'!E1899,'CBECS_Table B5'!$C$1:$K$1,0))</f>
        <v>12742</v>
      </c>
    </row>
    <row r="1900" spans="1:6" x14ac:dyDescent="0.25">
      <c r="A1900" t="s">
        <v>1563</v>
      </c>
      <c r="B1900" t="s">
        <v>1564</v>
      </c>
      <c r="C1900" t="s">
        <v>1225</v>
      </c>
      <c r="D1900" t="s">
        <v>228</v>
      </c>
      <c r="E1900" t="str">
        <f>INDEX('State Codes'!$E$7:$E$70,MATCH(INDEX('State Codes'!$C$7:$C$70,MATCH('County Climates'!B1900,'State Codes'!$D$7:$D$70,0),1),'State Codes'!$C$7:$C$70,0),1)</f>
        <v>East North Central Division</v>
      </c>
      <c r="F1900">
        <f>INDEX('CBECS_Table B5'!$C$6:$K$6,1,MATCH('County Climates'!E1900,'CBECS_Table B5'!$C$1:$K$1,0))</f>
        <v>12742</v>
      </c>
    </row>
    <row r="1901" spans="1:6" x14ac:dyDescent="0.25">
      <c r="A1901" t="s">
        <v>1563</v>
      </c>
      <c r="B1901" t="s">
        <v>1564</v>
      </c>
      <c r="C1901" t="s">
        <v>383</v>
      </c>
      <c r="D1901" t="s">
        <v>228</v>
      </c>
      <c r="E1901" t="str">
        <f>INDEX('State Codes'!$E$7:$E$70,MATCH(INDEX('State Codes'!$C$7:$C$70,MATCH('County Climates'!B1901,'State Codes'!$D$7:$D$70,0),1),'State Codes'!$C$7:$C$70,0),1)</f>
        <v>East North Central Division</v>
      </c>
      <c r="F1901">
        <f>INDEX('CBECS_Table B5'!$C$6:$K$6,1,MATCH('County Climates'!E1901,'CBECS_Table B5'!$C$1:$K$1,0))</f>
        <v>12742</v>
      </c>
    </row>
    <row r="1902" spans="1:6" x14ac:dyDescent="0.25">
      <c r="A1902" t="s">
        <v>1563</v>
      </c>
      <c r="B1902" t="s">
        <v>1564</v>
      </c>
      <c r="C1902" t="s">
        <v>283</v>
      </c>
      <c r="D1902" t="s">
        <v>247</v>
      </c>
      <c r="E1902" t="str">
        <f>INDEX('State Codes'!$E$7:$E$70,MATCH(INDEX('State Codes'!$C$7:$C$70,MATCH('County Climates'!B1902,'State Codes'!$D$7:$D$70,0),1),'State Codes'!$C$7:$C$70,0),1)</f>
        <v>East North Central Division</v>
      </c>
      <c r="F1902">
        <f>INDEX('CBECS_Table B5'!$C$6:$K$6,1,MATCH('County Climates'!E1902,'CBECS_Table B5'!$C$1:$K$1,0))</f>
        <v>12742</v>
      </c>
    </row>
    <row r="1903" spans="1:6" x14ac:dyDescent="0.25">
      <c r="A1903" t="s">
        <v>1563</v>
      </c>
      <c r="B1903" t="s">
        <v>1564</v>
      </c>
      <c r="C1903" t="s">
        <v>284</v>
      </c>
      <c r="D1903" t="s">
        <v>228</v>
      </c>
      <c r="E1903" t="str">
        <f>INDEX('State Codes'!$E$7:$E$70,MATCH(INDEX('State Codes'!$C$7:$C$70,MATCH('County Climates'!B1903,'State Codes'!$D$7:$D$70,0),1),'State Codes'!$C$7:$C$70,0),1)</f>
        <v>East North Central Division</v>
      </c>
      <c r="F1903">
        <f>INDEX('CBECS_Table B5'!$C$6:$K$6,1,MATCH('County Climates'!E1903,'CBECS_Table B5'!$C$1:$K$1,0))</f>
        <v>12742</v>
      </c>
    </row>
    <row r="1904" spans="1:6" x14ac:dyDescent="0.25">
      <c r="A1904" t="s">
        <v>1563</v>
      </c>
      <c r="B1904" t="s">
        <v>1564</v>
      </c>
      <c r="C1904" t="s">
        <v>684</v>
      </c>
      <c r="D1904" t="s">
        <v>228</v>
      </c>
      <c r="E1904" t="str">
        <f>INDEX('State Codes'!$E$7:$E$70,MATCH(INDEX('State Codes'!$C$7:$C$70,MATCH('County Climates'!B1904,'State Codes'!$D$7:$D$70,0),1),'State Codes'!$C$7:$C$70,0),1)</f>
        <v>East North Central Division</v>
      </c>
      <c r="F1904">
        <f>INDEX('CBECS_Table B5'!$C$6:$K$6,1,MATCH('County Climates'!E1904,'CBECS_Table B5'!$C$1:$K$1,0))</f>
        <v>12742</v>
      </c>
    </row>
    <row r="1905" spans="1:6" x14ac:dyDescent="0.25">
      <c r="A1905" t="s">
        <v>1563</v>
      </c>
      <c r="B1905" t="s">
        <v>1564</v>
      </c>
      <c r="C1905" t="s">
        <v>326</v>
      </c>
      <c r="D1905" t="s">
        <v>228</v>
      </c>
      <c r="E1905" t="str">
        <f>INDEX('State Codes'!$E$7:$E$70,MATCH(INDEX('State Codes'!$C$7:$C$70,MATCH('County Climates'!B1905,'State Codes'!$D$7:$D$70,0),1),'State Codes'!$C$7:$C$70,0),1)</f>
        <v>East North Central Division</v>
      </c>
      <c r="F1905">
        <f>INDEX('CBECS_Table B5'!$C$6:$K$6,1,MATCH('County Climates'!E1905,'CBECS_Table B5'!$C$1:$K$1,0))</f>
        <v>12742</v>
      </c>
    </row>
    <row r="1906" spans="1:6" x14ac:dyDescent="0.25">
      <c r="A1906" t="s">
        <v>1563</v>
      </c>
      <c r="B1906" t="s">
        <v>1564</v>
      </c>
      <c r="C1906" t="s">
        <v>287</v>
      </c>
      <c r="D1906" t="s">
        <v>228</v>
      </c>
      <c r="E1906" t="str">
        <f>INDEX('State Codes'!$E$7:$E$70,MATCH(INDEX('State Codes'!$C$7:$C$70,MATCH('County Climates'!B1906,'State Codes'!$D$7:$D$70,0),1),'State Codes'!$C$7:$C$70,0),1)</f>
        <v>East North Central Division</v>
      </c>
      <c r="F1906">
        <f>INDEX('CBECS_Table B5'!$C$6:$K$6,1,MATCH('County Climates'!E1906,'CBECS_Table B5'!$C$1:$K$1,0))</f>
        <v>12742</v>
      </c>
    </row>
    <row r="1907" spans="1:6" x14ac:dyDescent="0.25">
      <c r="A1907" t="s">
        <v>1578</v>
      </c>
      <c r="B1907" t="s">
        <v>1579</v>
      </c>
      <c r="C1907" t="s">
        <v>1580</v>
      </c>
      <c r="D1907" t="s">
        <v>247</v>
      </c>
      <c r="E1907" t="str">
        <f>INDEX('State Codes'!$E$7:$E$70,MATCH(INDEX('State Codes'!$C$7:$C$70,MATCH('County Climates'!B1907,'State Codes'!$D$7:$D$70,0),1),'State Codes'!$C$7:$C$70,0),1)</f>
        <v>East North Central Division</v>
      </c>
      <c r="F1907">
        <f>INDEX('CBECS_Table B5'!$C$6:$K$6,1,MATCH('County Climates'!E1907,'CBECS_Table B5'!$C$1:$K$1,0))</f>
        <v>12742</v>
      </c>
    </row>
    <row r="1908" spans="1:6" x14ac:dyDescent="0.25">
      <c r="A1908" t="s">
        <v>1578</v>
      </c>
      <c r="B1908" t="s">
        <v>1579</v>
      </c>
      <c r="C1908" t="s">
        <v>1581</v>
      </c>
      <c r="D1908" t="s">
        <v>228</v>
      </c>
      <c r="E1908" t="str">
        <f>INDEX('State Codes'!$E$7:$E$70,MATCH(INDEX('State Codes'!$C$7:$C$70,MATCH('County Climates'!B1908,'State Codes'!$D$7:$D$70,0),1),'State Codes'!$C$7:$C$70,0),1)</f>
        <v>East North Central Division</v>
      </c>
      <c r="F1908">
        <f>INDEX('CBECS_Table B5'!$C$6:$K$6,1,MATCH('County Climates'!E1908,'CBECS_Table B5'!$C$1:$K$1,0))</f>
        <v>12742</v>
      </c>
    </row>
    <row r="1909" spans="1:6" x14ac:dyDescent="0.25">
      <c r="A1909" t="s">
        <v>1578</v>
      </c>
      <c r="B1909" t="s">
        <v>1579</v>
      </c>
      <c r="C1909" t="s">
        <v>272</v>
      </c>
      <c r="D1909" t="s">
        <v>228</v>
      </c>
      <c r="E1909" t="str">
        <f>INDEX('State Codes'!$E$7:$E$70,MATCH(INDEX('State Codes'!$C$7:$C$70,MATCH('County Climates'!B1909,'State Codes'!$D$7:$D$70,0),1),'State Codes'!$C$7:$C$70,0),1)</f>
        <v>East North Central Division</v>
      </c>
      <c r="F1909">
        <f>INDEX('CBECS_Table B5'!$C$6:$K$6,1,MATCH('County Climates'!E1909,'CBECS_Table B5'!$C$1:$K$1,0))</f>
        <v>12742</v>
      </c>
    </row>
    <row r="1910" spans="1:6" x14ac:dyDescent="0.25">
      <c r="A1910" t="s">
        <v>1578</v>
      </c>
      <c r="B1910" t="s">
        <v>1579</v>
      </c>
      <c r="C1910" t="s">
        <v>474</v>
      </c>
      <c r="D1910" t="s">
        <v>247</v>
      </c>
      <c r="E1910" t="str">
        <f>INDEX('State Codes'!$E$7:$E$70,MATCH(INDEX('State Codes'!$C$7:$C$70,MATCH('County Climates'!B1910,'State Codes'!$D$7:$D$70,0),1),'State Codes'!$C$7:$C$70,0),1)</f>
        <v>East North Central Division</v>
      </c>
      <c r="F1910">
        <f>INDEX('CBECS_Table B5'!$C$6:$K$6,1,MATCH('County Climates'!E1910,'CBECS_Table B5'!$C$1:$K$1,0))</f>
        <v>12742</v>
      </c>
    </row>
    <row r="1911" spans="1:6" x14ac:dyDescent="0.25">
      <c r="A1911" t="s">
        <v>1578</v>
      </c>
      <c r="B1911" t="s">
        <v>1579</v>
      </c>
      <c r="C1911" t="s">
        <v>1582</v>
      </c>
      <c r="D1911" t="s">
        <v>228</v>
      </c>
      <c r="E1911" t="str">
        <f>INDEX('State Codes'!$E$7:$E$70,MATCH(INDEX('State Codes'!$C$7:$C$70,MATCH('County Climates'!B1911,'State Codes'!$D$7:$D$70,0),1),'State Codes'!$C$7:$C$70,0),1)</f>
        <v>East North Central Division</v>
      </c>
      <c r="F1911">
        <f>INDEX('CBECS_Table B5'!$C$6:$K$6,1,MATCH('County Climates'!E1911,'CBECS_Table B5'!$C$1:$K$1,0))</f>
        <v>12742</v>
      </c>
    </row>
    <row r="1912" spans="1:6" x14ac:dyDescent="0.25">
      <c r="A1912" t="s">
        <v>1578</v>
      </c>
      <c r="B1912" t="s">
        <v>1579</v>
      </c>
      <c r="C1912" t="s">
        <v>273</v>
      </c>
      <c r="D1912" t="s">
        <v>228</v>
      </c>
      <c r="E1912" t="str">
        <f>INDEX('State Codes'!$E$7:$E$70,MATCH(INDEX('State Codes'!$C$7:$C$70,MATCH('County Climates'!B1912,'State Codes'!$D$7:$D$70,0),1),'State Codes'!$C$7:$C$70,0),1)</f>
        <v>East North Central Division</v>
      </c>
      <c r="F1912">
        <f>INDEX('CBECS_Table B5'!$C$6:$K$6,1,MATCH('County Climates'!E1912,'CBECS_Table B5'!$C$1:$K$1,0))</f>
        <v>12742</v>
      </c>
    </row>
    <row r="1913" spans="1:6" x14ac:dyDescent="0.25">
      <c r="A1913" t="s">
        <v>1578</v>
      </c>
      <c r="B1913" t="s">
        <v>1579</v>
      </c>
      <c r="C1913" t="s">
        <v>314</v>
      </c>
      <c r="D1913" t="s">
        <v>228</v>
      </c>
      <c r="E1913" t="str">
        <f>INDEX('State Codes'!$E$7:$E$70,MATCH(INDEX('State Codes'!$C$7:$C$70,MATCH('County Climates'!B1913,'State Codes'!$D$7:$D$70,0),1),'State Codes'!$C$7:$C$70,0),1)</f>
        <v>East North Central Division</v>
      </c>
      <c r="F1913">
        <f>INDEX('CBECS_Table B5'!$C$6:$K$6,1,MATCH('County Climates'!E1913,'CBECS_Table B5'!$C$1:$K$1,0))</f>
        <v>12742</v>
      </c>
    </row>
    <row r="1914" spans="1:6" x14ac:dyDescent="0.25">
      <c r="A1914" t="s">
        <v>1578</v>
      </c>
      <c r="B1914" t="s">
        <v>1579</v>
      </c>
      <c r="C1914" t="s">
        <v>1583</v>
      </c>
      <c r="D1914" t="s">
        <v>247</v>
      </c>
      <c r="E1914" t="str">
        <f>INDEX('State Codes'!$E$7:$E$70,MATCH(INDEX('State Codes'!$C$7:$C$70,MATCH('County Climates'!B1914,'State Codes'!$D$7:$D$70,0),1),'State Codes'!$C$7:$C$70,0),1)</f>
        <v>East North Central Division</v>
      </c>
      <c r="F1914">
        <f>INDEX('CBECS_Table B5'!$C$6:$K$6,1,MATCH('County Climates'!E1914,'CBECS_Table B5'!$C$1:$K$1,0))</f>
        <v>12742</v>
      </c>
    </row>
    <row r="1915" spans="1:6" x14ac:dyDescent="0.25">
      <c r="A1915" t="s">
        <v>1578</v>
      </c>
      <c r="B1915" t="s">
        <v>1579</v>
      </c>
      <c r="C1915" t="s">
        <v>316</v>
      </c>
      <c r="D1915" t="s">
        <v>228</v>
      </c>
      <c r="E1915" t="str">
        <f>INDEX('State Codes'!$E$7:$E$70,MATCH(INDEX('State Codes'!$C$7:$C$70,MATCH('County Climates'!B1915,'State Codes'!$D$7:$D$70,0),1),'State Codes'!$C$7:$C$70,0),1)</f>
        <v>East North Central Division</v>
      </c>
      <c r="F1915">
        <f>INDEX('CBECS_Table B5'!$C$6:$K$6,1,MATCH('County Climates'!E1915,'CBECS_Table B5'!$C$1:$K$1,0))</f>
        <v>12742</v>
      </c>
    </row>
    <row r="1916" spans="1:6" x14ac:dyDescent="0.25">
      <c r="A1916" t="s">
        <v>1578</v>
      </c>
      <c r="B1916" t="s">
        <v>1579</v>
      </c>
      <c r="C1916" t="s">
        <v>275</v>
      </c>
      <c r="D1916" t="s">
        <v>247</v>
      </c>
      <c r="E1916" t="str">
        <f>INDEX('State Codes'!$E$7:$E$70,MATCH(INDEX('State Codes'!$C$7:$C$70,MATCH('County Climates'!B1916,'State Codes'!$D$7:$D$70,0),1),'State Codes'!$C$7:$C$70,0),1)</f>
        <v>East North Central Division</v>
      </c>
      <c r="F1916">
        <f>INDEX('CBECS_Table B5'!$C$6:$K$6,1,MATCH('County Climates'!E1916,'CBECS_Table B5'!$C$1:$K$1,0))</f>
        <v>12742</v>
      </c>
    </row>
    <row r="1917" spans="1:6" x14ac:dyDescent="0.25">
      <c r="A1917" t="s">
        <v>1578</v>
      </c>
      <c r="B1917" t="s">
        <v>1579</v>
      </c>
      <c r="C1917" t="s">
        <v>609</v>
      </c>
      <c r="D1917" t="s">
        <v>228</v>
      </c>
      <c r="E1917" t="str">
        <f>INDEX('State Codes'!$E$7:$E$70,MATCH(INDEX('State Codes'!$C$7:$C$70,MATCH('County Climates'!B1917,'State Codes'!$D$7:$D$70,0),1),'State Codes'!$C$7:$C$70,0),1)</f>
        <v>East North Central Division</v>
      </c>
      <c r="F1917">
        <f>INDEX('CBECS_Table B5'!$C$6:$K$6,1,MATCH('County Climates'!E1917,'CBECS_Table B5'!$C$1:$K$1,0))</f>
        <v>12742</v>
      </c>
    </row>
    <row r="1918" spans="1:6" x14ac:dyDescent="0.25">
      <c r="A1918" t="s">
        <v>1578</v>
      </c>
      <c r="B1918" t="s">
        <v>1579</v>
      </c>
      <c r="C1918" t="s">
        <v>610</v>
      </c>
      <c r="D1918" t="s">
        <v>228</v>
      </c>
      <c r="E1918" t="str">
        <f>INDEX('State Codes'!$E$7:$E$70,MATCH(INDEX('State Codes'!$C$7:$C$70,MATCH('County Climates'!B1918,'State Codes'!$D$7:$D$70,0),1),'State Codes'!$C$7:$C$70,0),1)</f>
        <v>East North Central Division</v>
      </c>
      <c r="F1918">
        <f>INDEX('CBECS_Table B5'!$C$6:$K$6,1,MATCH('County Climates'!E1918,'CBECS_Table B5'!$C$1:$K$1,0))</f>
        <v>12742</v>
      </c>
    </row>
    <row r="1919" spans="1:6" x14ac:dyDescent="0.25">
      <c r="A1919" t="s">
        <v>1578</v>
      </c>
      <c r="B1919" t="s">
        <v>1579</v>
      </c>
      <c r="C1919" t="s">
        <v>612</v>
      </c>
      <c r="D1919" t="s">
        <v>247</v>
      </c>
      <c r="E1919" t="str">
        <f>INDEX('State Codes'!$E$7:$E$70,MATCH(INDEX('State Codes'!$C$7:$C$70,MATCH('County Climates'!B1919,'State Codes'!$D$7:$D$70,0),1),'State Codes'!$C$7:$C$70,0),1)</f>
        <v>East North Central Division</v>
      </c>
      <c r="F1919">
        <f>INDEX('CBECS_Table B5'!$C$6:$K$6,1,MATCH('County Climates'!E1919,'CBECS_Table B5'!$C$1:$K$1,0))</f>
        <v>12742</v>
      </c>
    </row>
    <row r="1920" spans="1:6" x14ac:dyDescent="0.25">
      <c r="A1920" t="s">
        <v>1578</v>
      </c>
      <c r="B1920" t="s">
        <v>1579</v>
      </c>
      <c r="C1920" t="s">
        <v>1584</v>
      </c>
      <c r="D1920" t="s">
        <v>228</v>
      </c>
      <c r="E1920" t="str">
        <f>INDEX('State Codes'!$E$7:$E$70,MATCH(INDEX('State Codes'!$C$7:$C$70,MATCH('County Climates'!B1920,'State Codes'!$D$7:$D$70,0),1),'State Codes'!$C$7:$C$70,0),1)</f>
        <v>East North Central Division</v>
      </c>
      <c r="F1920">
        <f>INDEX('CBECS_Table B5'!$C$6:$K$6,1,MATCH('County Climates'!E1920,'CBECS_Table B5'!$C$1:$K$1,0))</f>
        <v>12742</v>
      </c>
    </row>
    <row r="1921" spans="1:6" x14ac:dyDescent="0.25">
      <c r="A1921" t="s">
        <v>1578</v>
      </c>
      <c r="B1921" t="s">
        <v>1579</v>
      </c>
      <c r="C1921" t="s">
        <v>277</v>
      </c>
      <c r="D1921" t="s">
        <v>228</v>
      </c>
      <c r="E1921" t="str">
        <f>INDEX('State Codes'!$E$7:$E$70,MATCH(INDEX('State Codes'!$C$7:$C$70,MATCH('County Climates'!B1921,'State Codes'!$D$7:$D$70,0),1),'State Codes'!$C$7:$C$70,0),1)</f>
        <v>East North Central Division</v>
      </c>
      <c r="F1921">
        <f>INDEX('CBECS_Table B5'!$C$6:$K$6,1,MATCH('County Climates'!E1921,'CBECS_Table B5'!$C$1:$K$1,0))</f>
        <v>12742</v>
      </c>
    </row>
    <row r="1922" spans="1:6" x14ac:dyDescent="0.25">
      <c r="A1922" t="s">
        <v>1578</v>
      </c>
      <c r="B1922" t="s">
        <v>1579</v>
      </c>
      <c r="C1922" t="s">
        <v>319</v>
      </c>
      <c r="D1922" t="s">
        <v>228</v>
      </c>
      <c r="E1922" t="str">
        <f>INDEX('State Codes'!$E$7:$E$70,MATCH(INDEX('State Codes'!$C$7:$C$70,MATCH('County Climates'!B1922,'State Codes'!$D$7:$D$70,0),1),'State Codes'!$C$7:$C$70,0),1)</f>
        <v>East North Central Division</v>
      </c>
      <c r="F1922">
        <f>INDEX('CBECS_Table B5'!$C$6:$K$6,1,MATCH('County Climates'!E1922,'CBECS_Table B5'!$C$1:$K$1,0))</f>
        <v>12742</v>
      </c>
    </row>
    <row r="1923" spans="1:6" x14ac:dyDescent="0.25">
      <c r="A1923" t="s">
        <v>1578</v>
      </c>
      <c r="B1923" t="s">
        <v>1579</v>
      </c>
      <c r="C1923" t="s">
        <v>1585</v>
      </c>
      <c r="D1923" t="s">
        <v>228</v>
      </c>
      <c r="E1923" t="str">
        <f>INDEX('State Codes'!$E$7:$E$70,MATCH(INDEX('State Codes'!$C$7:$C$70,MATCH('County Climates'!B1923,'State Codes'!$D$7:$D$70,0),1),'State Codes'!$C$7:$C$70,0),1)</f>
        <v>East North Central Division</v>
      </c>
      <c r="F1923">
        <f>INDEX('CBECS_Table B5'!$C$6:$K$6,1,MATCH('County Climates'!E1923,'CBECS_Table B5'!$C$1:$K$1,0))</f>
        <v>12742</v>
      </c>
    </row>
    <row r="1924" spans="1:6" x14ac:dyDescent="0.25">
      <c r="A1924" t="s">
        <v>1578</v>
      </c>
      <c r="B1924" t="s">
        <v>1579</v>
      </c>
      <c r="C1924" t="s">
        <v>279</v>
      </c>
      <c r="D1924" t="s">
        <v>247</v>
      </c>
      <c r="E1924" t="str">
        <f>INDEX('State Codes'!$E$7:$E$70,MATCH(INDEX('State Codes'!$C$7:$C$70,MATCH('County Climates'!B1924,'State Codes'!$D$7:$D$70,0),1),'State Codes'!$C$7:$C$70,0),1)</f>
        <v>East North Central Division</v>
      </c>
      <c r="F1924">
        <f>INDEX('CBECS_Table B5'!$C$6:$K$6,1,MATCH('County Climates'!E1924,'CBECS_Table B5'!$C$1:$K$1,0))</f>
        <v>12742</v>
      </c>
    </row>
    <row r="1925" spans="1:6" x14ac:dyDescent="0.25">
      <c r="A1925" t="s">
        <v>1578</v>
      </c>
      <c r="B1925" t="s">
        <v>1579</v>
      </c>
      <c r="C1925" t="s">
        <v>616</v>
      </c>
      <c r="D1925" t="s">
        <v>228</v>
      </c>
      <c r="E1925" t="str">
        <f>INDEX('State Codes'!$E$7:$E$70,MATCH(INDEX('State Codes'!$C$7:$C$70,MATCH('County Climates'!B1925,'State Codes'!$D$7:$D$70,0),1),'State Codes'!$C$7:$C$70,0),1)</f>
        <v>East North Central Division</v>
      </c>
      <c r="F1925">
        <f>INDEX('CBECS_Table B5'!$C$6:$K$6,1,MATCH('County Climates'!E1925,'CBECS_Table B5'!$C$1:$K$1,0))</f>
        <v>12742</v>
      </c>
    </row>
    <row r="1926" spans="1:6" x14ac:dyDescent="0.25">
      <c r="A1926" t="s">
        <v>1578</v>
      </c>
      <c r="B1926" t="s">
        <v>1579</v>
      </c>
      <c r="C1926" t="s">
        <v>1586</v>
      </c>
      <c r="D1926" t="s">
        <v>228</v>
      </c>
      <c r="E1926" t="str">
        <f>INDEX('State Codes'!$E$7:$E$70,MATCH(INDEX('State Codes'!$C$7:$C$70,MATCH('County Climates'!B1926,'State Codes'!$D$7:$D$70,0),1),'State Codes'!$C$7:$C$70,0),1)</f>
        <v>East North Central Division</v>
      </c>
      <c r="F1926">
        <f>INDEX('CBECS_Table B5'!$C$6:$K$6,1,MATCH('County Climates'!E1926,'CBECS_Table B5'!$C$1:$K$1,0))</f>
        <v>12742</v>
      </c>
    </row>
    <row r="1927" spans="1:6" x14ac:dyDescent="0.25">
      <c r="A1927" t="s">
        <v>1578</v>
      </c>
      <c r="B1927" t="s">
        <v>1579</v>
      </c>
      <c r="C1927" t="s">
        <v>280</v>
      </c>
      <c r="D1927" t="s">
        <v>247</v>
      </c>
      <c r="E1927" t="str">
        <f>INDEX('State Codes'!$E$7:$E$70,MATCH(INDEX('State Codes'!$C$7:$C$70,MATCH('County Climates'!B1927,'State Codes'!$D$7:$D$70,0),1),'State Codes'!$C$7:$C$70,0),1)</f>
        <v>East North Central Division</v>
      </c>
      <c r="F1927">
        <f>INDEX('CBECS_Table B5'!$C$6:$K$6,1,MATCH('County Climates'!E1927,'CBECS_Table B5'!$C$1:$K$1,0))</f>
        <v>12742</v>
      </c>
    </row>
    <row r="1928" spans="1:6" x14ac:dyDescent="0.25">
      <c r="A1928" t="s">
        <v>1578</v>
      </c>
      <c r="B1928" t="s">
        <v>1579</v>
      </c>
      <c r="C1928" t="s">
        <v>1587</v>
      </c>
      <c r="D1928" t="s">
        <v>247</v>
      </c>
      <c r="E1928" t="str">
        <f>INDEX('State Codes'!$E$7:$E$70,MATCH(INDEX('State Codes'!$C$7:$C$70,MATCH('County Climates'!B1928,'State Codes'!$D$7:$D$70,0),1),'State Codes'!$C$7:$C$70,0),1)</f>
        <v>East North Central Division</v>
      </c>
      <c r="F1928">
        <f>INDEX('CBECS_Table B5'!$C$6:$K$6,1,MATCH('County Climates'!E1928,'CBECS_Table B5'!$C$1:$K$1,0))</f>
        <v>12742</v>
      </c>
    </row>
    <row r="1929" spans="1:6" x14ac:dyDescent="0.25">
      <c r="A1929" t="s">
        <v>1578</v>
      </c>
      <c r="B1929" t="s">
        <v>1579</v>
      </c>
      <c r="C1929" t="s">
        <v>322</v>
      </c>
      <c r="D1929" t="s">
        <v>228</v>
      </c>
      <c r="E1929" t="str">
        <f>INDEX('State Codes'!$E$7:$E$70,MATCH(INDEX('State Codes'!$C$7:$C$70,MATCH('County Climates'!B1929,'State Codes'!$D$7:$D$70,0),1),'State Codes'!$C$7:$C$70,0),1)</f>
        <v>East North Central Division</v>
      </c>
      <c r="F1929">
        <f>INDEX('CBECS_Table B5'!$C$6:$K$6,1,MATCH('County Climates'!E1929,'CBECS_Table B5'!$C$1:$K$1,0))</f>
        <v>12742</v>
      </c>
    </row>
    <row r="1930" spans="1:6" x14ac:dyDescent="0.25">
      <c r="A1930" t="s">
        <v>1578</v>
      </c>
      <c r="B1930" t="s">
        <v>1579</v>
      </c>
      <c r="C1930" t="s">
        <v>679</v>
      </c>
      <c r="D1930" t="s">
        <v>247</v>
      </c>
      <c r="E1930" t="str">
        <f>INDEX('State Codes'!$E$7:$E$70,MATCH(INDEX('State Codes'!$C$7:$C$70,MATCH('County Climates'!B1930,'State Codes'!$D$7:$D$70,0),1),'State Codes'!$C$7:$C$70,0),1)</f>
        <v>East North Central Division</v>
      </c>
      <c r="F1930">
        <f>INDEX('CBECS_Table B5'!$C$6:$K$6,1,MATCH('County Climates'!E1930,'CBECS_Table B5'!$C$1:$K$1,0))</f>
        <v>12742</v>
      </c>
    </row>
    <row r="1931" spans="1:6" x14ac:dyDescent="0.25">
      <c r="A1931" t="s">
        <v>1578</v>
      </c>
      <c r="B1931" t="s">
        <v>1579</v>
      </c>
      <c r="C1931" t="s">
        <v>1588</v>
      </c>
      <c r="D1931" t="s">
        <v>228</v>
      </c>
      <c r="E1931" t="str">
        <f>INDEX('State Codes'!$E$7:$E$70,MATCH(INDEX('State Codes'!$C$7:$C$70,MATCH('County Climates'!B1931,'State Codes'!$D$7:$D$70,0),1),'State Codes'!$C$7:$C$70,0),1)</f>
        <v>East North Central Division</v>
      </c>
      <c r="F1931">
        <f>INDEX('CBECS_Table B5'!$C$6:$K$6,1,MATCH('County Climates'!E1931,'CBECS_Table B5'!$C$1:$K$1,0))</f>
        <v>12742</v>
      </c>
    </row>
    <row r="1932" spans="1:6" x14ac:dyDescent="0.25">
      <c r="A1932" t="s">
        <v>1578</v>
      </c>
      <c r="B1932" t="s">
        <v>1579</v>
      </c>
      <c r="C1932" t="s">
        <v>1589</v>
      </c>
      <c r="D1932" t="s">
        <v>228</v>
      </c>
      <c r="E1932" t="str">
        <f>INDEX('State Codes'!$E$7:$E$70,MATCH(INDEX('State Codes'!$C$7:$C$70,MATCH('County Climates'!B1932,'State Codes'!$D$7:$D$70,0),1),'State Codes'!$C$7:$C$70,0),1)</f>
        <v>East North Central Division</v>
      </c>
      <c r="F1932">
        <f>INDEX('CBECS_Table B5'!$C$6:$K$6,1,MATCH('County Climates'!E1932,'CBECS_Table B5'!$C$1:$K$1,0))</f>
        <v>12742</v>
      </c>
    </row>
    <row r="1933" spans="1:6" x14ac:dyDescent="0.25">
      <c r="A1933" t="s">
        <v>1578</v>
      </c>
      <c r="B1933" t="s">
        <v>1579</v>
      </c>
      <c r="C1933" t="s">
        <v>1590</v>
      </c>
      <c r="D1933" t="s">
        <v>228</v>
      </c>
      <c r="E1933" t="str">
        <f>INDEX('State Codes'!$E$7:$E$70,MATCH(INDEX('State Codes'!$C$7:$C$70,MATCH('County Climates'!B1933,'State Codes'!$D$7:$D$70,0),1),'State Codes'!$C$7:$C$70,0),1)</f>
        <v>East North Central Division</v>
      </c>
      <c r="F1933">
        <f>INDEX('CBECS_Table B5'!$C$6:$K$6,1,MATCH('County Climates'!E1933,'CBECS_Table B5'!$C$1:$K$1,0))</f>
        <v>12742</v>
      </c>
    </row>
    <row r="1934" spans="1:6" x14ac:dyDescent="0.25">
      <c r="A1934" t="s">
        <v>1578</v>
      </c>
      <c r="B1934" t="s">
        <v>1579</v>
      </c>
      <c r="C1934" t="s">
        <v>383</v>
      </c>
      <c r="D1934" t="s">
        <v>228</v>
      </c>
      <c r="E1934" t="str">
        <f>INDEX('State Codes'!$E$7:$E$70,MATCH(INDEX('State Codes'!$C$7:$C$70,MATCH('County Climates'!B1934,'State Codes'!$D$7:$D$70,0),1),'State Codes'!$C$7:$C$70,0),1)</f>
        <v>East North Central Division</v>
      </c>
      <c r="F1934">
        <f>INDEX('CBECS_Table B5'!$C$6:$K$6,1,MATCH('County Climates'!E1934,'CBECS_Table B5'!$C$1:$K$1,0))</f>
        <v>12742</v>
      </c>
    </row>
    <row r="1935" spans="1:6" x14ac:dyDescent="0.25">
      <c r="A1935" t="s">
        <v>1578</v>
      </c>
      <c r="B1935" t="s">
        <v>1579</v>
      </c>
      <c r="C1935" t="s">
        <v>283</v>
      </c>
      <c r="D1935" t="s">
        <v>247</v>
      </c>
      <c r="E1935" t="str">
        <f>INDEX('State Codes'!$E$7:$E$70,MATCH(INDEX('State Codes'!$C$7:$C$70,MATCH('County Climates'!B1935,'State Codes'!$D$7:$D$70,0),1),'State Codes'!$C$7:$C$70,0),1)</f>
        <v>East North Central Division</v>
      </c>
      <c r="F1935">
        <f>INDEX('CBECS_Table B5'!$C$6:$K$6,1,MATCH('County Climates'!E1935,'CBECS_Table B5'!$C$1:$K$1,0))</f>
        <v>12742</v>
      </c>
    </row>
    <row r="1936" spans="1:6" x14ac:dyDescent="0.25">
      <c r="A1936" t="s">
        <v>1578</v>
      </c>
      <c r="B1936" t="s">
        <v>1579</v>
      </c>
      <c r="C1936" t="s">
        <v>288</v>
      </c>
      <c r="D1936" t="s">
        <v>228</v>
      </c>
      <c r="E1936" t="str">
        <f>INDEX('State Codes'!$E$7:$E$70,MATCH(INDEX('State Codes'!$C$7:$C$70,MATCH('County Climates'!B1936,'State Codes'!$D$7:$D$70,0),1),'State Codes'!$C$7:$C$70,0),1)</f>
        <v>East North Central Division</v>
      </c>
      <c r="F1936">
        <f>INDEX('CBECS_Table B5'!$C$6:$K$6,1,MATCH('County Climates'!E1936,'CBECS_Table B5'!$C$1:$K$1,0))</f>
        <v>12742</v>
      </c>
    </row>
    <row r="1937" spans="1:6" x14ac:dyDescent="0.25">
      <c r="A1937" t="s">
        <v>1578</v>
      </c>
      <c r="B1937" t="s">
        <v>1579</v>
      </c>
      <c r="C1937" t="s">
        <v>290</v>
      </c>
      <c r="D1937" t="s">
        <v>228</v>
      </c>
      <c r="E1937" t="str">
        <f>INDEX('State Codes'!$E$7:$E$70,MATCH(INDEX('State Codes'!$C$7:$C$70,MATCH('County Climates'!B1937,'State Codes'!$D$7:$D$70,0),1),'State Codes'!$C$7:$C$70,0),1)</f>
        <v>East North Central Division</v>
      </c>
      <c r="F1937">
        <f>INDEX('CBECS_Table B5'!$C$6:$K$6,1,MATCH('County Climates'!E1937,'CBECS_Table B5'!$C$1:$K$1,0))</f>
        <v>12742</v>
      </c>
    </row>
    <row r="1938" spans="1:6" x14ac:dyDescent="0.25">
      <c r="A1938" t="s">
        <v>1578</v>
      </c>
      <c r="B1938" t="s">
        <v>1579</v>
      </c>
      <c r="C1938" t="s">
        <v>291</v>
      </c>
      <c r="D1938" t="s">
        <v>228</v>
      </c>
      <c r="E1938" t="str">
        <f>INDEX('State Codes'!$E$7:$E$70,MATCH(INDEX('State Codes'!$C$7:$C$70,MATCH('County Climates'!B1938,'State Codes'!$D$7:$D$70,0),1),'State Codes'!$C$7:$C$70,0),1)</f>
        <v>East North Central Division</v>
      </c>
      <c r="F1938">
        <f>INDEX('CBECS_Table B5'!$C$6:$K$6,1,MATCH('County Climates'!E1938,'CBECS_Table B5'!$C$1:$K$1,0))</f>
        <v>12742</v>
      </c>
    </row>
    <row r="1939" spans="1:6" x14ac:dyDescent="0.25">
      <c r="A1939" t="s">
        <v>1578</v>
      </c>
      <c r="B1939" t="s">
        <v>1579</v>
      </c>
      <c r="C1939" t="s">
        <v>686</v>
      </c>
      <c r="D1939" t="s">
        <v>247</v>
      </c>
      <c r="E1939" t="str">
        <f>INDEX('State Codes'!$E$7:$E$70,MATCH(INDEX('State Codes'!$C$7:$C$70,MATCH('County Climates'!B1939,'State Codes'!$D$7:$D$70,0),1),'State Codes'!$C$7:$C$70,0),1)</f>
        <v>East North Central Division</v>
      </c>
      <c r="F1939">
        <f>INDEX('CBECS_Table B5'!$C$6:$K$6,1,MATCH('County Climates'!E1939,'CBECS_Table B5'!$C$1:$K$1,0))</f>
        <v>12742</v>
      </c>
    </row>
    <row r="1940" spans="1:6" x14ac:dyDescent="0.25">
      <c r="A1940" t="s">
        <v>1578</v>
      </c>
      <c r="B1940" t="s">
        <v>1579</v>
      </c>
      <c r="C1940" t="s">
        <v>648</v>
      </c>
      <c r="D1940" t="s">
        <v>228</v>
      </c>
      <c r="E1940" t="str">
        <f>INDEX('State Codes'!$E$7:$E$70,MATCH(INDEX('State Codes'!$C$7:$C$70,MATCH('County Climates'!B1940,'State Codes'!$D$7:$D$70,0),1),'State Codes'!$C$7:$C$70,0),1)</f>
        <v>East North Central Division</v>
      </c>
      <c r="F1940">
        <f>INDEX('CBECS_Table B5'!$C$6:$K$6,1,MATCH('County Climates'!E1940,'CBECS_Table B5'!$C$1:$K$1,0))</f>
        <v>12742</v>
      </c>
    </row>
    <row r="1941" spans="1:6" x14ac:dyDescent="0.25">
      <c r="A1941" t="s">
        <v>1578</v>
      </c>
      <c r="B1941" t="s">
        <v>1579</v>
      </c>
      <c r="C1941" t="s">
        <v>293</v>
      </c>
      <c r="D1941" t="s">
        <v>247</v>
      </c>
      <c r="E1941" t="str">
        <f>INDEX('State Codes'!$E$7:$E$70,MATCH(INDEX('State Codes'!$C$7:$C$70,MATCH('County Climates'!B1941,'State Codes'!$D$7:$D$70,0),1),'State Codes'!$C$7:$C$70,0),1)</f>
        <v>East North Central Division</v>
      </c>
      <c r="F1941">
        <f>INDEX('CBECS_Table B5'!$C$6:$K$6,1,MATCH('County Climates'!E1941,'CBECS_Table B5'!$C$1:$K$1,0))</f>
        <v>12742</v>
      </c>
    </row>
    <row r="1942" spans="1:6" x14ac:dyDescent="0.25">
      <c r="A1942" t="s">
        <v>1578</v>
      </c>
      <c r="B1942" t="s">
        <v>1579</v>
      </c>
      <c r="C1942" t="s">
        <v>294</v>
      </c>
      <c r="D1942" t="s">
        <v>228</v>
      </c>
      <c r="E1942" t="str">
        <f>INDEX('State Codes'!$E$7:$E$70,MATCH(INDEX('State Codes'!$C$7:$C$70,MATCH('County Climates'!B1942,'State Codes'!$D$7:$D$70,0),1),'State Codes'!$C$7:$C$70,0),1)</f>
        <v>East North Central Division</v>
      </c>
      <c r="F1942">
        <f>INDEX('CBECS_Table B5'!$C$6:$K$6,1,MATCH('County Climates'!E1942,'CBECS_Table B5'!$C$1:$K$1,0))</f>
        <v>12742</v>
      </c>
    </row>
    <row r="1943" spans="1:6" x14ac:dyDescent="0.25">
      <c r="A1943" t="s">
        <v>1578</v>
      </c>
      <c r="B1943" t="s">
        <v>1579</v>
      </c>
      <c r="C1943" t="s">
        <v>295</v>
      </c>
      <c r="D1943" t="s">
        <v>228</v>
      </c>
      <c r="E1943" t="str">
        <f>INDEX('State Codes'!$E$7:$E$70,MATCH(INDEX('State Codes'!$C$7:$C$70,MATCH('County Climates'!B1943,'State Codes'!$D$7:$D$70,0),1),'State Codes'!$C$7:$C$70,0),1)</f>
        <v>East North Central Division</v>
      </c>
      <c r="F1943">
        <f>INDEX('CBECS_Table B5'!$C$6:$K$6,1,MATCH('County Climates'!E1943,'CBECS_Table B5'!$C$1:$K$1,0))</f>
        <v>12742</v>
      </c>
    </row>
    <row r="1944" spans="1:6" x14ac:dyDescent="0.25">
      <c r="A1944" t="s">
        <v>1578</v>
      </c>
      <c r="B1944" t="s">
        <v>1579</v>
      </c>
      <c r="C1944" t="s">
        <v>331</v>
      </c>
      <c r="D1944" t="s">
        <v>228</v>
      </c>
      <c r="E1944" t="str">
        <f>INDEX('State Codes'!$E$7:$E$70,MATCH(INDEX('State Codes'!$C$7:$C$70,MATCH('County Climates'!B1944,'State Codes'!$D$7:$D$70,0),1),'State Codes'!$C$7:$C$70,0),1)</f>
        <v>East North Central Division</v>
      </c>
      <c r="F1944">
        <f>INDEX('CBECS_Table B5'!$C$6:$K$6,1,MATCH('County Climates'!E1944,'CBECS_Table B5'!$C$1:$K$1,0))</f>
        <v>12742</v>
      </c>
    </row>
    <row r="1945" spans="1:6" x14ac:dyDescent="0.25">
      <c r="A1945" t="s">
        <v>1578</v>
      </c>
      <c r="B1945" t="s">
        <v>1579</v>
      </c>
      <c r="C1945" t="s">
        <v>1044</v>
      </c>
      <c r="D1945" t="s">
        <v>228</v>
      </c>
      <c r="E1945" t="str">
        <f>INDEX('State Codes'!$E$7:$E$70,MATCH(INDEX('State Codes'!$C$7:$C$70,MATCH('County Climates'!B1945,'State Codes'!$D$7:$D$70,0),1),'State Codes'!$C$7:$C$70,0),1)</f>
        <v>East North Central Division</v>
      </c>
      <c r="F1945">
        <f>INDEX('CBECS_Table B5'!$C$6:$K$6,1,MATCH('County Climates'!E1945,'CBECS_Table B5'!$C$1:$K$1,0))</f>
        <v>12742</v>
      </c>
    </row>
    <row r="1946" spans="1:6" x14ac:dyDescent="0.25">
      <c r="A1946" t="s">
        <v>1578</v>
      </c>
      <c r="B1946" t="s">
        <v>1579</v>
      </c>
      <c r="C1946" t="s">
        <v>694</v>
      </c>
      <c r="D1946" t="s">
        <v>247</v>
      </c>
      <c r="E1946" t="str">
        <f>INDEX('State Codes'!$E$7:$E$70,MATCH(INDEX('State Codes'!$C$7:$C$70,MATCH('County Climates'!B1946,'State Codes'!$D$7:$D$70,0),1),'State Codes'!$C$7:$C$70,0),1)</f>
        <v>East North Central Division</v>
      </c>
      <c r="F1946">
        <f>INDEX('CBECS_Table B5'!$C$6:$K$6,1,MATCH('County Climates'!E1946,'CBECS_Table B5'!$C$1:$K$1,0))</f>
        <v>12742</v>
      </c>
    </row>
    <row r="1947" spans="1:6" x14ac:dyDescent="0.25">
      <c r="A1947" t="s">
        <v>1578</v>
      </c>
      <c r="B1947" t="s">
        <v>1579</v>
      </c>
      <c r="C1947" t="s">
        <v>966</v>
      </c>
      <c r="D1947" t="s">
        <v>247</v>
      </c>
      <c r="E1947" t="str">
        <f>INDEX('State Codes'!$E$7:$E$70,MATCH(INDEX('State Codes'!$C$7:$C$70,MATCH('County Climates'!B1947,'State Codes'!$D$7:$D$70,0),1),'State Codes'!$C$7:$C$70,0),1)</f>
        <v>East North Central Division</v>
      </c>
      <c r="F1947">
        <f>INDEX('CBECS_Table B5'!$C$6:$K$6,1,MATCH('County Climates'!E1947,'CBECS_Table B5'!$C$1:$K$1,0))</f>
        <v>12742</v>
      </c>
    </row>
    <row r="1948" spans="1:6" x14ac:dyDescent="0.25">
      <c r="A1948" t="s">
        <v>1578</v>
      </c>
      <c r="B1948" t="s">
        <v>1579</v>
      </c>
      <c r="C1948" t="s">
        <v>696</v>
      </c>
      <c r="D1948" t="s">
        <v>228</v>
      </c>
      <c r="E1948" t="str">
        <f>INDEX('State Codes'!$E$7:$E$70,MATCH(INDEX('State Codes'!$C$7:$C$70,MATCH('County Climates'!B1948,'State Codes'!$D$7:$D$70,0),1),'State Codes'!$C$7:$C$70,0),1)</f>
        <v>East North Central Division</v>
      </c>
      <c r="F1948">
        <f>INDEX('CBECS_Table B5'!$C$6:$K$6,1,MATCH('County Climates'!E1948,'CBECS_Table B5'!$C$1:$K$1,0))</f>
        <v>12742</v>
      </c>
    </row>
    <row r="1949" spans="1:6" x14ac:dyDescent="0.25">
      <c r="A1949" t="s">
        <v>1578</v>
      </c>
      <c r="B1949" t="s">
        <v>1579</v>
      </c>
      <c r="C1949" t="s">
        <v>1591</v>
      </c>
      <c r="D1949" t="s">
        <v>228</v>
      </c>
      <c r="E1949" t="str">
        <f>INDEX('State Codes'!$E$7:$E$70,MATCH(INDEX('State Codes'!$C$7:$C$70,MATCH('County Climates'!B1949,'State Codes'!$D$7:$D$70,0),1),'State Codes'!$C$7:$C$70,0),1)</f>
        <v>East North Central Division</v>
      </c>
      <c r="F1949">
        <f>INDEX('CBECS_Table B5'!$C$6:$K$6,1,MATCH('County Climates'!E1949,'CBECS_Table B5'!$C$1:$K$1,0))</f>
        <v>12742</v>
      </c>
    </row>
    <row r="1950" spans="1:6" x14ac:dyDescent="0.25">
      <c r="A1950" t="s">
        <v>1578</v>
      </c>
      <c r="B1950" t="s">
        <v>1579</v>
      </c>
      <c r="C1950" t="s">
        <v>296</v>
      </c>
      <c r="D1950" t="s">
        <v>247</v>
      </c>
      <c r="E1950" t="str">
        <f>INDEX('State Codes'!$E$7:$E$70,MATCH(INDEX('State Codes'!$C$7:$C$70,MATCH('County Climates'!B1950,'State Codes'!$D$7:$D$70,0),1),'State Codes'!$C$7:$C$70,0),1)</f>
        <v>East North Central Division</v>
      </c>
      <c r="F1950">
        <f>INDEX('CBECS_Table B5'!$C$6:$K$6,1,MATCH('County Climates'!E1950,'CBECS_Table B5'!$C$1:$K$1,0))</f>
        <v>12742</v>
      </c>
    </row>
    <row r="1951" spans="1:6" x14ac:dyDescent="0.25">
      <c r="A1951" t="s">
        <v>1578</v>
      </c>
      <c r="B1951" t="s">
        <v>1579</v>
      </c>
      <c r="C1951" t="s">
        <v>298</v>
      </c>
      <c r="D1951" t="s">
        <v>247</v>
      </c>
      <c r="E1951" t="str">
        <f>INDEX('State Codes'!$E$7:$E$70,MATCH(INDEX('State Codes'!$C$7:$C$70,MATCH('County Climates'!B1951,'State Codes'!$D$7:$D$70,0),1),'State Codes'!$C$7:$C$70,0),1)</f>
        <v>East North Central Division</v>
      </c>
      <c r="F1951">
        <f>INDEX('CBECS_Table B5'!$C$6:$K$6,1,MATCH('County Climates'!E1951,'CBECS_Table B5'!$C$1:$K$1,0))</f>
        <v>12742</v>
      </c>
    </row>
    <row r="1952" spans="1:6" x14ac:dyDescent="0.25">
      <c r="A1952" t="s">
        <v>1578</v>
      </c>
      <c r="B1952" t="s">
        <v>1579</v>
      </c>
      <c r="C1952" t="s">
        <v>1592</v>
      </c>
      <c r="D1952" t="s">
        <v>228</v>
      </c>
      <c r="E1952" t="str">
        <f>INDEX('State Codes'!$E$7:$E$70,MATCH(INDEX('State Codes'!$C$7:$C$70,MATCH('County Climates'!B1952,'State Codes'!$D$7:$D$70,0),1),'State Codes'!$C$7:$C$70,0),1)</f>
        <v>East North Central Division</v>
      </c>
      <c r="F1952">
        <f>INDEX('CBECS_Table B5'!$C$6:$K$6,1,MATCH('County Climates'!E1952,'CBECS_Table B5'!$C$1:$K$1,0))</f>
        <v>12742</v>
      </c>
    </row>
    <row r="1953" spans="1:6" x14ac:dyDescent="0.25">
      <c r="A1953" t="s">
        <v>1578</v>
      </c>
      <c r="B1953" t="s">
        <v>1579</v>
      </c>
      <c r="C1953" t="s">
        <v>1593</v>
      </c>
      <c r="D1953" t="s">
        <v>247</v>
      </c>
      <c r="E1953" t="str">
        <f>INDEX('State Codes'!$E$7:$E$70,MATCH(INDEX('State Codes'!$C$7:$C$70,MATCH('County Climates'!B1953,'State Codes'!$D$7:$D$70,0),1),'State Codes'!$C$7:$C$70,0),1)</f>
        <v>East North Central Division</v>
      </c>
      <c r="F1953">
        <f>INDEX('CBECS_Table B5'!$C$6:$K$6,1,MATCH('County Climates'!E1953,'CBECS_Table B5'!$C$1:$K$1,0))</f>
        <v>12742</v>
      </c>
    </row>
    <row r="1954" spans="1:6" x14ac:dyDescent="0.25">
      <c r="A1954" t="s">
        <v>1578</v>
      </c>
      <c r="B1954" t="s">
        <v>1579</v>
      </c>
      <c r="C1954" t="s">
        <v>338</v>
      </c>
      <c r="D1954" t="s">
        <v>228</v>
      </c>
      <c r="E1954" t="str">
        <f>INDEX('State Codes'!$E$7:$E$70,MATCH(INDEX('State Codes'!$C$7:$C$70,MATCH('County Climates'!B1954,'State Codes'!$D$7:$D$70,0),1),'State Codes'!$C$7:$C$70,0),1)</f>
        <v>East North Central Division</v>
      </c>
      <c r="F1954">
        <f>INDEX('CBECS_Table B5'!$C$6:$K$6,1,MATCH('County Climates'!E1954,'CBECS_Table B5'!$C$1:$K$1,0))</f>
        <v>12742</v>
      </c>
    </row>
    <row r="1955" spans="1:6" x14ac:dyDescent="0.25">
      <c r="A1955" t="s">
        <v>1578</v>
      </c>
      <c r="B1955" t="s">
        <v>1579</v>
      </c>
      <c r="C1955" t="s">
        <v>556</v>
      </c>
      <c r="D1955" t="s">
        <v>228</v>
      </c>
      <c r="E1955" t="str">
        <f>INDEX('State Codes'!$E$7:$E$70,MATCH(INDEX('State Codes'!$C$7:$C$70,MATCH('County Climates'!B1955,'State Codes'!$D$7:$D$70,0),1),'State Codes'!$C$7:$C$70,0),1)</f>
        <v>East North Central Division</v>
      </c>
      <c r="F1955">
        <f>INDEX('CBECS_Table B5'!$C$6:$K$6,1,MATCH('County Climates'!E1955,'CBECS_Table B5'!$C$1:$K$1,0))</f>
        <v>12742</v>
      </c>
    </row>
    <row r="1956" spans="1:6" x14ac:dyDescent="0.25">
      <c r="A1956" t="s">
        <v>1578</v>
      </c>
      <c r="B1956" t="s">
        <v>1579</v>
      </c>
      <c r="C1956" t="s">
        <v>299</v>
      </c>
      <c r="D1956" t="s">
        <v>228</v>
      </c>
      <c r="E1956" t="str">
        <f>INDEX('State Codes'!$E$7:$E$70,MATCH(INDEX('State Codes'!$C$7:$C$70,MATCH('County Climates'!B1956,'State Codes'!$D$7:$D$70,0),1),'State Codes'!$C$7:$C$70,0),1)</f>
        <v>East North Central Division</v>
      </c>
      <c r="F1956">
        <f>INDEX('CBECS_Table B5'!$C$6:$K$6,1,MATCH('County Climates'!E1956,'CBECS_Table B5'!$C$1:$K$1,0))</f>
        <v>12742</v>
      </c>
    </row>
    <row r="1957" spans="1:6" x14ac:dyDescent="0.25">
      <c r="A1957" t="s">
        <v>1578</v>
      </c>
      <c r="B1957" t="s">
        <v>1579</v>
      </c>
      <c r="C1957" t="s">
        <v>858</v>
      </c>
      <c r="D1957" t="s">
        <v>247</v>
      </c>
      <c r="E1957" t="str">
        <f>INDEX('State Codes'!$E$7:$E$70,MATCH(INDEX('State Codes'!$C$7:$C$70,MATCH('County Climates'!B1957,'State Codes'!$D$7:$D$70,0),1),'State Codes'!$C$7:$C$70,0),1)</f>
        <v>East North Central Division</v>
      </c>
      <c r="F1957">
        <f>INDEX('CBECS_Table B5'!$C$6:$K$6,1,MATCH('County Climates'!E1957,'CBECS_Table B5'!$C$1:$K$1,0))</f>
        <v>12742</v>
      </c>
    </row>
    <row r="1958" spans="1:6" x14ac:dyDescent="0.25">
      <c r="A1958" t="s">
        <v>1578</v>
      </c>
      <c r="B1958" t="s">
        <v>1579</v>
      </c>
      <c r="C1958" t="s">
        <v>668</v>
      </c>
      <c r="D1958" t="s">
        <v>228</v>
      </c>
      <c r="E1958" t="str">
        <f>INDEX('State Codes'!$E$7:$E$70,MATCH(INDEX('State Codes'!$C$7:$C$70,MATCH('County Climates'!B1958,'State Codes'!$D$7:$D$70,0),1),'State Codes'!$C$7:$C$70,0),1)</f>
        <v>East North Central Division</v>
      </c>
      <c r="F1958">
        <f>INDEX('CBECS_Table B5'!$C$6:$K$6,1,MATCH('County Climates'!E1958,'CBECS_Table B5'!$C$1:$K$1,0))</f>
        <v>12742</v>
      </c>
    </row>
    <row r="1959" spans="1:6" x14ac:dyDescent="0.25">
      <c r="A1959" t="s">
        <v>1578</v>
      </c>
      <c r="B1959" t="s">
        <v>1579</v>
      </c>
      <c r="C1959" t="s">
        <v>340</v>
      </c>
      <c r="D1959" t="s">
        <v>247</v>
      </c>
      <c r="E1959" t="str">
        <f>INDEX('State Codes'!$E$7:$E$70,MATCH(INDEX('State Codes'!$C$7:$C$70,MATCH('County Climates'!B1959,'State Codes'!$D$7:$D$70,0),1),'State Codes'!$C$7:$C$70,0),1)</f>
        <v>East North Central Division</v>
      </c>
      <c r="F1959">
        <f>INDEX('CBECS_Table B5'!$C$6:$K$6,1,MATCH('County Climates'!E1959,'CBECS_Table B5'!$C$1:$K$1,0))</f>
        <v>12742</v>
      </c>
    </row>
    <row r="1960" spans="1:6" x14ac:dyDescent="0.25">
      <c r="A1960" t="s">
        <v>1578</v>
      </c>
      <c r="B1960" t="s">
        <v>1579</v>
      </c>
      <c r="C1960" t="s">
        <v>301</v>
      </c>
      <c r="D1960" t="s">
        <v>228</v>
      </c>
      <c r="E1960" t="str">
        <f>INDEX('State Codes'!$E$7:$E$70,MATCH(INDEX('State Codes'!$C$7:$C$70,MATCH('County Climates'!B1960,'State Codes'!$D$7:$D$70,0),1),'State Codes'!$C$7:$C$70,0),1)</f>
        <v>East North Central Division</v>
      </c>
      <c r="F1960">
        <f>INDEX('CBECS_Table B5'!$C$6:$K$6,1,MATCH('County Climates'!E1960,'CBECS_Table B5'!$C$1:$K$1,0))</f>
        <v>12742</v>
      </c>
    </row>
    <row r="1961" spans="1:6" x14ac:dyDescent="0.25">
      <c r="A1961" t="s">
        <v>1578</v>
      </c>
      <c r="B1961" t="s">
        <v>1579</v>
      </c>
      <c r="C1961" t="s">
        <v>704</v>
      </c>
      <c r="D1961" t="s">
        <v>247</v>
      </c>
      <c r="E1961" t="str">
        <f>INDEX('State Codes'!$E$7:$E$70,MATCH(INDEX('State Codes'!$C$7:$C$70,MATCH('County Climates'!B1961,'State Codes'!$D$7:$D$70,0),1),'State Codes'!$C$7:$C$70,0),1)</f>
        <v>East North Central Division</v>
      </c>
      <c r="F1961">
        <f>INDEX('CBECS_Table B5'!$C$6:$K$6,1,MATCH('County Climates'!E1961,'CBECS_Table B5'!$C$1:$K$1,0))</f>
        <v>12742</v>
      </c>
    </row>
    <row r="1962" spans="1:6" x14ac:dyDescent="0.25">
      <c r="A1962" t="s">
        <v>1578</v>
      </c>
      <c r="B1962" t="s">
        <v>1579</v>
      </c>
      <c r="C1962" t="s">
        <v>774</v>
      </c>
      <c r="D1962" t="s">
        <v>228</v>
      </c>
      <c r="E1962" t="str">
        <f>INDEX('State Codes'!$E$7:$E$70,MATCH(INDEX('State Codes'!$C$7:$C$70,MATCH('County Climates'!B1962,'State Codes'!$D$7:$D$70,0),1),'State Codes'!$C$7:$C$70,0),1)</f>
        <v>East North Central Division</v>
      </c>
      <c r="F1962">
        <f>INDEX('CBECS_Table B5'!$C$6:$K$6,1,MATCH('County Climates'!E1962,'CBECS_Table B5'!$C$1:$K$1,0))</f>
        <v>12742</v>
      </c>
    </row>
    <row r="1963" spans="1:6" x14ac:dyDescent="0.25">
      <c r="A1963" t="s">
        <v>1578</v>
      </c>
      <c r="B1963" t="s">
        <v>1579</v>
      </c>
      <c r="C1963" t="s">
        <v>1594</v>
      </c>
      <c r="D1963" t="s">
        <v>228</v>
      </c>
      <c r="E1963" t="str">
        <f>INDEX('State Codes'!$E$7:$E$70,MATCH(INDEX('State Codes'!$C$7:$C$70,MATCH('County Climates'!B1963,'State Codes'!$D$7:$D$70,0),1),'State Codes'!$C$7:$C$70,0),1)</f>
        <v>East North Central Division</v>
      </c>
      <c r="F1963">
        <f>INDEX('CBECS_Table B5'!$C$6:$K$6,1,MATCH('County Climates'!E1963,'CBECS_Table B5'!$C$1:$K$1,0))</f>
        <v>12742</v>
      </c>
    </row>
    <row r="1964" spans="1:6" x14ac:dyDescent="0.25">
      <c r="A1964" t="s">
        <v>1578</v>
      </c>
      <c r="B1964" t="s">
        <v>1579</v>
      </c>
      <c r="C1964" t="s">
        <v>979</v>
      </c>
      <c r="D1964" t="s">
        <v>228</v>
      </c>
      <c r="E1964" t="str">
        <f>INDEX('State Codes'!$E$7:$E$70,MATCH(INDEX('State Codes'!$C$7:$C$70,MATCH('County Climates'!B1964,'State Codes'!$D$7:$D$70,0),1),'State Codes'!$C$7:$C$70,0),1)</f>
        <v>East North Central Division</v>
      </c>
      <c r="F1964">
        <f>INDEX('CBECS_Table B5'!$C$6:$K$6,1,MATCH('County Climates'!E1964,'CBECS_Table B5'!$C$1:$K$1,0))</f>
        <v>12742</v>
      </c>
    </row>
    <row r="1965" spans="1:6" x14ac:dyDescent="0.25">
      <c r="A1965" t="s">
        <v>1578</v>
      </c>
      <c r="B1965" t="s">
        <v>1579</v>
      </c>
      <c r="C1965" t="s">
        <v>867</v>
      </c>
      <c r="D1965" t="s">
        <v>247</v>
      </c>
      <c r="E1965" t="str">
        <f>INDEX('State Codes'!$E$7:$E$70,MATCH(INDEX('State Codes'!$C$7:$C$70,MATCH('County Climates'!B1965,'State Codes'!$D$7:$D$70,0),1),'State Codes'!$C$7:$C$70,0),1)</f>
        <v>East North Central Division</v>
      </c>
      <c r="F1965">
        <f>INDEX('CBECS_Table B5'!$C$6:$K$6,1,MATCH('County Climates'!E1965,'CBECS_Table B5'!$C$1:$K$1,0))</f>
        <v>12742</v>
      </c>
    </row>
    <row r="1966" spans="1:6" x14ac:dyDescent="0.25">
      <c r="A1966" t="s">
        <v>1578</v>
      </c>
      <c r="B1966" t="s">
        <v>1579</v>
      </c>
      <c r="C1966" t="s">
        <v>1595</v>
      </c>
      <c r="D1966" t="s">
        <v>247</v>
      </c>
      <c r="E1966" t="str">
        <f>INDEX('State Codes'!$E$7:$E$70,MATCH(INDEX('State Codes'!$C$7:$C$70,MATCH('County Climates'!B1966,'State Codes'!$D$7:$D$70,0),1),'State Codes'!$C$7:$C$70,0),1)</f>
        <v>East North Central Division</v>
      </c>
      <c r="F1966">
        <f>INDEX('CBECS_Table B5'!$C$6:$K$6,1,MATCH('County Climates'!E1966,'CBECS_Table B5'!$C$1:$K$1,0))</f>
        <v>12742</v>
      </c>
    </row>
    <row r="1967" spans="1:6" x14ac:dyDescent="0.25">
      <c r="A1967" t="s">
        <v>1578</v>
      </c>
      <c r="B1967" t="s">
        <v>1579</v>
      </c>
      <c r="C1967" t="s">
        <v>1596</v>
      </c>
      <c r="D1967" t="s">
        <v>228</v>
      </c>
      <c r="E1967" t="str">
        <f>INDEX('State Codes'!$E$7:$E$70,MATCH(INDEX('State Codes'!$C$7:$C$70,MATCH('County Climates'!B1967,'State Codes'!$D$7:$D$70,0),1),'State Codes'!$C$7:$C$70,0),1)</f>
        <v>East North Central Division</v>
      </c>
      <c r="F1967">
        <f>INDEX('CBECS_Table B5'!$C$6:$K$6,1,MATCH('County Climates'!E1967,'CBECS_Table B5'!$C$1:$K$1,0))</f>
        <v>12742</v>
      </c>
    </row>
    <row r="1968" spans="1:6" x14ac:dyDescent="0.25">
      <c r="A1968" t="s">
        <v>1578</v>
      </c>
      <c r="B1968" t="s">
        <v>1579</v>
      </c>
      <c r="C1968" t="s">
        <v>1168</v>
      </c>
      <c r="D1968" t="s">
        <v>228</v>
      </c>
      <c r="E1968" t="str">
        <f>INDEX('State Codes'!$E$7:$E$70,MATCH(INDEX('State Codes'!$C$7:$C$70,MATCH('County Climates'!B1968,'State Codes'!$D$7:$D$70,0),1),'State Codes'!$C$7:$C$70,0),1)</f>
        <v>East North Central Division</v>
      </c>
      <c r="F1968">
        <f>INDEX('CBECS_Table B5'!$C$6:$K$6,1,MATCH('County Climates'!E1968,'CBECS_Table B5'!$C$1:$K$1,0))</f>
        <v>12742</v>
      </c>
    </row>
    <row r="1969" spans="1:6" x14ac:dyDescent="0.25">
      <c r="A1969" t="s">
        <v>1578</v>
      </c>
      <c r="B1969" t="s">
        <v>1579</v>
      </c>
      <c r="C1969" t="s">
        <v>347</v>
      </c>
      <c r="D1969" t="s">
        <v>228</v>
      </c>
      <c r="E1969" t="str">
        <f>INDEX('State Codes'!$E$7:$E$70,MATCH(INDEX('State Codes'!$C$7:$C$70,MATCH('County Climates'!B1969,'State Codes'!$D$7:$D$70,0),1),'State Codes'!$C$7:$C$70,0),1)</f>
        <v>East North Central Division</v>
      </c>
      <c r="F1969">
        <f>INDEX('CBECS_Table B5'!$C$6:$K$6,1,MATCH('County Climates'!E1969,'CBECS_Table B5'!$C$1:$K$1,0))</f>
        <v>12742</v>
      </c>
    </row>
    <row r="1970" spans="1:6" x14ac:dyDescent="0.25">
      <c r="A1970" t="s">
        <v>1578</v>
      </c>
      <c r="B1970" t="s">
        <v>1579</v>
      </c>
      <c r="C1970" t="s">
        <v>1597</v>
      </c>
      <c r="D1970" t="s">
        <v>247</v>
      </c>
      <c r="E1970" t="str">
        <f>INDEX('State Codes'!$E$7:$E$70,MATCH(INDEX('State Codes'!$C$7:$C$70,MATCH('County Climates'!B1970,'State Codes'!$D$7:$D$70,0),1),'State Codes'!$C$7:$C$70,0),1)</f>
        <v>East North Central Division</v>
      </c>
      <c r="F1970">
        <f>INDEX('CBECS_Table B5'!$C$6:$K$6,1,MATCH('County Climates'!E1970,'CBECS_Table B5'!$C$1:$K$1,0))</f>
        <v>12742</v>
      </c>
    </row>
    <row r="1971" spans="1:6" x14ac:dyDescent="0.25">
      <c r="A1971" t="s">
        <v>1578</v>
      </c>
      <c r="B1971" t="s">
        <v>1579</v>
      </c>
      <c r="C1971" t="s">
        <v>1598</v>
      </c>
      <c r="D1971" t="s">
        <v>228</v>
      </c>
      <c r="E1971" t="str">
        <f>INDEX('State Codes'!$E$7:$E$70,MATCH(INDEX('State Codes'!$C$7:$C$70,MATCH('County Climates'!B1971,'State Codes'!$D$7:$D$70,0),1),'State Codes'!$C$7:$C$70,0),1)</f>
        <v>East North Central Division</v>
      </c>
      <c r="F1971">
        <f>INDEX('CBECS_Table B5'!$C$6:$K$6,1,MATCH('County Climates'!E1971,'CBECS_Table B5'!$C$1:$K$1,0))</f>
        <v>12742</v>
      </c>
    </row>
    <row r="1972" spans="1:6" x14ac:dyDescent="0.25">
      <c r="A1972" t="s">
        <v>1599</v>
      </c>
      <c r="B1972" t="s">
        <v>615</v>
      </c>
      <c r="C1972" t="s">
        <v>644</v>
      </c>
      <c r="D1972" t="s">
        <v>228</v>
      </c>
      <c r="E1972" t="str">
        <f>INDEX('State Codes'!$E$7:$E$70,MATCH(INDEX('State Codes'!$C$7:$C$70,MATCH('County Climates'!B1972,'State Codes'!$D$7:$D$70,0),1),'State Codes'!$C$7:$C$70,0),1)</f>
        <v>West North Central Division</v>
      </c>
      <c r="F1972">
        <f>INDEX('CBECS_Table B5'!$C$6:$K$6,1,MATCH('County Climates'!E1972,'CBECS_Table B5'!$C$1:$K$1,0))</f>
        <v>6178</v>
      </c>
    </row>
    <row r="1973" spans="1:6" x14ac:dyDescent="0.25">
      <c r="A1973" t="s">
        <v>1599</v>
      </c>
      <c r="B1973" t="s">
        <v>615</v>
      </c>
      <c r="C1973" t="s">
        <v>1305</v>
      </c>
      <c r="D1973" t="s">
        <v>228</v>
      </c>
      <c r="E1973" t="str">
        <f>INDEX('State Codes'!$E$7:$E$70,MATCH(INDEX('State Codes'!$C$7:$C$70,MATCH('County Climates'!B1973,'State Codes'!$D$7:$D$70,0),1),'State Codes'!$C$7:$C$70,0),1)</f>
        <v>West North Central Division</v>
      </c>
      <c r="F1973">
        <f>INDEX('CBECS_Table B5'!$C$6:$K$6,1,MATCH('County Climates'!E1973,'CBECS_Table B5'!$C$1:$K$1,0))</f>
        <v>6178</v>
      </c>
    </row>
    <row r="1974" spans="1:6" x14ac:dyDescent="0.25">
      <c r="A1974" t="s">
        <v>1599</v>
      </c>
      <c r="B1974" t="s">
        <v>615</v>
      </c>
      <c r="C1974" t="s">
        <v>1038</v>
      </c>
      <c r="D1974" t="s">
        <v>228</v>
      </c>
      <c r="E1974" t="str">
        <f>INDEX('State Codes'!$E$7:$E$70,MATCH(INDEX('State Codes'!$C$7:$C$70,MATCH('County Climates'!B1974,'State Codes'!$D$7:$D$70,0),1),'State Codes'!$C$7:$C$70,0),1)</f>
        <v>West North Central Division</v>
      </c>
      <c r="F1974">
        <f>INDEX('CBECS_Table B5'!$C$6:$K$6,1,MATCH('County Climates'!E1974,'CBECS_Table B5'!$C$1:$K$1,0))</f>
        <v>6178</v>
      </c>
    </row>
    <row r="1975" spans="1:6" x14ac:dyDescent="0.25">
      <c r="A1975" t="s">
        <v>1599</v>
      </c>
      <c r="B1975" t="s">
        <v>615</v>
      </c>
      <c r="C1975" t="s">
        <v>645</v>
      </c>
      <c r="D1975" t="s">
        <v>228</v>
      </c>
      <c r="E1975" t="str">
        <f>INDEX('State Codes'!$E$7:$E$70,MATCH(INDEX('State Codes'!$C$7:$C$70,MATCH('County Climates'!B1975,'State Codes'!$D$7:$D$70,0),1),'State Codes'!$C$7:$C$70,0),1)</f>
        <v>West North Central Division</v>
      </c>
      <c r="F1975">
        <f>INDEX('CBECS_Table B5'!$C$6:$K$6,1,MATCH('County Climates'!E1975,'CBECS_Table B5'!$C$1:$K$1,0))</f>
        <v>6178</v>
      </c>
    </row>
    <row r="1976" spans="1:6" x14ac:dyDescent="0.25">
      <c r="A1976" t="s">
        <v>1599</v>
      </c>
      <c r="B1976" t="s">
        <v>615</v>
      </c>
      <c r="C1976" t="s">
        <v>288</v>
      </c>
      <c r="D1976" t="s">
        <v>228</v>
      </c>
      <c r="E1976" t="str">
        <f>INDEX('State Codes'!$E$7:$E$70,MATCH(INDEX('State Codes'!$C$7:$C$70,MATCH('County Climates'!B1976,'State Codes'!$D$7:$D$70,0),1),'State Codes'!$C$7:$C$70,0),1)</f>
        <v>West North Central Division</v>
      </c>
      <c r="F1976">
        <f>INDEX('CBECS_Table B5'!$C$6:$K$6,1,MATCH('County Climates'!E1976,'CBECS_Table B5'!$C$1:$K$1,0))</f>
        <v>6178</v>
      </c>
    </row>
    <row r="1977" spans="1:6" x14ac:dyDescent="0.25">
      <c r="A1977" t="s">
        <v>1599</v>
      </c>
      <c r="B1977" t="s">
        <v>615</v>
      </c>
      <c r="C1977" t="s">
        <v>1600</v>
      </c>
      <c r="D1977" t="s">
        <v>228</v>
      </c>
      <c r="E1977" t="str">
        <f>INDEX('State Codes'!$E$7:$E$70,MATCH(INDEX('State Codes'!$C$7:$C$70,MATCH('County Climates'!B1977,'State Codes'!$D$7:$D$70,0),1),'State Codes'!$C$7:$C$70,0),1)</f>
        <v>West North Central Division</v>
      </c>
      <c r="F1977">
        <f>INDEX('CBECS_Table B5'!$C$6:$K$6,1,MATCH('County Climates'!E1977,'CBECS_Table B5'!$C$1:$K$1,0))</f>
        <v>6178</v>
      </c>
    </row>
    <row r="1978" spans="1:6" x14ac:dyDescent="0.25">
      <c r="A1978" t="s">
        <v>1599</v>
      </c>
      <c r="B1978" t="s">
        <v>615</v>
      </c>
      <c r="C1978" t="s">
        <v>290</v>
      </c>
      <c r="D1978" t="s">
        <v>228</v>
      </c>
      <c r="E1978" t="str">
        <f>INDEX('State Codes'!$E$7:$E$70,MATCH(INDEX('State Codes'!$C$7:$C$70,MATCH('County Climates'!B1978,'State Codes'!$D$7:$D$70,0),1),'State Codes'!$C$7:$C$70,0),1)</f>
        <v>West North Central Division</v>
      </c>
      <c r="F1978">
        <f>INDEX('CBECS_Table B5'!$C$6:$K$6,1,MATCH('County Climates'!E1978,'CBECS_Table B5'!$C$1:$K$1,0))</f>
        <v>6178</v>
      </c>
    </row>
    <row r="1979" spans="1:6" x14ac:dyDescent="0.25">
      <c r="A1979" t="s">
        <v>1599</v>
      </c>
      <c r="B1979" t="s">
        <v>615</v>
      </c>
      <c r="C1979" t="s">
        <v>291</v>
      </c>
      <c r="D1979" t="s">
        <v>228</v>
      </c>
      <c r="E1979" t="str">
        <f>INDEX('State Codes'!$E$7:$E$70,MATCH(INDEX('State Codes'!$C$7:$C$70,MATCH('County Climates'!B1979,'State Codes'!$D$7:$D$70,0),1),'State Codes'!$C$7:$C$70,0),1)</f>
        <v>West North Central Division</v>
      </c>
      <c r="F1979">
        <f>INDEX('CBECS_Table B5'!$C$6:$K$6,1,MATCH('County Climates'!E1979,'CBECS_Table B5'!$C$1:$K$1,0))</f>
        <v>6178</v>
      </c>
    </row>
    <row r="1980" spans="1:6" x14ac:dyDescent="0.25">
      <c r="A1980" t="s">
        <v>1599</v>
      </c>
      <c r="B1980" t="s">
        <v>615</v>
      </c>
      <c r="C1980" t="s">
        <v>1601</v>
      </c>
      <c r="D1980" t="s">
        <v>228</v>
      </c>
      <c r="E1980" t="str">
        <f>INDEX('State Codes'!$E$7:$E$70,MATCH(INDEX('State Codes'!$C$7:$C$70,MATCH('County Climates'!B1980,'State Codes'!$D$7:$D$70,0),1),'State Codes'!$C$7:$C$70,0),1)</f>
        <v>West North Central Division</v>
      </c>
      <c r="F1980">
        <f>INDEX('CBECS_Table B5'!$C$6:$K$6,1,MATCH('County Climates'!E1980,'CBECS_Table B5'!$C$1:$K$1,0))</f>
        <v>6178</v>
      </c>
    </row>
    <row r="1981" spans="1:6" x14ac:dyDescent="0.25">
      <c r="A1981" t="s">
        <v>1599</v>
      </c>
      <c r="B1981" t="s">
        <v>615</v>
      </c>
      <c r="C1981" t="s">
        <v>649</v>
      </c>
      <c r="D1981" t="s">
        <v>228</v>
      </c>
      <c r="E1981" t="str">
        <f>INDEX('State Codes'!$E$7:$E$70,MATCH(INDEX('State Codes'!$C$7:$C$70,MATCH('County Climates'!B1981,'State Codes'!$D$7:$D$70,0),1),'State Codes'!$C$7:$C$70,0),1)</f>
        <v>West North Central Division</v>
      </c>
      <c r="F1981">
        <f>INDEX('CBECS_Table B5'!$C$6:$K$6,1,MATCH('County Climates'!E1981,'CBECS_Table B5'!$C$1:$K$1,0))</f>
        <v>6178</v>
      </c>
    </row>
    <row r="1982" spans="1:6" x14ac:dyDescent="0.25">
      <c r="A1982" t="s">
        <v>1599</v>
      </c>
      <c r="B1982" t="s">
        <v>615</v>
      </c>
      <c r="C1982" t="s">
        <v>1602</v>
      </c>
      <c r="D1982" t="s">
        <v>228</v>
      </c>
      <c r="E1982" t="str">
        <f>INDEX('State Codes'!$E$7:$E$70,MATCH(INDEX('State Codes'!$C$7:$C$70,MATCH('County Climates'!B1982,'State Codes'!$D$7:$D$70,0),1),'State Codes'!$C$7:$C$70,0),1)</f>
        <v>West North Central Division</v>
      </c>
      <c r="F1982">
        <f>INDEX('CBECS_Table B5'!$C$6:$K$6,1,MATCH('County Climates'!E1982,'CBECS_Table B5'!$C$1:$K$1,0))</f>
        <v>6178</v>
      </c>
    </row>
    <row r="1983" spans="1:6" x14ac:dyDescent="0.25">
      <c r="A1983" t="s">
        <v>1599</v>
      </c>
      <c r="B1983" t="s">
        <v>615</v>
      </c>
      <c r="C1983" t="s">
        <v>293</v>
      </c>
      <c r="D1983" t="s">
        <v>228</v>
      </c>
      <c r="E1983" t="str">
        <f>INDEX('State Codes'!$E$7:$E$70,MATCH(INDEX('State Codes'!$C$7:$C$70,MATCH('County Climates'!B1983,'State Codes'!$D$7:$D$70,0),1),'State Codes'!$C$7:$C$70,0),1)</f>
        <v>West North Central Division</v>
      </c>
      <c r="F1983">
        <f>INDEX('CBECS_Table B5'!$C$6:$K$6,1,MATCH('County Climates'!E1983,'CBECS_Table B5'!$C$1:$K$1,0))</f>
        <v>6178</v>
      </c>
    </row>
    <row r="1984" spans="1:6" x14ac:dyDescent="0.25">
      <c r="A1984" t="s">
        <v>1599</v>
      </c>
      <c r="B1984" t="s">
        <v>615</v>
      </c>
      <c r="C1984" t="s">
        <v>294</v>
      </c>
      <c r="D1984" t="s">
        <v>228</v>
      </c>
      <c r="E1984" t="str">
        <f>INDEX('State Codes'!$E$7:$E$70,MATCH(INDEX('State Codes'!$C$7:$C$70,MATCH('County Climates'!B1984,'State Codes'!$D$7:$D$70,0),1),'State Codes'!$C$7:$C$70,0),1)</f>
        <v>West North Central Division</v>
      </c>
      <c r="F1984">
        <f>INDEX('CBECS_Table B5'!$C$6:$K$6,1,MATCH('County Climates'!E1984,'CBECS_Table B5'!$C$1:$K$1,0))</f>
        <v>6178</v>
      </c>
    </row>
    <row r="1985" spans="1:6" x14ac:dyDescent="0.25">
      <c r="A1985" t="s">
        <v>1599</v>
      </c>
      <c r="B1985" t="s">
        <v>615</v>
      </c>
      <c r="C1985" t="s">
        <v>1603</v>
      </c>
      <c r="D1985" t="s">
        <v>228</v>
      </c>
      <c r="E1985" t="str">
        <f>INDEX('State Codes'!$E$7:$E$70,MATCH(INDEX('State Codes'!$C$7:$C$70,MATCH('County Climates'!B1985,'State Codes'!$D$7:$D$70,0),1),'State Codes'!$C$7:$C$70,0),1)</f>
        <v>West North Central Division</v>
      </c>
      <c r="F1985">
        <f>INDEX('CBECS_Table B5'!$C$6:$K$6,1,MATCH('County Climates'!E1985,'CBECS_Table B5'!$C$1:$K$1,0))</f>
        <v>6178</v>
      </c>
    </row>
    <row r="1986" spans="1:6" x14ac:dyDescent="0.25">
      <c r="A1986" t="s">
        <v>1599</v>
      </c>
      <c r="B1986" t="s">
        <v>615</v>
      </c>
      <c r="C1986" t="s">
        <v>1604</v>
      </c>
      <c r="D1986" t="s">
        <v>228</v>
      </c>
      <c r="E1986" t="str">
        <f>INDEX('State Codes'!$E$7:$E$70,MATCH(INDEX('State Codes'!$C$7:$C$70,MATCH('County Climates'!B1986,'State Codes'!$D$7:$D$70,0),1),'State Codes'!$C$7:$C$70,0),1)</f>
        <v>West North Central Division</v>
      </c>
      <c r="F1986">
        <f>INDEX('CBECS_Table B5'!$C$6:$K$6,1,MATCH('County Climates'!E1986,'CBECS_Table B5'!$C$1:$K$1,0))</f>
        <v>6178</v>
      </c>
    </row>
    <row r="1987" spans="1:6" x14ac:dyDescent="0.25">
      <c r="A1987" t="s">
        <v>1599</v>
      </c>
      <c r="B1987" t="s">
        <v>615</v>
      </c>
      <c r="C1987" t="s">
        <v>1519</v>
      </c>
      <c r="D1987" t="s">
        <v>228</v>
      </c>
      <c r="E1987" t="str">
        <f>INDEX('State Codes'!$E$7:$E$70,MATCH(INDEX('State Codes'!$C$7:$C$70,MATCH('County Climates'!B1987,'State Codes'!$D$7:$D$70,0),1),'State Codes'!$C$7:$C$70,0),1)</f>
        <v>West North Central Division</v>
      </c>
      <c r="F1987">
        <f>INDEX('CBECS_Table B5'!$C$6:$K$6,1,MATCH('County Climates'!E1987,'CBECS_Table B5'!$C$1:$K$1,0))</f>
        <v>6178</v>
      </c>
    </row>
    <row r="1988" spans="1:6" x14ac:dyDescent="0.25">
      <c r="A1988" t="s">
        <v>1599</v>
      </c>
      <c r="B1988" t="s">
        <v>615</v>
      </c>
      <c r="C1988" t="s">
        <v>1319</v>
      </c>
      <c r="D1988" t="s">
        <v>228</v>
      </c>
      <c r="E1988" t="str">
        <f>INDEX('State Codes'!$E$7:$E$70,MATCH(INDEX('State Codes'!$C$7:$C$70,MATCH('County Climates'!B1988,'State Codes'!$D$7:$D$70,0),1),'State Codes'!$C$7:$C$70,0),1)</f>
        <v>West North Central Division</v>
      </c>
      <c r="F1988">
        <f>INDEX('CBECS_Table B5'!$C$6:$K$6,1,MATCH('County Climates'!E1988,'CBECS_Table B5'!$C$1:$K$1,0))</f>
        <v>6178</v>
      </c>
    </row>
    <row r="1989" spans="1:6" x14ac:dyDescent="0.25">
      <c r="A1989" t="s">
        <v>1599</v>
      </c>
      <c r="B1989" t="s">
        <v>615</v>
      </c>
      <c r="C1989" t="s">
        <v>1605</v>
      </c>
      <c r="D1989" t="s">
        <v>228</v>
      </c>
      <c r="E1989" t="str">
        <f>INDEX('State Codes'!$E$7:$E$70,MATCH(INDEX('State Codes'!$C$7:$C$70,MATCH('County Climates'!B1989,'State Codes'!$D$7:$D$70,0),1),'State Codes'!$C$7:$C$70,0),1)</f>
        <v>West North Central Division</v>
      </c>
      <c r="F1989">
        <f>INDEX('CBECS_Table B5'!$C$6:$K$6,1,MATCH('County Climates'!E1989,'CBECS_Table B5'!$C$1:$K$1,0))</f>
        <v>6178</v>
      </c>
    </row>
    <row r="1990" spans="1:6" x14ac:dyDescent="0.25">
      <c r="A1990" t="s">
        <v>1599</v>
      </c>
      <c r="B1990" t="s">
        <v>615</v>
      </c>
      <c r="C1990" t="s">
        <v>760</v>
      </c>
      <c r="D1990" t="s">
        <v>228</v>
      </c>
      <c r="E1990" t="str">
        <f>INDEX('State Codes'!$E$7:$E$70,MATCH(INDEX('State Codes'!$C$7:$C$70,MATCH('County Climates'!B1990,'State Codes'!$D$7:$D$70,0),1),'State Codes'!$C$7:$C$70,0),1)</f>
        <v>West North Central Division</v>
      </c>
      <c r="F1990">
        <f>INDEX('CBECS_Table B5'!$C$6:$K$6,1,MATCH('County Climates'!E1990,'CBECS_Table B5'!$C$1:$K$1,0))</f>
        <v>6178</v>
      </c>
    </row>
    <row r="1991" spans="1:6" x14ac:dyDescent="0.25">
      <c r="A1991" t="s">
        <v>1599</v>
      </c>
      <c r="B1991" t="s">
        <v>615</v>
      </c>
      <c r="C1991" t="s">
        <v>1350</v>
      </c>
      <c r="D1991" t="s">
        <v>228</v>
      </c>
      <c r="E1991" t="str">
        <f>INDEX('State Codes'!$E$7:$E$70,MATCH(INDEX('State Codes'!$C$7:$C$70,MATCH('County Climates'!B1991,'State Codes'!$D$7:$D$70,0),1),'State Codes'!$C$7:$C$70,0),1)</f>
        <v>West North Central Division</v>
      </c>
      <c r="F1991">
        <f>INDEX('CBECS_Table B5'!$C$6:$K$6,1,MATCH('County Climates'!E1991,'CBECS_Table B5'!$C$1:$K$1,0))</f>
        <v>6178</v>
      </c>
    </row>
    <row r="1992" spans="1:6" x14ac:dyDescent="0.25">
      <c r="A1992" t="s">
        <v>1599</v>
      </c>
      <c r="B1992" t="s">
        <v>615</v>
      </c>
      <c r="C1992" t="s">
        <v>335</v>
      </c>
      <c r="D1992" t="s">
        <v>228</v>
      </c>
      <c r="E1992" t="str">
        <f>INDEX('State Codes'!$E$7:$E$70,MATCH(INDEX('State Codes'!$C$7:$C$70,MATCH('County Climates'!B1992,'State Codes'!$D$7:$D$70,0),1),'State Codes'!$C$7:$C$70,0),1)</f>
        <v>West North Central Division</v>
      </c>
      <c r="F1992">
        <f>INDEX('CBECS_Table B5'!$C$6:$K$6,1,MATCH('County Climates'!E1992,'CBECS_Table B5'!$C$1:$K$1,0))</f>
        <v>6178</v>
      </c>
    </row>
    <row r="1993" spans="1:6" x14ac:dyDescent="0.25">
      <c r="A1993" t="s">
        <v>1599</v>
      </c>
      <c r="B1993" t="s">
        <v>615</v>
      </c>
      <c r="C1993" t="s">
        <v>1606</v>
      </c>
      <c r="D1993" t="s">
        <v>228</v>
      </c>
      <c r="E1993" t="str">
        <f>INDEX('State Codes'!$E$7:$E$70,MATCH(INDEX('State Codes'!$C$7:$C$70,MATCH('County Climates'!B1993,'State Codes'!$D$7:$D$70,0),1),'State Codes'!$C$7:$C$70,0),1)</f>
        <v>West North Central Division</v>
      </c>
      <c r="F1993">
        <f>INDEX('CBECS_Table B5'!$C$6:$K$6,1,MATCH('County Climates'!E1993,'CBECS_Table B5'!$C$1:$K$1,0))</f>
        <v>6178</v>
      </c>
    </row>
    <row r="1994" spans="1:6" x14ac:dyDescent="0.25">
      <c r="A1994" t="s">
        <v>1599</v>
      </c>
      <c r="B1994" t="s">
        <v>615</v>
      </c>
      <c r="C1994" t="s">
        <v>1607</v>
      </c>
      <c r="D1994" t="s">
        <v>228</v>
      </c>
      <c r="E1994" t="str">
        <f>INDEX('State Codes'!$E$7:$E$70,MATCH(INDEX('State Codes'!$C$7:$C$70,MATCH('County Climates'!B1994,'State Codes'!$D$7:$D$70,0),1),'State Codes'!$C$7:$C$70,0),1)</f>
        <v>West North Central Division</v>
      </c>
      <c r="F1994">
        <f>INDEX('CBECS_Table B5'!$C$6:$K$6,1,MATCH('County Climates'!E1994,'CBECS_Table B5'!$C$1:$K$1,0))</f>
        <v>6178</v>
      </c>
    </row>
    <row r="1995" spans="1:6" x14ac:dyDescent="0.25">
      <c r="A1995" t="s">
        <v>1599</v>
      </c>
      <c r="B1995" t="s">
        <v>615</v>
      </c>
      <c r="C1995" t="s">
        <v>1608</v>
      </c>
      <c r="D1995" t="s">
        <v>228</v>
      </c>
      <c r="E1995" t="str">
        <f>INDEX('State Codes'!$E$7:$E$70,MATCH(INDEX('State Codes'!$C$7:$C$70,MATCH('County Climates'!B1995,'State Codes'!$D$7:$D$70,0),1),'State Codes'!$C$7:$C$70,0),1)</f>
        <v>West North Central Division</v>
      </c>
      <c r="F1995">
        <f>INDEX('CBECS_Table B5'!$C$6:$K$6,1,MATCH('County Climates'!E1995,'CBECS_Table B5'!$C$1:$K$1,0))</f>
        <v>6178</v>
      </c>
    </row>
    <row r="1996" spans="1:6" x14ac:dyDescent="0.25">
      <c r="A1996" t="s">
        <v>1599</v>
      </c>
      <c r="B1996" t="s">
        <v>615</v>
      </c>
      <c r="C1996" t="s">
        <v>1609</v>
      </c>
      <c r="D1996" t="s">
        <v>228</v>
      </c>
      <c r="E1996" t="str">
        <f>INDEX('State Codes'!$E$7:$E$70,MATCH(INDEX('State Codes'!$C$7:$C$70,MATCH('County Climates'!B1996,'State Codes'!$D$7:$D$70,0),1),'State Codes'!$C$7:$C$70,0),1)</f>
        <v>West North Central Division</v>
      </c>
      <c r="F1996">
        <f>INDEX('CBECS_Table B5'!$C$6:$K$6,1,MATCH('County Climates'!E1996,'CBECS_Table B5'!$C$1:$K$1,0))</f>
        <v>6178</v>
      </c>
    </row>
    <row r="1997" spans="1:6" x14ac:dyDescent="0.25">
      <c r="A1997" t="s">
        <v>1599</v>
      </c>
      <c r="B1997" t="s">
        <v>615</v>
      </c>
      <c r="C1997" t="s">
        <v>340</v>
      </c>
      <c r="D1997" t="s">
        <v>228</v>
      </c>
      <c r="E1997" t="str">
        <f>INDEX('State Codes'!$E$7:$E$70,MATCH(INDEX('State Codes'!$C$7:$C$70,MATCH('County Climates'!B1997,'State Codes'!$D$7:$D$70,0),1),'State Codes'!$C$7:$C$70,0),1)</f>
        <v>West North Central Division</v>
      </c>
      <c r="F1997">
        <f>INDEX('CBECS_Table B5'!$C$6:$K$6,1,MATCH('County Climates'!E1997,'CBECS_Table B5'!$C$1:$K$1,0))</f>
        <v>6178</v>
      </c>
    </row>
    <row r="1998" spans="1:6" x14ac:dyDescent="0.25">
      <c r="A1998" t="s">
        <v>1599</v>
      </c>
      <c r="B1998" t="s">
        <v>615</v>
      </c>
      <c r="C1998" t="s">
        <v>301</v>
      </c>
      <c r="D1998" t="s">
        <v>228</v>
      </c>
      <c r="E1998" t="str">
        <f>INDEX('State Codes'!$E$7:$E$70,MATCH(INDEX('State Codes'!$C$7:$C$70,MATCH('County Climates'!B1998,'State Codes'!$D$7:$D$70,0),1),'State Codes'!$C$7:$C$70,0),1)</f>
        <v>West North Central Division</v>
      </c>
      <c r="F1998">
        <f>INDEX('CBECS_Table B5'!$C$6:$K$6,1,MATCH('County Climates'!E1998,'CBECS_Table B5'!$C$1:$K$1,0))</f>
        <v>6178</v>
      </c>
    </row>
    <row r="1999" spans="1:6" x14ac:dyDescent="0.25">
      <c r="A1999" t="s">
        <v>1599</v>
      </c>
      <c r="B1999" t="s">
        <v>615</v>
      </c>
      <c r="C1999" t="s">
        <v>923</v>
      </c>
      <c r="D1999" t="s">
        <v>228</v>
      </c>
      <c r="E1999" t="str">
        <f>INDEX('State Codes'!$E$7:$E$70,MATCH(INDEX('State Codes'!$C$7:$C$70,MATCH('County Climates'!B1999,'State Codes'!$D$7:$D$70,0),1),'State Codes'!$C$7:$C$70,0),1)</f>
        <v>West North Central Division</v>
      </c>
      <c r="F1999">
        <f>INDEX('CBECS_Table B5'!$C$6:$K$6,1,MATCH('County Climates'!E1999,'CBECS_Table B5'!$C$1:$K$1,0))</f>
        <v>6178</v>
      </c>
    </row>
    <row r="2000" spans="1:6" x14ac:dyDescent="0.25">
      <c r="A2000" t="s">
        <v>1599</v>
      </c>
      <c r="B2000" t="s">
        <v>615</v>
      </c>
      <c r="C2000" t="s">
        <v>1610</v>
      </c>
      <c r="D2000" t="s">
        <v>228</v>
      </c>
      <c r="E2000" t="str">
        <f>INDEX('State Codes'!$E$7:$E$70,MATCH(INDEX('State Codes'!$C$7:$C$70,MATCH('County Climates'!B2000,'State Codes'!$D$7:$D$70,0),1),'State Codes'!$C$7:$C$70,0),1)</f>
        <v>West North Central Division</v>
      </c>
      <c r="F2000">
        <f>INDEX('CBECS_Table B5'!$C$6:$K$6,1,MATCH('County Climates'!E2000,'CBECS_Table B5'!$C$1:$K$1,0))</f>
        <v>6178</v>
      </c>
    </row>
    <row r="2001" spans="1:6" x14ac:dyDescent="0.25">
      <c r="A2001" t="s">
        <v>1599</v>
      </c>
      <c r="B2001" t="s">
        <v>615</v>
      </c>
      <c r="C2001" t="s">
        <v>1611</v>
      </c>
      <c r="D2001" t="s">
        <v>228</v>
      </c>
      <c r="E2001" t="str">
        <f>INDEX('State Codes'!$E$7:$E$70,MATCH(INDEX('State Codes'!$C$7:$C$70,MATCH('County Climates'!B2001,'State Codes'!$D$7:$D$70,0),1),'State Codes'!$C$7:$C$70,0),1)</f>
        <v>West North Central Division</v>
      </c>
      <c r="F2001">
        <f>INDEX('CBECS_Table B5'!$C$6:$K$6,1,MATCH('County Climates'!E2001,'CBECS_Table B5'!$C$1:$K$1,0))</f>
        <v>6178</v>
      </c>
    </row>
    <row r="2002" spans="1:6" x14ac:dyDescent="0.25">
      <c r="A2002" t="s">
        <v>1599</v>
      </c>
      <c r="B2002" t="s">
        <v>615</v>
      </c>
      <c r="C2002" t="s">
        <v>705</v>
      </c>
      <c r="D2002" t="s">
        <v>228</v>
      </c>
      <c r="E2002" t="str">
        <f>INDEX('State Codes'!$E$7:$E$70,MATCH(INDEX('State Codes'!$C$7:$C$70,MATCH('County Climates'!B2002,'State Codes'!$D$7:$D$70,0),1),'State Codes'!$C$7:$C$70,0),1)</f>
        <v>West North Central Division</v>
      </c>
      <c r="F2002">
        <f>INDEX('CBECS_Table B5'!$C$6:$K$6,1,MATCH('County Climates'!E2002,'CBECS_Table B5'!$C$1:$K$1,0))</f>
        <v>6178</v>
      </c>
    </row>
    <row r="2003" spans="1:6" x14ac:dyDescent="0.25">
      <c r="A2003" t="s">
        <v>1599</v>
      </c>
      <c r="B2003" t="s">
        <v>615</v>
      </c>
      <c r="C2003" t="s">
        <v>347</v>
      </c>
      <c r="D2003" t="s">
        <v>228</v>
      </c>
      <c r="E2003" t="str">
        <f>INDEX('State Codes'!$E$7:$E$70,MATCH(INDEX('State Codes'!$C$7:$C$70,MATCH('County Climates'!B2003,'State Codes'!$D$7:$D$70,0),1),'State Codes'!$C$7:$C$70,0),1)</f>
        <v>West North Central Division</v>
      </c>
      <c r="F2003">
        <f>INDEX('CBECS_Table B5'!$C$6:$K$6,1,MATCH('County Climates'!E2003,'CBECS_Table B5'!$C$1:$K$1,0))</f>
        <v>6178</v>
      </c>
    </row>
    <row r="2004" spans="1:6" x14ac:dyDescent="0.25">
      <c r="A2004" t="s">
        <v>1599</v>
      </c>
      <c r="B2004" t="s">
        <v>615</v>
      </c>
      <c r="C2004" t="s">
        <v>348</v>
      </c>
      <c r="D2004" t="s">
        <v>228</v>
      </c>
      <c r="E2004" t="str">
        <f>INDEX('State Codes'!$E$7:$E$70,MATCH(INDEX('State Codes'!$C$7:$C$70,MATCH('County Climates'!B2004,'State Codes'!$D$7:$D$70,0),1),'State Codes'!$C$7:$C$70,0),1)</f>
        <v>West North Central Division</v>
      </c>
      <c r="F2004">
        <f>INDEX('CBECS_Table B5'!$C$6:$K$6,1,MATCH('County Climates'!E2004,'CBECS_Table B5'!$C$1:$K$1,0))</f>
        <v>6178</v>
      </c>
    </row>
    <row r="2005" spans="1:6" x14ac:dyDescent="0.25">
      <c r="A2005" t="s">
        <v>1599</v>
      </c>
      <c r="B2005" t="s">
        <v>615</v>
      </c>
      <c r="C2005" t="s">
        <v>1612</v>
      </c>
      <c r="D2005" t="s">
        <v>228</v>
      </c>
      <c r="E2005" t="str">
        <f>INDEX('State Codes'!$E$7:$E$70,MATCH(INDEX('State Codes'!$C$7:$C$70,MATCH('County Climates'!B2005,'State Codes'!$D$7:$D$70,0),1),'State Codes'!$C$7:$C$70,0),1)</f>
        <v>West North Central Division</v>
      </c>
      <c r="F2005">
        <f>INDEX('CBECS_Table B5'!$C$6:$K$6,1,MATCH('County Climates'!E2005,'CBECS_Table B5'!$C$1:$K$1,0))</f>
        <v>6178</v>
      </c>
    </row>
    <row r="2006" spans="1:6" x14ac:dyDescent="0.25">
      <c r="A2006" t="s">
        <v>1599</v>
      </c>
      <c r="B2006" t="s">
        <v>615</v>
      </c>
      <c r="C2006" t="s">
        <v>497</v>
      </c>
      <c r="D2006" t="s">
        <v>228</v>
      </c>
      <c r="E2006" t="str">
        <f>INDEX('State Codes'!$E$7:$E$70,MATCH(INDEX('State Codes'!$C$7:$C$70,MATCH('County Climates'!B2006,'State Codes'!$D$7:$D$70,0),1),'State Codes'!$C$7:$C$70,0),1)</f>
        <v>West North Central Division</v>
      </c>
      <c r="F2006">
        <f>INDEX('CBECS_Table B5'!$C$6:$K$6,1,MATCH('County Climates'!E2006,'CBECS_Table B5'!$C$1:$K$1,0))</f>
        <v>6178</v>
      </c>
    </row>
    <row r="2007" spans="1:6" x14ac:dyDescent="0.25">
      <c r="A2007" t="s">
        <v>1599</v>
      </c>
      <c r="B2007" t="s">
        <v>615</v>
      </c>
      <c r="C2007" t="s">
        <v>308</v>
      </c>
      <c r="D2007" t="s">
        <v>228</v>
      </c>
      <c r="E2007" t="str">
        <f>INDEX('State Codes'!$E$7:$E$70,MATCH(INDEX('State Codes'!$C$7:$C$70,MATCH('County Climates'!B2007,'State Codes'!$D$7:$D$70,0),1),'State Codes'!$C$7:$C$70,0),1)</f>
        <v>West North Central Division</v>
      </c>
      <c r="F2007">
        <f>INDEX('CBECS_Table B5'!$C$6:$K$6,1,MATCH('County Climates'!E2007,'CBECS_Table B5'!$C$1:$K$1,0))</f>
        <v>6178</v>
      </c>
    </row>
    <row r="2008" spans="1:6" x14ac:dyDescent="0.25">
      <c r="A2008" t="s">
        <v>1599</v>
      </c>
      <c r="B2008" t="s">
        <v>615</v>
      </c>
      <c r="C2008" t="s">
        <v>498</v>
      </c>
      <c r="D2008" t="s">
        <v>228</v>
      </c>
      <c r="E2008" t="str">
        <f>INDEX('State Codes'!$E$7:$E$70,MATCH(INDEX('State Codes'!$C$7:$C$70,MATCH('County Climates'!B2008,'State Codes'!$D$7:$D$70,0),1),'State Codes'!$C$7:$C$70,0),1)</f>
        <v>West North Central Division</v>
      </c>
      <c r="F2008">
        <f>INDEX('CBECS_Table B5'!$C$6:$K$6,1,MATCH('County Climates'!E2008,'CBECS_Table B5'!$C$1:$K$1,0))</f>
        <v>6178</v>
      </c>
    </row>
    <row r="2009" spans="1:6" x14ac:dyDescent="0.25">
      <c r="A2009" t="s">
        <v>1599</v>
      </c>
      <c r="B2009" t="s">
        <v>615</v>
      </c>
      <c r="C2009" t="s">
        <v>499</v>
      </c>
      <c r="D2009" t="s">
        <v>228</v>
      </c>
      <c r="E2009" t="str">
        <f>INDEX('State Codes'!$E$7:$E$70,MATCH(INDEX('State Codes'!$C$7:$C$70,MATCH('County Climates'!B2009,'State Codes'!$D$7:$D$70,0),1),'State Codes'!$C$7:$C$70,0),1)</f>
        <v>West North Central Division</v>
      </c>
      <c r="F2009">
        <f>INDEX('CBECS_Table B5'!$C$6:$K$6,1,MATCH('County Climates'!E2009,'CBECS_Table B5'!$C$1:$K$1,0))</f>
        <v>6178</v>
      </c>
    </row>
    <row r="2010" spans="1:6" x14ac:dyDescent="0.25">
      <c r="A2010" t="s">
        <v>1599</v>
      </c>
      <c r="B2010" t="s">
        <v>615</v>
      </c>
      <c r="C2010" t="s">
        <v>569</v>
      </c>
      <c r="D2010" t="s">
        <v>228</v>
      </c>
      <c r="E2010" t="str">
        <f>INDEX('State Codes'!$E$7:$E$70,MATCH(INDEX('State Codes'!$C$7:$C$70,MATCH('County Climates'!B2010,'State Codes'!$D$7:$D$70,0),1),'State Codes'!$C$7:$C$70,0),1)</f>
        <v>West North Central Division</v>
      </c>
      <c r="F2010">
        <f>INDEX('CBECS_Table B5'!$C$6:$K$6,1,MATCH('County Climates'!E2010,'CBECS_Table B5'!$C$1:$K$1,0))</f>
        <v>6178</v>
      </c>
    </row>
    <row r="2011" spans="1:6" x14ac:dyDescent="0.25">
      <c r="A2011" t="s">
        <v>1599</v>
      </c>
      <c r="B2011" t="s">
        <v>615</v>
      </c>
      <c r="C2011" t="s">
        <v>1613</v>
      </c>
      <c r="D2011" t="s">
        <v>228</v>
      </c>
      <c r="E2011" t="str">
        <f>INDEX('State Codes'!$E$7:$E$70,MATCH(INDEX('State Codes'!$C$7:$C$70,MATCH('County Climates'!B2011,'State Codes'!$D$7:$D$70,0),1),'State Codes'!$C$7:$C$70,0),1)</f>
        <v>West North Central Division</v>
      </c>
      <c r="F2011">
        <f>INDEX('CBECS_Table B5'!$C$6:$K$6,1,MATCH('County Climates'!E2011,'CBECS_Table B5'!$C$1:$K$1,0))</f>
        <v>6178</v>
      </c>
    </row>
    <row r="2012" spans="1:6" x14ac:dyDescent="0.25">
      <c r="A2012" t="s">
        <v>1599</v>
      </c>
      <c r="B2012" t="s">
        <v>615</v>
      </c>
      <c r="C2012" t="s">
        <v>1614</v>
      </c>
      <c r="D2012" t="s">
        <v>228</v>
      </c>
      <c r="E2012" t="str">
        <f>INDEX('State Codes'!$E$7:$E$70,MATCH(INDEX('State Codes'!$C$7:$C$70,MATCH('County Climates'!B2012,'State Codes'!$D$7:$D$70,0),1),'State Codes'!$C$7:$C$70,0),1)</f>
        <v>West North Central Division</v>
      </c>
      <c r="F2012">
        <f>INDEX('CBECS_Table B5'!$C$6:$K$6,1,MATCH('County Climates'!E2012,'CBECS_Table B5'!$C$1:$K$1,0))</f>
        <v>6178</v>
      </c>
    </row>
    <row r="2013" spans="1:6" x14ac:dyDescent="0.25">
      <c r="A2013" t="s">
        <v>1599</v>
      </c>
      <c r="B2013" t="s">
        <v>615</v>
      </c>
      <c r="C2013" t="s">
        <v>505</v>
      </c>
      <c r="D2013" t="s">
        <v>228</v>
      </c>
      <c r="E2013" t="str">
        <f>INDEX('State Codes'!$E$7:$E$70,MATCH(INDEX('State Codes'!$C$7:$C$70,MATCH('County Climates'!B2013,'State Codes'!$D$7:$D$70,0),1),'State Codes'!$C$7:$C$70,0),1)</f>
        <v>West North Central Division</v>
      </c>
      <c r="F2013">
        <f>INDEX('CBECS_Table B5'!$C$6:$K$6,1,MATCH('County Climates'!E2013,'CBECS_Table B5'!$C$1:$K$1,0))</f>
        <v>6178</v>
      </c>
    </row>
    <row r="2014" spans="1:6" x14ac:dyDescent="0.25">
      <c r="A2014" t="s">
        <v>1599</v>
      </c>
      <c r="B2014" t="s">
        <v>615</v>
      </c>
      <c r="C2014" t="s">
        <v>870</v>
      </c>
      <c r="D2014" t="s">
        <v>228</v>
      </c>
      <c r="E2014" t="str">
        <f>INDEX('State Codes'!$E$7:$E$70,MATCH(INDEX('State Codes'!$C$7:$C$70,MATCH('County Climates'!B2014,'State Codes'!$D$7:$D$70,0),1),'State Codes'!$C$7:$C$70,0),1)</f>
        <v>West North Central Division</v>
      </c>
      <c r="F2014">
        <f>INDEX('CBECS_Table B5'!$C$6:$K$6,1,MATCH('County Climates'!E2014,'CBECS_Table B5'!$C$1:$K$1,0))</f>
        <v>6178</v>
      </c>
    </row>
    <row r="2015" spans="1:6" x14ac:dyDescent="0.25">
      <c r="A2015" t="s">
        <v>1615</v>
      </c>
      <c r="B2015" t="s">
        <v>1616</v>
      </c>
      <c r="C2015" t="s">
        <v>573</v>
      </c>
      <c r="D2015" t="s">
        <v>247</v>
      </c>
      <c r="E2015" t="str">
        <f>INDEX('State Codes'!$E$7:$E$70,MATCH(INDEX('State Codes'!$C$7:$C$70,MATCH('County Climates'!B2015,'State Codes'!$D$7:$D$70,0),1),'State Codes'!$C$7:$C$70,0),1)</f>
        <v>West North Central Division</v>
      </c>
      <c r="F2015">
        <f>INDEX('CBECS_Table B5'!$C$6:$K$6,1,MATCH('County Climates'!E2015,'CBECS_Table B5'!$C$1:$K$1,0))</f>
        <v>6178</v>
      </c>
    </row>
    <row r="2016" spans="1:6" x14ac:dyDescent="0.25">
      <c r="A2016" t="s">
        <v>1615</v>
      </c>
      <c r="B2016" t="s">
        <v>1616</v>
      </c>
      <c r="C2016" t="s">
        <v>1174</v>
      </c>
      <c r="D2016" t="s">
        <v>247</v>
      </c>
      <c r="E2016" t="str">
        <f>INDEX('State Codes'!$E$7:$E$70,MATCH(INDEX('State Codes'!$C$7:$C$70,MATCH('County Climates'!B2016,'State Codes'!$D$7:$D$70,0),1),'State Codes'!$C$7:$C$70,0),1)</f>
        <v>West North Central Division</v>
      </c>
      <c r="F2016">
        <f>INDEX('CBECS_Table B5'!$C$6:$K$6,1,MATCH('County Climates'!E2016,'CBECS_Table B5'!$C$1:$K$1,0))</f>
        <v>6178</v>
      </c>
    </row>
    <row r="2017" spans="1:6" x14ac:dyDescent="0.25">
      <c r="A2017" t="s">
        <v>1615</v>
      </c>
      <c r="B2017" t="s">
        <v>1616</v>
      </c>
      <c r="C2017" t="s">
        <v>845</v>
      </c>
      <c r="D2017" t="s">
        <v>247</v>
      </c>
      <c r="E2017" t="str">
        <f>INDEX('State Codes'!$E$7:$E$70,MATCH(INDEX('State Codes'!$C$7:$C$70,MATCH('County Climates'!B2017,'State Codes'!$D$7:$D$70,0),1),'State Codes'!$C$7:$C$70,0),1)</f>
        <v>West North Central Division</v>
      </c>
      <c r="F2017">
        <f>INDEX('CBECS_Table B5'!$C$6:$K$6,1,MATCH('County Climates'!E2017,'CBECS_Table B5'!$C$1:$K$1,0))</f>
        <v>6178</v>
      </c>
    </row>
    <row r="2018" spans="1:6" x14ac:dyDescent="0.25">
      <c r="A2018" t="s">
        <v>1615</v>
      </c>
      <c r="B2018" t="s">
        <v>1616</v>
      </c>
      <c r="C2018" t="s">
        <v>1617</v>
      </c>
      <c r="D2018" t="s">
        <v>247</v>
      </c>
      <c r="E2018" t="str">
        <f>INDEX('State Codes'!$E$7:$E$70,MATCH(INDEX('State Codes'!$C$7:$C$70,MATCH('County Climates'!B2018,'State Codes'!$D$7:$D$70,0),1),'State Codes'!$C$7:$C$70,0),1)</f>
        <v>West North Central Division</v>
      </c>
      <c r="F2018">
        <f>INDEX('CBECS_Table B5'!$C$6:$K$6,1,MATCH('County Climates'!E2018,'CBECS_Table B5'!$C$1:$K$1,0))</f>
        <v>6178</v>
      </c>
    </row>
    <row r="2019" spans="1:6" x14ac:dyDescent="0.25">
      <c r="A2019" t="s">
        <v>1615</v>
      </c>
      <c r="B2019" t="s">
        <v>1616</v>
      </c>
      <c r="C2019" t="s">
        <v>848</v>
      </c>
      <c r="D2019" t="s">
        <v>247</v>
      </c>
      <c r="E2019" t="str">
        <f>INDEX('State Codes'!$E$7:$E$70,MATCH(INDEX('State Codes'!$C$7:$C$70,MATCH('County Climates'!B2019,'State Codes'!$D$7:$D$70,0),1),'State Codes'!$C$7:$C$70,0),1)</f>
        <v>West North Central Division</v>
      </c>
      <c r="F2019">
        <f>INDEX('CBECS_Table B5'!$C$6:$K$6,1,MATCH('County Climates'!E2019,'CBECS_Table B5'!$C$1:$K$1,0))</f>
        <v>6178</v>
      </c>
    </row>
    <row r="2020" spans="1:6" x14ac:dyDescent="0.25">
      <c r="A2020" t="s">
        <v>1615</v>
      </c>
      <c r="B2020" t="s">
        <v>1616</v>
      </c>
      <c r="C2020" t="s">
        <v>1618</v>
      </c>
      <c r="D2020" t="s">
        <v>247</v>
      </c>
      <c r="E2020" t="str">
        <f>INDEX('State Codes'!$E$7:$E$70,MATCH(INDEX('State Codes'!$C$7:$C$70,MATCH('County Climates'!B2020,'State Codes'!$D$7:$D$70,0),1),'State Codes'!$C$7:$C$70,0),1)</f>
        <v>West North Central Division</v>
      </c>
      <c r="F2020">
        <f>INDEX('CBECS_Table B5'!$C$6:$K$6,1,MATCH('County Climates'!E2020,'CBECS_Table B5'!$C$1:$K$1,0))</f>
        <v>6178</v>
      </c>
    </row>
    <row r="2021" spans="1:6" x14ac:dyDescent="0.25">
      <c r="A2021" t="s">
        <v>1615</v>
      </c>
      <c r="B2021" t="s">
        <v>1616</v>
      </c>
      <c r="C2021" t="s">
        <v>578</v>
      </c>
      <c r="D2021" t="s">
        <v>247</v>
      </c>
      <c r="E2021" t="str">
        <f>INDEX('State Codes'!$E$7:$E$70,MATCH(INDEX('State Codes'!$C$7:$C$70,MATCH('County Climates'!B2021,'State Codes'!$D$7:$D$70,0),1),'State Codes'!$C$7:$C$70,0),1)</f>
        <v>West North Central Division</v>
      </c>
      <c r="F2021">
        <f>INDEX('CBECS_Table B5'!$C$6:$K$6,1,MATCH('County Climates'!E2021,'CBECS_Table B5'!$C$1:$K$1,0))</f>
        <v>6178</v>
      </c>
    </row>
    <row r="2022" spans="1:6" x14ac:dyDescent="0.25">
      <c r="A2022" t="s">
        <v>1615</v>
      </c>
      <c r="B2022" t="s">
        <v>1616</v>
      </c>
      <c r="C2022" t="s">
        <v>250</v>
      </c>
      <c r="D2022" t="s">
        <v>247</v>
      </c>
      <c r="E2022" t="str">
        <f>INDEX('State Codes'!$E$7:$E$70,MATCH(INDEX('State Codes'!$C$7:$C$70,MATCH('County Climates'!B2022,'State Codes'!$D$7:$D$70,0),1),'State Codes'!$C$7:$C$70,0),1)</f>
        <v>West North Central Division</v>
      </c>
      <c r="F2022">
        <f>INDEX('CBECS_Table B5'!$C$6:$K$6,1,MATCH('County Climates'!E2022,'CBECS_Table B5'!$C$1:$K$1,0))</f>
        <v>6178</v>
      </c>
    </row>
    <row r="2023" spans="1:6" x14ac:dyDescent="0.25">
      <c r="A2023" t="s">
        <v>1615</v>
      </c>
      <c r="B2023" t="s">
        <v>1616</v>
      </c>
      <c r="C2023" t="s">
        <v>1619</v>
      </c>
      <c r="D2023" t="s">
        <v>247</v>
      </c>
      <c r="E2023" t="str">
        <f>INDEX('State Codes'!$E$7:$E$70,MATCH(INDEX('State Codes'!$C$7:$C$70,MATCH('County Climates'!B2023,'State Codes'!$D$7:$D$70,0),1),'State Codes'!$C$7:$C$70,0),1)</f>
        <v>West North Central Division</v>
      </c>
      <c r="F2023">
        <f>INDEX('CBECS_Table B5'!$C$6:$K$6,1,MATCH('County Climates'!E2023,'CBECS_Table B5'!$C$1:$K$1,0))</f>
        <v>6178</v>
      </c>
    </row>
    <row r="2024" spans="1:6" x14ac:dyDescent="0.25">
      <c r="A2024" t="s">
        <v>1615</v>
      </c>
      <c r="B2024" t="s">
        <v>1616</v>
      </c>
      <c r="C2024" t="s">
        <v>951</v>
      </c>
      <c r="D2024" t="s">
        <v>247</v>
      </c>
      <c r="E2024" t="str">
        <f>INDEX('State Codes'!$E$7:$E$70,MATCH(INDEX('State Codes'!$C$7:$C$70,MATCH('County Climates'!B2024,'State Codes'!$D$7:$D$70,0),1),'State Codes'!$C$7:$C$70,0),1)</f>
        <v>West North Central Division</v>
      </c>
      <c r="F2024">
        <f>INDEX('CBECS_Table B5'!$C$6:$K$6,1,MATCH('County Climates'!E2024,'CBECS_Table B5'!$C$1:$K$1,0))</f>
        <v>6178</v>
      </c>
    </row>
    <row r="2025" spans="1:6" x14ac:dyDescent="0.25">
      <c r="A2025" t="s">
        <v>1615</v>
      </c>
      <c r="B2025" t="s">
        <v>1616</v>
      </c>
      <c r="C2025" t="s">
        <v>253</v>
      </c>
      <c r="D2025" t="s">
        <v>247</v>
      </c>
      <c r="E2025" t="str">
        <f>INDEX('State Codes'!$E$7:$E$70,MATCH(INDEX('State Codes'!$C$7:$C$70,MATCH('County Climates'!B2025,'State Codes'!$D$7:$D$70,0),1),'State Codes'!$C$7:$C$70,0),1)</f>
        <v>West North Central Division</v>
      </c>
      <c r="F2025">
        <f>INDEX('CBECS_Table B5'!$C$6:$K$6,1,MATCH('County Climates'!E2025,'CBECS_Table B5'!$C$1:$K$1,0))</f>
        <v>6178</v>
      </c>
    </row>
    <row r="2026" spans="1:6" x14ac:dyDescent="0.25">
      <c r="A2026" t="s">
        <v>1615</v>
      </c>
      <c r="B2026" t="s">
        <v>1616</v>
      </c>
      <c r="C2026" t="s">
        <v>1486</v>
      </c>
      <c r="D2026" t="s">
        <v>228</v>
      </c>
      <c r="E2026" t="str">
        <f>INDEX('State Codes'!$E$7:$E$70,MATCH(INDEX('State Codes'!$C$7:$C$70,MATCH('County Climates'!B2026,'State Codes'!$D$7:$D$70,0),1),'State Codes'!$C$7:$C$70,0),1)</f>
        <v>West North Central Division</v>
      </c>
      <c r="F2026">
        <f>INDEX('CBECS_Table B5'!$C$6:$K$6,1,MATCH('County Climates'!E2026,'CBECS_Table B5'!$C$1:$K$1,0))</f>
        <v>6178</v>
      </c>
    </row>
    <row r="2027" spans="1:6" x14ac:dyDescent="0.25">
      <c r="A2027" t="s">
        <v>1615</v>
      </c>
      <c r="B2027" t="s">
        <v>1616</v>
      </c>
      <c r="C2027" t="s">
        <v>530</v>
      </c>
      <c r="D2027" t="s">
        <v>247</v>
      </c>
      <c r="E2027" t="str">
        <f>INDEX('State Codes'!$E$7:$E$70,MATCH(INDEX('State Codes'!$C$7:$C$70,MATCH('County Climates'!B2027,'State Codes'!$D$7:$D$70,0),1),'State Codes'!$C$7:$C$70,0),1)</f>
        <v>West North Central Division</v>
      </c>
      <c r="F2027">
        <f>INDEX('CBECS_Table B5'!$C$6:$K$6,1,MATCH('County Climates'!E2027,'CBECS_Table B5'!$C$1:$K$1,0))</f>
        <v>6178</v>
      </c>
    </row>
    <row r="2028" spans="1:6" x14ac:dyDescent="0.25">
      <c r="A2028" t="s">
        <v>1615</v>
      </c>
      <c r="B2028" t="s">
        <v>1616</v>
      </c>
      <c r="C2028" t="s">
        <v>257</v>
      </c>
      <c r="D2028" t="s">
        <v>247</v>
      </c>
      <c r="E2028" t="str">
        <f>INDEX('State Codes'!$E$7:$E$70,MATCH(INDEX('State Codes'!$C$7:$C$70,MATCH('County Climates'!B2028,'State Codes'!$D$7:$D$70,0),1),'State Codes'!$C$7:$C$70,0),1)</f>
        <v>West North Central Division</v>
      </c>
      <c r="F2028">
        <f>INDEX('CBECS_Table B5'!$C$6:$K$6,1,MATCH('County Climates'!E2028,'CBECS_Table B5'!$C$1:$K$1,0))</f>
        <v>6178</v>
      </c>
    </row>
    <row r="2029" spans="1:6" x14ac:dyDescent="0.25">
      <c r="A2029" t="s">
        <v>1615</v>
      </c>
      <c r="B2029" t="s">
        <v>1616</v>
      </c>
      <c r="C2029" t="s">
        <v>1620</v>
      </c>
      <c r="D2029" t="s">
        <v>228</v>
      </c>
      <c r="E2029" t="str">
        <f>INDEX('State Codes'!$E$7:$E$70,MATCH(INDEX('State Codes'!$C$7:$C$70,MATCH('County Climates'!B2029,'State Codes'!$D$7:$D$70,0),1),'State Codes'!$C$7:$C$70,0),1)</f>
        <v>West North Central Division</v>
      </c>
      <c r="F2029">
        <f>INDEX('CBECS_Table B5'!$C$6:$K$6,1,MATCH('County Climates'!E2029,'CBECS_Table B5'!$C$1:$K$1,0))</f>
        <v>6178</v>
      </c>
    </row>
    <row r="2030" spans="1:6" x14ac:dyDescent="0.25">
      <c r="A2030" t="s">
        <v>1615</v>
      </c>
      <c r="B2030" t="s">
        <v>1616</v>
      </c>
      <c r="C2030" t="s">
        <v>1621</v>
      </c>
      <c r="D2030" t="s">
        <v>247</v>
      </c>
      <c r="E2030" t="str">
        <f>INDEX('State Codes'!$E$7:$E$70,MATCH(INDEX('State Codes'!$C$7:$C$70,MATCH('County Climates'!B2030,'State Codes'!$D$7:$D$70,0),1),'State Codes'!$C$7:$C$70,0),1)</f>
        <v>West North Central Division</v>
      </c>
      <c r="F2030">
        <f>INDEX('CBECS_Table B5'!$C$6:$K$6,1,MATCH('County Climates'!E2030,'CBECS_Table B5'!$C$1:$K$1,0))</f>
        <v>6178</v>
      </c>
    </row>
    <row r="2031" spans="1:6" x14ac:dyDescent="0.25">
      <c r="A2031" t="s">
        <v>1615</v>
      </c>
      <c r="B2031" t="s">
        <v>1616</v>
      </c>
      <c r="C2031" t="s">
        <v>1622</v>
      </c>
      <c r="D2031" t="s">
        <v>247</v>
      </c>
      <c r="E2031" t="str">
        <f>INDEX('State Codes'!$E$7:$E$70,MATCH(INDEX('State Codes'!$C$7:$C$70,MATCH('County Climates'!B2031,'State Codes'!$D$7:$D$70,0),1),'State Codes'!$C$7:$C$70,0),1)</f>
        <v>West North Central Division</v>
      </c>
      <c r="F2031">
        <f>INDEX('CBECS_Table B5'!$C$6:$K$6,1,MATCH('County Climates'!E2031,'CBECS_Table B5'!$C$1:$K$1,0))</f>
        <v>6178</v>
      </c>
    </row>
    <row r="2032" spans="1:6" x14ac:dyDescent="0.25">
      <c r="A2032" t="s">
        <v>1615</v>
      </c>
      <c r="B2032" t="s">
        <v>1616</v>
      </c>
      <c r="C2032" t="s">
        <v>1623</v>
      </c>
      <c r="D2032" t="s">
        <v>247</v>
      </c>
      <c r="E2032" t="str">
        <f>INDEX('State Codes'!$E$7:$E$70,MATCH(INDEX('State Codes'!$C$7:$C$70,MATCH('County Climates'!B2032,'State Codes'!$D$7:$D$70,0),1),'State Codes'!$C$7:$C$70,0),1)</f>
        <v>West North Central Division</v>
      </c>
      <c r="F2032">
        <f>INDEX('CBECS_Table B5'!$C$6:$K$6,1,MATCH('County Climates'!E2032,'CBECS_Table B5'!$C$1:$K$1,0))</f>
        <v>6178</v>
      </c>
    </row>
    <row r="2033" spans="1:6" x14ac:dyDescent="0.25">
      <c r="A2033" t="s">
        <v>1615</v>
      </c>
      <c r="B2033" t="s">
        <v>1616</v>
      </c>
      <c r="C2033" t="s">
        <v>460</v>
      </c>
      <c r="D2033" t="s">
        <v>247</v>
      </c>
      <c r="E2033" t="str">
        <f>INDEX('State Codes'!$E$7:$E$70,MATCH(INDEX('State Codes'!$C$7:$C$70,MATCH('County Climates'!B2033,'State Codes'!$D$7:$D$70,0),1),'State Codes'!$C$7:$C$70,0),1)</f>
        <v>West North Central Division</v>
      </c>
      <c r="F2033">
        <f>INDEX('CBECS_Table B5'!$C$6:$K$6,1,MATCH('County Climates'!E2033,'CBECS_Table B5'!$C$1:$K$1,0))</f>
        <v>6178</v>
      </c>
    </row>
    <row r="2034" spans="1:6" x14ac:dyDescent="0.25">
      <c r="A2034" t="s">
        <v>1615</v>
      </c>
      <c r="B2034" t="s">
        <v>1616</v>
      </c>
      <c r="C2034" t="s">
        <v>464</v>
      </c>
      <c r="D2034" t="s">
        <v>228</v>
      </c>
      <c r="E2034" t="str">
        <f>INDEX('State Codes'!$E$7:$E$70,MATCH(INDEX('State Codes'!$C$7:$C$70,MATCH('County Climates'!B2034,'State Codes'!$D$7:$D$70,0),1),'State Codes'!$C$7:$C$70,0),1)</f>
        <v>West North Central Division</v>
      </c>
      <c r="F2034">
        <f>INDEX('CBECS_Table B5'!$C$6:$K$6,1,MATCH('County Climates'!E2034,'CBECS_Table B5'!$C$1:$K$1,0))</f>
        <v>6178</v>
      </c>
    </row>
    <row r="2035" spans="1:6" x14ac:dyDescent="0.25">
      <c r="A2035" t="s">
        <v>1615</v>
      </c>
      <c r="B2035" t="s">
        <v>1616</v>
      </c>
      <c r="C2035" t="s">
        <v>604</v>
      </c>
      <c r="D2035" t="s">
        <v>247</v>
      </c>
      <c r="E2035" t="str">
        <f>INDEX('State Codes'!$E$7:$E$70,MATCH(INDEX('State Codes'!$C$7:$C$70,MATCH('County Climates'!B2035,'State Codes'!$D$7:$D$70,0),1),'State Codes'!$C$7:$C$70,0),1)</f>
        <v>West North Central Division</v>
      </c>
      <c r="F2035">
        <f>INDEX('CBECS_Table B5'!$C$6:$K$6,1,MATCH('County Climates'!E2035,'CBECS_Table B5'!$C$1:$K$1,0))</f>
        <v>6178</v>
      </c>
    </row>
    <row r="2036" spans="1:6" x14ac:dyDescent="0.25">
      <c r="A2036" t="s">
        <v>1615</v>
      </c>
      <c r="B2036" t="s">
        <v>1616</v>
      </c>
      <c r="C2036" t="s">
        <v>1624</v>
      </c>
      <c r="D2036" t="s">
        <v>247</v>
      </c>
      <c r="E2036" t="str">
        <f>INDEX('State Codes'!$E$7:$E$70,MATCH(INDEX('State Codes'!$C$7:$C$70,MATCH('County Climates'!B2036,'State Codes'!$D$7:$D$70,0),1),'State Codes'!$C$7:$C$70,0),1)</f>
        <v>West North Central Division</v>
      </c>
      <c r="F2036">
        <f>INDEX('CBECS_Table B5'!$C$6:$K$6,1,MATCH('County Climates'!E2036,'CBECS_Table B5'!$C$1:$K$1,0))</f>
        <v>6178</v>
      </c>
    </row>
    <row r="2037" spans="1:6" x14ac:dyDescent="0.25">
      <c r="A2037" t="s">
        <v>1615</v>
      </c>
      <c r="B2037" t="s">
        <v>1616</v>
      </c>
      <c r="C2037" t="s">
        <v>920</v>
      </c>
      <c r="D2037" t="s">
        <v>247</v>
      </c>
      <c r="E2037" t="str">
        <f>INDEX('State Codes'!$E$7:$E$70,MATCH(INDEX('State Codes'!$C$7:$C$70,MATCH('County Climates'!B2037,'State Codes'!$D$7:$D$70,0),1),'State Codes'!$C$7:$C$70,0),1)</f>
        <v>West North Central Division</v>
      </c>
      <c r="F2037">
        <f>INDEX('CBECS_Table B5'!$C$6:$K$6,1,MATCH('County Climates'!E2037,'CBECS_Table B5'!$C$1:$K$1,0))</f>
        <v>6178</v>
      </c>
    </row>
    <row r="2038" spans="1:6" x14ac:dyDescent="0.25">
      <c r="A2038" t="s">
        <v>1615</v>
      </c>
      <c r="B2038" t="s">
        <v>1616</v>
      </c>
      <c r="C2038" t="s">
        <v>1625</v>
      </c>
      <c r="D2038" t="s">
        <v>247</v>
      </c>
      <c r="E2038" t="str">
        <f>INDEX('State Codes'!$E$7:$E$70,MATCH(INDEX('State Codes'!$C$7:$C$70,MATCH('County Climates'!B2038,'State Codes'!$D$7:$D$70,0),1),'State Codes'!$C$7:$C$70,0),1)</f>
        <v>West North Central Division</v>
      </c>
      <c r="F2038">
        <f>INDEX('CBECS_Table B5'!$C$6:$K$6,1,MATCH('County Climates'!E2038,'CBECS_Table B5'!$C$1:$K$1,0))</f>
        <v>6178</v>
      </c>
    </row>
    <row r="2039" spans="1:6" x14ac:dyDescent="0.25">
      <c r="A2039" t="s">
        <v>1615</v>
      </c>
      <c r="B2039" t="s">
        <v>1616</v>
      </c>
      <c r="C2039" t="s">
        <v>921</v>
      </c>
      <c r="D2039" t="s">
        <v>228</v>
      </c>
      <c r="E2039" t="str">
        <f>INDEX('State Codes'!$E$7:$E$70,MATCH(INDEX('State Codes'!$C$7:$C$70,MATCH('County Climates'!B2039,'State Codes'!$D$7:$D$70,0),1),'State Codes'!$C$7:$C$70,0),1)</f>
        <v>West North Central Division</v>
      </c>
      <c r="F2039">
        <f>INDEX('CBECS_Table B5'!$C$6:$K$6,1,MATCH('County Climates'!E2039,'CBECS_Table B5'!$C$1:$K$1,0))</f>
        <v>6178</v>
      </c>
    </row>
    <row r="2040" spans="1:6" x14ac:dyDescent="0.25">
      <c r="A2040" t="s">
        <v>1615</v>
      </c>
      <c r="B2040" t="s">
        <v>1616</v>
      </c>
      <c r="C2040" t="s">
        <v>922</v>
      </c>
      <c r="D2040" t="s">
        <v>228</v>
      </c>
      <c r="E2040" t="str">
        <f>INDEX('State Codes'!$E$7:$E$70,MATCH(INDEX('State Codes'!$C$7:$C$70,MATCH('County Climates'!B2040,'State Codes'!$D$7:$D$70,0),1),'State Codes'!$C$7:$C$70,0),1)</f>
        <v>West North Central Division</v>
      </c>
      <c r="F2040">
        <f>INDEX('CBECS_Table B5'!$C$6:$K$6,1,MATCH('County Climates'!E2040,'CBECS_Table B5'!$C$1:$K$1,0))</f>
        <v>6178</v>
      </c>
    </row>
    <row r="2041" spans="1:6" x14ac:dyDescent="0.25">
      <c r="A2041" t="s">
        <v>1615</v>
      </c>
      <c r="B2041" t="s">
        <v>1616</v>
      </c>
      <c r="C2041" t="s">
        <v>831</v>
      </c>
      <c r="D2041" t="s">
        <v>228</v>
      </c>
      <c r="E2041" t="str">
        <f>INDEX('State Codes'!$E$7:$E$70,MATCH(INDEX('State Codes'!$C$7:$C$70,MATCH('County Climates'!B2041,'State Codes'!$D$7:$D$70,0),1),'State Codes'!$C$7:$C$70,0),1)</f>
        <v>West North Central Division</v>
      </c>
      <c r="F2041">
        <f>INDEX('CBECS_Table B5'!$C$6:$K$6,1,MATCH('County Climates'!E2041,'CBECS_Table B5'!$C$1:$K$1,0))</f>
        <v>6178</v>
      </c>
    </row>
    <row r="2042" spans="1:6" x14ac:dyDescent="0.25">
      <c r="A2042" t="s">
        <v>1615</v>
      </c>
      <c r="B2042" t="s">
        <v>1616</v>
      </c>
      <c r="C2042" t="s">
        <v>1626</v>
      </c>
      <c r="D2042" t="s">
        <v>247</v>
      </c>
      <c r="E2042" t="str">
        <f>INDEX('State Codes'!$E$7:$E$70,MATCH(INDEX('State Codes'!$C$7:$C$70,MATCH('County Climates'!B2042,'State Codes'!$D$7:$D$70,0),1),'State Codes'!$C$7:$C$70,0),1)</f>
        <v>West North Central Division</v>
      </c>
      <c r="F2042">
        <f>INDEX('CBECS_Table B5'!$C$6:$K$6,1,MATCH('County Climates'!E2042,'CBECS_Table B5'!$C$1:$K$1,0))</f>
        <v>6178</v>
      </c>
    </row>
    <row r="2043" spans="1:6" x14ac:dyDescent="0.25">
      <c r="A2043" t="s">
        <v>1615</v>
      </c>
      <c r="B2043" t="s">
        <v>1616</v>
      </c>
      <c r="C2043" t="s">
        <v>924</v>
      </c>
      <c r="D2043" t="s">
        <v>247</v>
      </c>
      <c r="E2043" t="str">
        <f>INDEX('State Codes'!$E$7:$E$70,MATCH(INDEX('State Codes'!$C$7:$C$70,MATCH('County Climates'!B2043,'State Codes'!$D$7:$D$70,0),1),'State Codes'!$C$7:$C$70,0),1)</f>
        <v>West North Central Division</v>
      </c>
      <c r="F2043">
        <f>INDEX('CBECS_Table B5'!$C$6:$K$6,1,MATCH('County Climates'!E2043,'CBECS_Table B5'!$C$1:$K$1,0))</f>
        <v>6178</v>
      </c>
    </row>
    <row r="2044" spans="1:6" x14ac:dyDescent="0.25">
      <c r="A2044" t="s">
        <v>1615</v>
      </c>
      <c r="B2044" t="s">
        <v>1616</v>
      </c>
      <c r="C2044" t="s">
        <v>1627</v>
      </c>
      <c r="D2044" t="s">
        <v>247</v>
      </c>
      <c r="E2044" t="str">
        <f>INDEX('State Codes'!$E$7:$E$70,MATCH(INDEX('State Codes'!$C$7:$C$70,MATCH('County Climates'!B2044,'State Codes'!$D$7:$D$70,0),1),'State Codes'!$C$7:$C$70,0),1)</f>
        <v>West North Central Division</v>
      </c>
      <c r="F2044">
        <f>INDEX('CBECS_Table B5'!$C$6:$K$6,1,MATCH('County Climates'!E2044,'CBECS_Table B5'!$C$1:$K$1,0))</f>
        <v>6178</v>
      </c>
    </row>
    <row r="2045" spans="1:6" x14ac:dyDescent="0.25">
      <c r="A2045" t="s">
        <v>1615</v>
      </c>
      <c r="B2045" t="s">
        <v>1616</v>
      </c>
      <c r="C2045" t="s">
        <v>1167</v>
      </c>
      <c r="D2045" t="s">
        <v>247</v>
      </c>
      <c r="E2045" t="str">
        <f>INDEX('State Codes'!$E$7:$E$70,MATCH(INDEX('State Codes'!$C$7:$C$70,MATCH('County Climates'!B2045,'State Codes'!$D$7:$D$70,0),1),'State Codes'!$C$7:$C$70,0),1)</f>
        <v>West North Central Division</v>
      </c>
      <c r="F2045">
        <f>INDEX('CBECS_Table B5'!$C$6:$K$6,1,MATCH('County Climates'!E2045,'CBECS_Table B5'!$C$1:$K$1,0))</f>
        <v>6178</v>
      </c>
    </row>
    <row r="2046" spans="1:6" x14ac:dyDescent="0.25">
      <c r="A2046" t="s">
        <v>1615</v>
      </c>
      <c r="B2046" t="s">
        <v>1616</v>
      </c>
      <c r="C2046" t="s">
        <v>486</v>
      </c>
      <c r="D2046" t="s">
        <v>228</v>
      </c>
      <c r="E2046" t="str">
        <f>INDEX('State Codes'!$E$7:$E$70,MATCH(INDEX('State Codes'!$C$7:$C$70,MATCH('County Climates'!B2046,'State Codes'!$D$7:$D$70,0),1),'State Codes'!$C$7:$C$70,0),1)</f>
        <v>West North Central Division</v>
      </c>
      <c r="F2046">
        <f>INDEX('CBECS_Table B5'!$C$6:$K$6,1,MATCH('County Climates'!E2046,'CBECS_Table B5'!$C$1:$K$1,0))</f>
        <v>6178</v>
      </c>
    </row>
    <row r="2047" spans="1:6" x14ac:dyDescent="0.25">
      <c r="A2047" t="s">
        <v>1615</v>
      </c>
      <c r="B2047" t="s">
        <v>1616</v>
      </c>
      <c r="C2047" t="s">
        <v>1628</v>
      </c>
      <c r="D2047" t="s">
        <v>228</v>
      </c>
      <c r="E2047" t="str">
        <f>INDEX('State Codes'!$E$7:$E$70,MATCH(INDEX('State Codes'!$C$7:$C$70,MATCH('County Climates'!B2047,'State Codes'!$D$7:$D$70,0),1),'State Codes'!$C$7:$C$70,0),1)</f>
        <v>West North Central Division</v>
      </c>
      <c r="F2047">
        <f>INDEX('CBECS_Table B5'!$C$6:$K$6,1,MATCH('County Climates'!E2047,'CBECS_Table B5'!$C$1:$K$1,0))</f>
        <v>6178</v>
      </c>
    </row>
    <row r="2048" spans="1:6" x14ac:dyDescent="0.25">
      <c r="A2048" t="s">
        <v>1615</v>
      </c>
      <c r="B2048" t="s">
        <v>1616</v>
      </c>
      <c r="C2048" t="s">
        <v>1629</v>
      </c>
      <c r="D2048" t="s">
        <v>247</v>
      </c>
      <c r="E2048" t="str">
        <f>INDEX('State Codes'!$E$7:$E$70,MATCH(INDEX('State Codes'!$C$7:$C$70,MATCH('County Climates'!B2048,'State Codes'!$D$7:$D$70,0),1),'State Codes'!$C$7:$C$70,0),1)</f>
        <v>West North Central Division</v>
      </c>
      <c r="F2048">
        <f>INDEX('CBECS_Table B5'!$C$6:$K$6,1,MATCH('County Climates'!E2048,'CBECS_Table B5'!$C$1:$K$1,0))</f>
        <v>6178</v>
      </c>
    </row>
    <row r="2049" spans="1:6" x14ac:dyDescent="0.25">
      <c r="A2049" t="s">
        <v>1615</v>
      </c>
      <c r="B2049" t="s">
        <v>1616</v>
      </c>
      <c r="C2049" t="s">
        <v>1630</v>
      </c>
      <c r="D2049" t="s">
        <v>228</v>
      </c>
      <c r="E2049" t="str">
        <f>INDEX('State Codes'!$E$7:$E$70,MATCH(INDEX('State Codes'!$C$7:$C$70,MATCH('County Climates'!B2049,'State Codes'!$D$7:$D$70,0),1),'State Codes'!$C$7:$C$70,0),1)</f>
        <v>West North Central Division</v>
      </c>
      <c r="F2049">
        <f>INDEX('CBECS_Table B5'!$C$6:$K$6,1,MATCH('County Climates'!E2049,'CBECS_Table B5'!$C$1:$K$1,0))</f>
        <v>6178</v>
      </c>
    </row>
    <row r="2050" spans="1:6" x14ac:dyDescent="0.25">
      <c r="A2050" t="s">
        <v>1615</v>
      </c>
      <c r="B2050" t="s">
        <v>1616</v>
      </c>
      <c r="C2050" t="s">
        <v>308</v>
      </c>
      <c r="D2050" t="s">
        <v>247</v>
      </c>
      <c r="E2050" t="str">
        <f>INDEX('State Codes'!$E$7:$E$70,MATCH(INDEX('State Codes'!$C$7:$C$70,MATCH('County Climates'!B2050,'State Codes'!$D$7:$D$70,0),1),'State Codes'!$C$7:$C$70,0),1)</f>
        <v>West North Central Division</v>
      </c>
      <c r="F2050">
        <f>INDEX('CBECS_Table B5'!$C$6:$K$6,1,MATCH('County Climates'!E2050,'CBECS_Table B5'!$C$1:$K$1,0))</f>
        <v>6178</v>
      </c>
    </row>
    <row r="2051" spans="1:6" x14ac:dyDescent="0.25">
      <c r="A2051" t="s">
        <v>1615</v>
      </c>
      <c r="B2051" t="s">
        <v>1616</v>
      </c>
      <c r="C2051" t="s">
        <v>1255</v>
      </c>
      <c r="D2051" t="s">
        <v>228</v>
      </c>
      <c r="E2051" t="str">
        <f>INDEX('State Codes'!$E$7:$E$70,MATCH(INDEX('State Codes'!$C$7:$C$70,MATCH('County Climates'!B2051,'State Codes'!$D$7:$D$70,0),1),'State Codes'!$C$7:$C$70,0),1)</f>
        <v>West North Central Division</v>
      </c>
      <c r="F2051">
        <f>INDEX('CBECS_Table B5'!$C$6:$K$6,1,MATCH('County Climates'!E2051,'CBECS_Table B5'!$C$1:$K$1,0))</f>
        <v>6178</v>
      </c>
    </row>
    <row r="2052" spans="1:6" x14ac:dyDescent="0.25">
      <c r="A2052" t="s">
        <v>1615</v>
      </c>
      <c r="B2052" t="s">
        <v>1616</v>
      </c>
      <c r="C2052" t="s">
        <v>1009</v>
      </c>
      <c r="D2052" t="s">
        <v>247</v>
      </c>
      <c r="E2052" t="str">
        <f>INDEX('State Codes'!$E$7:$E$70,MATCH(INDEX('State Codes'!$C$7:$C$70,MATCH('County Climates'!B2052,'State Codes'!$D$7:$D$70,0),1),'State Codes'!$C$7:$C$70,0),1)</f>
        <v>West North Central Division</v>
      </c>
      <c r="F2052">
        <f>INDEX('CBECS_Table B5'!$C$6:$K$6,1,MATCH('County Climates'!E2052,'CBECS_Table B5'!$C$1:$K$1,0))</f>
        <v>6178</v>
      </c>
    </row>
    <row r="2053" spans="1:6" x14ac:dyDescent="0.25">
      <c r="A2053" t="s">
        <v>1615</v>
      </c>
      <c r="B2053" t="s">
        <v>1616</v>
      </c>
      <c r="C2053" t="s">
        <v>1631</v>
      </c>
      <c r="D2053" t="s">
        <v>247</v>
      </c>
      <c r="E2053" t="str">
        <f>INDEX('State Codes'!$E$7:$E$70,MATCH(INDEX('State Codes'!$C$7:$C$70,MATCH('County Climates'!B2053,'State Codes'!$D$7:$D$70,0),1),'State Codes'!$C$7:$C$70,0),1)</f>
        <v>West North Central Division</v>
      </c>
      <c r="F2053">
        <f>INDEX('CBECS_Table B5'!$C$6:$K$6,1,MATCH('County Climates'!E2053,'CBECS_Table B5'!$C$1:$K$1,0))</f>
        <v>6178</v>
      </c>
    </row>
    <row r="2054" spans="1:6" x14ac:dyDescent="0.25">
      <c r="A2054" t="s">
        <v>1615</v>
      </c>
      <c r="B2054" t="s">
        <v>1616</v>
      </c>
      <c r="C2054" t="s">
        <v>1632</v>
      </c>
      <c r="D2054" t="s">
        <v>247</v>
      </c>
      <c r="E2054" t="str">
        <f>INDEX('State Codes'!$E$7:$E$70,MATCH(INDEX('State Codes'!$C$7:$C$70,MATCH('County Climates'!B2054,'State Codes'!$D$7:$D$70,0),1),'State Codes'!$C$7:$C$70,0),1)</f>
        <v>West North Central Division</v>
      </c>
      <c r="F2054">
        <f>INDEX('CBECS_Table B5'!$C$6:$K$6,1,MATCH('County Climates'!E2054,'CBECS_Table B5'!$C$1:$K$1,0))</f>
        <v>6178</v>
      </c>
    </row>
    <row r="2055" spans="1:6" x14ac:dyDescent="0.25">
      <c r="A2055" t="s">
        <v>1633</v>
      </c>
      <c r="B2055" t="s">
        <v>1634</v>
      </c>
      <c r="C2055" t="s">
        <v>591</v>
      </c>
      <c r="D2055" t="s">
        <v>247</v>
      </c>
      <c r="E2055" t="str">
        <f>INDEX('State Codes'!$E$7:$E$70,MATCH(INDEX('State Codes'!$C$7:$C$70,MATCH('County Climates'!B2055,'State Codes'!$D$7:$D$70,0),1),'State Codes'!$C$7:$C$70,0),1)</f>
        <v>East South Central Division</v>
      </c>
      <c r="F2055">
        <f>INDEX('CBECS_Table B5'!$C$6:$K$6,1,MATCH('County Climates'!E2055,'CBECS_Table B5'!$C$1:$K$1,0))</f>
        <v>4904</v>
      </c>
    </row>
    <row r="2056" spans="1:6" x14ac:dyDescent="0.25">
      <c r="A2056" t="s">
        <v>1633</v>
      </c>
      <c r="B2056" t="s">
        <v>1634</v>
      </c>
      <c r="C2056" t="s">
        <v>573</v>
      </c>
      <c r="D2056" t="s">
        <v>247</v>
      </c>
      <c r="E2056" t="str">
        <f>INDEX('State Codes'!$E$7:$E$70,MATCH(INDEX('State Codes'!$C$7:$C$70,MATCH('County Climates'!B2056,'State Codes'!$D$7:$D$70,0),1),'State Codes'!$C$7:$C$70,0),1)</f>
        <v>East South Central Division</v>
      </c>
      <c r="F2056">
        <f>INDEX('CBECS_Table B5'!$C$6:$K$6,1,MATCH('County Climates'!E2056,'CBECS_Table B5'!$C$1:$K$1,0))</f>
        <v>4904</v>
      </c>
    </row>
    <row r="2057" spans="1:6" x14ac:dyDescent="0.25">
      <c r="A2057" t="s">
        <v>1633</v>
      </c>
      <c r="B2057" t="s">
        <v>1634</v>
      </c>
      <c r="C2057" t="s">
        <v>1174</v>
      </c>
      <c r="D2057" t="s">
        <v>247</v>
      </c>
      <c r="E2057" t="str">
        <f>INDEX('State Codes'!$E$7:$E$70,MATCH(INDEX('State Codes'!$C$7:$C$70,MATCH('County Climates'!B2057,'State Codes'!$D$7:$D$70,0),1),'State Codes'!$C$7:$C$70,0),1)</f>
        <v>East South Central Division</v>
      </c>
      <c r="F2057">
        <f>INDEX('CBECS_Table B5'!$C$6:$K$6,1,MATCH('County Climates'!E2057,'CBECS_Table B5'!$C$1:$K$1,0))</f>
        <v>4904</v>
      </c>
    </row>
    <row r="2058" spans="1:6" x14ac:dyDescent="0.25">
      <c r="A2058" t="s">
        <v>1633</v>
      </c>
      <c r="B2058" t="s">
        <v>1634</v>
      </c>
      <c r="C2058" t="s">
        <v>1635</v>
      </c>
      <c r="D2058" t="s">
        <v>247</v>
      </c>
      <c r="E2058" t="str">
        <f>INDEX('State Codes'!$E$7:$E$70,MATCH(INDEX('State Codes'!$C$7:$C$70,MATCH('County Climates'!B2058,'State Codes'!$D$7:$D$70,0),1),'State Codes'!$C$7:$C$70,0),1)</f>
        <v>East South Central Division</v>
      </c>
      <c r="F2058">
        <f>INDEX('CBECS_Table B5'!$C$6:$K$6,1,MATCH('County Climates'!E2058,'CBECS_Table B5'!$C$1:$K$1,0))</f>
        <v>4904</v>
      </c>
    </row>
    <row r="2059" spans="1:6" x14ac:dyDescent="0.25">
      <c r="A2059" t="s">
        <v>1633</v>
      </c>
      <c r="B2059" t="s">
        <v>1634</v>
      </c>
      <c r="C2059" t="s">
        <v>1636</v>
      </c>
      <c r="D2059" t="s">
        <v>247</v>
      </c>
      <c r="E2059" t="str">
        <f>INDEX('State Codes'!$E$7:$E$70,MATCH(INDEX('State Codes'!$C$7:$C$70,MATCH('County Climates'!B2059,'State Codes'!$D$7:$D$70,0),1),'State Codes'!$C$7:$C$70,0),1)</f>
        <v>East South Central Division</v>
      </c>
      <c r="F2059">
        <f>INDEX('CBECS_Table B5'!$C$6:$K$6,1,MATCH('County Climates'!E2059,'CBECS_Table B5'!$C$1:$K$1,0))</f>
        <v>4904</v>
      </c>
    </row>
    <row r="2060" spans="1:6" x14ac:dyDescent="0.25">
      <c r="A2060" t="s">
        <v>1633</v>
      </c>
      <c r="B2060" t="s">
        <v>1634</v>
      </c>
      <c r="C2060" t="s">
        <v>1637</v>
      </c>
      <c r="D2060" t="s">
        <v>247</v>
      </c>
      <c r="E2060" t="str">
        <f>INDEX('State Codes'!$E$7:$E$70,MATCH(INDEX('State Codes'!$C$7:$C$70,MATCH('County Climates'!B2060,'State Codes'!$D$7:$D$70,0),1),'State Codes'!$C$7:$C$70,0),1)</f>
        <v>East South Central Division</v>
      </c>
      <c r="F2060">
        <f>INDEX('CBECS_Table B5'!$C$6:$K$6,1,MATCH('County Climates'!E2060,'CBECS_Table B5'!$C$1:$K$1,0))</f>
        <v>4904</v>
      </c>
    </row>
    <row r="2061" spans="1:6" x14ac:dyDescent="0.25">
      <c r="A2061" t="s">
        <v>1633</v>
      </c>
      <c r="B2061" t="s">
        <v>1634</v>
      </c>
      <c r="C2061" t="s">
        <v>1638</v>
      </c>
      <c r="D2061" t="s">
        <v>247</v>
      </c>
      <c r="E2061" t="str">
        <f>INDEX('State Codes'!$E$7:$E$70,MATCH(INDEX('State Codes'!$C$7:$C$70,MATCH('County Climates'!B2061,'State Codes'!$D$7:$D$70,0),1),'State Codes'!$C$7:$C$70,0),1)</f>
        <v>East South Central Division</v>
      </c>
      <c r="F2061">
        <f>INDEX('CBECS_Table B5'!$C$6:$K$6,1,MATCH('County Climates'!E2061,'CBECS_Table B5'!$C$1:$K$1,0))</f>
        <v>4904</v>
      </c>
    </row>
    <row r="2062" spans="1:6" x14ac:dyDescent="0.25">
      <c r="A2062" t="s">
        <v>1633</v>
      </c>
      <c r="B2062" t="s">
        <v>1634</v>
      </c>
      <c r="C2062" t="s">
        <v>577</v>
      </c>
      <c r="D2062" t="s">
        <v>247</v>
      </c>
      <c r="E2062" t="str">
        <f>INDEX('State Codes'!$E$7:$E$70,MATCH(INDEX('State Codes'!$C$7:$C$70,MATCH('County Climates'!B2062,'State Codes'!$D$7:$D$70,0),1),'State Codes'!$C$7:$C$70,0),1)</f>
        <v>East South Central Division</v>
      </c>
      <c r="F2062">
        <f>INDEX('CBECS_Table B5'!$C$6:$K$6,1,MATCH('County Climates'!E2062,'CBECS_Table B5'!$C$1:$K$1,0))</f>
        <v>4904</v>
      </c>
    </row>
    <row r="2063" spans="1:6" x14ac:dyDescent="0.25">
      <c r="A2063" t="s">
        <v>1633</v>
      </c>
      <c r="B2063" t="s">
        <v>1634</v>
      </c>
      <c r="C2063" t="s">
        <v>1618</v>
      </c>
      <c r="D2063" t="s">
        <v>247</v>
      </c>
      <c r="E2063" t="str">
        <f>INDEX('State Codes'!$E$7:$E$70,MATCH(INDEX('State Codes'!$C$7:$C$70,MATCH('County Climates'!B2063,'State Codes'!$D$7:$D$70,0),1),'State Codes'!$C$7:$C$70,0),1)</f>
        <v>East South Central Division</v>
      </c>
      <c r="F2063">
        <f>INDEX('CBECS_Table B5'!$C$6:$K$6,1,MATCH('County Climates'!E2063,'CBECS_Table B5'!$C$1:$K$1,0))</f>
        <v>4904</v>
      </c>
    </row>
    <row r="2064" spans="1:6" x14ac:dyDescent="0.25">
      <c r="A2064" t="s">
        <v>1633</v>
      </c>
      <c r="B2064" t="s">
        <v>1634</v>
      </c>
      <c r="C2064" t="s">
        <v>1639</v>
      </c>
      <c r="D2064" t="s">
        <v>247</v>
      </c>
      <c r="E2064" t="str">
        <f>INDEX('State Codes'!$E$7:$E$70,MATCH(INDEX('State Codes'!$C$7:$C$70,MATCH('County Climates'!B2064,'State Codes'!$D$7:$D$70,0),1),'State Codes'!$C$7:$C$70,0),1)</f>
        <v>East South Central Division</v>
      </c>
      <c r="F2064">
        <f>INDEX('CBECS_Table B5'!$C$6:$K$6,1,MATCH('County Climates'!E2064,'CBECS_Table B5'!$C$1:$K$1,0))</f>
        <v>4904</v>
      </c>
    </row>
    <row r="2065" spans="1:6" x14ac:dyDescent="0.25">
      <c r="A2065" t="s">
        <v>1633</v>
      </c>
      <c r="B2065" t="s">
        <v>1634</v>
      </c>
      <c r="C2065" t="s">
        <v>1640</v>
      </c>
      <c r="D2065" t="s">
        <v>247</v>
      </c>
      <c r="E2065" t="str">
        <f>INDEX('State Codes'!$E$7:$E$70,MATCH(INDEX('State Codes'!$C$7:$C$70,MATCH('County Climates'!B2065,'State Codes'!$D$7:$D$70,0),1),'State Codes'!$C$7:$C$70,0),1)</f>
        <v>East South Central Division</v>
      </c>
      <c r="F2065">
        <f>INDEX('CBECS_Table B5'!$C$6:$K$6,1,MATCH('County Climates'!E2065,'CBECS_Table B5'!$C$1:$K$1,0))</f>
        <v>4904</v>
      </c>
    </row>
    <row r="2066" spans="1:6" x14ac:dyDescent="0.25">
      <c r="A2066" t="s">
        <v>1633</v>
      </c>
      <c r="B2066" t="s">
        <v>1634</v>
      </c>
      <c r="C2066" t="s">
        <v>1641</v>
      </c>
      <c r="D2066" t="s">
        <v>247</v>
      </c>
      <c r="E2066" t="str">
        <f>INDEX('State Codes'!$E$7:$E$70,MATCH(INDEX('State Codes'!$C$7:$C$70,MATCH('County Climates'!B2066,'State Codes'!$D$7:$D$70,0),1),'State Codes'!$C$7:$C$70,0),1)</f>
        <v>East South Central Division</v>
      </c>
      <c r="F2066">
        <f>INDEX('CBECS_Table B5'!$C$6:$K$6,1,MATCH('County Climates'!E2066,'CBECS_Table B5'!$C$1:$K$1,0))</f>
        <v>4904</v>
      </c>
    </row>
    <row r="2067" spans="1:6" x14ac:dyDescent="0.25">
      <c r="A2067" t="s">
        <v>1633</v>
      </c>
      <c r="B2067" t="s">
        <v>1634</v>
      </c>
      <c r="C2067" t="s">
        <v>1642</v>
      </c>
      <c r="D2067" t="s">
        <v>247</v>
      </c>
      <c r="E2067" t="str">
        <f>INDEX('State Codes'!$E$7:$E$70,MATCH(INDEX('State Codes'!$C$7:$C$70,MATCH('County Climates'!B2067,'State Codes'!$D$7:$D$70,0),1),'State Codes'!$C$7:$C$70,0),1)</f>
        <v>East South Central Division</v>
      </c>
      <c r="F2067">
        <f>INDEX('CBECS_Table B5'!$C$6:$K$6,1,MATCH('County Climates'!E2067,'CBECS_Table B5'!$C$1:$K$1,0))</f>
        <v>4904</v>
      </c>
    </row>
    <row r="2068" spans="1:6" x14ac:dyDescent="0.25">
      <c r="A2068" t="s">
        <v>1633</v>
      </c>
      <c r="B2068" t="s">
        <v>1634</v>
      </c>
      <c r="C2068" t="s">
        <v>1643</v>
      </c>
      <c r="D2068" t="s">
        <v>247</v>
      </c>
      <c r="E2068" t="str">
        <f>INDEX('State Codes'!$E$7:$E$70,MATCH(INDEX('State Codes'!$C$7:$C$70,MATCH('County Climates'!B2068,'State Codes'!$D$7:$D$70,0),1),'State Codes'!$C$7:$C$70,0),1)</f>
        <v>East South Central Division</v>
      </c>
      <c r="F2068">
        <f>INDEX('CBECS_Table B5'!$C$6:$K$6,1,MATCH('County Climates'!E2068,'CBECS_Table B5'!$C$1:$K$1,0))</f>
        <v>4904</v>
      </c>
    </row>
    <row r="2069" spans="1:6" x14ac:dyDescent="0.25">
      <c r="A2069" t="s">
        <v>1633</v>
      </c>
      <c r="B2069" t="s">
        <v>1634</v>
      </c>
      <c r="C2069" t="s">
        <v>1644</v>
      </c>
      <c r="D2069" t="s">
        <v>247</v>
      </c>
      <c r="E2069" t="str">
        <f>INDEX('State Codes'!$E$7:$E$70,MATCH(INDEX('State Codes'!$C$7:$C$70,MATCH('County Climates'!B2069,'State Codes'!$D$7:$D$70,0),1),'State Codes'!$C$7:$C$70,0),1)</f>
        <v>East South Central Division</v>
      </c>
      <c r="F2069">
        <f>INDEX('CBECS_Table B5'!$C$6:$K$6,1,MATCH('County Climates'!E2069,'CBECS_Table B5'!$C$1:$K$1,0))</f>
        <v>4904</v>
      </c>
    </row>
    <row r="2070" spans="1:6" x14ac:dyDescent="0.25">
      <c r="A2070" t="s">
        <v>1633</v>
      </c>
      <c r="B2070" t="s">
        <v>1634</v>
      </c>
      <c r="C2070" t="s">
        <v>250</v>
      </c>
      <c r="D2070" t="s">
        <v>247</v>
      </c>
      <c r="E2070" t="str">
        <f>INDEX('State Codes'!$E$7:$E$70,MATCH(INDEX('State Codes'!$C$7:$C$70,MATCH('County Climates'!B2070,'State Codes'!$D$7:$D$70,0),1),'State Codes'!$C$7:$C$70,0),1)</f>
        <v>East South Central Division</v>
      </c>
      <c r="F2070">
        <f>INDEX('CBECS_Table B5'!$C$6:$K$6,1,MATCH('County Climates'!E2070,'CBECS_Table B5'!$C$1:$K$1,0))</f>
        <v>4904</v>
      </c>
    </row>
    <row r="2071" spans="1:6" x14ac:dyDescent="0.25">
      <c r="A2071" t="s">
        <v>1633</v>
      </c>
      <c r="B2071" t="s">
        <v>1634</v>
      </c>
      <c r="C2071" t="s">
        <v>1645</v>
      </c>
      <c r="D2071" t="s">
        <v>247</v>
      </c>
      <c r="E2071" t="str">
        <f>INDEX('State Codes'!$E$7:$E$70,MATCH(INDEX('State Codes'!$C$7:$C$70,MATCH('County Climates'!B2071,'State Codes'!$D$7:$D$70,0),1),'State Codes'!$C$7:$C$70,0),1)</f>
        <v>East South Central Division</v>
      </c>
      <c r="F2071">
        <f>INDEX('CBECS_Table B5'!$C$6:$K$6,1,MATCH('County Climates'!E2071,'CBECS_Table B5'!$C$1:$K$1,0))</f>
        <v>4904</v>
      </c>
    </row>
    <row r="2072" spans="1:6" x14ac:dyDescent="0.25">
      <c r="A2072" t="s">
        <v>1633</v>
      </c>
      <c r="B2072" t="s">
        <v>1634</v>
      </c>
      <c r="C2072" t="s">
        <v>1646</v>
      </c>
      <c r="D2072" t="s">
        <v>247</v>
      </c>
      <c r="E2072" t="str">
        <f>INDEX('State Codes'!$E$7:$E$70,MATCH(INDEX('State Codes'!$C$7:$C$70,MATCH('County Climates'!B2072,'State Codes'!$D$7:$D$70,0),1),'State Codes'!$C$7:$C$70,0),1)</f>
        <v>East South Central Division</v>
      </c>
      <c r="F2072">
        <f>INDEX('CBECS_Table B5'!$C$6:$K$6,1,MATCH('County Climates'!E2072,'CBECS_Table B5'!$C$1:$K$1,0))</f>
        <v>4904</v>
      </c>
    </row>
    <row r="2073" spans="1:6" x14ac:dyDescent="0.25">
      <c r="A2073" t="s">
        <v>1633</v>
      </c>
      <c r="B2073" t="s">
        <v>1634</v>
      </c>
      <c r="C2073" t="s">
        <v>1130</v>
      </c>
      <c r="D2073" t="s">
        <v>247</v>
      </c>
      <c r="E2073" t="str">
        <f>INDEX('State Codes'!$E$7:$E$70,MATCH(INDEX('State Codes'!$C$7:$C$70,MATCH('County Climates'!B2073,'State Codes'!$D$7:$D$70,0),1),'State Codes'!$C$7:$C$70,0),1)</f>
        <v>East South Central Division</v>
      </c>
      <c r="F2073">
        <f>INDEX('CBECS_Table B5'!$C$6:$K$6,1,MATCH('County Climates'!E2073,'CBECS_Table B5'!$C$1:$K$1,0))</f>
        <v>4904</v>
      </c>
    </row>
    <row r="2074" spans="1:6" x14ac:dyDescent="0.25">
      <c r="A2074" t="s">
        <v>1633</v>
      </c>
      <c r="B2074" t="s">
        <v>1634</v>
      </c>
      <c r="C2074" t="s">
        <v>1647</v>
      </c>
      <c r="D2074" t="s">
        <v>247</v>
      </c>
      <c r="E2074" t="str">
        <f>INDEX('State Codes'!$E$7:$E$70,MATCH(INDEX('State Codes'!$C$7:$C$70,MATCH('County Climates'!B2074,'State Codes'!$D$7:$D$70,0),1),'State Codes'!$C$7:$C$70,0),1)</f>
        <v>East South Central Division</v>
      </c>
      <c r="F2074">
        <f>INDEX('CBECS_Table B5'!$C$6:$K$6,1,MATCH('County Climates'!E2074,'CBECS_Table B5'!$C$1:$K$1,0))</f>
        <v>4904</v>
      </c>
    </row>
    <row r="2075" spans="1:6" x14ac:dyDescent="0.25">
      <c r="A2075" t="s">
        <v>1633</v>
      </c>
      <c r="B2075" t="s">
        <v>1634</v>
      </c>
      <c r="C2075" t="s">
        <v>447</v>
      </c>
      <c r="D2075" t="s">
        <v>247</v>
      </c>
      <c r="E2075" t="str">
        <f>INDEX('State Codes'!$E$7:$E$70,MATCH(INDEX('State Codes'!$C$7:$C$70,MATCH('County Climates'!B2075,'State Codes'!$D$7:$D$70,0),1),'State Codes'!$C$7:$C$70,0),1)</f>
        <v>East South Central Division</v>
      </c>
      <c r="F2075">
        <f>INDEX('CBECS_Table B5'!$C$6:$K$6,1,MATCH('County Climates'!E2075,'CBECS_Table B5'!$C$1:$K$1,0))</f>
        <v>4904</v>
      </c>
    </row>
    <row r="2076" spans="1:6" x14ac:dyDescent="0.25">
      <c r="A2076" t="s">
        <v>1633</v>
      </c>
      <c r="B2076" t="s">
        <v>1634</v>
      </c>
      <c r="C2076" t="s">
        <v>877</v>
      </c>
      <c r="D2076" t="s">
        <v>247</v>
      </c>
      <c r="E2076" t="str">
        <f>INDEX('State Codes'!$E$7:$E$70,MATCH(INDEX('State Codes'!$C$7:$C$70,MATCH('County Climates'!B2076,'State Codes'!$D$7:$D$70,0),1),'State Codes'!$C$7:$C$70,0),1)</f>
        <v>East South Central Division</v>
      </c>
      <c r="F2076">
        <f>INDEX('CBECS_Table B5'!$C$6:$K$6,1,MATCH('County Climates'!E2076,'CBECS_Table B5'!$C$1:$K$1,0))</f>
        <v>4904</v>
      </c>
    </row>
    <row r="2077" spans="1:6" x14ac:dyDescent="0.25">
      <c r="A2077" t="s">
        <v>1633</v>
      </c>
      <c r="B2077" t="s">
        <v>1634</v>
      </c>
      <c r="C2077" t="s">
        <v>1648</v>
      </c>
      <c r="D2077" t="s">
        <v>247</v>
      </c>
      <c r="E2077" t="str">
        <f>INDEX('State Codes'!$E$7:$E$70,MATCH(INDEX('State Codes'!$C$7:$C$70,MATCH('County Climates'!B2077,'State Codes'!$D$7:$D$70,0),1),'State Codes'!$C$7:$C$70,0),1)</f>
        <v>East South Central Division</v>
      </c>
      <c r="F2077">
        <f>INDEX('CBECS_Table B5'!$C$6:$K$6,1,MATCH('County Climates'!E2077,'CBECS_Table B5'!$C$1:$K$1,0))</f>
        <v>4904</v>
      </c>
    </row>
    <row r="2078" spans="1:6" x14ac:dyDescent="0.25">
      <c r="A2078" t="s">
        <v>1633</v>
      </c>
      <c r="B2078" t="s">
        <v>1634</v>
      </c>
      <c r="C2078" t="s">
        <v>1569</v>
      </c>
      <c r="D2078" t="s">
        <v>247</v>
      </c>
      <c r="E2078" t="str">
        <f>INDEX('State Codes'!$E$7:$E$70,MATCH(INDEX('State Codes'!$C$7:$C$70,MATCH('County Climates'!B2078,'State Codes'!$D$7:$D$70,0),1),'State Codes'!$C$7:$C$70,0),1)</f>
        <v>East South Central Division</v>
      </c>
      <c r="F2078">
        <f>INDEX('CBECS_Table B5'!$C$6:$K$6,1,MATCH('County Climates'!E2078,'CBECS_Table B5'!$C$1:$K$1,0))</f>
        <v>4904</v>
      </c>
    </row>
    <row r="2079" spans="1:6" x14ac:dyDescent="0.25">
      <c r="A2079" t="s">
        <v>1633</v>
      </c>
      <c r="B2079" t="s">
        <v>1634</v>
      </c>
      <c r="C2079" t="s">
        <v>530</v>
      </c>
      <c r="D2079" t="s">
        <v>247</v>
      </c>
      <c r="E2079" t="str">
        <f>INDEX('State Codes'!$E$7:$E$70,MATCH(INDEX('State Codes'!$C$7:$C$70,MATCH('County Climates'!B2079,'State Codes'!$D$7:$D$70,0),1),'State Codes'!$C$7:$C$70,0),1)</f>
        <v>East South Central Division</v>
      </c>
      <c r="F2079">
        <f>INDEX('CBECS_Table B5'!$C$6:$K$6,1,MATCH('County Climates'!E2079,'CBECS_Table B5'!$C$1:$K$1,0))</f>
        <v>4904</v>
      </c>
    </row>
    <row r="2080" spans="1:6" x14ac:dyDescent="0.25">
      <c r="A2080" t="s">
        <v>1633</v>
      </c>
      <c r="B2080" t="s">
        <v>1634</v>
      </c>
      <c r="C2080" t="s">
        <v>257</v>
      </c>
      <c r="D2080" t="s">
        <v>247</v>
      </c>
      <c r="E2080" t="str">
        <f>INDEX('State Codes'!$E$7:$E$70,MATCH(INDEX('State Codes'!$C$7:$C$70,MATCH('County Climates'!B2080,'State Codes'!$D$7:$D$70,0),1),'State Codes'!$C$7:$C$70,0),1)</f>
        <v>East South Central Division</v>
      </c>
      <c r="F2080">
        <f>INDEX('CBECS_Table B5'!$C$6:$K$6,1,MATCH('County Climates'!E2080,'CBECS_Table B5'!$C$1:$K$1,0))</f>
        <v>4904</v>
      </c>
    </row>
    <row r="2081" spans="1:6" x14ac:dyDescent="0.25">
      <c r="A2081" t="s">
        <v>1633</v>
      </c>
      <c r="B2081" t="s">
        <v>1634</v>
      </c>
      <c r="C2081" t="s">
        <v>580</v>
      </c>
      <c r="D2081" t="s">
        <v>247</v>
      </c>
      <c r="E2081" t="str">
        <f>INDEX('State Codes'!$E$7:$E$70,MATCH(INDEX('State Codes'!$C$7:$C$70,MATCH('County Climates'!B2081,'State Codes'!$D$7:$D$70,0),1),'State Codes'!$C$7:$C$70,0),1)</f>
        <v>East South Central Division</v>
      </c>
      <c r="F2081">
        <f>INDEX('CBECS_Table B5'!$C$6:$K$6,1,MATCH('County Climates'!E2081,'CBECS_Table B5'!$C$1:$K$1,0))</f>
        <v>4904</v>
      </c>
    </row>
    <row r="2082" spans="1:6" x14ac:dyDescent="0.25">
      <c r="A2082" t="s">
        <v>1633</v>
      </c>
      <c r="B2082" t="s">
        <v>1634</v>
      </c>
      <c r="C2082" t="s">
        <v>1432</v>
      </c>
      <c r="D2082" t="s">
        <v>247</v>
      </c>
      <c r="E2082" t="str">
        <f>INDEX('State Codes'!$E$7:$E$70,MATCH(INDEX('State Codes'!$C$7:$C$70,MATCH('County Climates'!B2082,'State Codes'!$D$7:$D$70,0),1),'State Codes'!$C$7:$C$70,0),1)</f>
        <v>East South Central Division</v>
      </c>
      <c r="F2082">
        <f>INDEX('CBECS_Table B5'!$C$6:$K$6,1,MATCH('County Climates'!E2082,'CBECS_Table B5'!$C$1:$K$1,0))</f>
        <v>4904</v>
      </c>
    </row>
    <row r="2083" spans="1:6" x14ac:dyDescent="0.25">
      <c r="A2083" t="s">
        <v>1633</v>
      </c>
      <c r="B2083" t="s">
        <v>1634</v>
      </c>
      <c r="C2083" t="s">
        <v>720</v>
      </c>
      <c r="D2083" t="s">
        <v>247</v>
      </c>
      <c r="E2083" t="str">
        <f>INDEX('State Codes'!$E$7:$E$70,MATCH(INDEX('State Codes'!$C$7:$C$70,MATCH('County Climates'!B2083,'State Codes'!$D$7:$D$70,0),1),'State Codes'!$C$7:$C$70,0),1)</f>
        <v>East South Central Division</v>
      </c>
      <c r="F2083">
        <f>INDEX('CBECS_Table B5'!$C$6:$K$6,1,MATCH('County Climates'!E2083,'CBECS_Table B5'!$C$1:$K$1,0))</f>
        <v>4904</v>
      </c>
    </row>
    <row r="2084" spans="1:6" x14ac:dyDescent="0.25">
      <c r="A2084" t="s">
        <v>1633</v>
      </c>
      <c r="B2084" t="s">
        <v>1634</v>
      </c>
      <c r="C2084" t="s">
        <v>581</v>
      </c>
      <c r="D2084" t="s">
        <v>247</v>
      </c>
      <c r="E2084" t="str">
        <f>INDEX('State Codes'!$E$7:$E$70,MATCH(INDEX('State Codes'!$C$7:$C$70,MATCH('County Climates'!B2084,'State Codes'!$D$7:$D$70,0),1),'State Codes'!$C$7:$C$70,0),1)</f>
        <v>East South Central Division</v>
      </c>
      <c r="F2084">
        <f>INDEX('CBECS_Table B5'!$C$6:$K$6,1,MATCH('County Climates'!E2084,'CBECS_Table B5'!$C$1:$K$1,0))</f>
        <v>4904</v>
      </c>
    </row>
    <row r="2085" spans="1:6" x14ac:dyDescent="0.25">
      <c r="A2085" t="s">
        <v>1633</v>
      </c>
      <c r="B2085" t="s">
        <v>1634</v>
      </c>
      <c r="C2085" t="s">
        <v>1649</v>
      </c>
      <c r="D2085" t="s">
        <v>247</v>
      </c>
      <c r="E2085" t="str">
        <f>INDEX('State Codes'!$E$7:$E$70,MATCH(INDEX('State Codes'!$C$7:$C$70,MATCH('County Climates'!B2085,'State Codes'!$D$7:$D$70,0),1),'State Codes'!$C$7:$C$70,0),1)</f>
        <v>East South Central Division</v>
      </c>
      <c r="F2085">
        <f>INDEX('CBECS_Table B5'!$C$6:$K$6,1,MATCH('County Climates'!E2085,'CBECS_Table B5'!$C$1:$K$1,0))</f>
        <v>4904</v>
      </c>
    </row>
    <row r="2086" spans="1:6" x14ac:dyDescent="0.25">
      <c r="A2086" t="s">
        <v>1633</v>
      </c>
      <c r="B2086" t="s">
        <v>1634</v>
      </c>
      <c r="C2086" t="s">
        <v>1650</v>
      </c>
      <c r="D2086" t="s">
        <v>247</v>
      </c>
      <c r="E2086" t="str">
        <f>INDEX('State Codes'!$E$7:$E$70,MATCH(INDEX('State Codes'!$C$7:$C$70,MATCH('County Climates'!B2086,'State Codes'!$D$7:$D$70,0),1),'State Codes'!$C$7:$C$70,0),1)</f>
        <v>East South Central Division</v>
      </c>
      <c r="F2086">
        <f>INDEX('CBECS_Table B5'!$C$6:$K$6,1,MATCH('County Climates'!E2086,'CBECS_Table B5'!$C$1:$K$1,0))</f>
        <v>4904</v>
      </c>
    </row>
    <row r="2087" spans="1:6" x14ac:dyDescent="0.25">
      <c r="A2087" t="s">
        <v>1633</v>
      </c>
      <c r="B2087" t="s">
        <v>1634</v>
      </c>
      <c r="C2087" t="s">
        <v>1651</v>
      </c>
      <c r="D2087" t="s">
        <v>247</v>
      </c>
      <c r="E2087" t="str">
        <f>INDEX('State Codes'!$E$7:$E$70,MATCH(INDEX('State Codes'!$C$7:$C$70,MATCH('County Climates'!B2087,'State Codes'!$D$7:$D$70,0),1),'State Codes'!$C$7:$C$70,0),1)</f>
        <v>East South Central Division</v>
      </c>
      <c r="F2087">
        <f>INDEX('CBECS_Table B5'!$C$6:$K$6,1,MATCH('County Climates'!E2087,'CBECS_Table B5'!$C$1:$K$1,0))</f>
        <v>4904</v>
      </c>
    </row>
    <row r="2088" spans="1:6" x14ac:dyDescent="0.25">
      <c r="A2088" t="s">
        <v>1633</v>
      </c>
      <c r="B2088" t="s">
        <v>1634</v>
      </c>
      <c r="C2088" t="s">
        <v>272</v>
      </c>
      <c r="D2088" t="s">
        <v>247</v>
      </c>
      <c r="E2088" t="str">
        <f>INDEX('State Codes'!$E$7:$E$70,MATCH(INDEX('State Codes'!$C$7:$C$70,MATCH('County Climates'!B2088,'State Codes'!$D$7:$D$70,0),1),'State Codes'!$C$7:$C$70,0),1)</f>
        <v>East South Central Division</v>
      </c>
      <c r="F2088">
        <f>INDEX('CBECS_Table B5'!$C$6:$K$6,1,MATCH('County Climates'!E2088,'CBECS_Table B5'!$C$1:$K$1,0))</f>
        <v>4904</v>
      </c>
    </row>
    <row r="2089" spans="1:6" x14ac:dyDescent="0.25">
      <c r="A2089" t="s">
        <v>1633</v>
      </c>
      <c r="B2089" t="s">
        <v>1634</v>
      </c>
      <c r="C2089" t="s">
        <v>1652</v>
      </c>
      <c r="D2089" t="s">
        <v>247</v>
      </c>
      <c r="E2089" t="str">
        <f>INDEX('State Codes'!$E$7:$E$70,MATCH(INDEX('State Codes'!$C$7:$C$70,MATCH('County Climates'!B2089,'State Codes'!$D$7:$D$70,0),1),'State Codes'!$C$7:$C$70,0),1)</f>
        <v>East South Central Division</v>
      </c>
      <c r="F2089">
        <f>INDEX('CBECS_Table B5'!$C$6:$K$6,1,MATCH('County Climates'!E2089,'CBECS_Table B5'!$C$1:$K$1,0))</f>
        <v>4904</v>
      </c>
    </row>
    <row r="2090" spans="1:6" x14ac:dyDescent="0.25">
      <c r="A2090" t="s">
        <v>1633</v>
      </c>
      <c r="B2090" t="s">
        <v>1634</v>
      </c>
      <c r="C2090" t="s">
        <v>474</v>
      </c>
      <c r="D2090" t="s">
        <v>247</v>
      </c>
      <c r="E2090" t="str">
        <f>INDEX('State Codes'!$E$7:$E$70,MATCH(INDEX('State Codes'!$C$7:$C$70,MATCH('County Climates'!B2090,'State Codes'!$D$7:$D$70,0),1),'State Codes'!$C$7:$C$70,0),1)</f>
        <v>East South Central Division</v>
      </c>
      <c r="F2090">
        <f>INDEX('CBECS_Table B5'!$C$6:$K$6,1,MATCH('County Climates'!E2090,'CBECS_Table B5'!$C$1:$K$1,0))</f>
        <v>4904</v>
      </c>
    </row>
    <row r="2091" spans="1:6" x14ac:dyDescent="0.25">
      <c r="A2091" t="s">
        <v>1633</v>
      </c>
      <c r="B2091" t="s">
        <v>1634</v>
      </c>
      <c r="C2091" t="s">
        <v>273</v>
      </c>
      <c r="D2091" t="s">
        <v>247</v>
      </c>
      <c r="E2091" t="str">
        <f>INDEX('State Codes'!$E$7:$E$70,MATCH(INDEX('State Codes'!$C$7:$C$70,MATCH('County Climates'!B2091,'State Codes'!$D$7:$D$70,0),1),'State Codes'!$C$7:$C$70,0),1)</f>
        <v>East South Central Division</v>
      </c>
      <c r="F2091">
        <f>INDEX('CBECS_Table B5'!$C$6:$K$6,1,MATCH('County Climates'!E2091,'CBECS_Table B5'!$C$1:$K$1,0))</f>
        <v>4904</v>
      </c>
    </row>
    <row r="2092" spans="1:6" x14ac:dyDescent="0.25">
      <c r="A2092" t="s">
        <v>1633</v>
      </c>
      <c r="B2092" t="s">
        <v>1634</v>
      </c>
      <c r="C2092" t="s">
        <v>314</v>
      </c>
      <c r="D2092" t="s">
        <v>247</v>
      </c>
      <c r="E2092" t="str">
        <f>INDEX('State Codes'!$E$7:$E$70,MATCH(INDEX('State Codes'!$C$7:$C$70,MATCH('County Climates'!B2092,'State Codes'!$D$7:$D$70,0),1),'State Codes'!$C$7:$C$70,0),1)</f>
        <v>East South Central Division</v>
      </c>
      <c r="F2092">
        <f>INDEX('CBECS_Table B5'!$C$6:$K$6,1,MATCH('County Climates'!E2092,'CBECS_Table B5'!$C$1:$K$1,0))</f>
        <v>4904</v>
      </c>
    </row>
    <row r="2093" spans="1:6" x14ac:dyDescent="0.25">
      <c r="A2093" t="s">
        <v>1633</v>
      </c>
      <c r="B2093" t="s">
        <v>1634</v>
      </c>
      <c r="C2093" t="s">
        <v>885</v>
      </c>
      <c r="D2093" t="s">
        <v>247</v>
      </c>
      <c r="E2093" t="str">
        <f>INDEX('State Codes'!$E$7:$E$70,MATCH(INDEX('State Codes'!$C$7:$C$70,MATCH('County Climates'!B2093,'State Codes'!$D$7:$D$70,0),1),'State Codes'!$C$7:$C$70,0),1)</f>
        <v>East South Central Division</v>
      </c>
      <c r="F2093">
        <f>INDEX('CBECS_Table B5'!$C$6:$K$6,1,MATCH('County Climates'!E2093,'CBECS_Table B5'!$C$1:$K$1,0))</f>
        <v>4904</v>
      </c>
    </row>
    <row r="2094" spans="1:6" x14ac:dyDescent="0.25">
      <c r="A2094" t="s">
        <v>1633</v>
      </c>
      <c r="B2094" t="s">
        <v>1634</v>
      </c>
      <c r="C2094" t="s">
        <v>1653</v>
      </c>
      <c r="D2094" t="s">
        <v>247</v>
      </c>
      <c r="E2094" t="str">
        <f>INDEX('State Codes'!$E$7:$E$70,MATCH(INDEX('State Codes'!$C$7:$C$70,MATCH('County Climates'!B2094,'State Codes'!$D$7:$D$70,0),1),'State Codes'!$C$7:$C$70,0),1)</f>
        <v>East South Central Division</v>
      </c>
      <c r="F2094">
        <f>INDEX('CBECS_Table B5'!$C$6:$K$6,1,MATCH('County Climates'!E2094,'CBECS_Table B5'!$C$1:$K$1,0))</f>
        <v>4904</v>
      </c>
    </row>
    <row r="2095" spans="1:6" x14ac:dyDescent="0.25">
      <c r="A2095" t="s">
        <v>1633</v>
      </c>
      <c r="B2095" t="s">
        <v>1634</v>
      </c>
      <c r="C2095" t="s">
        <v>316</v>
      </c>
      <c r="D2095" t="s">
        <v>247</v>
      </c>
      <c r="E2095" t="str">
        <f>INDEX('State Codes'!$E$7:$E$70,MATCH(INDEX('State Codes'!$C$7:$C$70,MATCH('County Climates'!B2095,'State Codes'!$D$7:$D$70,0),1),'State Codes'!$C$7:$C$70,0),1)</f>
        <v>East South Central Division</v>
      </c>
      <c r="F2095">
        <f>INDEX('CBECS_Table B5'!$C$6:$K$6,1,MATCH('County Climates'!E2095,'CBECS_Table B5'!$C$1:$K$1,0))</f>
        <v>4904</v>
      </c>
    </row>
    <row r="2096" spans="1:6" x14ac:dyDescent="0.25">
      <c r="A2096" t="s">
        <v>1633</v>
      </c>
      <c r="B2096" t="s">
        <v>1634</v>
      </c>
      <c r="C2096" t="s">
        <v>1654</v>
      </c>
      <c r="D2096" t="s">
        <v>247</v>
      </c>
      <c r="E2096" t="str">
        <f>INDEX('State Codes'!$E$7:$E$70,MATCH(INDEX('State Codes'!$C$7:$C$70,MATCH('County Climates'!B2096,'State Codes'!$D$7:$D$70,0),1),'State Codes'!$C$7:$C$70,0),1)</f>
        <v>East South Central Division</v>
      </c>
      <c r="F2096">
        <f>INDEX('CBECS_Table B5'!$C$6:$K$6,1,MATCH('County Climates'!E2096,'CBECS_Table B5'!$C$1:$K$1,0))</f>
        <v>4904</v>
      </c>
    </row>
    <row r="2097" spans="1:6" x14ac:dyDescent="0.25">
      <c r="A2097" t="s">
        <v>1633</v>
      </c>
      <c r="B2097" t="s">
        <v>1634</v>
      </c>
      <c r="C2097" t="s">
        <v>1196</v>
      </c>
      <c r="D2097" t="s">
        <v>247</v>
      </c>
      <c r="E2097" t="str">
        <f>INDEX('State Codes'!$E$7:$E$70,MATCH(INDEX('State Codes'!$C$7:$C$70,MATCH('County Climates'!B2097,'State Codes'!$D$7:$D$70,0),1),'State Codes'!$C$7:$C$70,0),1)</f>
        <v>East South Central Division</v>
      </c>
      <c r="F2097">
        <f>INDEX('CBECS_Table B5'!$C$6:$K$6,1,MATCH('County Climates'!E2097,'CBECS_Table B5'!$C$1:$K$1,0))</f>
        <v>4904</v>
      </c>
    </row>
    <row r="2098" spans="1:6" x14ac:dyDescent="0.25">
      <c r="A2098" t="s">
        <v>1633</v>
      </c>
      <c r="B2098" t="s">
        <v>1634</v>
      </c>
      <c r="C2098" t="s">
        <v>1655</v>
      </c>
      <c r="D2098" t="s">
        <v>247</v>
      </c>
      <c r="E2098" t="str">
        <f>INDEX('State Codes'!$E$7:$E$70,MATCH(INDEX('State Codes'!$C$7:$C$70,MATCH('County Climates'!B2098,'State Codes'!$D$7:$D$70,0),1),'State Codes'!$C$7:$C$70,0),1)</f>
        <v>East South Central Division</v>
      </c>
      <c r="F2098">
        <f>INDEX('CBECS_Table B5'!$C$6:$K$6,1,MATCH('County Climates'!E2098,'CBECS_Table B5'!$C$1:$K$1,0))</f>
        <v>4904</v>
      </c>
    </row>
    <row r="2099" spans="1:6" x14ac:dyDescent="0.25">
      <c r="A2099" t="s">
        <v>1633</v>
      </c>
      <c r="B2099" t="s">
        <v>1634</v>
      </c>
      <c r="C2099" t="s">
        <v>1656</v>
      </c>
      <c r="D2099" t="s">
        <v>247</v>
      </c>
      <c r="E2099" t="str">
        <f>INDEX('State Codes'!$E$7:$E$70,MATCH(INDEX('State Codes'!$C$7:$C$70,MATCH('County Climates'!B2099,'State Codes'!$D$7:$D$70,0),1),'State Codes'!$C$7:$C$70,0),1)</f>
        <v>East South Central Division</v>
      </c>
      <c r="F2099">
        <f>INDEX('CBECS_Table B5'!$C$6:$K$6,1,MATCH('County Climates'!E2099,'CBECS_Table B5'!$C$1:$K$1,0))</f>
        <v>4904</v>
      </c>
    </row>
    <row r="2100" spans="1:6" x14ac:dyDescent="0.25">
      <c r="A2100" t="s">
        <v>1633</v>
      </c>
      <c r="B2100" t="s">
        <v>1634</v>
      </c>
      <c r="C2100" t="s">
        <v>610</v>
      </c>
      <c r="D2100" t="s">
        <v>247</v>
      </c>
      <c r="E2100" t="str">
        <f>INDEX('State Codes'!$E$7:$E$70,MATCH(INDEX('State Codes'!$C$7:$C$70,MATCH('County Climates'!B2100,'State Codes'!$D$7:$D$70,0),1),'State Codes'!$C$7:$C$70,0),1)</f>
        <v>East South Central Division</v>
      </c>
      <c r="F2100">
        <f>INDEX('CBECS_Table B5'!$C$6:$K$6,1,MATCH('County Climates'!E2100,'CBECS_Table B5'!$C$1:$K$1,0))</f>
        <v>4904</v>
      </c>
    </row>
    <row r="2101" spans="1:6" x14ac:dyDescent="0.25">
      <c r="A2101" t="s">
        <v>1633</v>
      </c>
      <c r="B2101" t="s">
        <v>1634</v>
      </c>
      <c r="C2101" t="s">
        <v>611</v>
      </c>
      <c r="D2101" t="s">
        <v>247</v>
      </c>
      <c r="E2101" t="str">
        <f>INDEX('State Codes'!$E$7:$E$70,MATCH(INDEX('State Codes'!$C$7:$C$70,MATCH('County Climates'!B2101,'State Codes'!$D$7:$D$70,0),1),'State Codes'!$C$7:$C$70,0),1)</f>
        <v>East South Central Division</v>
      </c>
      <c r="F2101">
        <f>INDEX('CBECS_Table B5'!$C$6:$K$6,1,MATCH('County Climates'!E2101,'CBECS_Table B5'!$C$1:$K$1,0))</f>
        <v>4904</v>
      </c>
    </row>
    <row r="2102" spans="1:6" x14ac:dyDescent="0.25">
      <c r="A2102" t="s">
        <v>1633</v>
      </c>
      <c r="B2102" t="s">
        <v>1634</v>
      </c>
      <c r="C2102" t="s">
        <v>347</v>
      </c>
      <c r="D2102" t="s">
        <v>247</v>
      </c>
      <c r="E2102" t="str">
        <f>INDEX('State Codes'!$E$7:$E$70,MATCH(INDEX('State Codes'!$C$7:$C$70,MATCH('County Climates'!B2102,'State Codes'!$D$7:$D$70,0),1),'State Codes'!$C$7:$C$70,0),1)</f>
        <v>East South Central Division</v>
      </c>
      <c r="F2102">
        <f>INDEX('CBECS_Table B5'!$C$6:$K$6,1,MATCH('County Climates'!E2102,'CBECS_Table B5'!$C$1:$K$1,0))</f>
        <v>4904</v>
      </c>
    </row>
    <row r="2103" spans="1:6" x14ac:dyDescent="0.25">
      <c r="A2103" t="s">
        <v>1633</v>
      </c>
      <c r="B2103" t="s">
        <v>1634</v>
      </c>
      <c r="C2103" t="s">
        <v>497</v>
      </c>
      <c r="D2103" t="s">
        <v>247</v>
      </c>
      <c r="E2103" t="str">
        <f>INDEX('State Codes'!$E$7:$E$70,MATCH(INDEX('State Codes'!$C$7:$C$70,MATCH('County Climates'!B2103,'State Codes'!$D$7:$D$70,0),1),'State Codes'!$C$7:$C$70,0),1)</f>
        <v>East South Central Division</v>
      </c>
      <c r="F2103">
        <f>INDEX('CBECS_Table B5'!$C$6:$K$6,1,MATCH('County Climates'!E2103,'CBECS_Table B5'!$C$1:$K$1,0))</f>
        <v>4904</v>
      </c>
    </row>
    <row r="2104" spans="1:6" x14ac:dyDescent="0.25">
      <c r="A2104" t="s">
        <v>1633</v>
      </c>
      <c r="B2104" t="s">
        <v>1634</v>
      </c>
      <c r="C2104" t="s">
        <v>308</v>
      </c>
      <c r="D2104" t="s">
        <v>247</v>
      </c>
      <c r="E2104" t="str">
        <f>INDEX('State Codes'!$E$7:$E$70,MATCH(INDEX('State Codes'!$C$7:$C$70,MATCH('County Climates'!B2104,'State Codes'!$D$7:$D$70,0),1),'State Codes'!$C$7:$C$70,0),1)</f>
        <v>East South Central Division</v>
      </c>
      <c r="F2104">
        <f>INDEX('CBECS_Table B5'!$C$6:$K$6,1,MATCH('County Climates'!E2104,'CBECS_Table B5'!$C$1:$K$1,0))</f>
        <v>4904</v>
      </c>
    </row>
    <row r="2105" spans="1:6" x14ac:dyDescent="0.25">
      <c r="A2105" t="s">
        <v>1633</v>
      </c>
      <c r="B2105" t="s">
        <v>1634</v>
      </c>
      <c r="C2105" t="s">
        <v>498</v>
      </c>
      <c r="D2105" t="s">
        <v>247</v>
      </c>
      <c r="E2105" t="str">
        <f>INDEX('State Codes'!$E$7:$E$70,MATCH(INDEX('State Codes'!$C$7:$C$70,MATCH('County Climates'!B2105,'State Codes'!$D$7:$D$70,0),1),'State Codes'!$C$7:$C$70,0),1)</f>
        <v>East South Central Division</v>
      </c>
      <c r="F2105">
        <f>INDEX('CBECS_Table B5'!$C$6:$K$6,1,MATCH('County Climates'!E2105,'CBECS_Table B5'!$C$1:$K$1,0))</f>
        <v>4904</v>
      </c>
    </row>
    <row r="2106" spans="1:6" x14ac:dyDescent="0.25">
      <c r="A2106" t="s">
        <v>1633</v>
      </c>
      <c r="B2106" t="s">
        <v>1634</v>
      </c>
      <c r="C2106" t="s">
        <v>499</v>
      </c>
      <c r="D2106" t="s">
        <v>247</v>
      </c>
      <c r="E2106" t="str">
        <f>INDEX('State Codes'!$E$7:$E$70,MATCH(INDEX('State Codes'!$C$7:$C$70,MATCH('County Climates'!B2106,'State Codes'!$D$7:$D$70,0),1),'State Codes'!$C$7:$C$70,0),1)</f>
        <v>East South Central Division</v>
      </c>
      <c r="F2106">
        <f>INDEX('CBECS_Table B5'!$C$6:$K$6,1,MATCH('County Climates'!E2106,'CBECS_Table B5'!$C$1:$K$1,0))</f>
        <v>4904</v>
      </c>
    </row>
    <row r="2107" spans="1:6" x14ac:dyDescent="0.25">
      <c r="A2107" t="s">
        <v>1633</v>
      </c>
      <c r="B2107" t="s">
        <v>1634</v>
      </c>
      <c r="C2107" t="s">
        <v>588</v>
      </c>
      <c r="D2107" t="s">
        <v>247</v>
      </c>
      <c r="E2107" t="str">
        <f>INDEX('State Codes'!$E$7:$E$70,MATCH(INDEX('State Codes'!$C$7:$C$70,MATCH('County Climates'!B2107,'State Codes'!$D$7:$D$70,0),1),'State Codes'!$C$7:$C$70,0),1)</f>
        <v>East South Central Division</v>
      </c>
      <c r="F2107">
        <f>INDEX('CBECS_Table B5'!$C$6:$K$6,1,MATCH('County Climates'!E2107,'CBECS_Table B5'!$C$1:$K$1,0))</f>
        <v>4904</v>
      </c>
    </row>
    <row r="2108" spans="1:6" x14ac:dyDescent="0.25">
      <c r="A2108" t="s">
        <v>1633</v>
      </c>
      <c r="B2108" t="s">
        <v>1634</v>
      </c>
      <c r="C2108" t="s">
        <v>1657</v>
      </c>
      <c r="D2108" t="s">
        <v>247</v>
      </c>
      <c r="E2108" t="str">
        <f>INDEX('State Codes'!$E$7:$E$70,MATCH(INDEX('State Codes'!$C$7:$C$70,MATCH('County Climates'!B2108,'State Codes'!$D$7:$D$70,0),1),'State Codes'!$C$7:$C$70,0),1)</f>
        <v>East South Central Division</v>
      </c>
      <c r="F2108">
        <f>INDEX('CBECS_Table B5'!$C$6:$K$6,1,MATCH('County Climates'!E2108,'CBECS_Table B5'!$C$1:$K$1,0))</f>
        <v>4904</v>
      </c>
    </row>
    <row r="2109" spans="1:6" x14ac:dyDescent="0.25">
      <c r="A2109" t="s">
        <v>1633</v>
      </c>
      <c r="B2109" t="s">
        <v>1634</v>
      </c>
      <c r="C2109" t="s">
        <v>570</v>
      </c>
      <c r="D2109" t="s">
        <v>247</v>
      </c>
      <c r="E2109" t="str">
        <f>INDEX('State Codes'!$E$7:$E$70,MATCH(INDEX('State Codes'!$C$7:$C$70,MATCH('County Climates'!B2109,'State Codes'!$D$7:$D$70,0),1),'State Codes'!$C$7:$C$70,0),1)</f>
        <v>East South Central Division</v>
      </c>
      <c r="F2109">
        <f>INDEX('CBECS_Table B5'!$C$6:$K$6,1,MATCH('County Climates'!E2109,'CBECS_Table B5'!$C$1:$K$1,0))</f>
        <v>4904</v>
      </c>
    </row>
    <row r="2110" spans="1:6" x14ac:dyDescent="0.25">
      <c r="A2110" t="s">
        <v>1658</v>
      </c>
      <c r="B2110" t="s">
        <v>1659</v>
      </c>
      <c r="C2110" t="s">
        <v>1660</v>
      </c>
      <c r="D2110" t="s">
        <v>243</v>
      </c>
      <c r="E2110" t="str">
        <f>INDEX('State Codes'!$E$7:$E$70,MATCH(INDEX('State Codes'!$C$7:$C$70,MATCH('County Climates'!B2110,'State Codes'!$D$7:$D$70,0),1),'State Codes'!$C$7:$C$70,0),1)</f>
        <v>West South Central Division</v>
      </c>
      <c r="F2110">
        <f>INDEX('CBECS_Table B5'!$C$6:$K$6,1,MATCH('County Climates'!E2110,'CBECS_Table B5'!$C$1:$K$1,0))</f>
        <v>11394</v>
      </c>
    </row>
    <row r="2111" spans="1:6" x14ac:dyDescent="0.25">
      <c r="A2111" t="s">
        <v>1658</v>
      </c>
      <c r="B2111" t="s">
        <v>1659</v>
      </c>
      <c r="C2111" t="s">
        <v>573</v>
      </c>
      <c r="D2111" t="s">
        <v>243</v>
      </c>
      <c r="E2111" t="str">
        <f>INDEX('State Codes'!$E$7:$E$70,MATCH(INDEX('State Codes'!$C$7:$C$70,MATCH('County Climates'!B2111,'State Codes'!$D$7:$D$70,0),1),'State Codes'!$C$7:$C$70,0),1)</f>
        <v>West South Central Division</v>
      </c>
      <c r="F2111">
        <f>INDEX('CBECS_Table B5'!$C$6:$K$6,1,MATCH('County Climates'!E2111,'CBECS_Table B5'!$C$1:$K$1,0))</f>
        <v>11394</v>
      </c>
    </row>
    <row r="2112" spans="1:6" x14ac:dyDescent="0.25">
      <c r="A2112" t="s">
        <v>1658</v>
      </c>
      <c r="B2112" t="s">
        <v>1659</v>
      </c>
      <c r="C2112" t="s">
        <v>1661</v>
      </c>
      <c r="D2112" t="s">
        <v>243</v>
      </c>
      <c r="E2112" t="str">
        <f>INDEX('State Codes'!$E$7:$E$70,MATCH(INDEX('State Codes'!$C$7:$C$70,MATCH('County Climates'!B2112,'State Codes'!$D$7:$D$70,0),1),'State Codes'!$C$7:$C$70,0),1)</f>
        <v>West South Central Division</v>
      </c>
      <c r="F2112">
        <f>INDEX('CBECS_Table B5'!$C$6:$K$6,1,MATCH('County Climates'!E2112,'CBECS_Table B5'!$C$1:$K$1,0))</f>
        <v>11394</v>
      </c>
    </row>
    <row r="2113" spans="1:6" x14ac:dyDescent="0.25">
      <c r="A2113" t="s">
        <v>1658</v>
      </c>
      <c r="B2113" t="s">
        <v>1659</v>
      </c>
      <c r="C2113" t="s">
        <v>1662</v>
      </c>
      <c r="D2113" t="s">
        <v>243</v>
      </c>
      <c r="E2113" t="str">
        <f>INDEX('State Codes'!$E$7:$E$70,MATCH(INDEX('State Codes'!$C$7:$C$70,MATCH('County Climates'!B2113,'State Codes'!$D$7:$D$70,0),1),'State Codes'!$C$7:$C$70,0),1)</f>
        <v>West South Central Division</v>
      </c>
      <c r="F2113">
        <f>INDEX('CBECS_Table B5'!$C$6:$K$6,1,MATCH('County Climates'!E2113,'CBECS_Table B5'!$C$1:$K$1,0))</f>
        <v>11394</v>
      </c>
    </row>
    <row r="2114" spans="1:6" x14ac:dyDescent="0.25">
      <c r="A2114" t="s">
        <v>1658</v>
      </c>
      <c r="B2114" t="s">
        <v>1659</v>
      </c>
      <c r="C2114" t="s">
        <v>1663</v>
      </c>
      <c r="D2114" t="s">
        <v>243</v>
      </c>
      <c r="E2114" t="str">
        <f>INDEX('State Codes'!$E$7:$E$70,MATCH(INDEX('State Codes'!$C$7:$C$70,MATCH('County Climates'!B2114,'State Codes'!$D$7:$D$70,0),1),'State Codes'!$C$7:$C$70,0),1)</f>
        <v>West South Central Division</v>
      </c>
      <c r="F2114">
        <f>INDEX('CBECS_Table B5'!$C$6:$K$6,1,MATCH('County Climates'!E2114,'CBECS_Table B5'!$C$1:$K$1,0))</f>
        <v>11394</v>
      </c>
    </row>
    <row r="2115" spans="1:6" x14ac:dyDescent="0.25">
      <c r="A2115" t="s">
        <v>1658</v>
      </c>
      <c r="B2115" t="s">
        <v>1659</v>
      </c>
      <c r="C2115" t="s">
        <v>1664</v>
      </c>
      <c r="D2115" t="s">
        <v>243</v>
      </c>
      <c r="E2115" t="str">
        <f>INDEX('State Codes'!$E$7:$E$70,MATCH(INDEX('State Codes'!$C$7:$C$70,MATCH('County Climates'!B2115,'State Codes'!$D$7:$D$70,0),1),'State Codes'!$C$7:$C$70,0),1)</f>
        <v>West South Central Division</v>
      </c>
      <c r="F2115">
        <f>INDEX('CBECS_Table B5'!$C$6:$K$6,1,MATCH('County Climates'!E2115,'CBECS_Table B5'!$C$1:$K$1,0))</f>
        <v>11394</v>
      </c>
    </row>
    <row r="2116" spans="1:6" x14ac:dyDescent="0.25">
      <c r="A2116" t="s">
        <v>1658</v>
      </c>
      <c r="B2116" t="s">
        <v>1659</v>
      </c>
      <c r="C2116" t="s">
        <v>1665</v>
      </c>
      <c r="D2116" t="s">
        <v>484</v>
      </c>
      <c r="E2116" t="str">
        <f>INDEX('State Codes'!$E$7:$E$70,MATCH(INDEX('State Codes'!$C$7:$C$70,MATCH('County Climates'!B2116,'State Codes'!$D$7:$D$70,0),1),'State Codes'!$C$7:$C$70,0),1)</f>
        <v>West South Central Division</v>
      </c>
      <c r="F2116">
        <f>INDEX('CBECS_Table B5'!$C$6:$K$6,1,MATCH('County Climates'!E2116,'CBECS_Table B5'!$C$1:$K$1,0))</f>
        <v>11394</v>
      </c>
    </row>
    <row r="2117" spans="1:6" x14ac:dyDescent="0.25">
      <c r="A2117" t="s">
        <v>1658</v>
      </c>
      <c r="B2117" t="s">
        <v>1659</v>
      </c>
      <c r="C2117" t="s">
        <v>1666</v>
      </c>
      <c r="D2117" t="s">
        <v>484</v>
      </c>
      <c r="E2117" t="str">
        <f>INDEX('State Codes'!$E$7:$E$70,MATCH(INDEX('State Codes'!$C$7:$C$70,MATCH('County Climates'!B2117,'State Codes'!$D$7:$D$70,0),1),'State Codes'!$C$7:$C$70,0),1)</f>
        <v>West South Central Division</v>
      </c>
      <c r="F2117">
        <f>INDEX('CBECS_Table B5'!$C$6:$K$6,1,MATCH('County Climates'!E2117,'CBECS_Table B5'!$C$1:$K$1,0))</f>
        <v>11394</v>
      </c>
    </row>
    <row r="2118" spans="1:6" x14ac:dyDescent="0.25">
      <c r="A2118" t="s">
        <v>1658</v>
      </c>
      <c r="B2118" t="s">
        <v>1659</v>
      </c>
      <c r="C2118" t="s">
        <v>1065</v>
      </c>
      <c r="D2118" t="s">
        <v>484</v>
      </c>
      <c r="E2118" t="str">
        <f>INDEX('State Codes'!$E$7:$E$70,MATCH(INDEX('State Codes'!$C$7:$C$70,MATCH('County Climates'!B2118,'State Codes'!$D$7:$D$70,0),1),'State Codes'!$C$7:$C$70,0),1)</f>
        <v>West South Central Division</v>
      </c>
      <c r="F2118">
        <f>INDEX('CBECS_Table B5'!$C$6:$K$6,1,MATCH('County Climates'!E2118,'CBECS_Table B5'!$C$1:$K$1,0))</f>
        <v>11394</v>
      </c>
    </row>
    <row r="2119" spans="1:6" x14ac:dyDescent="0.25">
      <c r="A2119" t="s">
        <v>1658</v>
      </c>
      <c r="B2119" t="s">
        <v>1659</v>
      </c>
      <c r="C2119" t="s">
        <v>1667</v>
      </c>
      <c r="D2119" t="s">
        <v>243</v>
      </c>
      <c r="E2119" t="str">
        <f>INDEX('State Codes'!$E$7:$E$70,MATCH(INDEX('State Codes'!$C$7:$C$70,MATCH('County Climates'!B2119,'State Codes'!$D$7:$D$70,0),1),'State Codes'!$C$7:$C$70,0),1)</f>
        <v>West South Central Division</v>
      </c>
      <c r="F2119">
        <f>INDEX('CBECS_Table B5'!$C$6:$K$6,1,MATCH('County Climates'!E2119,'CBECS_Table B5'!$C$1:$K$1,0))</f>
        <v>11394</v>
      </c>
    </row>
    <row r="2120" spans="1:6" x14ac:dyDescent="0.25">
      <c r="A2120" t="s">
        <v>1658</v>
      </c>
      <c r="B2120" t="s">
        <v>1659</v>
      </c>
      <c r="C2120" t="s">
        <v>1645</v>
      </c>
      <c r="D2120" t="s">
        <v>484</v>
      </c>
      <c r="E2120" t="str">
        <f>INDEX('State Codes'!$E$7:$E$70,MATCH(INDEX('State Codes'!$C$7:$C$70,MATCH('County Climates'!B2120,'State Codes'!$D$7:$D$70,0),1),'State Codes'!$C$7:$C$70,0),1)</f>
        <v>West South Central Division</v>
      </c>
      <c r="F2120">
        <f>INDEX('CBECS_Table B5'!$C$6:$K$6,1,MATCH('County Climates'!E2120,'CBECS_Table B5'!$C$1:$K$1,0))</f>
        <v>11394</v>
      </c>
    </row>
    <row r="2121" spans="1:6" x14ac:dyDescent="0.25">
      <c r="A2121" t="s">
        <v>1658</v>
      </c>
      <c r="B2121" t="s">
        <v>1659</v>
      </c>
      <c r="C2121" t="s">
        <v>1098</v>
      </c>
      <c r="D2121" t="s">
        <v>243</v>
      </c>
      <c r="E2121" t="str">
        <f>INDEX('State Codes'!$E$7:$E$70,MATCH(INDEX('State Codes'!$C$7:$C$70,MATCH('County Climates'!B2121,'State Codes'!$D$7:$D$70,0),1),'State Codes'!$C$7:$C$70,0),1)</f>
        <v>West South Central Division</v>
      </c>
      <c r="F2121">
        <f>INDEX('CBECS_Table B5'!$C$6:$K$6,1,MATCH('County Climates'!E2121,'CBECS_Table B5'!$C$1:$K$1,0))</f>
        <v>11394</v>
      </c>
    </row>
    <row r="2122" spans="1:6" x14ac:dyDescent="0.25">
      <c r="A2122" t="s">
        <v>1658</v>
      </c>
      <c r="B2122" t="s">
        <v>1659</v>
      </c>
      <c r="C2122" t="s">
        <v>1668</v>
      </c>
      <c r="D2122" t="s">
        <v>484</v>
      </c>
      <c r="E2122" t="str">
        <f>INDEX('State Codes'!$E$7:$E$70,MATCH(INDEX('State Codes'!$C$7:$C$70,MATCH('County Climates'!B2122,'State Codes'!$D$7:$D$70,0),1),'State Codes'!$C$7:$C$70,0),1)</f>
        <v>West South Central Division</v>
      </c>
      <c r="F2122">
        <f>INDEX('CBECS_Table B5'!$C$6:$K$6,1,MATCH('County Climates'!E2122,'CBECS_Table B5'!$C$1:$K$1,0))</f>
        <v>11394</v>
      </c>
    </row>
    <row r="2123" spans="1:6" x14ac:dyDescent="0.25">
      <c r="A2123" t="s">
        <v>1658</v>
      </c>
      <c r="B2123" t="s">
        <v>1659</v>
      </c>
      <c r="C2123" t="s">
        <v>1669</v>
      </c>
      <c r="D2123" t="s">
        <v>484</v>
      </c>
      <c r="E2123" t="str">
        <f>INDEX('State Codes'!$E$7:$E$70,MATCH(INDEX('State Codes'!$C$7:$C$70,MATCH('County Climates'!B2123,'State Codes'!$D$7:$D$70,0),1),'State Codes'!$C$7:$C$70,0),1)</f>
        <v>West South Central Division</v>
      </c>
      <c r="F2123">
        <f>INDEX('CBECS_Table B5'!$C$6:$K$6,1,MATCH('County Climates'!E2123,'CBECS_Table B5'!$C$1:$K$1,0))</f>
        <v>11394</v>
      </c>
    </row>
    <row r="2124" spans="1:6" x14ac:dyDescent="0.25">
      <c r="A2124" t="s">
        <v>1658</v>
      </c>
      <c r="B2124" t="s">
        <v>1659</v>
      </c>
      <c r="C2124" t="s">
        <v>1670</v>
      </c>
      <c r="D2124" t="s">
        <v>484</v>
      </c>
      <c r="E2124" t="str">
        <f>INDEX('State Codes'!$E$7:$E$70,MATCH(INDEX('State Codes'!$C$7:$C$70,MATCH('County Climates'!B2124,'State Codes'!$D$7:$D$70,0),1),'State Codes'!$C$7:$C$70,0),1)</f>
        <v>West South Central Division</v>
      </c>
      <c r="F2124">
        <f>INDEX('CBECS_Table B5'!$C$6:$K$6,1,MATCH('County Climates'!E2124,'CBECS_Table B5'!$C$1:$K$1,0))</f>
        <v>11394</v>
      </c>
    </row>
    <row r="2125" spans="1:6" x14ac:dyDescent="0.25">
      <c r="A2125" t="s">
        <v>1658</v>
      </c>
      <c r="B2125" t="s">
        <v>1659</v>
      </c>
      <c r="C2125" t="s">
        <v>1671</v>
      </c>
      <c r="D2125" t="s">
        <v>484</v>
      </c>
      <c r="E2125" t="str">
        <f>INDEX('State Codes'!$E$7:$E$70,MATCH(INDEX('State Codes'!$C$7:$C$70,MATCH('County Climates'!B2125,'State Codes'!$D$7:$D$70,0),1),'State Codes'!$C$7:$C$70,0),1)</f>
        <v>West South Central Division</v>
      </c>
      <c r="F2125">
        <f>INDEX('CBECS_Table B5'!$C$6:$K$6,1,MATCH('County Climates'!E2125,'CBECS_Table B5'!$C$1:$K$1,0))</f>
        <v>11394</v>
      </c>
    </row>
    <row r="2126" spans="1:6" x14ac:dyDescent="0.25">
      <c r="A2126" t="s">
        <v>1658</v>
      </c>
      <c r="B2126" t="s">
        <v>1659</v>
      </c>
      <c r="C2126" t="s">
        <v>1672</v>
      </c>
      <c r="D2126" t="s">
        <v>243</v>
      </c>
      <c r="E2126" t="str">
        <f>INDEX('State Codes'!$E$7:$E$70,MATCH(INDEX('State Codes'!$C$7:$C$70,MATCH('County Climates'!B2126,'State Codes'!$D$7:$D$70,0),1),'State Codes'!$C$7:$C$70,0),1)</f>
        <v>West South Central Division</v>
      </c>
      <c r="F2126">
        <f>INDEX('CBECS_Table B5'!$C$6:$K$6,1,MATCH('County Climates'!E2126,'CBECS_Table B5'!$C$1:$K$1,0))</f>
        <v>11394</v>
      </c>
    </row>
    <row r="2127" spans="1:6" x14ac:dyDescent="0.25">
      <c r="A2127" t="s">
        <v>1658</v>
      </c>
      <c r="B2127" t="s">
        <v>1659</v>
      </c>
      <c r="C2127" t="s">
        <v>1673</v>
      </c>
      <c r="D2127" t="s">
        <v>247</v>
      </c>
      <c r="E2127" t="str">
        <f>INDEX('State Codes'!$E$7:$E$70,MATCH(INDEX('State Codes'!$C$7:$C$70,MATCH('County Climates'!B2127,'State Codes'!$D$7:$D$70,0),1),'State Codes'!$C$7:$C$70,0),1)</f>
        <v>West South Central Division</v>
      </c>
      <c r="F2127">
        <f>INDEX('CBECS_Table B5'!$C$6:$K$6,1,MATCH('County Climates'!E2127,'CBECS_Table B5'!$C$1:$K$1,0))</f>
        <v>11394</v>
      </c>
    </row>
    <row r="2128" spans="1:6" x14ac:dyDescent="0.25">
      <c r="A2128" t="s">
        <v>1658</v>
      </c>
      <c r="B2128" t="s">
        <v>1659</v>
      </c>
      <c r="C2128" t="s">
        <v>1674</v>
      </c>
      <c r="D2128" t="s">
        <v>243</v>
      </c>
      <c r="E2128" t="str">
        <f>INDEX('State Codes'!$E$7:$E$70,MATCH(INDEX('State Codes'!$C$7:$C$70,MATCH('County Climates'!B2128,'State Codes'!$D$7:$D$70,0),1),'State Codes'!$C$7:$C$70,0),1)</f>
        <v>West South Central Division</v>
      </c>
      <c r="F2128">
        <f>INDEX('CBECS_Table B5'!$C$6:$K$6,1,MATCH('County Climates'!E2128,'CBECS_Table B5'!$C$1:$K$1,0))</f>
        <v>11394</v>
      </c>
    </row>
    <row r="2129" spans="1:6" x14ac:dyDescent="0.25">
      <c r="A2129" t="s">
        <v>1658</v>
      </c>
      <c r="B2129" t="s">
        <v>1659</v>
      </c>
      <c r="C2129" t="s">
        <v>1675</v>
      </c>
      <c r="D2129" t="s">
        <v>243</v>
      </c>
      <c r="E2129" t="str">
        <f>INDEX('State Codes'!$E$7:$E$70,MATCH(INDEX('State Codes'!$C$7:$C$70,MATCH('County Climates'!B2129,'State Codes'!$D$7:$D$70,0),1),'State Codes'!$C$7:$C$70,0),1)</f>
        <v>West South Central Division</v>
      </c>
      <c r="F2129">
        <f>INDEX('CBECS_Table B5'!$C$6:$K$6,1,MATCH('County Climates'!E2129,'CBECS_Table B5'!$C$1:$K$1,0))</f>
        <v>11394</v>
      </c>
    </row>
    <row r="2130" spans="1:6" x14ac:dyDescent="0.25">
      <c r="A2130" t="s">
        <v>1658</v>
      </c>
      <c r="B2130" t="s">
        <v>1659</v>
      </c>
      <c r="C2130" t="s">
        <v>273</v>
      </c>
      <c r="D2130" t="s">
        <v>484</v>
      </c>
      <c r="E2130" t="str">
        <f>INDEX('State Codes'!$E$7:$E$70,MATCH(INDEX('State Codes'!$C$7:$C$70,MATCH('County Climates'!B2130,'State Codes'!$D$7:$D$70,0),1),'State Codes'!$C$7:$C$70,0),1)</f>
        <v>West South Central Division</v>
      </c>
      <c r="F2130">
        <f>INDEX('CBECS_Table B5'!$C$6:$K$6,1,MATCH('County Climates'!E2130,'CBECS_Table B5'!$C$1:$K$1,0))</f>
        <v>11394</v>
      </c>
    </row>
    <row r="2131" spans="1:6" x14ac:dyDescent="0.25">
      <c r="A2131" t="s">
        <v>1658</v>
      </c>
      <c r="B2131" t="s">
        <v>1659</v>
      </c>
      <c r="C2131" t="s">
        <v>316</v>
      </c>
      <c r="D2131" t="s">
        <v>484</v>
      </c>
      <c r="E2131" t="str">
        <f>INDEX('State Codes'!$E$7:$E$70,MATCH(INDEX('State Codes'!$C$7:$C$70,MATCH('County Climates'!B2131,'State Codes'!$D$7:$D$70,0),1),'State Codes'!$C$7:$C$70,0),1)</f>
        <v>West South Central Division</v>
      </c>
      <c r="F2131">
        <f>INDEX('CBECS_Table B5'!$C$6:$K$6,1,MATCH('County Climates'!E2131,'CBECS_Table B5'!$C$1:$K$1,0))</f>
        <v>11394</v>
      </c>
    </row>
    <row r="2132" spans="1:6" x14ac:dyDescent="0.25">
      <c r="A2132" t="s">
        <v>1658</v>
      </c>
      <c r="B2132" t="s">
        <v>1659</v>
      </c>
      <c r="C2132" t="s">
        <v>1676</v>
      </c>
      <c r="D2132" t="s">
        <v>243</v>
      </c>
      <c r="E2132" t="str">
        <f>INDEX('State Codes'!$E$7:$E$70,MATCH(INDEX('State Codes'!$C$7:$C$70,MATCH('County Climates'!B2132,'State Codes'!$D$7:$D$70,0),1),'State Codes'!$C$7:$C$70,0),1)</f>
        <v>West South Central Division</v>
      </c>
      <c r="F2132">
        <f>INDEX('CBECS_Table B5'!$C$6:$K$6,1,MATCH('County Climates'!E2132,'CBECS_Table B5'!$C$1:$K$1,0))</f>
        <v>11394</v>
      </c>
    </row>
    <row r="2133" spans="1:6" x14ac:dyDescent="0.25">
      <c r="A2133" t="s">
        <v>1658</v>
      </c>
      <c r="B2133" t="s">
        <v>1659</v>
      </c>
      <c r="C2133" t="s">
        <v>1677</v>
      </c>
      <c r="D2133" t="s">
        <v>243</v>
      </c>
      <c r="E2133" t="str">
        <f>INDEX('State Codes'!$E$7:$E$70,MATCH(INDEX('State Codes'!$C$7:$C$70,MATCH('County Climates'!B2133,'State Codes'!$D$7:$D$70,0),1),'State Codes'!$C$7:$C$70,0),1)</f>
        <v>West South Central Division</v>
      </c>
      <c r="F2133">
        <f>INDEX('CBECS_Table B5'!$C$6:$K$6,1,MATCH('County Climates'!E2133,'CBECS_Table B5'!$C$1:$K$1,0))</f>
        <v>11394</v>
      </c>
    </row>
    <row r="2134" spans="1:6" x14ac:dyDescent="0.25">
      <c r="A2134" t="s">
        <v>1658</v>
      </c>
      <c r="B2134" t="s">
        <v>1659</v>
      </c>
      <c r="C2134" t="s">
        <v>279</v>
      </c>
      <c r="D2134" t="s">
        <v>484</v>
      </c>
      <c r="E2134" t="str">
        <f>INDEX('State Codes'!$E$7:$E$70,MATCH(INDEX('State Codes'!$C$7:$C$70,MATCH('County Climates'!B2134,'State Codes'!$D$7:$D$70,0),1),'State Codes'!$C$7:$C$70,0),1)</f>
        <v>West South Central Division</v>
      </c>
      <c r="F2134">
        <f>INDEX('CBECS_Table B5'!$C$6:$K$6,1,MATCH('County Climates'!E2134,'CBECS_Table B5'!$C$1:$K$1,0))</f>
        <v>11394</v>
      </c>
    </row>
    <row r="2135" spans="1:6" x14ac:dyDescent="0.25">
      <c r="A2135" t="s">
        <v>1658</v>
      </c>
      <c r="B2135" t="s">
        <v>1659</v>
      </c>
      <c r="C2135" t="s">
        <v>280</v>
      </c>
      <c r="D2135" t="s">
        <v>243</v>
      </c>
      <c r="E2135" t="str">
        <f>INDEX('State Codes'!$E$7:$E$70,MATCH(INDEX('State Codes'!$C$7:$C$70,MATCH('County Climates'!B2135,'State Codes'!$D$7:$D$70,0),1),'State Codes'!$C$7:$C$70,0),1)</f>
        <v>West South Central Division</v>
      </c>
      <c r="F2135">
        <f>INDEX('CBECS_Table B5'!$C$6:$K$6,1,MATCH('County Climates'!E2135,'CBECS_Table B5'!$C$1:$K$1,0))</f>
        <v>11394</v>
      </c>
    </row>
    <row r="2136" spans="1:6" x14ac:dyDescent="0.25">
      <c r="A2136" t="s">
        <v>1658</v>
      </c>
      <c r="B2136" t="s">
        <v>1659</v>
      </c>
      <c r="C2136" t="s">
        <v>817</v>
      </c>
      <c r="D2136" t="s">
        <v>243</v>
      </c>
      <c r="E2136" t="str">
        <f>INDEX('State Codes'!$E$7:$E$70,MATCH(INDEX('State Codes'!$C$7:$C$70,MATCH('County Climates'!B2136,'State Codes'!$D$7:$D$70,0),1),'State Codes'!$C$7:$C$70,0),1)</f>
        <v>West South Central Division</v>
      </c>
      <c r="F2136">
        <f>INDEX('CBECS_Table B5'!$C$6:$K$6,1,MATCH('County Climates'!E2136,'CBECS_Table B5'!$C$1:$K$1,0))</f>
        <v>11394</v>
      </c>
    </row>
    <row r="2137" spans="1:6" x14ac:dyDescent="0.25">
      <c r="A2137" t="s">
        <v>1658</v>
      </c>
      <c r="B2137" t="s">
        <v>1659</v>
      </c>
      <c r="C2137" t="s">
        <v>1225</v>
      </c>
      <c r="D2137" t="s">
        <v>484</v>
      </c>
      <c r="E2137" t="str">
        <f>INDEX('State Codes'!$E$7:$E$70,MATCH(INDEX('State Codes'!$C$7:$C$70,MATCH('County Climates'!B2137,'State Codes'!$D$7:$D$70,0),1),'State Codes'!$C$7:$C$70,0),1)</f>
        <v>West South Central Division</v>
      </c>
      <c r="F2137">
        <f>INDEX('CBECS_Table B5'!$C$6:$K$6,1,MATCH('County Climates'!E2137,'CBECS_Table B5'!$C$1:$K$1,0))</f>
        <v>11394</v>
      </c>
    </row>
    <row r="2138" spans="1:6" x14ac:dyDescent="0.25">
      <c r="A2138" t="s">
        <v>1658</v>
      </c>
      <c r="B2138" t="s">
        <v>1659</v>
      </c>
      <c r="C2138" t="s">
        <v>323</v>
      </c>
      <c r="D2138" t="s">
        <v>243</v>
      </c>
      <c r="E2138" t="str">
        <f>INDEX('State Codes'!$E$7:$E$70,MATCH(INDEX('State Codes'!$C$7:$C$70,MATCH('County Climates'!B2138,'State Codes'!$D$7:$D$70,0),1),'State Codes'!$C$7:$C$70,0),1)</f>
        <v>West South Central Division</v>
      </c>
      <c r="F2138">
        <f>INDEX('CBECS_Table B5'!$C$6:$K$6,1,MATCH('County Climates'!E2138,'CBECS_Table B5'!$C$1:$K$1,0))</f>
        <v>11394</v>
      </c>
    </row>
    <row r="2139" spans="1:6" x14ac:dyDescent="0.25">
      <c r="A2139" t="s">
        <v>1658</v>
      </c>
      <c r="B2139" t="s">
        <v>1659</v>
      </c>
      <c r="C2139" t="s">
        <v>1678</v>
      </c>
      <c r="D2139" t="s">
        <v>243</v>
      </c>
      <c r="E2139" t="str">
        <f>INDEX('State Codes'!$E$7:$E$70,MATCH(INDEX('State Codes'!$C$7:$C$70,MATCH('County Climates'!B2139,'State Codes'!$D$7:$D$70,0),1),'State Codes'!$C$7:$C$70,0),1)</f>
        <v>West South Central Division</v>
      </c>
      <c r="F2139">
        <f>INDEX('CBECS_Table B5'!$C$6:$K$6,1,MATCH('County Climates'!E2139,'CBECS_Table B5'!$C$1:$K$1,0))</f>
        <v>11394</v>
      </c>
    </row>
    <row r="2140" spans="1:6" x14ac:dyDescent="0.25">
      <c r="A2140" t="s">
        <v>1658</v>
      </c>
      <c r="B2140" t="s">
        <v>1659</v>
      </c>
      <c r="C2140" t="s">
        <v>324</v>
      </c>
      <c r="D2140" t="s">
        <v>484</v>
      </c>
      <c r="E2140" t="str">
        <f>INDEX('State Codes'!$E$7:$E$70,MATCH(INDEX('State Codes'!$C$7:$C$70,MATCH('County Climates'!B2140,'State Codes'!$D$7:$D$70,0),1),'State Codes'!$C$7:$C$70,0),1)</f>
        <v>West South Central Division</v>
      </c>
      <c r="F2140">
        <f>INDEX('CBECS_Table B5'!$C$6:$K$6,1,MATCH('County Climates'!E2140,'CBECS_Table B5'!$C$1:$K$1,0))</f>
        <v>11394</v>
      </c>
    </row>
    <row r="2141" spans="1:6" x14ac:dyDescent="0.25">
      <c r="A2141" t="s">
        <v>1658</v>
      </c>
      <c r="B2141" t="s">
        <v>1659</v>
      </c>
      <c r="C2141" t="s">
        <v>684</v>
      </c>
      <c r="D2141" t="s">
        <v>243</v>
      </c>
      <c r="E2141" t="str">
        <f>INDEX('State Codes'!$E$7:$E$70,MATCH(INDEX('State Codes'!$C$7:$C$70,MATCH('County Climates'!B2141,'State Codes'!$D$7:$D$70,0),1),'State Codes'!$C$7:$C$70,0),1)</f>
        <v>West South Central Division</v>
      </c>
      <c r="F2141">
        <f>INDEX('CBECS_Table B5'!$C$6:$K$6,1,MATCH('County Climates'!E2141,'CBECS_Table B5'!$C$1:$K$1,0))</f>
        <v>11394</v>
      </c>
    </row>
    <row r="2142" spans="1:6" x14ac:dyDescent="0.25">
      <c r="A2142" t="s">
        <v>1658</v>
      </c>
      <c r="B2142" t="s">
        <v>1659</v>
      </c>
      <c r="C2142" t="s">
        <v>288</v>
      </c>
      <c r="D2142" t="s">
        <v>484</v>
      </c>
      <c r="E2142" t="str">
        <f>INDEX('State Codes'!$E$7:$E$70,MATCH(INDEX('State Codes'!$C$7:$C$70,MATCH('County Climates'!B2142,'State Codes'!$D$7:$D$70,0),1),'State Codes'!$C$7:$C$70,0),1)</f>
        <v>West South Central Division</v>
      </c>
      <c r="F2142">
        <f>INDEX('CBECS_Table B5'!$C$6:$K$6,1,MATCH('County Climates'!E2142,'CBECS_Table B5'!$C$1:$K$1,0))</f>
        <v>11394</v>
      </c>
    </row>
    <row r="2143" spans="1:6" x14ac:dyDescent="0.25">
      <c r="A2143" t="s">
        <v>1658</v>
      </c>
      <c r="B2143" t="s">
        <v>1659</v>
      </c>
      <c r="C2143" t="s">
        <v>1679</v>
      </c>
      <c r="D2143" t="s">
        <v>247</v>
      </c>
      <c r="E2143" t="str">
        <f>INDEX('State Codes'!$E$7:$E$70,MATCH(INDEX('State Codes'!$C$7:$C$70,MATCH('County Climates'!B2143,'State Codes'!$D$7:$D$70,0),1),'State Codes'!$C$7:$C$70,0),1)</f>
        <v>West South Central Division</v>
      </c>
      <c r="F2143">
        <f>INDEX('CBECS_Table B5'!$C$6:$K$6,1,MATCH('County Climates'!E2143,'CBECS_Table B5'!$C$1:$K$1,0))</f>
        <v>11394</v>
      </c>
    </row>
    <row r="2144" spans="1:6" x14ac:dyDescent="0.25">
      <c r="A2144" t="s">
        <v>1658</v>
      </c>
      <c r="B2144" t="s">
        <v>1659</v>
      </c>
      <c r="C2144" t="s">
        <v>1680</v>
      </c>
      <c r="D2144" t="s">
        <v>484</v>
      </c>
      <c r="E2144" t="str">
        <f>INDEX('State Codes'!$E$7:$E$70,MATCH(INDEX('State Codes'!$C$7:$C$70,MATCH('County Climates'!B2144,'State Codes'!$D$7:$D$70,0),1),'State Codes'!$C$7:$C$70,0),1)</f>
        <v>West South Central Division</v>
      </c>
      <c r="F2144">
        <f>INDEX('CBECS_Table B5'!$C$6:$K$6,1,MATCH('County Climates'!E2144,'CBECS_Table B5'!$C$1:$K$1,0))</f>
        <v>11394</v>
      </c>
    </row>
    <row r="2145" spans="1:6" x14ac:dyDescent="0.25">
      <c r="A2145" t="s">
        <v>1658</v>
      </c>
      <c r="B2145" t="s">
        <v>1659</v>
      </c>
      <c r="C2145" t="s">
        <v>967</v>
      </c>
      <c r="D2145" t="s">
        <v>243</v>
      </c>
      <c r="E2145" t="str">
        <f>INDEX('State Codes'!$E$7:$E$70,MATCH(INDEX('State Codes'!$C$7:$C$70,MATCH('County Climates'!B2145,'State Codes'!$D$7:$D$70,0),1),'State Codes'!$C$7:$C$70,0),1)</f>
        <v>West South Central Division</v>
      </c>
      <c r="F2145">
        <f>INDEX('CBECS_Table B5'!$C$6:$K$6,1,MATCH('County Climates'!E2145,'CBECS_Table B5'!$C$1:$K$1,0))</f>
        <v>11394</v>
      </c>
    </row>
    <row r="2146" spans="1:6" x14ac:dyDescent="0.25">
      <c r="A2146" t="s">
        <v>1658</v>
      </c>
      <c r="B2146" t="s">
        <v>1659</v>
      </c>
      <c r="C2146" t="s">
        <v>332</v>
      </c>
      <c r="D2146" t="s">
        <v>484</v>
      </c>
      <c r="E2146" t="str">
        <f>INDEX('State Codes'!$E$7:$E$70,MATCH(INDEX('State Codes'!$C$7:$C$70,MATCH('County Climates'!B2146,'State Codes'!$D$7:$D$70,0),1),'State Codes'!$C$7:$C$70,0),1)</f>
        <v>West South Central Division</v>
      </c>
      <c r="F2146">
        <f>INDEX('CBECS_Table B5'!$C$6:$K$6,1,MATCH('County Climates'!E2146,'CBECS_Table B5'!$C$1:$K$1,0))</f>
        <v>11394</v>
      </c>
    </row>
    <row r="2147" spans="1:6" x14ac:dyDescent="0.25">
      <c r="A2147" t="s">
        <v>1658</v>
      </c>
      <c r="B2147" t="s">
        <v>1659</v>
      </c>
      <c r="C2147" t="s">
        <v>1681</v>
      </c>
      <c r="D2147" t="s">
        <v>243</v>
      </c>
      <c r="E2147" t="str">
        <f>INDEX('State Codes'!$E$7:$E$70,MATCH(INDEX('State Codes'!$C$7:$C$70,MATCH('County Climates'!B2147,'State Codes'!$D$7:$D$70,0),1),'State Codes'!$C$7:$C$70,0),1)</f>
        <v>West South Central Division</v>
      </c>
      <c r="F2147">
        <f>INDEX('CBECS_Table B5'!$C$6:$K$6,1,MATCH('County Climates'!E2147,'CBECS_Table B5'!$C$1:$K$1,0))</f>
        <v>11394</v>
      </c>
    </row>
    <row r="2148" spans="1:6" x14ac:dyDescent="0.25">
      <c r="A2148" t="s">
        <v>1658</v>
      </c>
      <c r="B2148" t="s">
        <v>1659</v>
      </c>
      <c r="C2148" t="s">
        <v>1682</v>
      </c>
      <c r="D2148" t="s">
        <v>243</v>
      </c>
      <c r="E2148" t="str">
        <f>INDEX('State Codes'!$E$7:$E$70,MATCH(INDEX('State Codes'!$C$7:$C$70,MATCH('County Climates'!B2148,'State Codes'!$D$7:$D$70,0),1),'State Codes'!$C$7:$C$70,0),1)</f>
        <v>West South Central Division</v>
      </c>
      <c r="F2148">
        <f>INDEX('CBECS_Table B5'!$C$6:$K$6,1,MATCH('County Climates'!E2148,'CBECS_Table B5'!$C$1:$K$1,0))</f>
        <v>11394</v>
      </c>
    </row>
    <row r="2149" spans="1:6" x14ac:dyDescent="0.25">
      <c r="A2149" t="s">
        <v>1658</v>
      </c>
      <c r="B2149" t="s">
        <v>1659</v>
      </c>
      <c r="C2149" t="s">
        <v>1683</v>
      </c>
      <c r="D2149" t="s">
        <v>243</v>
      </c>
      <c r="E2149" t="str">
        <f>INDEX('State Codes'!$E$7:$E$70,MATCH(INDEX('State Codes'!$C$7:$C$70,MATCH('County Climates'!B2149,'State Codes'!$D$7:$D$70,0),1),'State Codes'!$C$7:$C$70,0),1)</f>
        <v>West South Central Division</v>
      </c>
      <c r="F2149">
        <f>INDEX('CBECS_Table B5'!$C$6:$K$6,1,MATCH('County Climates'!E2149,'CBECS_Table B5'!$C$1:$K$1,0))</f>
        <v>11394</v>
      </c>
    </row>
    <row r="2150" spans="1:6" x14ac:dyDescent="0.25">
      <c r="A2150" t="s">
        <v>1658</v>
      </c>
      <c r="B2150" t="s">
        <v>1659</v>
      </c>
      <c r="C2150" t="s">
        <v>1684</v>
      </c>
      <c r="D2150" t="s">
        <v>484</v>
      </c>
      <c r="E2150" t="str">
        <f>INDEX('State Codes'!$E$7:$E$70,MATCH(INDEX('State Codes'!$C$7:$C$70,MATCH('County Climates'!B2150,'State Codes'!$D$7:$D$70,0),1),'State Codes'!$C$7:$C$70,0),1)</f>
        <v>West South Central Division</v>
      </c>
      <c r="F2150">
        <f>INDEX('CBECS_Table B5'!$C$6:$K$6,1,MATCH('County Climates'!E2150,'CBECS_Table B5'!$C$1:$K$1,0))</f>
        <v>11394</v>
      </c>
    </row>
    <row r="2151" spans="1:6" x14ac:dyDescent="0.25">
      <c r="A2151" t="s">
        <v>1658</v>
      </c>
      <c r="B2151" t="s">
        <v>1659</v>
      </c>
      <c r="C2151" t="s">
        <v>557</v>
      </c>
      <c r="D2151" t="s">
        <v>484</v>
      </c>
      <c r="E2151" t="str">
        <f>INDEX('State Codes'!$E$7:$E$70,MATCH(INDEX('State Codes'!$C$7:$C$70,MATCH('County Climates'!B2151,'State Codes'!$D$7:$D$70,0),1),'State Codes'!$C$7:$C$70,0),1)</f>
        <v>West South Central Division</v>
      </c>
      <c r="F2151">
        <f>INDEX('CBECS_Table B5'!$C$6:$K$6,1,MATCH('County Climates'!E2151,'CBECS_Table B5'!$C$1:$K$1,0))</f>
        <v>11394</v>
      </c>
    </row>
    <row r="2152" spans="1:6" x14ac:dyDescent="0.25">
      <c r="A2152" t="s">
        <v>1658</v>
      </c>
      <c r="B2152" t="s">
        <v>1659</v>
      </c>
      <c r="C2152" t="s">
        <v>1685</v>
      </c>
      <c r="D2152" t="s">
        <v>484</v>
      </c>
      <c r="E2152" t="str">
        <f>INDEX('State Codes'!$E$7:$E$70,MATCH(INDEX('State Codes'!$C$7:$C$70,MATCH('County Climates'!B2152,'State Codes'!$D$7:$D$70,0),1),'State Codes'!$C$7:$C$70,0),1)</f>
        <v>West South Central Division</v>
      </c>
      <c r="F2152">
        <f>INDEX('CBECS_Table B5'!$C$6:$K$6,1,MATCH('County Climates'!E2152,'CBECS_Table B5'!$C$1:$K$1,0))</f>
        <v>11394</v>
      </c>
    </row>
    <row r="2153" spans="1:6" x14ac:dyDescent="0.25">
      <c r="A2153" t="s">
        <v>1658</v>
      </c>
      <c r="B2153" t="s">
        <v>1659</v>
      </c>
      <c r="C2153" t="s">
        <v>1686</v>
      </c>
      <c r="D2153" t="s">
        <v>243</v>
      </c>
      <c r="E2153" t="str">
        <f>INDEX('State Codes'!$E$7:$E$70,MATCH(INDEX('State Codes'!$C$7:$C$70,MATCH('County Climates'!B2153,'State Codes'!$D$7:$D$70,0),1),'State Codes'!$C$7:$C$70,0),1)</f>
        <v>West South Central Division</v>
      </c>
      <c r="F2153">
        <f>INDEX('CBECS_Table B5'!$C$6:$K$6,1,MATCH('County Climates'!E2153,'CBECS_Table B5'!$C$1:$K$1,0))</f>
        <v>11394</v>
      </c>
    </row>
    <row r="2154" spans="1:6" x14ac:dyDescent="0.25">
      <c r="A2154" t="s">
        <v>1658</v>
      </c>
      <c r="B2154" t="s">
        <v>1659</v>
      </c>
      <c r="C2154" t="s">
        <v>861</v>
      </c>
      <c r="D2154" t="s">
        <v>243</v>
      </c>
      <c r="E2154" t="str">
        <f>INDEX('State Codes'!$E$7:$E$70,MATCH(INDEX('State Codes'!$C$7:$C$70,MATCH('County Climates'!B2154,'State Codes'!$D$7:$D$70,0),1),'State Codes'!$C$7:$C$70,0),1)</f>
        <v>West South Central Division</v>
      </c>
      <c r="F2154">
        <f>INDEX('CBECS_Table B5'!$C$6:$K$6,1,MATCH('County Climates'!E2154,'CBECS_Table B5'!$C$1:$K$1,0))</f>
        <v>11394</v>
      </c>
    </row>
    <row r="2155" spans="1:6" x14ac:dyDescent="0.25">
      <c r="A2155" t="s">
        <v>1658</v>
      </c>
      <c r="B2155" t="s">
        <v>1659</v>
      </c>
      <c r="C2155" t="s">
        <v>1687</v>
      </c>
      <c r="D2155" t="s">
        <v>243</v>
      </c>
      <c r="E2155" t="str">
        <f>INDEX('State Codes'!$E$7:$E$70,MATCH(INDEX('State Codes'!$C$7:$C$70,MATCH('County Climates'!B2155,'State Codes'!$D$7:$D$70,0),1),'State Codes'!$C$7:$C$70,0),1)</f>
        <v>West South Central Division</v>
      </c>
      <c r="F2155">
        <f>INDEX('CBECS_Table B5'!$C$6:$K$6,1,MATCH('County Climates'!E2155,'CBECS_Table B5'!$C$1:$K$1,0))</f>
        <v>11394</v>
      </c>
    </row>
    <row r="2156" spans="1:6" x14ac:dyDescent="0.25">
      <c r="A2156" t="s">
        <v>1658</v>
      </c>
      <c r="B2156" t="s">
        <v>1659</v>
      </c>
      <c r="C2156" t="s">
        <v>1688</v>
      </c>
      <c r="D2156" t="s">
        <v>243</v>
      </c>
      <c r="E2156" t="str">
        <f>INDEX('State Codes'!$E$7:$E$70,MATCH(INDEX('State Codes'!$C$7:$C$70,MATCH('County Climates'!B2156,'State Codes'!$D$7:$D$70,0),1),'State Codes'!$C$7:$C$70,0),1)</f>
        <v>West South Central Division</v>
      </c>
      <c r="F2156">
        <f>INDEX('CBECS_Table B5'!$C$6:$K$6,1,MATCH('County Climates'!E2156,'CBECS_Table B5'!$C$1:$K$1,0))</f>
        <v>11394</v>
      </c>
    </row>
    <row r="2157" spans="1:6" x14ac:dyDescent="0.25">
      <c r="A2157" t="s">
        <v>1658</v>
      </c>
      <c r="B2157" t="s">
        <v>1659</v>
      </c>
      <c r="C2157" t="s">
        <v>1689</v>
      </c>
      <c r="D2157" t="s">
        <v>243</v>
      </c>
      <c r="E2157" t="str">
        <f>INDEX('State Codes'!$E$7:$E$70,MATCH(INDEX('State Codes'!$C$7:$C$70,MATCH('County Climates'!B2157,'State Codes'!$D$7:$D$70,0),1),'State Codes'!$C$7:$C$70,0),1)</f>
        <v>West South Central Division</v>
      </c>
      <c r="F2157">
        <f>INDEX('CBECS_Table B5'!$C$6:$K$6,1,MATCH('County Climates'!E2157,'CBECS_Table B5'!$C$1:$K$1,0))</f>
        <v>11394</v>
      </c>
    </row>
    <row r="2158" spans="1:6" x14ac:dyDescent="0.25">
      <c r="A2158" t="s">
        <v>1658</v>
      </c>
      <c r="B2158" t="s">
        <v>1659</v>
      </c>
      <c r="C2158" t="s">
        <v>1690</v>
      </c>
      <c r="D2158" t="s">
        <v>243</v>
      </c>
      <c r="E2158" t="str">
        <f>INDEX('State Codes'!$E$7:$E$70,MATCH(INDEX('State Codes'!$C$7:$C$70,MATCH('County Climates'!B2158,'State Codes'!$D$7:$D$70,0),1),'State Codes'!$C$7:$C$70,0),1)</f>
        <v>West South Central Division</v>
      </c>
      <c r="F2158">
        <f>INDEX('CBECS_Table B5'!$C$6:$K$6,1,MATCH('County Climates'!E2158,'CBECS_Table B5'!$C$1:$K$1,0))</f>
        <v>11394</v>
      </c>
    </row>
    <row r="2159" spans="1:6" x14ac:dyDescent="0.25">
      <c r="A2159" t="s">
        <v>1658</v>
      </c>
      <c r="B2159" t="s">
        <v>1659</v>
      </c>
      <c r="C2159" t="s">
        <v>1691</v>
      </c>
      <c r="D2159" t="s">
        <v>243</v>
      </c>
      <c r="E2159" t="str">
        <f>INDEX('State Codes'!$E$7:$E$70,MATCH(INDEX('State Codes'!$C$7:$C$70,MATCH('County Climates'!B2159,'State Codes'!$D$7:$D$70,0),1),'State Codes'!$C$7:$C$70,0),1)</f>
        <v>West South Central Division</v>
      </c>
      <c r="F2159">
        <f>INDEX('CBECS_Table B5'!$C$6:$K$6,1,MATCH('County Climates'!E2159,'CBECS_Table B5'!$C$1:$K$1,0))</f>
        <v>11394</v>
      </c>
    </row>
    <row r="2160" spans="1:6" x14ac:dyDescent="0.25">
      <c r="A2160" t="s">
        <v>1658</v>
      </c>
      <c r="B2160" t="s">
        <v>1659</v>
      </c>
      <c r="C2160" t="s">
        <v>1692</v>
      </c>
      <c r="D2160" t="s">
        <v>243</v>
      </c>
      <c r="E2160" t="str">
        <f>INDEX('State Codes'!$E$7:$E$70,MATCH(INDEX('State Codes'!$C$7:$C$70,MATCH('County Climates'!B2160,'State Codes'!$D$7:$D$70,0),1),'State Codes'!$C$7:$C$70,0),1)</f>
        <v>West South Central Division</v>
      </c>
      <c r="F2160">
        <f>INDEX('CBECS_Table B5'!$C$6:$K$6,1,MATCH('County Climates'!E2160,'CBECS_Table B5'!$C$1:$K$1,0))</f>
        <v>11394</v>
      </c>
    </row>
    <row r="2161" spans="1:6" x14ac:dyDescent="0.25">
      <c r="A2161" t="s">
        <v>1658</v>
      </c>
      <c r="B2161" t="s">
        <v>1659</v>
      </c>
      <c r="C2161" t="s">
        <v>1693</v>
      </c>
      <c r="D2161" t="s">
        <v>243</v>
      </c>
      <c r="E2161" t="str">
        <f>INDEX('State Codes'!$E$7:$E$70,MATCH(INDEX('State Codes'!$C$7:$C$70,MATCH('County Climates'!B2161,'State Codes'!$D$7:$D$70,0),1),'State Codes'!$C$7:$C$70,0),1)</f>
        <v>West South Central Division</v>
      </c>
      <c r="F2161">
        <f>INDEX('CBECS_Table B5'!$C$6:$K$6,1,MATCH('County Climates'!E2161,'CBECS_Table B5'!$C$1:$K$1,0))</f>
        <v>11394</v>
      </c>
    </row>
    <row r="2162" spans="1:6" x14ac:dyDescent="0.25">
      <c r="A2162" t="s">
        <v>1658</v>
      </c>
      <c r="B2162" t="s">
        <v>1659</v>
      </c>
      <c r="C2162" t="s">
        <v>1694</v>
      </c>
      <c r="D2162" t="s">
        <v>243</v>
      </c>
      <c r="E2162" t="str">
        <f>INDEX('State Codes'!$E$7:$E$70,MATCH(INDEX('State Codes'!$C$7:$C$70,MATCH('County Climates'!B2162,'State Codes'!$D$7:$D$70,0),1),'State Codes'!$C$7:$C$70,0),1)</f>
        <v>West South Central Division</v>
      </c>
      <c r="F2162">
        <f>INDEX('CBECS_Table B5'!$C$6:$K$6,1,MATCH('County Climates'!E2162,'CBECS_Table B5'!$C$1:$K$1,0))</f>
        <v>11394</v>
      </c>
    </row>
    <row r="2163" spans="1:6" x14ac:dyDescent="0.25">
      <c r="A2163" t="s">
        <v>1658</v>
      </c>
      <c r="B2163" t="s">
        <v>1659</v>
      </c>
      <c r="C2163" t="s">
        <v>1695</v>
      </c>
      <c r="D2163" t="s">
        <v>484</v>
      </c>
      <c r="E2163" t="str">
        <f>INDEX('State Codes'!$E$7:$E$70,MATCH(INDEX('State Codes'!$C$7:$C$70,MATCH('County Climates'!B2163,'State Codes'!$D$7:$D$70,0),1),'State Codes'!$C$7:$C$70,0),1)</f>
        <v>West South Central Division</v>
      </c>
      <c r="F2163">
        <f>INDEX('CBECS_Table B5'!$C$6:$K$6,1,MATCH('County Climates'!E2163,'CBECS_Table B5'!$C$1:$K$1,0))</f>
        <v>11394</v>
      </c>
    </row>
    <row r="2164" spans="1:6" x14ac:dyDescent="0.25">
      <c r="A2164" t="s">
        <v>1658</v>
      </c>
      <c r="B2164" t="s">
        <v>1659</v>
      </c>
      <c r="C2164" t="s">
        <v>1696</v>
      </c>
      <c r="D2164" t="s">
        <v>243</v>
      </c>
      <c r="E2164" t="str">
        <f>INDEX('State Codes'!$E$7:$E$70,MATCH(INDEX('State Codes'!$C$7:$C$70,MATCH('County Climates'!B2164,'State Codes'!$D$7:$D$70,0),1),'State Codes'!$C$7:$C$70,0),1)</f>
        <v>West South Central Division</v>
      </c>
      <c r="F2164">
        <f>INDEX('CBECS_Table B5'!$C$6:$K$6,1,MATCH('County Climates'!E2164,'CBECS_Table B5'!$C$1:$K$1,0))</f>
        <v>11394</v>
      </c>
    </row>
    <row r="2165" spans="1:6" x14ac:dyDescent="0.25">
      <c r="A2165" t="s">
        <v>1658</v>
      </c>
      <c r="B2165" t="s">
        <v>1659</v>
      </c>
      <c r="C2165" t="s">
        <v>347</v>
      </c>
      <c r="D2165" t="s">
        <v>484</v>
      </c>
      <c r="E2165" t="str">
        <f>INDEX('State Codes'!$E$7:$E$70,MATCH(INDEX('State Codes'!$C$7:$C$70,MATCH('County Climates'!B2165,'State Codes'!$D$7:$D$70,0),1),'State Codes'!$C$7:$C$70,0),1)</f>
        <v>West South Central Division</v>
      </c>
      <c r="F2165">
        <f>INDEX('CBECS_Table B5'!$C$6:$K$6,1,MATCH('County Climates'!E2165,'CBECS_Table B5'!$C$1:$K$1,0))</f>
        <v>11394</v>
      </c>
    </row>
    <row r="2166" spans="1:6" x14ac:dyDescent="0.25">
      <c r="A2166" t="s">
        <v>1658</v>
      </c>
      <c r="B2166" t="s">
        <v>1659</v>
      </c>
      <c r="C2166" t="s">
        <v>564</v>
      </c>
      <c r="D2166" t="s">
        <v>243</v>
      </c>
      <c r="E2166" t="str">
        <f>INDEX('State Codes'!$E$7:$E$70,MATCH(INDEX('State Codes'!$C$7:$C$70,MATCH('County Climates'!B2166,'State Codes'!$D$7:$D$70,0),1),'State Codes'!$C$7:$C$70,0),1)</f>
        <v>West South Central Division</v>
      </c>
      <c r="F2166">
        <f>INDEX('CBECS_Table B5'!$C$6:$K$6,1,MATCH('County Climates'!E2166,'CBECS_Table B5'!$C$1:$K$1,0))</f>
        <v>11394</v>
      </c>
    </row>
    <row r="2167" spans="1:6" x14ac:dyDescent="0.25">
      <c r="A2167" t="s">
        <v>1697</v>
      </c>
      <c r="B2167" t="s">
        <v>1698</v>
      </c>
      <c r="C2167" t="s">
        <v>1699</v>
      </c>
      <c r="D2167" t="s">
        <v>228</v>
      </c>
      <c r="E2167" t="str">
        <f>INDEX('State Codes'!$E$7:$E$70,MATCH(INDEX('State Codes'!$C$7:$C$70,MATCH('County Climates'!B2167,'State Codes'!$D$7:$D$70,0),1),'State Codes'!$C$7:$C$70,0),1)</f>
        <v>East North Central Division</v>
      </c>
      <c r="F2167">
        <f>INDEX('CBECS_Table B5'!$C$6:$K$6,1,MATCH('County Climates'!E2167,'CBECS_Table B5'!$C$1:$K$1,0))</f>
        <v>12742</v>
      </c>
    </row>
    <row r="2168" spans="1:6" x14ac:dyDescent="0.25">
      <c r="A2168" t="s">
        <v>1697</v>
      </c>
      <c r="B2168" t="s">
        <v>1698</v>
      </c>
      <c r="C2168" t="s">
        <v>1700</v>
      </c>
      <c r="D2168" t="s">
        <v>228</v>
      </c>
      <c r="E2168" t="str">
        <f>INDEX('State Codes'!$E$7:$E$70,MATCH(INDEX('State Codes'!$C$7:$C$70,MATCH('County Climates'!B2168,'State Codes'!$D$7:$D$70,0),1),'State Codes'!$C$7:$C$70,0),1)</f>
        <v>East North Central Division</v>
      </c>
      <c r="F2168">
        <f>INDEX('CBECS_Table B5'!$C$6:$K$6,1,MATCH('County Climates'!E2168,'CBECS_Table B5'!$C$1:$K$1,0))</f>
        <v>12742</v>
      </c>
    </row>
    <row r="2169" spans="1:6" x14ac:dyDescent="0.25">
      <c r="A2169" t="s">
        <v>1697</v>
      </c>
      <c r="B2169" t="s">
        <v>1698</v>
      </c>
      <c r="C2169" t="s">
        <v>1701</v>
      </c>
      <c r="D2169" t="s">
        <v>229</v>
      </c>
      <c r="E2169" t="str">
        <f>INDEX('State Codes'!$E$7:$E$70,MATCH(INDEX('State Codes'!$C$7:$C$70,MATCH('County Climates'!B2169,'State Codes'!$D$7:$D$70,0),1),'State Codes'!$C$7:$C$70,0),1)</f>
        <v>East North Central Division</v>
      </c>
      <c r="F2169">
        <f>INDEX('CBECS_Table B5'!$C$6:$K$6,1,MATCH('County Climates'!E2169,'CBECS_Table B5'!$C$1:$K$1,0))</f>
        <v>12742</v>
      </c>
    </row>
    <row r="2170" spans="1:6" x14ac:dyDescent="0.25">
      <c r="A2170" t="s">
        <v>1697</v>
      </c>
      <c r="B2170" t="s">
        <v>1698</v>
      </c>
      <c r="C2170" t="s">
        <v>847</v>
      </c>
      <c r="D2170" t="s">
        <v>228</v>
      </c>
      <c r="E2170" t="str">
        <f>INDEX('State Codes'!$E$7:$E$70,MATCH(INDEX('State Codes'!$C$7:$C$70,MATCH('County Climates'!B2170,'State Codes'!$D$7:$D$70,0),1),'State Codes'!$C$7:$C$70,0),1)</f>
        <v>East North Central Division</v>
      </c>
      <c r="F2170">
        <f>INDEX('CBECS_Table B5'!$C$6:$K$6,1,MATCH('County Climates'!E2170,'CBECS_Table B5'!$C$1:$K$1,0))</f>
        <v>12742</v>
      </c>
    </row>
    <row r="2171" spans="1:6" x14ac:dyDescent="0.25">
      <c r="A2171" t="s">
        <v>1697</v>
      </c>
      <c r="B2171" t="s">
        <v>1698</v>
      </c>
      <c r="C2171" t="s">
        <v>428</v>
      </c>
      <c r="D2171" t="s">
        <v>228</v>
      </c>
      <c r="E2171" t="str">
        <f>INDEX('State Codes'!$E$7:$E$70,MATCH(INDEX('State Codes'!$C$7:$C$70,MATCH('County Climates'!B2171,'State Codes'!$D$7:$D$70,0),1),'State Codes'!$C$7:$C$70,0),1)</f>
        <v>East North Central Division</v>
      </c>
      <c r="F2171">
        <f>INDEX('CBECS_Table B5'!$C$6:$K$6,1,MATCH('County Climates'!E2171,'CBECS_Table B5'!$C$1:$K$1,0))</f>
        <v>12742</v>
      </c>
    </row>
    <row r="2172" spans="1:6" x14ac:dyDescent="0.25">
      <c r="A2172" t="s">
        <v>1697</v>
      </c>
      <c r="B2172" t="s">
        <v>1698</v>
      </c>
      <c r="C2172" t="s">
        <v>1702</v>
      </c>
      <c r="D2172" t="s">
        <v>228</v>
      </c>
      <c r="E2172" t="str">
        <f>INDEX('State Codes'!$E$7:$E$70,MATCH(INDEX('State Codes'!$C$7:$C$70,MATCH('County Climates'!B2172,'State Codes'!$D$7:$D$70,0),1),'State Codes'!$C$7:$C$70,0),1)</f>
        <v>East North Central Division</v>
      </c>
      <c r="F2172">
        <f>INDEX('CBECS_Table B5'!$C$6:$K$6,1,MATCH('County Climates'!E2172,'CBECS_Table B5'!$C$1:$K$1,0))</f>
        <v>12742</v>
      </c>
    </row>
    <row r="2173" spans="1:6" x14ac:dyDescent="0.25">
      <c r="A2173" t="s">
        <v>1697</v>
      </c>
      <c r="B2173" t="s">
        <v>1698</v>
      </c>
      <c r="C2173" t="s">
        <v>437</v>
      </c>
      <c r="D2173" t="s">
        <v>228</v>
      </c>
      <c r="E2173" t="str">
        <f>INDEX('State Codes'!$E$7:$E$70,MATCH(INDEX('State Codes'!$C$7:$C$70,MATCH('County Climates'!B2173,'State Codes'!$D$7:$D$70,0),1),'State Codes'!$C$7:$C$70,0),1)</f>
        <v>East North Central Division</v>
      </c>
      <c r="F2173">
        <f>INDEX('CBECS_Table B5'!$C$6:$K$6,1,MATCH('County Climates'!E2173,'CBECS_Table B5'!$C$1:$K$1,0))</f>
        <v>12742</v>
      </c>
    </row>
    <row r="2174" spans="1:6" x14ac:dyDescent="0.25">
      <c r="A2174" t="s">
        <v>1697</v>
      </c>
      <c r="B2174" t="s">
        <v>1698</v>
      </c>
      <c r="C2174" t="s">
        <v>1703</v>
      </c>
      <c r="D2174" t="s">
        <v>228</v>
      </c>
      <c r="E2174" t="str">
        <f>INDEX('State Codes'!$E$7:$E$70,MATCH(INDEX('State Codes'!$C$7:$C$70,MATCH('County Climates'!B2174,'State Codes'!$D$7:$D$70,0),1),'State Codes'!$C$7:$C$70,0),1)</f>
        <v>East North Central Division</v>
      </c>
      <c r="F2174">
        <f>INDEX('CBECS_Table B5'!$C$6:$K$6,1,MATCH('County Climates'!E2174,'CBECS_Table B5'!$C$1:$K$1,0))</f>
        <v>12742</v>
      </c>
    </row>
    <row r="2175" spans="1:6" x14ac:dyDescent="0.25">
      <c r="A2175" t="s">
        <v>1697</v>
      </c>
      <c r="B2175" t="s">
        <v>1698</v>
      </c>
      <c r="C2175" t="s">
        <v>251</v>
      </c>
      <c r="D2175" t="s">
        <v>228</v>
      </c>
      <c r="E2175" t="str">
        <f>INDEX('State Codes'!$E$7:$E$70,MATCH(INDEX('State Codes'!$C$7:$C$70,MATCH('County Climates'!B2175,'State Codes'!$D$7:$D$70,0),1),'State Codes'!$C$7:$C$70,0),1)</f>
        <v>East North Central Division</v>
      </c>
      <c r="F2175">
        <f>INDEX('CBECS_Table B5'!$C$6:$K$6,1,MATCH('County Climates'!E2175,'CBECS_Table B5'!$C$1:$K$1,0))</f>
        <v>12742</v>
      </c>
    </row>
    <row r="2176" spans="1:6" x14ac:dyDescent="0.25">
      <c r="A2176" t="s">
        <v>1697</v>
      </c>
      <c r="B2176" t="s">
        <v>1698</v>
      </c>
      <c r="C2176" t="s">
        <v>579</v>
      </c>
      <c r="D2176" t="s">
        <v>228</v>
      </c>
      <c r="E2176" t="str">
        <f>INDEX('State Codes'!$E$7:$E$70,MATCH(INDEX('State Codes'!$C$7:$C$70,MATCH('County Climates'!B2176,'State Codes'!$D$7:$D$70,0),1),'State Codes'!$C$7:$C$70,0),1)</f>
        <v>East North Central Division</v>
      </c>
      <c r="F2176">
        <f>INDEX('CBECS_Table B5'!$C$6:$K$6,1,MATCH('County Climates'!E2176,'CBECS_Table B5'!$C$1:$K$1,0))</f>
        <v>12742</v>
      </c>
    </row>
    <row r="2177" spans="1:6" x14ac:dyDescent="0.25">
      <c r="A2177" t="s">
        <v>1697</v>
      </c>
      <c r="B2177" t="s">
        <v>1698</v>
      </c>
      <c r="C2177" t="s">
        <v>1704</v>
      </c>
      <c r="D2177" t="s">
        <v>228</v>
      </c>
      <c r="E2177" t="str">
        <f>INDEX('State Codes'!$E$7:$E$70,MATCH(INDEX('State Codes'!$C$7:$C$70,MATCH('County Climates'!B2177,'State Codes'!$D$7:$D$70,0),1),'State Codes'!$C$7:$C$70,0),1)</f>
        <v>East North Central Division</v>
      </c>
      <c r="F2177">
        <f>INDEX('CBECS_Table B5'!$C$6:$K$6,1,MATCH('County Climates'!E2177,'CBECS_Table B5'!$C$1:$K$1,0))</f>
        <v>12742</v>
      </c>
    </row>
    <row r="2178" spans="1:6" x14ac:dyDescent="0.25">
      <c r="A2178" t="s">
        <v>1697</v>
      </c>
      <c r="B2178" t="s">
        <v>1698</v>
      </c>
      <c r="C2178" t="s">
        <v>1705</v>
      </c>
      <c r="D2178" t="s">
        <v>228</v>
      </c>
      <c r="E2178" t="str">
        <f>INDEX('State Codes'!$E$7:$E$70,MATCH(INDEX('State Codes'!$C$7:$C$70,MATCH('County Climates'!B2178,'State Codes'!$D$7:$D$70,0),1),'State Codes'!$C$7:$C$70,0),1)</f>
        <v>East North Central Division</v>
      </c>
      <c r="F2178">
        <f>INDEX('CBECS_Table B5'!$C$6:$K$6,1,MATCH('County Climates'!E2178,'CBECS_Table B5'!$C$1:$K$1,0))</f>
        <v>12742</v>
      </c>
    </row>
    <row r="2179" spans="1:6" x14ac:dyDescent="0.25">
      <c r="A2179" t="s">
        <v>1697</v>
      </c>
      <c r="B2179" t="s">
        <v>1698</v>
      </c>
      <c r="C2179" t="s">
        <v>788</v>
      </c>
      <c r="D2179" t="s">
        <v>229</v>
      </c>
      <c r="E2179" t="str">
        <f>INDEX('State Codes'!$E$7:$E$70,MATCH(INDEX('State Codes'!$C$7:$C$70,MATCH('County Climates'!B2179,'State Codes'!$D$7:$D$70,0),1),'State Codes'!$C$7:$C$70,0),1)</f>
        <v>East North Central Division</v>
      </c>
      <c r="F2179">
        <f>INDEX('CBECS_Table B5'!$C$6:$K$6,1,MATCH('County Climates'!E2179,'CBECS_Table B5'!$C$1:$K$1,0))</f>
        <v>12742</v>
      </c>
    </row>
    <row r="2180" spans="1:6" x14ac:dyDescent="0.25">
      <c r="A2180" t="s">
        <v>1697</v>
      </c>
      <c r="B2180" t="s">
        <v>1698</v>
      </c>
      <c r="C2180" t="s">
        <v>1706</v>
      </c>
      <c r="D2180" t="s">
        <v>228</v>
      </c>
      <c r="E2180" t="str">
        <f>INDEX('State Codes'!$E$7:$E$70,MATCH(INDEX('State Codes'!$C$7:$C$70,MATCH('County Climates'!B2180,'State Codes'!$D$7:$D$70,0),1),'State Codes'!$C$7:$C$70,0),1)</f>
        <v>East North Central Division</v>
      </c>
      <c r="F2180">
        <f>INDEX('CBECS_Table B5'!$C$6:$K$6,1,MATCH('County Climates'!E2180,'CBECS_Table B5'!$C$1:$K$1,0))</f>
        <v>12742</v>
      </c>
    </row>
    <row r="2181" spans="1:6" x14ac:dyDescent="0.25">
      <c r="A2181" t="s">
        <v>1697</v>
      </c>
      <c r="B2181" t="s">
        <v>1698</v>
      </c>
      <c r="C2181" t="s">
        <v>580</v>
      </c>
      <c r="D2181" t="s">
        <v>228</v>
      </c>
      <c r="E2181" t="str">
        <f>INDEX('State Codes'!$E$7:$E$70,MATCH(INDEX('State Codes'!$C$7:$C$70,MATCH('County Climates'!B2181,'State Codes'!$D$7:$D$70,0),1),'State Codes'!$C$7:$C$70,0),1)</f>
        <v>East North Central Division</v>
      </c>
      <c r="F2181">
        <f>INDEX('CBECS_Table B5'!$C$6:$K$6,1,MATCH('County Climates'!E2181,'CBECS_Table B5'!$C$1:$K$1,0))</f>
        <v>12742</v>
      </c>
    </row>
    <row r="2182" spans="1:6" x14ac:dyDescent="0.25">
      <c r="A2182" t="s">
        <v>1697</v>
      </c>
      <c r="B2182" t="s">
        <v>1698</v>
      </c>
      <c r="C2182" t="s">
        <v>460</v>
      </c>
      <c r="D2182" t="s">
        <v>228</v>
      </c>
      <c r="E2182" t="str">
        <f>INDEX('State Codes'!$E$7:$E$70,MATCH(INDEX('State Codes'!$C$7:$C$70,MATCH('County Climates'!B2182,'State Codes'!$D$7:$D$70,0),1),'State Codes'!$C$7:$C$70,0),1)</f>
        <v>East North Central Division</v>
      </c>
      <c r="F2182">
        <f>INDEX('CBECS_Table B5'!$C$6:$K$6,1,MATCH('County Climates'!E2182,'CBECS_Table B5'!$C$1:$K$1,0))</f>
        <v>12742</v>
      </c>
    </row>
    <row r="2183" spans="1:6" x14ac:dyDescent="0.25">
      <c r="A2183" t="s">
        <v>1697</v>
      </c>
      <c r="B2183" t="s">
        <v>1698</v>
      </c>
      <c r="C2183" t="s">
        <v>1491</v>
      </c>
      <c r="D2183" t="s">
        <v>228</v>
      </c>
      <c r="E2183" t="str">
        <f>INDEX('State Codes'!$E$7:$E$70,MATCH(INDEX('State Codes'!$C$7:$C$70,MATCH('County Climates'!B2183,'State Codes'!$D$7:$D$70,0),1),'State Codes'!$C$7:$C$70,0),1)</f>
        <v>East North Central Division</v>
      </c>
      <c r="F2183">
        <f>INDEX('CBECS_Table B5'!$C$6:$K$6,1,MATCH('County Climates'!E2183,'CBECS_Table B5'!$C$1:$K$1,0))</f>
        <v>12742</v>
      </c>
    </row>
    <row r="2184" spans="1:6" x14ac:dyDescent="0.25">
      <c r="A2184" t="s">
        <v>1697</v>
      </c>
      <c r="B2184" t="s">
        <v>1698</v>
      </c>
      <c r="C2184" t="s">
        <v>604</v>
      </c>
      <c r="D2184" t="s">
        <v>228</v>
      </c>
      <c r="E2184" t="str">
        <f>INDEX('State Codes'!$E$7:$E$70,MATCH(INDEX('State Codes'!$C$7:$C$70,MATCH('County Climates'!B2184,'State Codes'!$D$7:$D$70,0),1),'State Codes'!$C$7:$C$70,0),1)</f>
        <v>East North Central Division</v>
      </c>
      <c r="F2184">
        <f>INDEX('CBECS_Table B5'!$C$6:$K$6,1,MATCH('County Climates'!E2184,'CBECS_Table B5'!$C$1:$K$1,0))</f>
        <v>12742</v>
      </c>
    </row>
    <row r="2185" spans="1:6" x14ac:dyDescent="0.25">
      <c r="A2185" t="s">
        <v>1697</v>
      </c>
      <c r="B2185" t="s">
        <v>1698</v>
      </c>
      <c r="C2185" t="s">
        <v>1707</v>
      </c>
      <c r="D2185" t="s">
        <v>228</v>
      </c>
      <c r="E2185" t="str">
        <f>INDEX('State Codes'!$E$7:$E$70,MATCH(INDEX('State Codes'!$C$7:$C$70,MATCH('County Climates'!B2185,'State Codes'!$D$7:$D$70,0),1),'State Codes'!$C$7:$C$70,0),1)</f>
        <v>East North Central Division</v>
      </c>
      <c r="F2185">
        <f>INDEX('CBECS_Table B5'!$C$6:$K$6,1,MATCH('County Climates'!E2185,'CBECS_Table B5'!$C$1:$K$1,0))</f>
        <v>12742</v>
      </c>
    </row>
    <row r="2186" spans="1:6" x14ac:dyDescent="0.25">
      <c r="A2186" t="s">
        <v>1697</v>
      </c>
      <c r="B2186" t="s">
        <v>1698</v>
      </c>
      <c r="C2186" t="s">
        <v>606</v>
      </c>
      <c r="D2186" t="s">
        <v>228</v>
      </c>
      <c r="E2186" t="str">
        <f>INDEX('State Codes'!$E$7:$E$70,MATCH(INDEX('State Codes'!$C$7:$C$70,MATCH('County Climates'!B2186,'State Codes'!$D$7:$D$70,0),1),'State Codes'!$C$7:$C$70,0),1)</f>
        <v>East North Central Division</v>
      </c>
      <c r="F2186">
        <f>INDEX('CBECS_Table B5'!$C$6:$K$6,1,MATCH('County Climates'!E2186,'CBECS_Table B5'!$C$1:$K$1,0))</f>
        <v>12742</v>
      </c>
    </row>
    <row r="2187" spans="1:6" x14ac:dyDescent="0.25">
      <c r="A2187" t="s">
        <v>1697</v>
      </c>
      <c r="B2187" t="s">
        <v>1698</v>
      </c>
      <c r="C2187" t="s">
        <v>957</v>
      </c>
      <c r="D2187" t="s">
        <v>228</v>
      </c>
      <c r="E2187" t="str">
        <f>INDEX('State Codes'!$E$7:$E$70,MATCH(INDEX('State Codes'!$C$7:$C$70,MATCH('County Climates'!B2187,'State Codes'!$D$7:$D$70,0),1),'State Codes'!$C$7:$C$70,0),1)</f>
        <v>East North Central Division</v>
      </c>
      <c r="F2187">
        <f>INDEX('CBECS_Table B5'!$C$6:$K$6,1,MATCH('County Climates'!E2187,'CBECS_Table B5'!$C$1:$K$1,0))</f>
        <v>12742</v>
      </c>
    </row>
    <row r="2188" spans="1:6" x14ac:dyDescent="0.25">
      <c r="A2188" t="s">
        <v>1697</v>
      </c>
      <c r="B2188" t="s">
        <v>1698</v>
      </c>
      <c r="C2188" t="s">
        <v>1708</v>
      </c>
      <c r="D2188" t="s">
        <v>228</v>
      </c>
      <c r="E2188" t="str">
        <f>INDEX('State Codes'!$E$7:$E$70,MATCH(INDEX('State Codes'!$C$7:$C$70,MATCH('County Climates'!B2188,'State Codes'!$D$7:$D$70,0),1),'State Codes'!$C$7:$C$70,0),1)</f>
        <v>East North Central Division</v>
      </c>
      <c r="F2188">
        <f>INDEX('CBECS_Table B5'!$C$6:$K$6,1,MATCH('County Climates'!E2188,'CBECS_Table B5'!$C$1:$K$1,0))</f>
        <v>12742</v>
      </c>
    </row>
    <row r="2189" spans="1:6" x14ac:dyDescent="0.25">
      <c r="A2189" t="s">
        <v>1697</v>
      </c>
      <c r="B2189" t="s">
        <v>1698</v>
      </c>
      <c r="C2189" t="s">
        <v>1709</v>
      </c>
      <c r="D2189" t="s">
        <v>229</v>
      </c>
      <c r="E2189" t="str">
        <f>INDEX('State Codes'!$E$7:$E$70,MATCH(INDEX('State Codes'!$C$7:$C$70,MATCH('County Climates'!B2189,'State Codes'!$D$7:$D$70,0),1),'State Codes'!$C$7:$C$70,0),1)</f>
        <v>East North Central Division</v>
      </c>
      <c r="F2189">
        <f>INDEX('CBECS_Table B5'!$C$6:$K$6,1,MATCH('County Climates'!E2189,'CBECS_Table B5'!$C$1:$K$1,0))</f>
        <v>12742</v>
      </c>
    </row>
    <row r="2190" spans="1:6" x14ac:dyDescent="0.25">
      <c r="A2190" t="s">
        <v>1697</v>
      </c>
      <c r="B2190" t="s">
        <v>1698</v>
      </c>
      <c r="C2190" t="s">
        <v>1710</v>
      </c>
      <c r="D2190" t="s">
        <v>228</v>
      </c>
      <c r="E2190" t="str">
        <f>INDEX('State Codes'!$E$7:$E$70,MATCH(INDEX('State Codes'!$C$7:$C$70,MATCH('County Climates'!B2190,'State Codes'!$D$7:$D$70,0),1),'State Codes'!$C$7:$C$70,0),1)</f>
        <v>East North Central Division</v>
      </c>
      <c r="F2190">
        <f>INDEX('CBECS_Table B5'!$C$6:$K$6,1,MATCH('County Climates'!E2190,'CBECS_Table B5'!$C$1:$K$1,0))</f>
        <v>12742</v>
      </c>
    </row>
    <row r="2191" spans="1:6" x14ac:dyDescent="0.25">
      <c r="A2191" t="s">
        <v>1697</v>
      </c>
      <c r="B2191" t="s">
        <v>1698</v>
      </c>
      <c r="C2191" t="s">
        <v>1711</v>
      </c>
      <c r="D2191" t="s">
        <v>228</v>
      </c>
      <c r="E2191" t="str">
        <f>INDEX('State Codes'!$E$7:$E$70,MATCH(INDEX('State Codes'!$C$7:$C$70,MATCH('County Climates'!B2191,'State Codes'!$D$7:$D$70,0),1),'State Codes'!$C$7:$C$70,0),1)</f>
        <v>East North Central Division</v>
      </c>
      <c r="F2191">
        <f>INDEX('CBECS_Table B5'!$C$6:$K$6,1,MATCH('County Climates'!E2191,'CBECS_Table B5'!$C$1:$K$1,0))</f>
        <v>12742</v>
      </c>
    </row>
    <row r="2192" spans="1:6" x14ac:dyDescent="0.25">
      <c r="A2192" t="s">
        <v>1697</v>
      </c>
      <c r="B2192" t="s">
        <v>1698</v>
      </c>
      <c r="C2192" t="s">
        <v>1712</v>
      </c>
      <c r="D2192" t="s">
        <v>228</v>
      </c>
      <c r="E2192" t="str">
        <f>INDEX('State Codes'!$E$7:$E$70,MATCH(INDEX('State Codes'!$C$7:$C$70,MATCH('County Climates'!B2192,'State Codes'!$D$7:$D$70,0),1),'State Codes'!$C$7:$C$70,0),1)</f>
        <v>East North Central Division</v>
      </c>
      <c r="F2192">
        <f>INDEX('CBECS_Table B5'!$C$6:$K$6,1,MATCH('County Climates'!E2192,'CBECS_Table B5'!$C$1:$K$1,0))</f>
        <v>12742</v>
      </c>
    </row>
    <row r="2193" spans="1:6" x14ac:dyDescent="0.25">
      <c r="A2193" t="s">
        <v>1697</v>
      </c>
      <c r="B2193" t="s">
        <v>1698</v>
      </c>
      <c r="C2193" t="s">
        <v>1713</v>
      </c>
      <c r="D2193" t="s">
        <v>229</v>
      </c>
      <c r="E2193" t="str">
        <f>INDEX('State Codes'!$E$7:$E$70,MATCH(INDEX('State Codes'!$C$7:$C$70,MATCH('County Climates'!B2193,'State Codes'!$D$7:$D$70,0),1),'State Codes'!$C$7:$C$70,0),1)</f>
        <v>East North Central Division</v>
      </c>
      <c r="F2193">
        <f>INDEX('CBECS_Table B5'!$C$6:$K$6,1,MATCH('County Climates'!E2193,'CBECS_Table B5'!$C$1:$K$1,0))</f>
        <v>12742</v>
      </c>
    </row>
    <row r="2194" spans="1:6" x14ac:dyDescent="0.25">
      <c r="A2194" t="s">
        <v>1697</v>
      </c>
      <c r="B2194" t="s">
        <v>1698</v>
      </c>
      <c r="C2194" t="s">
        <v>1035</v>
      </c>
      <c r="D2194" t="s">
        <v>228</v>
      </c>
      <c r="E2194" t="str">
        <f>INDEX('State Codes'!$E$7:$E$70,MATCH(INDEX('State Codes'!$C$7:$C$70,MATCH('County Climates'!B2194,'State Codes'!$D$7:$D$70,0),1),'State Codes'!$C$7:$C$70,0),1)</f>
        <v>East North Central Division</v>
      </c>
      <c r="F2194">
        <f>INDEX('CBECS_Table B5'!$C$6:$K$6,1,MATCH('County Climates'!E2194,'CBECS_Table B5'!$C$1:$K$1,0))</f>
        <v>12742</v>
      </c>
    </row>
    <row r="2195" spans="1:6" x14ac:dyDescent="0.25">
      <c r="A2195" t="s">
        <v>1697</v>
      </c>
      <c r="B2195" t="s">
        <v>1698</v>
      </c>
      <c r="C2195" t="s">
        <v>1714</v>
      </c>
      <c r="D2195" t="s">
        <v>228</v>
      </c>
      <c r="E2195" t="str">
        <f>INDEX('State Codes'!$E$7:$E$70,MATCH(INDEX('State Codes'!$C$7:$C$70,MATCH('County Climates'!B2195,'State Codes'!$D$7:$D$70,0),1),'State Codes'!$C$7:$C$70,0),1)</f>
        <v>East North Central Division</v>
      </c>
      <c r="F2195">
        <f>INDEX('CBECS_Table B5'!$C$6:$K$6,1,MATCH('County Climates'!E2195,'CBECS_Table B5'!$C$1:$K$1,0))</f>
        <v>12742</v>
      </c>
    </row>
    <row r="2196" spans="1:6" x14ac:dyDescent="0.25">
      <c r="A2196" t="s">
        <v>1697</v>
      </c>
      <c r="B2196" t="s">
        <v>1698</v>
      </c>
      <c r="C2196" t="s">
        <v>1715</v>
      </c>
      <c r="D2196" t="s">
        <v>228</v>
      </c>
      <c r="E2196" t="str">
        <f>INDEX('State Codes'!$E$7:$E$70,MATCH(INDEX('State Codes'!$C$7:$C$70,MATCH('County Climates'!B2196,'State Codes'!$D$7:$D$70,0),1),'State Codes'!$C$7:$C$70,0),1)</f>
        <v>East North Central Division</v>
      </c>
      <c r="F2196">
        <f>INDEX('CBECS_Table B5'!$C$6:$K$6,1,MATCH('County Climates'!E2196,'CBECS_Table B5'!$C$1:$K$1,0))</f>
        <v>12742</v>
      </c>
    </row>
    <row r="2197" spans="1:6" x14ac:dyDescent="0.25">
      <c r="A2197" t="s">
        <v>1697</v>
      </c>
      <c r="B2197" t="s">
        <v>1698</v>
      </c>
      <c r="C2197" t="s">
        <v>1716</v>
      </c>
      <c r="D2197" t="s">
        <v>228</v>
      </c>
      <c r="E2197" t="str">
        <f>INDEX('State Codes'!$E$7:$E$70,MATCH(INDEX('State Codes'!$C$7:$C$70,MATCH('County Climates'!B2197,'State Codes'!$D$7:$D$70,0),1),'State Codes'!$C$7:$C$70,0),1)</f>
        <v>East North Central Division</v>
      </c>
      <c r="F2197">
        <f>INDEX('CBECS_Table B5'!$C$6:$K$6,1,MATCH('County Climates'!E2197,'CBECS_Table B5'!$C$1:$K$1,0))</f>
        <v>12742</v>
      </c>
    </row>
    <row r="2198" spans="1:6" x14ac:dyDescent="0.25">
      <c r="A2198" t="s">
        <v>1697</v>
      </c>
      <c r="B2198" t="s">
        <v>1698</v>
      </c>
      <c r="C2198" t="s">
        <v>1271</v>
      </c>
      <c r="D2198" t="s">
        <v>229</v>
      </c>
      <c r="E2198" t="str">
        <f>INDEX('State Codes'!$E$7:$E$70,MATCH(INDEX('State Codes'!$C$7:$C$70,MATCH('County Climates'!B2198,'State Codes'!$D$7:$D$70,0),1),'State Codes'!$C$7:$C$70,0),1)</f>
        <v>East North Central Division</v>
      </c>
      <c r="F2198">
        <f>INDEX('CBECS_Table B5'!$C$6:$K$6,1,MATCH('County Climates'!E2198,'CBECS_Table B5'!$C$1:$K$1,0))</f>
        <v>12742</v>
      </c>
    </row>
    <row r="2199" spans="1:6" x14ac:dyDescent="0.25">
      <c r="A2199" t="s">
        <v>1697</v>
      </c>
      <c r="B2199" t="s">
        <v>1698</v>
      </c>
      <c r="C2199" t="s">
        <v>1717</v>
      </c>
      <c r="D2199" t="s">
        <v>228</v>
      </c>
      <c r="E2199" t="str">
        <f>INDEX('State Codes'!$E$7:$E$70,MATCH(INDEX('State Codes'!$C$7:$C$70,MATCH('County Climates'!B2199,'State Codes'!$D$7:$D$70,0),1),'State Codes'!$C$7:$C$70,0),1)</f>
        <v>East North Central Division</v>
      </c>
      <c r="F2199">
        <f>INDEX('CBECS_Table B5'!$C$6:$K$6,1,MATCH('County Climates'!E2199,'CBECS_Table B5'!$C$1:$K$1,0))</f>
        <v>12742</v>
      </c>
    </row>
    <row r="2200" spans="1:6" x14ac:dyDescent="0.25">
      <c r="A2200" t="s">
        <v>1697</v>
      </c>
      <c r="B2200" t="s">
        <v>1698</v>
      </c>
      <c r="C2200" t="s">
        <v>279</v>
      </c>
      <c r="D2200" t="s">
        <v>228</v>
      </c>
      <c r="E2200" t="str">
        <f>INDEX('State Codes'!$E$7:$E$70,MATCH(INDEX('State Codes'!$C$7:$C$70,MATCH('County Climates'!B2200,'State Codes'!$D$7:$D$70,0),1),'State Codes'!$C$7:$C$70,0),1)</f>
        <v>East North Central Division</v>
      </c>
      <c r="F2200">
        <f>INDEX('CBECS_Table B5'!$C$6:$K$6,1,MATCH('County Climates'!E2200,'CBECS_Table B5'!$C$1:$K$1,0))</f>
        <v>12742</v>
      </c>
    </row>
    <row r="2201" spans="1:6" x14ac:dyDescent="0.25">
      <c r="A2201" t="s">
        <v>1697</v>
      </c>
      <c r="B2201" t="s">
        <v>1698</v>
      </c>
      <c r="C2201" t="s">
        <v>1718</v>
      </c>
      <c r="D2201" t="s">
        <v>228</v>
      </c>
      <c r="E2201" t="str">
        <f>INDEX('State Codes'!$E$7:$E$70,MATCH(INDEX('State Codes'!$C$7:$C$70,MATCH('County Climates'!B2201,'State Codes'!$D$7:$D$70,0),1),'State Codes'!$C$7:$C$70,0),1)</f>
        <v>East North Central Division</v>
      </c>
      <c r="F2201">
        <f>INDEX('CBECS_Table B5'!$C$6:$K$6,1,MATCH('County Climates'!E2201,'CBECS_Table B5'!$C$1:$K$1,0))</f>
        <v>12742</v>
      </c>
    </row>
    <row r="2202" spans="1:6" x14ac:dyDescent="0.25">
      <c r="A2202" t="s">
        <v>1697</v>
      </c>
      <c r="B2202" t="s">
        <v>1698</v>
      </c>
      <c r="C2202" t="s">
        <v>1719</v>
      </c>
      <c r="D2202" t="s">
        <v>228</v>
      </c>
      <c r="E2202" t="str">
        <f>INDEX('State Codes'!$E$7:$E$70,MATCH(INDEX('State Codes'!$C$7:$C$70,MATCH('County Climates'!B2202,'State Codes'!$D$7:$D$70,0),1),'State Codes'!$C$7:$C$70,0),1)</f>
        <v>East North Central Division</v>
      </c>
      <c r="F2202">
        <f>INDEX('CBECS_Table B5'!$C$6:$K$6,1,MATCH('County Climates'!E2202,'CBECS_Table B5'!$C$1:$K$1,0))</f>
        <v>12742</v>
      </c>
    </row>
    <row r="2203" spans="1:6" x14ac:dyDescent="0.25">
      <c r="A2203" t="s">
        <v>1697</v>
      </c>
      <c r="B2203" t="s">
        <v>1698</v>
      </c>
      <c r="C2203" t="s">
        <v>420</v>
      </c>
      <c r="D2203" t="s">
        <v>228</v>
      </c>
      <c r="E2203" t="str">
        <f>INDEX('State Codes'!$E$7:$E$70,MATCH(INDEX('State Codes'!$C$7:$C$70,MATCH('County Climates'!B2203,'State Codes'!$D$7:$D$70,0),1),'State Codes'!$C$7:$C$70,0),1)</f>
        <v>East North Central Division</v>
      </c>
      <c r="F2203">
        <f>INDEX('CBECS_Table B5'!$C$6:$K$6,1,MATCH('County Climates'!E2203,'CBECS_Table B5'!$C$1:$K$1,0))</f>
        <v>12742</v>
      </c>
    </row>
    <row r="2204" spans="1:6" x14ac:dyDescent="0.25">
      <c r="A2204" t="s">
        <v>1697</v>
      </c>
      <c r="B2204" t="s">
        <v>1698</v>
      </c>
      <c r="C2204" t="s">
        <v>1720</v>
      </c>
      <c r="D2204" t="s">
        <v>229</v>
      </c>
      <c r="E2204" t="str">
        <f>INDEX('State Codes'!$E$7:$E$70,MATCH(INDEX('State Codes'!$C$7:$C$70,MATCH('County Climates'!B2204,'State Codes'!$D$7:$D$70,0),1),'State Codes'!$C$7:$C$70,0),1)</f>
        <v>East North Central Division</v>
      </c>
      <c r="F2204">
        <f>INDEX('CBECS_Table B5'!$C$6:$K$6,1,MATCH('County Climates'!E2204,'CBECS_Table B5'!$C$1:$K$1,0))</f>
        <v>12742</v>
      </c>
    </row>
    <row r="2205" spans="1:6" x14ac:dyDescent="0.25">
      <c r="A2205" t="s">
        <v>1697</v>
      </c>
      <c r="B2205" t="s">
        <v>1698</v>
      </c>
      <c r="C2205" t="s">
        <v>383</v>
      </c>
      <c r="D2205" t="s">
        <v>228</v>
      </c>
      <c r="E2205" t="str">
        <f>INDEX('State Codes'!$E$7:$E$70,MATCH(INDEX('State Codes'!$C$7:$C$70,MATCH('County Climates'!B2205,'State Codes'!$D$7:$D$70,0),1),'State Codes'!$C$7:$C$70,0),1)</f>
        <v>East North Central Division</v>
      </c>
      <c r="F2205">
        <f>INDEX('CBECS_Table B5'!$C$6:$K$6,1,MATCH('County Climates'!E2205,'CBECS_Table B5'!$C$1:$K$1,0))</f>
        <v>12742</v>
      </c>
    </row>
    <row r="2206" spans="1:6" x14ac:dyDescent="0.25">
      <c r="A2206" t="s">
        <v>1697</v>
      </c>
      <c r="B2206" t="s">
        <v>1698</v>
      </c>
      <c r="C2206" t="s">
        <v>1721</v>
      </c>
      <c r="D2206" t="s">
        <v>228</v>
      </c>
      <c r="E2206" t="str">
        <f>INDEX('State Codes'!$E$7:$E$70,MATCH(INDEX('State Codes'!$C$7:$C$70,MATCH('County Climates'!B2206,'State Codes'!$D$7:$D$70,0),1),'State Codes'!$C$7:$C$70,0),1)</f>
        <v>East North Central Division</v>
      </c>
      <c r="F2206">
        <f>INDEX('CBECS_Table B5'!$C$6:$K$6,1,MATCH('County Climates'!E2206,'CBECS_Table B5'!$C$1:$K$1,0))</f>
        <v>12742</v>
      </c>
    </row>
    <row r="2207" spans="1:6" x14ac:dyDescent="0.25">
      <c r="A2207" t="s">
        <v>1697</v>
      </c>
      <c r="B2207" t="s">
        <v>1698</v>
      </c>
      <c r="C2207" t="s">
        <v>1722</v>
      </c>
      <c r="D2207" t="s">
        <v>228</v>
      </c>
      <c r="E2207" t="str">
        <f>INDEX('State Codes'!$E$7:$E$70,MATCH(INDEX('State Codes'!$C$7:$C$70,MATCH('County Climates'!B2207,'State Codes'!$D$7:$D$70,0),1),'State Codes'!$C$7:$C$70,0),1)</f>
        <v>East North Central Division</v>
      </c>
      <c r="F2207">
        <f>INDEX('CBECS_Table B5'!$C$6:$K$6,1,MATCH('County Climates'!E2207,'CBECS_Table B5'!$C$1:$K$1,0))</f>
        <v>12742</v>
      </c>
    </row>
    <row r="2208" spans="1:6" x14ac:dyDescent="0.25">
      <c r="A2208" t="s">
        <v>1697</v>
      </c>
      <c r="B2208" t="s">
        <v>1698</v>
      </c>
      <c r="C2208" t="s">
        <v>1723</v>
      </c>
      <c r="D2208" t="s">
        <v>228</v>
      </c>
      <c r="E2208" t="str">
        <f>INDEX('State Codes'!$E$7:$E$70,MATCH(INDEX('State Codes'!$C$7:$C$70,MATCH('County Climates'!B2208,'State Codes'!$D$7:$D$70,0),1),'State Codes'!$C$7:$C$70,0),1)</f>
        <v>East North Central Division</v>
      </c>
      <c r="F2208">
        <f>INDEX('CBECS_Table B5'!$C$6:$K$6,1,MATCH('County Climates'!E2208,'CBECS_Table B5'!$C$1:$K$1,0))</f>
        <v>12742</v>
      </c>
    </row>
    <row r="2209" spans="1:6" x14ac:dyDescent="0.25">
      <c r="A2209" t="s">
        <v>1697</v>
      </c>
      <c r="B2209" t="s">
        <v>1698</v>
      </c>
      <c r="C2209" t="s">
        <v>684</v>
      </c>
      <c r="D2209" t="s">
        <v>228</v>
      </c>
      <c r="E2209" t="str">
        <f>INDEX('State Codes'!$E$7:$E$70,MATCH(INDEX('State Codes'!$C$7:$C$70,MATCH('County Climates'!B2209,'State Codes'!$D$7:$D$70,0),1),'State Codes'!$C$7:$C$70,0),1)</f>
        <v>East North Central Division</v>
      </c>
      <c r="F2209">
        <f>INDEX('CBECS_Table B5'!$C$6:$K$6,1,MATCH('County Climates'!E2209,'CBECS_Table B5'!$C$1:$K$1,0))</f>
        <v>12742</v>
      </c>
    </row>
    <row r="2210" spans="1:6" x14ac:dyDescent="0.25">
      <c r="A2210" t="s">
        <v>1697</v>
      </c>
      <c r="B2210" t="s">
        <v>1698</v>
      </c>
      <c r="C2210" t="s">
        <v>1724</v>
      </c>
      <c r="D2210" t="s">
        <v>229</v>
      </c>
      <c r="E2210" t="str">
        <f>INDEX('State Codes'!$E$7:$E$70,MATCH(INDEX('State Codes'!$C$7:$C$70,MATCH('County Climates'!B2210,'State Codes'!$D$7:$D$70,0),1),'State Codes'!$C$7:$C$70,0),1)</f>
        <v>East North Central Division</v>
      </c>
      <c r="F2210">
        <f>INDEX('CBECS_Table B5'!$C$6:$K$6,1,MATCH('County Climates'!E2210,'CBECS_Table B5'!$C$1:$K$1,0))</f>
        <v>12742</v>
      </c>
    </row>
    <row r="2211" spans="1:6" x14ac:dyDescent="0.25">
      <c r="A2211" t="s">
        <v>1697</v>
      </c>
      <c r="B2211" t="s">
        <v>1698</v>
      </c>
      <c r="C2211" t="s">
        <v>1725</v>
      </c>
      <c r="D2211" t="s">
        <v>229</v>
      </c>
      <c r="E2211" t="str">
        <f>INDEX('State Codes'!$E$7:$E$70,MATCH(INDEX('State Codes'!$C$7:$C$70,MATCH('County Climates'!B2211,'State Codes'!$D$7:$D$70,0),1),'State Codes'!$C$7:$C$70,0),1)</f>
        <v>East North Central Division</v>
      </c>
      <c r="F2211">
        <f>INDEX('CBECS_Table B5'!$C$6:$K$6,1,MATCH('County Climates'!E2211,'CBECS_Table B5'!$C$1:$K$1,0))</f>
        <v>12742</v>
      </c>
    </row>
    <row r="2212" spans="1:6" x14ac:dyDescent="0.25">
      <c r="A2212" t="s">
        <v>1697</v>
      </c>
      <c r="B2212" t="s">
        <v>1698</v>
      </c>
      <c r="C2212" t="s">
        <v>1726</v>
      </c>
      <c r="D2212" t="s">
        <v>228</v>
      </c>
      <c r="E2212" t="str">
        <f>INDEX('State Codes'!$E$7:$E$70,MATCH(INDEX('State Codes'!$C$7:$C$70,MATCH('County Climates'!B2212,'State Codes'!$D$7:$D$70,0),1),'State Codes'!$C$7:$C$70,0),1)</f>
        <v>East North Central Division</v>
      </c>
      <c r="F2212">
        <f>INDEX('CBECS_Table B5'!$C$6:$K$6,1,MATCH('County Climates'!E2212,'CBECS_Table B5'!$C$1:$K$1,0))</f>
        <v>12742</v>
      </c>
    </row>
    <row r="2213" spans="1:6" x14ac:dyDescent="0.25">
      <c r="A2213" t="s">
        <v>1697</v>
      </c>
      <c r="B2213" t="s">
        <v>1698</v>
      </c>
      <c r="C2213" t="s">
        <v>1727</v>
      </c>
      <c r="D2213" t="s">
        <v>228</v>
      </c>
      <c r="E2213" t="str">
        <f>INDEX('State Codes'!$E$7:$E$70,MATCH(INDEX('State Codes'!$C$7:$C$70,MATCH('County Climates'!B2213,'State Codes'!$D$7:$D$70,0),1),'State Codes'!$C$7:$C$70,0),1)</f>
        <v>East North Central Division</v>
      </c>
      <c r="F2213">
        <f>INDEX('CBECS_Table B5'!$C$6:$K$6,1,MATCH('County Climates'!E2213,'CBECS_Table B5'!$C$1:$K$1,0))</f>
        <v>12742</v>
      </c>
    </row>
    <row r="2214" spans="1:6" x14ac:dyDescent="0.25">
      <c r="A2214" t="s">
        <v>1697</v>
      </c>
      <c r="B2214" t="s">
        <v>1698</v>
      </c>
      <c r="C2214" t="s">
        <v>1728</v>
      </c>
      <c r="D2214" t="s">
        <v>228</v>
      </c>
      <c r="E2214" t="str">
        <f>INDEX('State Codes'!$E$7:$E$70,MATCH(INDEX('State Codes'!$C$7:$C$70,MATCH('County Climates'!B2214,'State Codes'!$D$7:$D$70,0),1),'State Codes'!$C$7:$C$70,0),1)</f>
        <v>East North Central Division</v>
      </c>
      <c r="F2214">
        <f>INDEX('CBECS_Table B5'!$C$6:$K$6,1,MATCH('County Climates'!E2214,'CBECS_Table B5'!$C$1:$K$1,0))</f>
        <v>12742</v>
      </c>
    </row>
    <row r="2215" spans="1:6" x14ac:dyDescent="0.25">
      <c r="A2215" t="s">
        <v>1697</v>
      </c>
      <c r="B2215" t="s">
        <v>1698</v>
      </c>
      <c r="C2215" t="s">
        <v>545</v>
      </c>
      <c r="D2215" t="s">
        <v>228</v>
      </c>
      <c r="E2215" t="str">
        <f>INDEX('State Codes'!$E$7:$E$70,MATCH(INDEX('State Codes'!$C$7:$C$70,MATCH('County Climates'!B2215,'State Codes'!$D$7:$D$70,0),1),'State Codes'!$C$7:$C$70,0),1)</f>
        <v>East North Central Division</v>
      </c>
      <c r="F2215">
        <f>INDEX('CBECS_Table B5'!$C$6:$K$6,1,MATCH('County Climates'!E2215,'CBECS_Table B5'!$C$1:$K$1,0))</f>
        <v>12742</v>
      </c>
    </row>
    <row r="2216" spans="1:6" x14ac:dyDescent="0.25">
      <c r="A2216" t="s">
        <v>1697</v>
      </c>
      <c r="B2216" t="s">
        <v>1698</v>
      </c>
      <c r="C2216" t="s">
        <v>1729</v>
      </c>
      <c r="D2216" t="s">
        <v>228</v>
      </c>
      <c r="E2216" t="str">
        <f>INDEX('State Codes'!$E$7:$E$70,MATCH(INDEX('State Codes'!$C$7:$C$70,MATCH('County Climates'!B2216,'State Codes'!$D$7:$D$70,0),1),'State Codes'!$C$7:$C$70,0),1)</f>
        <v>East North Central Division</v>
      </c>
      <c r="F2216">
        <f>INDEX('CBECS_Table B5'!$C$6:$K$6,1,MATCH('County Climates'!E2216,'CBECS_Table B5'!$C$1:$K$1,0))</f>
        <v>12742</v>
      </c>
    </row>
    <row r="2217" spans="1:6" x14ac:dyDescent="0.25">
      <c r="A2217" t="s">
        <v>1697</v>
      </c>
      <c r="B2217" t="s">
        <v>1698</v>
      </c>
      <c r="C2217" t="s">
        <v>1730</v>
      </c>
      <c r="D2217" t="s">
        <v>228</v>
      </c>
      <c r="E2217" t="str">
        <f>INDEX('State Codes'!$E$7:$E$70,MATCH(INDEX('State Codes'!$C$7:$C$70,MATCH('County Climates'!B2217,'State Codes'!$D$7:$D$70,0),1),'State Codes'!$C$7:$C$70,0),1)</f>
        <v>East North Central Division</v>
      </c>
      <c r="F2217">
        <f>INDEX('CBECS_Table B5'!$C$6:$K$6,1,MATCH('County Climates'!E2217,'CBECS_Table B5'!$C$1:$K$1,0))</f>
        <v>12742</v>
      </c>
    </row>
    <row r="2218" spans="1:6" x14ac:dyDescent="0.25">
      <c r="A2218" t="s">
        <v>1697</v>
      </c>
      <c r="B2218" t="s">
        <v>1698</v>
      </c>
      <c r="C2218" t="s">
        <v>1731</v>
      </c>
      <c r="D2218" t="s">
        <v>228</v>
      </c>
      <c r="E2218" t="str">
        <f>INDEX('State Codes'!$E$7:$E$70,MATCH(INDEX('State Codes'!$C$7:$C$70,MATCH('County Climates'!B2218,'State Codes'!$D$7:$D$70,0),1),'State Codes'!$C$7:$C$70,0),1)</f>
        <v>East North Central Division</v>
      </c>
      <c r="F2218">
        <f>INDEX('CBECS_Table B5'!$C$6:$K$6,1,MATCH('County Climates'!E2218,'CBECS_Table B5'!$C$1:$K$1,0))</f>
        <v>12742</v>
      </c>
    </row>
    <row r="2219" spans="1:6" x14ac:dyDescent="0.25">
      <c r="A2219" t="s">
        <v>1697</v>
      </c>
      <c r="B2219" t="s">
        <v>1698</v>
      </c>
      <c r="C2219" t="s">
        <v>1732</v>
      </c>
      <c r="D2219" t="s">
        <v>228</v>
      </c>
      <c r="E2219" t="str">
        <f>INDEX('State Codes'!$E$7:$E$70,MATCH(INDEX('State Codes'!$C$7:$C$70,MATCH('County Climates'!B2219,'State Codes'!$D$7:$D$70,0),1),'State Codes'!$C$7:$C$70,0),1)</f>
        <v>East North Central Division</v>
      </c>
      <c r="F2219">
        <f>INDEX('CBECS_Table B5'!$C$6:$K$6,1,MATCH('County Climates'!E2219,'CBECS_Table B5'!$C$1:$K$1,0))</f>
        <v>12742</v>
      </c>
    </row>
    <row r="2220" spans="1:6" x14ac:dyDescent="0.25">
      <c r="A2220" t="s">
        <v>1697</v>
      </c>
      <c r="B2220" t="s">
        <v>1698</v>
      </c>
      <c r="C2220" t="s">
        <v>293</v>
      </c>
      <c r="D2220" t="s">
        <v>228</v>
      </c>
      <c r="E2220" t="str">
        <f>INDEX('State Codes'!$E$7:$E$70,MATCH(INDEX('State Codes'!$C$7:$C$70,MATCH('County Climates'!B2220,'State Codes'!$D$7:$D$70,0),1),'State Codes'!$C$7:$C$70,0),1)</f>
        <v>East North Central Division</v>
      </c>
      <c r="F2220">
        <f>INDEX('CBECS_Table B5'!$C$6:$K$6,1,MATCH('County Climates'!E2220,'CBECS_Table B5'!$C$1:$K$1,0))</f>
        <v>12742</v>
      </c>
    </row>
    <row r="2221" spans="1:6" x14ac:dyDescent="0.25">
      <c r="A2221" t="s">
        <v>1697</v>
      </c>
      <c r="B2221" t="s">
        <v>1698</v>
      </c>
      <c r="C2221" t="s">
        <v>1733</v>
      </c>
      <c r="D2221" t="s">
        <v>228</v>
      </c>
      <c r="E2221" t="str">
        <f>INDEX('State Codes'!$E$7:$E$70,MATCH(INDEX('State Codes'!$C$7:$C$70,MATCH('County Climates'!B2221,'State Codes'!$D$7:$D$70,0),1),'State Codes'!$C$7:$C$70,0),1)</f>
        <v>East North Central Division</v>
      </c>
      <c r="F2221">
        <f>INDEX('CBECS_Table B5'!$C$6:$K$6,1,MATCH('County Climates'!E2221,'CBECS_Table B5'!$C$1:$K$1,0))</f>
        <v>12742</v>
      </c>
    </row>
    <row r="2222" spans="1:6" x14ac:dyDescent="0.25">
      <c r="A2222" t="s">
        <v>1697</v>
      </c>
      <c r="B2222" t="s">
        <v>1698</v>
      </c>
      <c r="C2222" t="s">
        <v>1734</v>
      </c>
      <c r="D2222" t="s">
        <v>228</v>
      </c>
      <c r="E2222" t="str">
        <f>INDEX('State Codes'!$E$7:$E$70,MATCH(INDEX('State Codes'!$C$7:$C$70,MATCH('County Climates'!B2222,'State Codes'!$D$7:$D$70,0),1),'State Codes'!$C$7:$C$70,0),1)</f>
        <v>East North Central Division</v>
      </c>
      <c r="F2222">
        <f>INDEX('CBECS_Table B5'!$C$6:$K$6,1,MATCH('County Climates'!E2222,'CBECS_Table B5'!$C$1:$K$1,0))</f>
        <v>12742</v>
      </c>
    </row>
    <row r="2223" spans="1:6" x14ac:dyDescent="0.25">
      <c r="A2223" t="s">
        <v>1697</v>
      </c>
      <c r="B2223" t="s">
        <v>1698</v>
      </c>
      <c r="C2223" t="s">
        <v>1735</v>
      </c>
      <c r="D2223" t="s">
        <v>228</v>
      </c>
      <c r="E2223" t="str">
        <f>INDEX('State Codes'!$E$7:$E$70,MATCH(INDEX('State Codes'!$C$7:$C$70,MATCH('County Climates'!B2223,'State Codes'!$D$7:$D$70,0),1),'State Codes'!$C$7:$C$70,0),1)</f>
        <v>East North Central Division</v>
      </c>
      <c r="F2223">
        <f>INDEX('CBECS_Table B5'!$C$6:$K$6,1,MATCH('County Climates'!E2223,'CBECS_Table B5'!$C$1:$K$1,0))</f>
        <v>12742</v>
      </c>
    </row>
    <row r="2224" spans="1:6" x14ac:dyDescent="0.25">
      <c r="A2224" t="s">
        <v>1697</v>
      </c>
      <c r="B2224" t="s">
        <v>1698</v>
      </c>
      <c r="C2224" t="s">
        <v>1736</v>
      </c>
      <c r="D2224" t="s">
        <v>228</v>
      </c>
      <c r="E2224" t="str">
        <f>INDEX('State Codes'!$E$7:$E$70,MATCH(INDEX('State Codes'!$C$7:$C$70,MATCH('County Climates'!B2224,'State Codes'!$D$7:$D$70,0),1),'State Codes'!$C$7:$C$70,0),1)</f>
        <v>East North Central Division</v>
      </c>
      <c r="F2224">
        <f>INDEX('CBECS_Table B5'!$C$6:$K$6,1,MATCH('County Climates'!E2224,'CBECS_Table B5'!$C$1:$K$1,0))</f>
        <v>12742</v>
      </c>
    </row>
    <row r="2225" spans="1:6" x14ac:dyDescent="0.25">
      <c r="A2225" t="s">
        <v>1697</v>
      </c>
      <c r="B2225" t="s">
        <v>1698</v>
      </c>
      <c r="C2225" t="s">
        <v>1737</v>
      </c>
      <c r="D2225" t="s">
        <v>228</v>
      </c>
      <c r="E2225" t="str">
        <f>INDEX('State Codes'!$E$7:$E$70,MATCH(INDEX('State Codes'!$C$7:$C$70,MATCH('County Climates'!B2225,'State Codes'!$D$7:$D$70,0),1),'State Codes'!$C$7:$C$70,0),1)</f>
        <v>East North Central Division</v>
      </c>
      <c r="F2225">
        <f>INDEX('CBECS_Table B5'!$C$6:$K$6,1,MATCH('County Climates'!E2225,'CBECS_Table B5'!$C$1:$K$1,0))</f>
        <v>12742</v>
      </c>
    </row>
    <row r="2226" spans="1:6" x14ac:dyDescent="0.25">
      <c r="A2226" t="s">
        <v>1697</v>
      </c>
      <c r="B2226" t="s">
        <v>1698</v>
      </c>
      <c r="C2226" t="s">
        <v>1738</v>
      </c>
      <c r="D2226" t="s">
        <v>228</v>
      </c>
      <c r="E2226" t="str">
        <f>INDEX('State Codes'!$E$7:$E$70,MATCH(INDEX('State Codes'!$C$7:$C$70,MATCH('County Climates'!B2226,'State Codes'!$D$7:$D$70,0),1),'State Codes'!$C$7:$C$70,0),1)</f>
        <v>East North Central Division</v>
      </c>
      <c r="F2226">
        <f>INDEX('CBECS_Table B5'!$C$6:$K$6,1,MATCH('County Climates'!E2226,'CBECS_Table B5'!$C$1:$K$1,0))</f>
        <v>12742</v>
      </c>
    </row>
    <row r="2227" spans="1:6" x14ac:dyDescent="0.25">
      <c r="A2227" t="s">
        <v>1697</v>
      </c>
      <c r="B2227" t="s">
        <v>1698</v>
      </c>
      <c r="C2227" t="s">
        <v>1739</v>
      </c>
      <c r="D2227" t="s">
        <v>228</v>
      </c>
      <c r="E2227" t="str">
        <f>INDEX('State Codes'!$E$7:$E$70,MATCH(INDEX('State Codes'!$C$7:$C$70,MATCH('County Climates'!B2227,'State Codes'!$D$7:$D$70,0),1),'State Codes'!$C$7:$C$70,0),1)</f>
        <v>East North Central Division</v>
      </c>
      <c r="F2227">
        <f>INDEX('CBECS_Table B5'!$C$6:$K$6,1,MATCH('County Climates'!E2227,'CBECS_Table B5'!$C$1:$K$1,0))</f>
        <v>12742</v>
      </c>
    </row>
    <row r="2228" spans="1:6" x14ac:dyDescent="0.25">
      <c r="A2228" t="s">
        <v>1697</v>
      </c>
      <c r="B2228" t="s">
        <v>1698</v>
      </c>
      <c r="C2228" t="s">
        <v>1740</v>
      </c>
      <c r="D2228" t="s">
        <v>229</v>
      </c>
      <c r="E2228" t="str">
        <f>INDEX('State Codes'!$E$7:$E$70,MATCH(INDEX('State Codes'!$C$7:$C$70,MATCH('County Climates'!B2228,'State Codes'!$D$7:$D$70,0),1),'State Codes'!$C$7:$C$70,0),1)</f>
        <v>East North Central Division</v>
      </c>
      <c r="F2228">
        <f>INDEX('CBECS_Table B5'!$C$6:$K$6,1,MATCH('County Climates'!E2228,'CBECS_Table B5'!$C$1:$K$1,0))</f>
        <v>12742</v>
      </c>
    </row>
    <row r="2229" spans="1:6" x14ac:dyDescent="0.25">
      <c r="A2229" t="s">
        <v>1697</v>
      </c>
      <c r="B2229" t="s">
        <v>1698</v>
      </c>
      <c r="C2229" t="s">
        <v>1519</v>
      </c>
      <c r="D2229" t="s">
        <v>228</v>
      </c>
      <c r="E2229" t="str">
        <f>INDEX('State Codes'!$E$7:$E$70,MATCH(INDEX('State Codes'!$C$7:$C$70,MATCH('County Climates'!B2229,'State Codes'!$D$7:$D$70,0),1),'State Codes'!$C$7:$C$70,0),1)</f>
        <v>East North Central Division</v>
      </c>
      <c r="F2229">
        <f>INDEX('CBECS_Table B5'!$C$6:$K$6,1,MATCH('County Climates'!E2229,'CBECS_Table B5'!$C$1:$K$1,0))</f>
        <v>12742</v>
      </c>
    </row>
    <row r="2230" spans="1:6" x14ac:dyDescent="0.25">
      <c r="A2230" t="s">
        <v>1697</v>
      </c>
      <c r="B2230" t="s">
        <v>1698</v>
      </c>
      <c r="C2230" t="s">
        <v>1741</v>
      </c>
      <c r="D2230" t="s">
        <v>228</v>
      </c>
      <c r="E2230" t="str">
        <f>INDEX('State Codes'!$E$7:$E$70,MATCH(INDEX('State Codes'!$C$7:$C$70,MATCH('County Climates'!B2230,'State Codes'!$D$7:$D$70,0),1),'State Codes'!$C$7:$C$70,0),1)</f>
        <v>East North Central Division</v>
      </c>
      <c r="F2230">
        <f>INDEX('CBECS_Table B5'!$C$6:$K$6,1,MATCH('County Climates'!E2230,'CBECS_Table B5'!$C$1:$K$1,0))</f>
        <v>12742</v>
      </c>
    </row>
    <row r="2231" spans="1:6" x14ac:dyDescent="0.25">
      <c r="A2231" t="s">
        <v>1697</v>
      </c>
      <c r="B2231" t="s">
        <v>1698</v>
      </c>
      <c r="C2231" t="s">
        <v>969</v>
      </c>
      <c r="D2231" t="s">
        <v>228</v>
      </c>
      <c r="E2231" t="str">
        <f>INDEX('State Codes'!$E$7:$E$70,MATCH(INDEX('State Codes'!$C$7:$C$70,MATCH('County Climates'!B2231,'State Codes'!$D$7:$D$70,0),1),'State Codes'!$C$7:$C$70,0),1)</f>
        <v>East North Central Division</v>
      </c>
      <c r="F2231">
        <f>INDEX('CBECS_Table B5'!$C$6:$K$6,1,MATCH('County Climates'!E2231,'CBECS_Table B5'!$C$1:$K$1,0))</f>
        <v>12742</v>
      </c>
    </row>
    <row r="2232" spans="1:6" x14ac:dyDescent="0.25">
      <c r="A2232" t="s">
        <v>1742</v>
      </c>
      <c r="B2232" t="s">
        <v>1743</v>
      </c>
      <c r="C2232" t="s">
        <v>1744</v>
      </c>
      <c r="D2232" t="s">
        <v>228</v>
      </c>
      <c r="E2232" t="str">
        <f>INDEX('State Codes'!$E$7:$E$70,MATCH(INDEX('State Codes'!$C$7:$C$70,MATCH('County Climates'!B2232,'State Codes'!$D$7:$D$70,0),1),'State Codes'!$C$7:$C$70,0),1)</f>
        <v>West North Central Division</v>
      </c>
      <c r="F2232">
        <f>INDEX('CBECS_Table B5'!$C$6:$K$6,1,MATCH('County Climates'!E2232,'CBECS_Table B5'!$C$1:$K$1,0))</f>
        <v>6178</v>
      </c>
    </row>
    <row r="2233" spans="1:6" x14ac:dyDescent="0.25">
      <c r="A2233" t="s">
        <v>1742</v>
      </c>
      <c r="B2233" t="s">
        <v>1743</v>
      </c>
      <c r="C2233" t="s">
        <v>1745</v>
      </c>
      <c r="D2233" t="s">
        <v>228</v>
      </c>
      <c r="E2233" t="str">
        <f>INDEX('State Codes'!$E$7:$E$70,MATCH(INDEX('State Codes'!$C$7:$C$70,MATCH('County Climates'!B2233,'State Codes'!$D$7:$D$70,0),1),'State Codes'!$C$7:$C$70,0),1)</f>
        <v>West North Central Division</v>
      </c>
      <c r="F2233">
        <f>INDEX('CBECS_Table B5'!$C$6:$K$6,1,MATCH('County Climates'!E2233,'CBECS_Table B5'!$C$1:$K$1,0))</f>
        <v>6178</v>
      </c>
    </row>
    <row r="2234" spans="1:6" x14ac:dyDescent="0.25">
      <c r="A2234" t="s">
        <v>1742</v>
      </c>
      <c r="B2234" t="s">
        <v>1743</v>
      </c>
      <c r="C2234" t="s">
        <v>1746</v>
      </c>
      <c r="D2234" t="s">
        <v>229</v>
      </c>
      <c r="E2234" t="str">
        <f>INDEX('State Codes'!$E$7:$E$70,MATCH(INDEX('State Codes'!$C$7:$C$70,MATCH('County Climates'!B2234,'State Codes'!$D$7:$D$70,0),1),'State Codes'!$C$7:$C$70,0),1)</f>
        <v>West North Central Division</v>
      </c>
      <c r="F2234">
        <f>INDEX('CBECS_Table B5'!$C$6:$K$6,1,MATCH('County Climates'!E2234,'CBECS_Table B5'!$C$1:$K$1,0))</f>
        <v>6178</v>
      </c>
    </row>
    <row r="2235" spans="1:6" x14ac:dyDescent="0.25">
      <c r="A2235" t="s">
        <v>1742</v>
      </c>
      <c r="B2235" t="s">
        <v>1743</v>
      </c>
      <c r="C2235" t="s">
        <v>1747</v>
      </c>
      <c r="D2235" t="s">
        <v>228</v>
      </c>
      <c r="E2235" t="str">
        <f>INDEX('State Codes'!$E$7:$E$70,MATCH(INDEX('State Codes'!$C$7:$C$70,MATCH('County Climates'!B2235,'State Codes'!$D$7:$D$70,0),1),'State Codes'!$C$7:$C$70,0),1)</f>
        <v>West North Central Division</v>
      </c>
      <c r="F2235">
        <f>INDEX('CBECS_Table B5'!$C$6:$K$6,1,MATCH('County Climates'!E2235,'CBECS_Table B5'!$C$1:$K$1,0))</f>
        <v>6178</v>
      </c>
    </row>
    <row r="2236" spans="1:6" x14ac:dyDescent="0.25">
      <c r="A2236" t="s">
        <v>1742</v>
      </c>
      <c r="B2236" t="s">
        <v>1743</v>
      </c>
      <c r="C2236" t="s">
        <v>1748</v>
      </c>
      <c r="D2236" t="s">
        <v>229</v>
      </c>
      <c r="E2236" t="str">
        <f>INDEX('State Codes'!$E$7:$E$70,MATCH(INDEX('State Codes'!$C$7:$C$70,MATCH('County Climates'!B2236,'State Codes'!$D$7:$D$70,0),1),'State Codes'!$C$7:$C$70,0),1)</f>
        <v>West North Central Division</v>
      </c>
      <c r="F2236">
        <f>INDEX('CBECS_Table B5'!$C$6:$K$6,1,MATCH('County Climates'!E2236,'CBECS_Table B5'!$C$1:$K$1,0))</f>
        <v>6178</v>
      </c>
    </row>
    <row r="2237" spans="1:6" x14ac:dyDescent="0.25">
      <c r="A2237" t="s">
        <v>1742</v>
      </c>
      <c r="B2237" t="s">
        <v>1743</v>
      </c>
      <c r="C2237" t="s">
        <v>1749</v>
      </c>
      <c r="D2237" t="s">
        <v>229</v>
      </c>
      <c r="E2237" t="str">
        <f>INDEX('State Codes'!$E$7:$E$70,MATCH(INDEX('State Codes'!$C$7:$C$70,MATCH('County Climates'!B2237,'State Codes'!$D$7:$D$70,0),1),'State Codes'!$C$7:$C$70,0),1)</f>
        <v>West North Central Division</v>
      </c>
      <c r="F2237">
        <f>INDEX('CBECS_Table B5'!$C$6:$K$6,1,MATCH('County Climates'!E2237,'CBECS_Table B5'!$C$1:$K$1,0))</f>
        <v>6178</v>
      </c>
    </row>
    <row r="2238" spans="1:6" x14ac:dyDescent="0.25">
      <c r="A2238" t="s">
        <v>1742</v>
      </c>
      <c r="B2238" t="s">
        <v>1743</v>
      </c>
      <c r="C2238" t="s">
        <v>1750</v>
      </c>
      <c r="D2238" t="s">
        <v>229</v>
      </c>
      <c r="E2238" t="str">
        <f>INDEX('State Codes'!$E$7:$E$70,MATCH(INDEX('State Codes'!$C$7:$C$70,MATCH('County Climates'!B2238,'State Codes'!$D$7:$D$70,0),1),'State Codes'!$C$7:$C$70,0),1)</f>
        <v>West North Central Division</v>
      </c>
      <c r="F2238">
        <f>INDEX('CBECS_Table B5'!$C$6:$K$6,1,MATCH('County Climates'!E2238,'CBECS_Table B5'!$C$1:$K$1,0))</f>
        <v>6178</v>
      </c>
    </row>
    <row r="2239" spans="1:6" x14ac:dyDescent="0.25">
      <c r="A2239" t="s">
        <v>1742</v>
      </c>
      <c r="B2239" t="s">
        <v>1743</v>
      </c>
      <c r="C2239" t="s">
        <v>1751</v>
      </c>
      <c r="D2239" t="s">
        <v>228</v>
      </c>
      <c r="E2239" t="str">
        <f>INDEX('State Codes'!$E$7:$E$70,MATCH(INDEX('State Codes'!$C$7:$C$70,MATCH('County Climates'!B2239,'State Codes'!$D$7:$D$70,0),1),'State Codes'!$C$7:$C$70,0),1)</f>
        <v>West North Central Division</v>
      </c>
      <c r="F2239">
        <f>INDEX('CBECS_Table B5'!$C$6:$K$6,1,MATCH('County Climates'!E2239,'CBECS_Table B5'!$C$1:$K$1,0))</f>
        <v>6178</v>
      </c>
    </row>
    <row r="2240" spans="1:6" x14ac:dyDescent="0.25">
      <c r="A2240" t="s">
        <v>1742</v>
      </c>
      <c r="B2240" t="s">
        <v>1743</v>
      </c>
      <c r="C2240" t="s">
        <v>335</v>
      </c>
      <c r="D2240" t="s">
        <v>229</v>
      </c>
      <c r="E2240" t="str">
        <f>INDEX('State Codes'!$E$7:$E$70,MATCH(INDEX('State Codes'!$C$7:$C$70,MATCH('County Climates'!B2240,'State Codes'!$D$7:$D$70,0),1),'State Codes'!$C$7:$C$70,0),1)</f>
        <v>West North Central Division</v>
      </c>
      <c r="F2240">
        <f>INDEX('CBECS_Table B5'!$C$6:$K$6,1,MATCH('County Climates'!E2240,'CBECS_Table B5'!$C$1:$K$1,0))</f>
        <v>6178</v>
      </c>
    </row>
    <row r="2241" spans="1:6" x14ac:dyDescent="0.25">
      <c r="A2241" t="s">
        <v>1742</v>
      </c>
      <c r="B2241" t="s">
        <v>1743</v>
      </c>
      <c r="C2241" t="s">
        <v>336</v>
      </c>
      <c r="D2241" t="s">
        <v>228</v>
      </c>
      <c r="E2241" t="str">
        <f>INDEX('State Codes'!$E$7:$E$70,MATCH(INDEX('State Codes'!$C$7:$C$70,MATCH('County Climates'!B2241,'State Codes'!$D$7:$D$70,0),1),'State Codes'!$C$7:$C$70,0),1)</f>
        <v>West North Central Division</v>
      </c>
      <c r="F2241">
        <f>INDEX('CBECS_Table B5'!$C$6:$K$6,1,MATCH('County Climates'!E2241,'CBECS_Table B5'!$C$1:$K$1,0))</f>
        <v>6178</v>
      </c>
    </row>
    <row r="2242" spans="1:6" x14ac:dyDescent="0.25">
      <c r="A2242" t="s">
        <v>1742</v>
      </c>
      <c r="B2242" t="s">
        <v>1743</v>
      </c>
      <c r="C2242" t="s">
        <v>1752</v>
      </c>
      <c r="D2242" t="s">
        <v>228</v>
      </c>
      <c r="E2242" t="str">
        <f>INDEX('State Codes'!$E$7:$E$70,MATCH(INDEX('State Codes'!$C$7:$C$70,MATCH('County Climates'!B2242,'State Codes'!$D$7:$D$70,0),1),'State Codes'!$C$7:$C$70,0),1)</f>
        <v>West North Central Division</v>
      </c>
      <c r="F2242">
        <f>INDEX('CBECS_Table B5'!$C$6:$K$6,1,MATCH('County Climates'!E2242,'CBECS_Table B5'!$C$1:$K$1,0))</f>
        <v>6178</v>
      </c>
    </row>
    <row r="2243" spans="1:6" x14ac:dyDescent="0.25">
      <c r="A2243" t="s">
        <v>1742</v>
      </c>
      <c r="B2243" t="s">
        <v>1743</v>
      </c>
      <c r="C2243" t="s">
        <v>1753</v>
      </c>
      <c r="D2243" t="s">
        <v>229</v>
      </c>
      <c r="E2243" t="str">
        <f>INDEX('State Codes'!$E$7:$E$70,MATCH(INDEX('State Codes'!$C$7:$C$70,MATCH('County Climates'!B2243,'State Codes'!$D$7:$D$70,0),1),'State Codes'!$C$7:$C$70,0),1)</f>
        <v>West North Central Division</v>
      </c>
      <c r="F2243">
        <f>INDEX('CBECS_Table B5'!$C$6:$K$6,1,MATCH('County Climates'!E2243,'CBECS_Table B5'!$C$1:$K$1,0))</f>
        <v>6178</v>
      </c>
    </row>
    <row r="2244" spans="1:6" x14ac:dyDescent="0.25">
      <c r="A2244" t="s">
        <v>1742</v>
      </c>
      <c r="B2244" t="s">
        <v>1743</v>
      </c>
      <c r="C2244" t="s">
        <v>1754</v>
      </c>
      <c r="D2244" t="s">
        <v>228</v>
      </c>
      <c r="E2244" t="str">
        <f>INDEX('State Codes'!$E$7:$E$70,MATCH(INDEX('State Codes'!$C$7:$C$70,MATCH('County Climates'!B2244,'State Codes'!$D$7:$D$70,0),1),'State Codes'!$C$7:$C$70,0),1)</f>
        <v>West North Central Division</v>
      </c>
      <c r="F2244">
        <f>INDEX('CBECS_Table B5'!$C$6:$K$6,1,MATCH('County Climates'!E2244,'CBECS_Table B5'!$C$1:$K$1,0))</f>
        <v>6178</v>
      </c>
    </row>
    <row r="2245" spans="1:6" x14ac:dyDescent="0.25">
      <c r="A2245" t="s">
        <v>1742</v>
      </c>
      <c r="B2245" t="s">
        <v>1743</v>
      </c>
      <c r="C2245" t="s">
        <v>1755</v>
      </c>
      <c r="D2245" t="s">
        <v>228</v>
      </c>
      <c r="E2245" t="str">
        <f>INDEX('State Codes'!$E$7:$E$70,MATCH(INDEX('State Codes'!$C$7:$C$70,MATCH('County Climates'!B2245,'State Codes'!$D$7:$D$70,0),1),'State Codes'!$C$7:$C$70,0),1)</f>
        <v>West North Central Division</v>
      </c>
      <c r="F2245">
        <f>INDEX('CBECS_Table B5'!$C$6:$K$6,1,MATCH('County Climates'!E2245,'CBECS_Table B5'!$C$1:$K$1,0))</f>
        <v>6178</v>
      </c>
    </row>
    <row r="2246" spans="1:6" x14ac:dyDescent="0.25">
      <c r="A2246" t="s">
        <v>1742</v>
      </c>
      <c r="B2246" t="s">
        <v>1743</v>
      </c>
      <c r="C2246" t="s">
        <v>665</v>
      </c>
      <c r="D2246" t="s">
        <v>228</v>
      </c>
      <c r="E2246" t="str">
        <f>INDEX('State Codes'!$E$7:$E$70,MATCH(INDEX('State Codes'!$C$7:$C$70,MATCH('County Climates'!B2246,'State Codes'!$D$7:$D$70,0),1),'State Codes'!$C$7:$C$70,0),1)</f>
        <v>West North Central Division</v>
      </c>
      <c r="F2246">
        <f>INDEX('CBECS_Table B5'!$C$6:$K$6,1,MATCH('County Climates'!E2246,'CBECS_Table B5'!$C$1:$K$1,0))</f>
        <v>6178</v>
      </c>
    </row>
    <row r="2247" spans="1:6" x14ac:dyDescent="0.25">
      <c r="A2247" t="s">
        <v>1742</v>
      </c>
      <c r="B2247" t="s">
        <v>1743</v>
      </c>
      <c r="C2247" t="s">
        <v>916</v>
      </c>
      <c r="D2247" t="s">
        <v>228</v>
      </c>
      <c r="E2247" t="str">
        <f>INDEX('State Codes'!$E$7:$E$70,MATCH(INDEX('State Codes'!$C$7:$C$70,MATCH('County Climates'!B2247,'State Codes'!$D$7:$D$70,0),1),'State Codes'!$C$7:$C$70,0),1)</f>
        <v>West North Central Division</v>
      </c>
      <c r="F2247">
        <f>INDEX('CBECS_Table B5'!$C$6:$K$6,1,MATCH('County Climates'!E2247,'CBECS_Table B5'!$C$1:$K$1,0))</f>
        <v>6178</v>
      </c>
    </row>
    <row r="2248" spans="1:6" x14ac:dyDescent="0.25">
      <c r="A2248" t="s">
        <v>1742</v>
      </c>
      <c r="B2248" t="s">
        <v>1743</v>
      </c>
      <c r="C2248" t="s">
        <v>1756</v>
      </c>
      <c r="D2248" t="s">
        <v>229</v>
      </c>
      <c r="E2248" t="str">
        <f>INDEX('State Codes'!$E$7:$E$70,MATCH(INDEX('State Codes'!$C$7:$C$70,MATCH('County Climates'!B2248,'State Codes'!$D$7:$D$70,0),1),'State Codes'!$C$7:$C$70,0),1)</f>
        <v>West North Central Division</v>
      </c>
      <c r="F2248">
        <f>INDEX('CBECS_Table B5'!$C$6:$K$6,1,MATCH('County Climates'!E2248,'CBECS_Table B5'!$C$1:$K$1,0))</f>
        <v>6178</v>
      </c>
    </row>
    <row r="2249" spans="1:6" x14ac:dyDescent="0.25">
      <c r="A2249" t="s">
        <v>1742</v>
      </c>
      <c r="B2249" t="s">
        <v>1743</v>
      </c>
      <c r="C2249" t="s">
        <v>340</v>
      </c>
      <c r="D2249" t="s">
        <v>228</v>
      </c>
      <c r="E2249" t="str">
        <f>INDEX('State Codes'!$E$7:$E$70,MATCH(INDEX('State Codes'!$C$7:$C$70,MATCH('County Climates'!B2249,'State Codes'!$D$7:$D$70,0),1),'State Codes'!$C$7:$C$70,0),1)</f>
        <v>West North Central Division</v>
      </c>
      <c r="F2249">
        <f>INDEX('CBECS_Table B5'!$C$6:$K$6,1,MATCH('County Climates'!E2249,'CBECS_Table B5'!$C$1:$K$1,0))</f>
        <v>6178</v>
      </c>
    </row>
    <row r="2250" spans="1:6" x14ac:dyDescent="0.25">
      <c r="A2250" t="s">
        <v>1742</v>
      </c>
      <c r="B2250" t="s">
        <v>1743</v>
      </c>
      <c r="C2250" t="s">
        <v>1757</v>
      </c>
      <c r="D2250" t="s">
        <v>228</v>
      </c>
      <c r="E2250" t="str">
        <f>INDEX('State Codes'!$E$7:$E$70,MATCH(INDEX('State Codes'!$C$7:$C$70,MATCH('County Climates'!B2250,'State Codes'!$D$7:$D$70,0),1),'State Codes'!$C$7:$C$70,0),1)</f>
        <v>West North Central Division</v>
      </c>
      <c r="F2250">
        <f>INDEX('CBECS_Table B5'!$C$6:$K$6,1,MATCH('County Climates'!E2250,'CBECS_Table B5'!$C$1:$K$1,0))</f>
        <v>6178</v>
      </c>
    </row>
    <row r="2251" spans="1:6" x14ac:dyDescent="0.25">
      <c r="A2251" t="s">
        <v>1742</v>
      </c>
      <c r="B2251" t="s">
        <v>1743</v>
      </c>
      <c r="C2251" t="s">
        <v>1758</v>
      </c>
      <c r="D2251" t="s">
        <v>228</v>
      </c>
      <c r="E2251" t="str">
        <f>INDEX('State Codes'!$E$7:$E$70,MATCH(INDEX('State Codes'!$C$7:$C$70,MATCH('County Climates'!B2251,'State Codes'!$D$7:$D$70,0),1),'State Codes'!$C$7:$C$70,0),1)</f>
        <v>West North Central Division</v>
      </c>
      <c r="F2251">
        <f>INDEX('CBECS_Table B5'!$C$6:$K$6,1,MATCH('County Climates'!E2251,'CBECS_Table B5'!$C$1:$K$1,0))</f>
        <v>6178</v>
      </c>
    </row>
    <row r="2252" spans="1:6" x14ac:dyDescent="0.25">
      <c r="A2252" t="s">
        <v>1742</v>
      </c>
      <c r="B2252" t="s">
        <v>1743</v>
      </c>
      <c r="C2252" t="s">
        <v>863</v>
      </c>
      <c r="D2252" t="s">
        <v>229</v>
      </c>
      <c r="E2252" t="str">
        <f>INDEX('State Codes'!$E$7:$E$70,MATCH(INDEX('State Codes'!$C$7:$C$70,MATCH('County Climates'!B2252,'State Codes'!$D$7:$D$70,0),1),'State Codes'!$C$7:$C$70,0),1)</f>
        <v>West North Central Division</v>
      </c>
      <c r="F2252">
        <f>INDEX('CBECS_Table B5'!$C$6:$K$6,1,MATCH('County Climates'!E2252,'CBECS_Table B5'!$C$1:$K$1,0))</f>
        <v>6178</v>
      </c>
    </row>
    <row r="2253" spans="1:6" x14ac:dyDescent="0.25">
      <c r="A2253" t="s">
        <v>1742</v>
      </c>
      <c r="B2253" t="s">
        <v>1743</v>
      </c>
      <c r="C2253" t="s">
        <v>1759</v>
      </c>
      <c r="D2253" t="s">
        <v>228</v>
      </c>
      <c r="E2253" t="str">
        <f>INDEX('State Codes'!$E$7:$E$70,MATCH(INDEX('State Codes'!$C$7:$C$70,MATCH('County Climates'!B2253,'State Codes'!$D$7:$D$70,0),1),'State Codes'!$C$7:$C$70,0),1)</f>
        <v>West North Central Division</v>
      </c>
      <c r="F2253">
        <f>INDEX('CBECS_Table B5'!$C$6:$K$6,1,MATCH('County Climates'!E2253,'CBECS_Table B5'!$C$1:$K$1,0))</f>
        <v>6178</v>
      </c>
    </row>
    <row r="2254" spans="1:6" x14ac:dyDescent="0.25">
      <c r="A2254" t="s">
        <v>1742</v>
      </c>
      <c r="B2254" t="s">
        <v>1743</v>
      </c>
      <c r="C2254" t="s">
        <v>1760</v>
      </c>
      <c r="D2254" t="s">
        <v>228</v>
      </c>
      <c r="E2254" t="str">
        <f>INDEX('State Codes'!$E$7:$E$70,MATCH(INDEX('State Codes'!$C$7:$C$70,MATCH('County Climates'!B2254,'State Codes'!$D$7:$D$70,0),1),'State Codes'!$C$7:$C$70,0),1)</f>
        <v>West North Central Division</v>
      </c>
      <c r="F2254">
        <f>INDEX('CBECS_Table B5'!$C$6:$K$6,1,MATCH('County Climates'!E2254,'CBECS_Table B5'!$C$1:$K$1,0))</f>
        <v>6178</v>
      </c>
    </row>
    <row r="2255" spans="1:6" x14ac:dyDescent="0.25">
      <c r="A2255" t="s">
        <v>1742</v>
      </c>
      <c r="B2255" t="s">
        <v>1743</v>
      </c>
      <c r="C2255" t="s">
        <v>1627</v>
      </c>
      <c r="D2255" t="s">
        <v>228</v>
      </c>
      <c r="E2255" t="str">
        <f>INDEX('State Codes'!$E$7:$E$70,MATCH(INDEX('State Codes'!$C$7:$C$70,MATCH('County Climates'!B2255,'State Codes'!$D$7:$D$70,0),1),'State Codes'!$C$7:$C$70,0),1)</f>
        <v>West North Central Division</v>
      </c>
      <c r="F2255">
        <f>INDEX('CBECS_Table B5'!$C$6:$K$6,1,MATCH('County Climates'!E2255,'CBECS_Table B5'!$C$1:$K$1,0))</f>
        <v>6178</v>
      </c>
    </row>
    <row r="2256" spans="1:6" x14ac:dyDescent="0.25">
      <c r="A2256" t="s">
        <v>1742</v>
      </c>
      <c r="B2256" t="s">
        <v>1743</v>
      </c>
      <c r="C2256" t="s">
        <v>1761</v>
      </c>
      <c r="D2256" t="s">
        <v>228</v>
      </c>
      <c r="E2256" t="str">
        <f>INDEX('State Codes'!$E$7:$E$70,MATCH(INDEX('State Codes'!$C$7:$C$70,MATCH('County Climates'!B2256,'State Codes'!$D$7:$D$70,0),1),'State Codes'!$C$7:$C$70,0),1)</f>
        <v>West North Central Division</v>
      </c>
      <c r="F2256">
        <f>INDEX('CBECS_Table B5'!$C$6:$K$6,1,MATCH('County Climates'!E2256,'CBECS_Table B5'!$C$1:$K$1,0))</f>
        <v>6178</v>
      </c>
    </row>
    <row r="2257" spans="1:6" x14ac:dyDescent="0.25">
      <c r="A2257" t="s">
        <v>1742</v>
      </c>
      <c r="B2257" t="s">
        <v>1743</v>
      </c>
      <c r="C2257" t="s">
        <v>706</v>
      </c>
      <c r="D2257" t="s">
        <v>228</v>
      </c>
      <c r="E2257" t="str">
        <f>INDEX('State Codes'!$E$7:$E$70,MATCH(INDEX('State Codes'!$C$7:$C$70,MATCH('County Climates'!B2257,'State Codes'!$D$7:$D$70,0),1),'State Codes'!$C$7:$C$70,0),1)</f>
        <v>West North Central Division</v>
      </c>
      <c r="F2257">
        <f>INDEX('CBECS_Table B5'!$C$6:$K$6,1,MATCH('County Climates'!E2257,'CBECS_Table B5'!$C$1:$K$1,0))</f>
        <v>6178</v>
      </c>
    </row>
    <row r="2258" spans="1:6" x14ac:dyDescent="0.25">
      <c r="A2258" t="s">
        <v>1742</v>
      </c>
      <c r="B2258" t="s">
        <v>1743</v>
      </c>
      <c r="C2258" t="s">
        <v>1762</v>
      </c>
      <c r="D2258" t="s">
        <v>228</v>
      </c>
      <c r="E2258" t="str">
        <f>INDEX('State Codes'!$E$7:$E$70,MATCH(INDEX('State Codes'!$C$7:$C$70,MATCH('County Climates'!B2258,'State Codes'!$D$7:$D$70,0),1),'State Codes'!$C$7:$C$70,0),1)</f>
        <v>West North Central Division</v>
      </c>
      <c r="F2258">
        <f>INDEX('CBECS_Table B5'!$C$6:$K$6,1,MATCH('County Climates'!E2258,'CBECS_Table B5'!$C$1:$K$1,0))</f>
        <v>6178</v>
      </c>
    </row>
    <row r="2259" spans="1:6" x14ac:dyDescent="0.25">
      <c r="A2259" t="s">
        <v>1742</v>
      </c>
      <c r="B2259" t="s">
        <v>1743</v>
      </c>
      <c r="C2259" t="s">
        <v>1763</v>
      </c>
      <c r="D2259" t="s">
        <v>228</v>
      </c>
      <c r="E2259" t="str">
        <f>INDEX('State Codes'!$E$7:$E$70,MATCH(INDEX('State Codes'!$C$7:$C$70,MATCH('County Climates'!B2259,'State Codes'!$D$7:$D$70,0),1),'State Codes'!$C$7:$C$70,0),1)</f>
        <v>West North Central Division</v>
      </c>
      <c r="F2259">
        <f>INDEX('CBECS_Table B5'!$C$6:$K$6,1,MATCH('County Climates'!E2259,'CBECS_Table B5'!$C$1:$K$1,0))</f>
        <v>6178</v>
      </c>
    </row>
    <row r="2260" spans="1:6" x14ac:dyDescent="0.25">
      <c r="A2260" t="s">
        <v>1742</v>
      </c>
      <c r="B2260" t="s">
        <v>1743</v>
      </c>
      <c r="C2260" t="s">
        <v>1764</v>
      </c>
      <c r="D2260" t="s">
        <v>229</v>
      </c>
      <c r="E2260" t="str">
        <f>INDEX('State Codes'!$E$7:$E$70,MATCH(INDEX('State Codes'!$C$7:$C$70,MATCH('County Climates'!B2260,'State Codes'!$D$7:$D$70,0),1),'State Codes'!$C$7:$C$70,0),1)</f>
        <v>West North Central Division</v>
      </c>
      <c r="F2260">
        <f>INDEX('CBECS_Table B5'!$C$6:$K$6,1,MATCH('County Climates'!E2260,'CBECS_Table B5'!$C$1:$K$1,0))</f>
        <v>6178</v>
      </c>
    </row>
    <row r="2261" spans="1:6" x14ac:dyDescent="0.25">
      <c r="A2261" t="s">
        <v>1742</v>
      </c>
      <c r="B2261" t="s">
        <v>1743</v>
      </c>
      <c r="C2261" t="s">
        <v>1765</v>
      </c>
      <c r="D2261" t="s">
        <v>228</v>
      </c>
      <c r="E2261" t="str">
        <f>INDEX('State Codes'!$E$7:$E$70,MATCH(INDEX('State Codes'!$C$7:$C$70,MATCH('County Climates'!B2261,'State Codes'!$D$7:$D$70,0),1),'State Codes'!$C$7:$C$70,0),1)</f>
        <v>West North Central Division</v>
      </c>
      <c r="F2261">
        <f>INDEX('CBECS_Table B5'!$C$6:$K$6,1,MATCH('County Climates'!E2261,'CBECS_Table B5'!$C$1:$K$1,0))</f>
        <v>6178</v>
      </c>
    </row>
    <row r="2262" spans="1:6" x14ac:dyDescent="0.25">
      <c r="A2262" t="s">
        <v>1742</v>
      </c>
      <c r="B2262" t="s">
        <v>1743</v>
      </c>
      <c r="C2262" t="s">
        <v>308</v>
      </c>
      <c r="D2262" t="s">
        <v>228</v>
      </c>
      <c r="E2262" t="str">
        <f>INDEX('State Codes'!$E$7:$E$70,MATCH(INDEX('State Codes'!$C$7:$C$70,MATCH('County Climates'!B2262,'State Codes'!$D$7:$D$70,0),1),'State Codes'!$C$7:$C$70,0),1)</f>
        <v>West North Central Division</v>
      </c>
      <c r="F2262">
        <f>INDEX('CBECS_Table B5'!$C$6:$K$6,1,MATCH('County Climates'!E2262,'CBECS_Table B5'!$C$1:$K$1,0))</f>
        <v>6178</v>
      </c>
    </row>
    <row r="2263" spans="1:6" x14ac:dyDescent="0.25">
      <c r="A2263" t="s">
        <v>1742</v>
      </c>
      <c r="B2263" t="s">
        <v>1743</v>
      </c>
      <c r="C2263" t="s">
        <v>1766</v>
      </c>
      <c r="D2263" t="s">
        <v>228</v>
      </c>
      <c r="E2263" t="str">
        <f>INDEX('State Codes'!$E$7:$E$70,MATCH(INDEX('State Codes'!$C$7:$C$70,MATCH('County Climates'!B2263,'State Codes'!$D$7:$D$70,0),1),'State Codes'!$C$7:$C$70,0),1)</f>
        <v>West North Central Division</v>
      </c>
      <c r="F2263">
        <f>INDEX('CBECS_Table B5'!$C$6:$K$6,1,MATCH('County Climates'!E2263,'CBECS_Table B5'!$C$1:$K$1,0))</f>
        <v>6178</v>
      </c>
    </row>
    <row r="2264" spans="1:6" x14ac:dyDescent="0.25">
      <c r="A2264" t="s">
        <v>1742</v>
      </c>
      <c r="B2264" t="s">
        <v>1743</v>
      </c>
      <c r="C2264" t="s">
        <v>1767</v>
      </c>
      <c r="D2264" t="s">
        <v>229</v>
      </c>
      <c r="E2264" t="str">
        <f>INDEX('State Codes'!$E$7:$E$70,MATCH(INDEX('State Codes'!$C$7:$C$70,MATCH('County Climates'!B2264,'State Codes'!$D$7:$D$70,0),1),'State Codes'!$C$7:$C$70,0),1)</f>
        <v>West North Central Division</v>
      </c>
      <c r="F2264">
        <f>INDEX('CBECS_Table B5'!$C$6:$K$6,1,MATCH('County Climates'!E2264,'CBECS_Table B5'!$C$1:$K$1,0))</f>
        <v>6178</v>
      </c>
    </row>
    <row r="2265" spans="1:6" x14ac:dyDescent="0.25">
      <c r="A2265" t="s">
        <v>1742</v>
      </c>
      <c r="B2265" t="s">
        <v>1743</v>
      </c>
      <c r="C2265" t="s">
        <v>1768</v>
      </c>
      <c r="D2265" t="s">
        <v>228</v>
      </c>
      <c r="E2265" t="str">
        <f>INDEX('State Codes'!$E$7:$E$70,MATCH(INDEX('State Codes'!$C$7:$C$70,MATCH('County Climates'!B2265,'State Codes'!$D$7:$D$70,0),1),'State Codes'!$C$7:$C$70,0),1)</f>
        <v>West North Central Division</v>
      </c>
      <c r="F2265">
        <f>INDEX('CBECS_Table B5'!$C$6:$K$6,1,MATCH('County Climates'!E2265,'CBECS_Table B5'!$C$1:$K$1,0))</f>
        <v>6178</v>
      </c>
    </row>
    <row r="2266" spans="1:6" x14ac:dyDescent="0.25">
      <c r="A2266" t="s">
        <v>1742</v>
      </c>
      <c r="B2266" t="s">
        <v>1743</v>
      </c>
      <c r="C2266" t="s">
        <v>870</v>
      </c>
      <c r="D2266" t="s">
        <v>228</v>
      </c>
      <c r="E2266" t="str">
        <f>INDEX('State Codes'!$E$7:$E$70,MATCH(INDEX('State Codes'!$C$7:$C$70,MATCH('County Climates'!B2266,'State Codes'!$D$7:$D$70,0),1),'State Codes'!$C$7:$C$70,0),1)</f>
        <v>West North Central Division</v>
      </c>
      <c r="F2266">
        <f>INDEX('CBECS_Table B5'!$C$6:$K$6,1,MATCH('County Climates'!E2266,'CBECS_Table B5'!$C$1:$K$1,0))</f>
        <v>6178</v>
      </c>
    </row>
    <row r="2267" spans="1:6" x14ac:dyDescent="0.25">
      <c r="A2267" t="s">
        <v>1742</v>
      </c>
      <c r="B2267" t="s">
        <v>1743</v>
      </c>
      <c r="C2267" t="s">
        <v>1769</v>
      </c>
      <c r="D2267" t="s">
        <v>228</v>
      </c>
      <c r="E2267" t="str">
        <f>INDEX('State Codes'!$E$7:$E$70,MATCH(INDEX('State Codes'!$C$7:$C$70,MATCH('County Climates'!B2267,'State Codes'!$D$7:$D$70,0),1),'State Codes'!$C$7:$C$70,0),1)</f>
        <v>West North Central Division</v>
      </c>
      <c r="F2267">
        <f>INDEX('CBECS_Table B5'!$C$6:$K$6,1,MATCH('County Climates'!E2267,'CBECS_Table B5'!$C$1:$K$1,0))</f>
        <v>6178</v>
      </c>
    </row>
    <row r="2268" spans="1:6" x14ac:dyDescent="0.25">
      <c r="A2268" t="s">
        <v>1770</v>
      </c>
      <c r="B2268" t="s">
        <v>329</v>
      </c>
      <c r="C2268" t="s">
        <v>516</v>
      </c>
      <c r="D2268" t="s">
        <v>243</v>
      </c>
      <c r="E2268" t="str">
        <f>INDEX('State Codes'!$E$7:$E$70,MATCH(INDEX('State Codes'!$C$7:$C$70,MATCH('County Climates'!B2268,'State Codes'!$D$7:$D$70,0),1),'State Codes'!$C$7:$C$70,0),1)</f>
        <v>East South Central Division</v>
      </c>
      <c r="F2268">
        <f>INDEX('CBECS_Table B5'!$C$6:$K$6,1,MATCH('County Climates'!E2268,'CBECS_Table B5'!$C$1:$K$1,0))</f>
        <v>4904</v>
      </c>
    </row>
    <row r="2269" spans="1:6" x14ac:dyDescent="0.25">
      <c r="A2269" t="s">
        <v>1770</v>
      </c>
      <c r="B2269" t="s">
        <v>329</v>
      </c>
      <c r="C2269" t="s">
        <v>1771</v>
      </c>
      <c r="D2269" t="s">
        <v>247</v>
      </c>
      <c r="E2269" t="str">
        <f>INDEX('State Codes'!$E$7:$E$70,MATCH(INDEX('State Codes'!$C$7:$C$70,MATCH('County Climates'!B2269,'State Codes'!$D$7:$D$70,0),1),'State Codes'!$C$7:$C$70,0),1)</f>
        <v>East South Central Division</v>
      </c>
      <c r="F2269">
        <f>INDEX('CBECS_Table B5'!$C$6:$K$6,1,MATCH('County Climates'!E2269,'CBECS_Table B5'!$C$1:$K$1,0))</f>
        <v>4904</v>
      </c>
    </row>
    <row r="2270" spans="1:6" x14ac:dyDescent="0.25">
      <c r="A2270" t="s">
        <v>1770</v>
      </c>
      <c r="B2270" t="s">
        <v>329</v>
      </c>
      <c r="C2270" t="s">
        <v>1772</v>
      </c>
      <c r="D2270" t="s">
        <v>243</v>
      </c>
      <c r="E2270" t="str">
        <f>INDEX('State Codes'!$E$7:$E$70,MATCH(INDEX('State Codes'!$C$7:$C$70,MATCH('County Climates'!B2270,'State Codes'!$D$7:$D$70,0),1),'State Codes'!$C$7:$C$70,0),1)</f>
        <v>East South Central Division</v>
      </c>
      <c r="F2270">
        <f>INDEX('CBECS_Table B5'!$C$6:$K$6,1,MATCH('County Climates'!E2270,'CBECS_Table B5'!$C$1:$K$1,0))</f>
        <v>4904</v>
      </c>
    </row>
    <row r="2271" spans="1:6" x14ac:dyDescent="0.25">
      <c r="A2271" t="s">
        <v>1770</v>
      </c>
      <c r="B2271" t="s">
        <v>329</v>
      </c>
      <c r="C2271" t="s">
        <v>1773</v>
      </c>
      <c r="D2271" t="s">
        <v>247</v>
      </c>
      <c r="E2271" t="str">
        <f>INDEX('State Codes'!$E$7:$E$70,MATCH(INDEX('State Codes'!$C$7:$C$70,MATCH('County Climates'!B2271,'State Codes'!$D$7:$D$70,0),1),'State Codes'!$C$7:$C$70,0),1)</f>
        <v>East South Central Division</v>
      </c>
      <c r="F2271">
        <f>INDEX('CBECS_Table B5'!$C$6:$K$6,1,MATCH('County Climates'!E2271,'CBECS_Table B5'!$C$1:$K$1,0))</f>
        <v>4904</v>
      </c>
    </row>
    <row r="2272" spans="1:6" x14ac:dyDescent="0.25">
      <c r="A2272" t="s">
        <v>1770</v>
      </c>
      <c r="B2272" t="s">
        <v>329</v>
      </c>
      <c r="C2272" t="s">
        <v>575</v>
      </c>
      <c r="D2272" t="s">
        <v>247</v>
      </c>
      <c r="E2272" t="str">
        <f>INDEX('State Codes'!$E$7:$E$70,MATCH(INDEX('State Codes'!$C$7:$C$70,MATCH('County Climates'!B2272,'State Codes'!$D$7:$D$70,0),1),'State Codes'!$C$7:$C$70,0),1)</f>
        <v>East South Central Division</v>
      </c>
      <c r="F2272">
        <f>INDEX('CBECS_Table B5'!$C$6:$K$6,1,MATCH('County Climates'!E2272,'CBECS_Table B5'!$C$1:$K$1,0))</f>
        <v>4904</v>
      </c>
    </row>
    <row r="2273" spans="1:6" x14ac:dyDescent="0.25">
      <c r="A2273" t="s">
        <v>1770</v>
      </c>
      <c r="B2273" t="s">
        <v>329</v>
      </c>
      <c r="C2273" t="s">
        <v>1774</v>
      </c>
      <c r="D2273" t="s">
        <v>247</v>
      </c>
      <c r="E2273" t="str">
        <f>INDEX('State Codes'!$E$7:$E$70,MATCH(INDEX('State Codes'!$C$7:$C$70,MATCH('County Climates'!B2273,'State Codes'!$D$7:$D$70,0),1),'State Codes'!$C$7:$C$70,0),1)</f>
        <v>East South Central Division</v>
      </c>
      <c r="F2273">
        <f>INDEX('CBECS_Table B5'!$C$6:$K$6,1,MATCH('County Climates'!E2273,'CBECS_Table B5'!$C$1:$K$1,0))</f>
        <v>4904</v>
      </c>
    </row>
    <row r="2274" spans="1:6" x14ac:dyDescent="0.25">
      <c r="A2274" t="s">
        <v>1770</v>
      </c>
      <c r="B2274" t="s">
        <v>329</v>
      </c>
      <c r="C2274" t="s">
        <v>251</v>
      </c>
      <c r="D2274" t="s">
        <v>247</v>
      </c>
      <c r="E2274" t="str">
        <f>INDEX('State Codes'!$E$7:$E$70,MATCH(INDEX('State Codes'!$C$7:$C$70,MATCH('County Climates'!B2274,'State Codes'!$D$7:$D$70,0),1),'State Codes'!$C$7:$C$70,0),1)</f>
        <v>East South Central Division</v>
      </c>
      <c r="F2274">
        <f>INDEX('CBECS_Table B5'!$C$6:$K$6,1,MATCH('County Climates'!E2274,'CBECS_Table B5'!$C$1:$K$1,0))</f>
        <v>4904</v>
      </c>
    </row>
    <row r="2275" spans="1:6" x14ac:dyDescent="0.25">
      <c r="A2275" t="s">
        <v>1770</v>
      </c>
      <c r="B2275" t="s">
        <v>329</v>
      </c>
      <c r="C2275" t="s">
        <v>447</v>
      </c>
      <c r="D2275" t="s">
        <v>247</v>
      </c>
      <c r="E2275" t="str">
        <f>INDEX('State Codes'!$E$7:$E$70,MATCH(INDEX('State Codes'!$C$7:$C$70,MATCH('County Climates'!B2275,'State Codes'!$D$7:$D$70,0),1),'State Codes'!$C$7:$C$70,0),1)</f>
        <v>East South Central Division</v>
      </c>
      <c r="F2275">
        <f>INDEX('CBECS_Table B5'!$C$6:$K$6,1,MATCH('County Climates'!E2275,'CBECS_Table B5'!$C$1:$K$1,0))</f>
        <v>4904</v>
      </c>
    </row>
    <row r="2276" spans="1:6" x14ac:dyDescent="0.25">
      <c r="A2276" t="s">
        <v>1770</v>
      </c>
      <c r="B2276" t="s">
        <v>329</v>
      </c>
      <c r="C2276" t="s">
        <v>601</v>
      </c>
      <c r="D2276" t="s">
        <v>247</v>
      </c>
      <c r="E2276" t="str">
        <f>INDEX('State Codes'!$E$7:$E$70,MATCH(INDEX('State Codes'!$C$7:$C$70,MATCH('County Climates'!B2276,'State Codes'!$D$7:$D$70,0),1),'State Codes'!$C$7:$C$70,0),1)</f>
        <v>East South Central Division</v>
      </c>
      <c r="F2276">
        <f>INDEX('CBECS_Table B5'!$C$6:$K$6,1,MATCH('County Climates'!E2276,'CBECS_Table B5'!$C$1:$K$1,0))</f>
        <v>4904</v>
      </c>
    </row>
    <row r="2277" spans="1:6" x14ac:dyDescent="0.25">
      <c r="A2277" t="s">
        <v>1770</v>
      </c>
      <c r="B2277" t="s">
        <v>329</v>
      </c>
      <c r="C2277" t="s">
        <v>255</v>
      </c>
      <c r="D2277" t="s">
        <v>247</v>
      </c>
      <c r="E2277" t="str">
        <f>INDEX('State Codes'!$E$7:$E$70,MATCH(INDEX('State Codes'!$C$7:$C$70,MATCH('County Climates'!B2277,'State Codes'!$D$7:$D$70,0),1),'State Codes'!$C$7:$C$70,0),1)</f>
        <v>East South Central Division</v>
      </c>
      <c r="F2277">
        <f>INDEX('CBECS_Table B5'!$C$6:$K$6,1,MATCH('County Climates'!E2277,'CBECS_Table B5'!$C$1:$K$1,0))</f>
        <v>4904</v>
      </c>
    </row>
    <row r="2278" spans="1:6" x14ac:dyDescent="0.25">
      <c r="A2278" t="s">
        <v>1770</v>
      </c>
      <c r="B2278" t="s">
        <v>329</v>
      </c>
      <c r="C2278" t="s">
        <v>1669</v>
      </c>
      <c r="D2278" t="s">
        <v>243</v>
      </c>
      <c r="E2278" t="str">
        <f>INDEX('State Codes'!$E$7:$E$70,MATCH(INDEX('State Codes'!$C$7:$C$70,MATCH('County Climates'!B2278,'State Codes'!$D$7:$D$70,0),1),'State Codes'!$C$7:$C$70,0),1)</f>
        <v>East South Central Division</v>
      </c>
      <c r="F2278">
        <f>INDEX('CBECS_Table B5'!$C$6:$K$6,1,MATCH('County Climates'!E2278,'CBECS_Table B5'!$C$1:$K$1,0))</f>
        <v>4904</v>
      </c>
    </row>
    <row r="2279" spans="1:6" x14ac:dyDescent="0.25">
      <c r="A2279" t="s">
        <v>1770</v>
      </c>
      <c r="B2279" t="s">
        <v>329</v>
      </c>
      <c r="C2279" t="s">
        <v>256</v>
      </c>
      <c r="D2279" t="s">
        <v>247</v>
      </c>
      <c r="E2279" t="str">
        <f>INDEX('State Codes'!$E$7:$E$70,MATCH(INDEX('State Codes'!$C$7:$C$70,MATCH('County Climates'!B2279,'State Codes'!$D$7:$D$70,0),1),'State Codes'!$C$7:$C$70,0),1)</f>
        <v>East South Central Division</v>
      </c>
      <c r="F2279">
        <f>INDEX('CBECS_Table B5'!$C$6:$K$6,1,MATCH('County Climates'!E2279,'CBECS_Table B5'!$C$1:$K$1,0))</f>
        <v>4904</v>
      </c>
    </row>
    <row r="2280" spans="1:6" x14ac:dyDescent="0.25">
      <c r="A2280" t="s">
        <v>1770</v>
      </c>
      <c r="B2280" t="s">
        <v>329</v>
      </c>
      <c r="C2280" t="s">
        <v>257</v>
      </c>
      <c r="D2280" t="s">
        <v>247</v>
      </c>
      <c r="E2280" t="str">
        <f>INDEX('State Codes'!$E$7:$E$70,MATCH(INDEX('State Codes'!$C$7:$C$70,MATCH('County Climates'!B2280,'State Codes'!$D$7:$D$70,0),1),'State Codes'!$C$7:$C$70,0),1)</f>
        <v>East South Central Division</v>
      </c>
      <c r="F2280">
        <f>INDEX('CBECS_Table B5'!$C$6:$K$6,1,MATCH('County Climates'!E2280,'CBECS_Table B5'!$C$1:$K$1,0))</f>
        <v>4904</v>
      </c>
    </row>
    <row r="2281" spans="1:6" x14ac:dyDescent="0.25">
      <c r="A2281" t="s">
        <v>1770</v>
      </c>
      <c r="B2281" t="s">
        <v>329</v>
      </c>
      <c r="C2281" t="s">
        <v>1775</v>
      </c>
      <c r="D2281" t="s">
        <v>247</v>
      </c>
      <c r="E2281" t="str">
        <f>INDEX('State Codes'!$E$7:$E$70,MATCH(INDEX('State Codes'!$C$7:$C$70,MATCH('County Climates'!B2281,'State Codes'!$D$7:$D$70,0),1),'State Codes'!$C$7:$C$70,0),1)</f>
        <v>East South Central Division</v>
      </c>
      <c r="F2281">
        <f>INDEX('CBECS_Table B5'!$C$6:$K$6,1,MATCH('County Climates'!E2281,'CBECS_Table B5'!$C$1:$K$1,0))</f>
        <v>4904</v>
      </c>
    </row>
    <row r="2282" spans="1:6" x14ac:dyDescent="0.25">
      <c r="A2282" t="s">
        <v>1770</v>
      </c>
      <c r="B2282" t="s">
        <v>329</v>
      </c>
      <c r="C2282" t="s">
        <v>1776</v>
      </c>
      <c r="D2282" t="s">
        <v>243</v>
      </c>
      <c r="E2282" t="str">
        <f>INDEX('State Codes'!$E$7:$E$70,MATCH(INDEX('State Codes'!$C$7:$C$70,MATCH('County Climates'!B2282,'State Codes'!$D$7:$D$70,0),1),'State Codes'!$C$7:$C$70,0),1)</f>
        <v>East South Central Division</v>
      </c>
      <c r="F2282">
        <f>INDEX('CBECS_Table B5'!$C$6:$K$6,1,MATCH('County Climates'!E2282,'CBECS_Table B5'!$C$1:$K$1,0))</f>
        <v>4904</v>
      </c>
    </row>
    <row r="2283" spans="1:6" x14ac:dyDescent="0.25">
      <c r="A2283" t="s">
        <v>1770</v>
      </c>
      <c r="B2283" t="s">
        <v>329</v>
      </c>
      <c r="C2283" t="s">
        <v>263</v>
      </c>
      <c r="D2283" t="s">
        <v>243</v>
      </c>
      <c r="E2283" t="str">
        <f>INDEX('State Codes'!$E$7:$E$70,MATCH(INDEX('State Codes'!$C$7:$C$70,MATCH('County Climates'!B2283,'State Codes'!$D$7:$D$70,0),1),'State Codes'!$C$7:$C$70,0),1)</f>
        <v>East South Central Division</v>
      </c>
      <c r="F2283">
        <f>INDEX('CBECS_Table B5'!$C$6:$K$6,1,MATCH('County Climates'!E2283,'CBECS_Table B5'!$C$1:$K$1,0))</f>
        <v>4904</v>
      </c>
    </row>
    <row r="2284" spans="1:6" x14ac:dyDescent="0.25">
      <c r="A2284" t="s">
        <v>1770</v>
      </c>
      <c r="B2284" t="s">
        <v>329</v>
      </c>
      <c r="C2284" t="s">
        <v>1499</v>
      </c>
      <c r="D2284" t="s">
        <v>247</v>
      </c>
      <c r="E2284" t="str">
        <f>INDEX('State Codes'!$E$7:$E$70,MATCH(INDEX('State Codes'!$C$7:$C$70,MATCH('County Climates'!B2284,'State Codes'!$D$7:$D$70,0),1),'State Codes'!$C$7:$C$70,0),1)</f>
        <v>East South Central Division</v>
      </c>
      <c r="F2284">
        <f>INDEX('CBECS_Table B5'!$C$6:$K$6,1,MATCH('County Climates'!E2284,'CBECS_Table B5'!$C$1:$K$1,0))</f>
        <v>4904</v>
      </c>
    </row>
    <row r="2285" spans="1:6" x14ac:dyDescent="0.25">
      <c r="A2285" t="s">
        <v>1770</v>
      </c>
      <c r="B2285" t="s">
        <v>329</v>
      </c>
      <c r="C2285" t="s">
        <v>1777</v>
      </c>
      <c r="D2285" t="s">
        <v>243</v>
      </c>
      <c r="E2285" t="str">
        <f>INDEX('State Codes'!$E$7:$E$70,MATCH(INDEX('State Codes'!$C$7:$C$70,MATCH('County Climates'!B2285,'State Codes'!$D$7:$D$70,0),1),'State Codes'!$C$7:$C$70,0),1)</f>
        <v>East South Central Division</v>
      </c>
      <c r="F2285">
        <f>INDEX('CBECS_Table B5'!$C$6:$K$6,1,MATCH('County Climates'!E2285,'CBECS_Table B5'!$C$1:$K$1,0))</f>
        <v>4904</v>
      </c>
    </row>
    <row r="2286" spans="1:6" x14ac:dyDescent="0.25">
      <c r="A2286" t="s">
        <v>1770</v>
      </c>
      <c r="B2286" t="s">
        <v>329</v>
      </c>
      <c r="C2286" t="s">
        <v>273</v>
      </c>
      <c r="D2286" t="s">
        <v>243</v>
      </c>
      <c r="E2286" t="str">
        <f>INDEX('State Codes'!$E$7:$E$70,MATCH(INDEX('State Codes'!$C$7:$C$70,MATCH('County Climates'!B2286,'State Codes'!$D$7:$D$70,0),1),'State Codes'!$C$7:$C$70,0),1)</f>
        <v>East South Central Division</v>
      </c>
      <c r="F2286">
        <f>INDEX('CBECS_Table B5'!$C$6:$K$6,1,MATCH('County Climates'!E2286,'CBECS_Table B5'!$C$1:$K$1,0))</f>
        <v>4904</v>
      </c>
    </row>
    <row r="2287" spans="1:6" x14ac:dyDescent="0.25">
      <c r="A2287" t="s">
        <v>1770</v>
      </c>
      <c r="B2287" t="s">
        <v>329</v>
      </c>
      <c r="C2287" t="s">
        <v>1778</v>
      </c>
      <c r="D2287" t="s">
        <v>243</v>
      </c>
      <c r="E2287" t="str">
        <f>INDEX('State Codes'!$E$7:$E$70,MATCH(INDEX('State Codes'!$C$7:$C$70,MATCH('County Climates'!B2287,'State Codes'!$D$7:$D$70,0),1),'State Codes'!$C$7:$C$70,0),1)</f>
        <v>East South Central Division</v>
      </c>
      <c r="F2287">
        <f>INDEX('CBECS_Table B5'!$C$6:$K$6,1,MATCH('County Climates'!E2287,'CBECS_Table B5'!$C$1:$K$1,0))</f>
        <v>4904</v>
      </c>
    </row>
    <row r="2288" spans="1:6" x14ac:dyDescent="0.25">
      <c r="A2288" t="s">
        <v>1770</v>
      </c>
      <c r="B2288" t="s">
        <v>329</v>
      </c>
      <c r="C2288" t="s">
        <v>275</v>
      </c>
      <c r="D2288" t="s">
        <v>243</v>
      </c>
      <c r="E2288" t="str">
        <f>INDEX('State Codes'!$E$7:$E$70,MATCH(INDEX('State Codes'!$C$7:$C$70,MATCH('County Climates'!B2288,'State Codes'!$D$7:$D$70,0),1),'State Codes'!$C$7:$C$70,0),1)</f>
        <v>East South Central Division</v>
      </c>
      <c r="F2288">
        <f>INDEX('CBECS_Table B5'!$C$6:$K$6,1,MATCH('County Climates'!E2288,'CBECS_Table B5'!$C$1:$K$1,0))</f>
        <v>4904</v>
      </c>
    </row>
    <row r="2289" spans="1:6" x14ac:dyDescent="0.25">
      <c r="A2289" t="s">
        <v>1770</v>
      </c>
      <c r="B2289" t="s">
        <v>329</v>
      </c>
      <c r="C2289" t="s">
        <v>1779</v>
      </c>
      <c r="D2289" t="s">
        <v>247</v>
      </c>
      <c r="E2289" t="str">
        <f>INDEX('State Codes'!$E$7:$E$70,MATCH(INDEX('State Codes'!$C$7:$C$70,MATCH('County Climates'!B2289,'State Codes'!$D$7:$D$70,0),1),'State Codes'!$C$7:$C$70,0),1)</f>
        <v>East South Central Division</v>
      </c>
      <c r="F2289">
        <f>INDEX('CBECS_Table B5'!$C$6:$K$6,1,MATCH('County Climates'!E2289,'CBECS_Table B5'!$C$1:$K$1,0))</f>
        <v>4904</v>
      </c>
    </row>
    <row r="2290" spans="1:6" x14ac:dyDescent="0.25">
      <c r="A2290" t="s">
        <v>1770</v>
      </c>
      <c r="B2290" t="s">
        <v>329</v>
      </c>
      <c r="C2290" t="s">
        <v>610</v>
      </c>
      <c r="D2290" t="s">
        <v>247</v>
      </c>
      <c r="E2290" t="str">
        <f>INDEX('State Codes'!$E$7:$E$70,MATCH(INDEX('State Codes'!$C$7:$C$70,MATCH('County Climates'!B2290,'State Codes'!$D$7:$D$70,0),1),'State Codes'!$C$7:$C$70,0),1)</f>
        <v>East South Central Division</v>
      </c>
      <c r="F2290">
        <f>INDEX('CBECS_Table B5'!$C$6:$K$6,1,MATCH('County Climates'!E2290,'CBECS_Table B5'!$C$1:$K$1,0))</f>
        <v>4904</v>
      </c>
    </row>
    <row r="2291" spans="1:6" x14ac:dyDescent="0.25">
      <c r="A2291" t="s">
        <v>1770</v>
      </c>
      <c r="B2291" t="s">
        <v>329</v>
      </c>
      <c r="C2291" t="s">
        <v>612</v>
      </c>
      <c r="D2291" t="s">
        <v>247</v>
      </c>
      <c r="E2291" t="str">
        <f>INDEX('State Codes'!$E$7:$E$70,MATCH(INDEX('State Codes'!$C$7:$C$70,MATCH('County Climates'!B2291,'State Codes'!$D$7:$D$70,0),1),'State Codes'!$C$7:$C$70,0),1)</f>
        <v>East South Central Division</v>
      </c>
      <c r="F2291">
        <f>INDEX('CBECS_Table B5'!$C$6:$K$6,1,MATCH('County Climates'!E2291,'CBECS_Table B5'!$C$1:$K$1,0))</f>
        <v>4904</v>
      </c>
    </row>
    <row r="2292" spans="1:6" x14ac:dyDescent="0.25">
      <c r="A2292" t="s">
        <v>1770</v>
      </c>
      <c r="B2292" t="s">
        <v>329</v>
      </c>
      <c r="C2292" t="s">
        <v>1780</v>
      </c>
      <c r="D2292" t="s">
        <v>243</v>
      </c>
      <c r="E2292" t="str">
        <f>INDEX('State Codes'!$E$7:$E$70,MATCH(INDEX('State Codes'!$C$7:$C$70,MATCH('County Climates'!B2292,'State Codes'!$D$7:$D$70,0),1),'State Codes'!$C$7:$C$70,0),1)</f>
        <v>East South Central Division</v>
      </c>
      <c r="F2292">
        <f>INDEX('CBECS_Table B5'!$C$6:$K$6,1,MATCH('County Climates'!E2292,'CBECS_Table B5'!$C$1:$K$1,0))</f>
        <v>4904</v>
      </c>
    </row>
    <row r="2293" spans="1:6" x14ac:dyDescent="0.25">
      <c r="A2293" t="s">
        <v>1770</v>
      </c>
      <c r="B2293" t="s">
        <v>329</v>
      </c>
      <c r="C2293" t="s">
        <v>1034</v>
      </c>
      <c r="D2293" t="s">
        <v>247</v>
      </c>
      <c r="E2293" t="str">
        <f>INDEX('State Codes'!$E$7:$E$70,MATCH(INDEX('State Codes'!$C$7:$C$70,MATCH('County Climates'!B2293,'State Codes'!$D$7:$D$70,0),1),'State Codes'!$C$7:$C$70,0),1)</f>
        <v>East South Central Division</v>
      </c>
      <c r="F2293">
        <f>INDEX('CBECS_Table B5'!$C$6:$K$6,1,MATCH('County Climates'!E2293,'CBECS_Table B5'!$C$1:$K$1,0))</f>
        <v>4904</v>
      </c>
    </row>
    <row r="2294" spans="1:6" x14ac:dyDescent="0.25">
      <c r="A2294" t="s">
        <v>1770</v>
      </c>
      <c r="B2294" t="s">
        <v>329</v>
      </c>
      <c r="C2294" t="s">
        <v>1155</v>
      </c>
      <c r="D2294" t="s">
        <v>247</v>
      </c>
      <c r="E2294" t="str">
        <f>INDEX('State Codes'!$E$7:$E$70,MATCH(INDEX('State Codes'!$C$7:$C$70,MATCH('County Climates'!B2294,'State Codes'!$D$7:$D$70,0),1),'State Codes'!$C$7:$C$70,0),1)</f>
        <v>East South Central Division</v>
      </c>
      <c r="F2294">
        <f>INDEX('CBECS_Table B5'!$C$6:$K$6,1,MATCH('County Climates'!E2294,'CBECS_Table B5'!$C$1:$K$1,0))</f>
        <v>4904</v>
      </c>
    </row>
    <row r="2295" spans="1:6" x14ac:dyDescent="0.25">
      <c r="A2295" t="s">
        <v>1770</v>
      </c>
      <c r="B2295" t="s">
        <v>329</v>
      </c>
      <c r="C2295" t="s">
        <v>1781</v>
      </c>
      <c r="D2295" t="s">
        <v>247</v>
      </c>
      <c r="E2295" t="str">
        <f>INDEX('State Codes'!$E$7:$E$70,MATCH(INDEX('State Codes'!$C$7:$C$70,MATCH('County Climates'!B2295,'State Codes'!$D$7:$D$70,0),1),'State Codes'!$C$7:$C$70,0),1)</f>
        <v>East South Central Division</v>
      </c>
      <c r="F2295">
        <f>INDEX('CBECS_Table B5'!$C$6:$K$6,1,MATCH('County Climates'!E2295,'CBECS_Table B5'!$C$1:$K$1,0))</f>
        <v>4904</v>
      </c>
    </row>
    <row r="2296" spans="1:6" x14ac:dyDescent="0.25">
      <c r="A2296" t="s">
        <v>1770</v>
      </c>
      <c r="B2296" t="s">
        <v>329</v>
      </c>
      <c r="C2296" t="s">
        <v>1782</v>
      </c>
      <c r="D2296" t="s">
        <v>247</v>
      </c>
      <c r="E2296" t="str">
        <f>INDEX('State Codes'!$E$7:$E$70,MATCH(INDEX('State Codes'!$C$7:$C$70,MATCH('County Climates'!B2296,'State Codes'!$D$7:$D$70,0),1),'State Codes'!$C$7:$C$70,0),1)</f>
        <v>East South Central Division</v>
      </c>
      <c r="F2296">
        <f>INDEX('CBECS_Table B5'!$C$6:$K$6,1,MATCH('County Climates'!E2296,'CBECS_Table B5'!$C$1:$K$1,0))</f>
        <v>4904</v>
      </c>
    </row>
    <row r="2297" spans="1:6" x14ac:dyDescent="0.25">
      <c r="A2297" t="s">
        <v>1783</v>
      </c>
      <c r="B2297" t="s">
        <v>1784</v>
      </c>
      <c r="C2297" t="s">
        <v>1645</v>
      </c>
      <c r="D2297" t="s">
        <v>228</v>
      </c>
      <c r="E2297" t="str">
        <f>INDEX('State Codes'!$E$7:$E$70,MATCH(INDEX('State Codes'!$C$7:$C$70,MATCH('County Climates'!B2297,'State Codes'!$D$7:$D$70,0),1),'State Codes'!$C$7:$C$70,0),1)</f>
        <v>West North Central Division</v>
      </c>
      <c r="F2297">
        <f>INDEX('CBECS_Table B5'!$C$6:$K$6,1,MATCH('County Climates'!E2297,'CBECS_Table B5'!$C$1:$K$1,0))</f>
        <v>6178</v>
      </c>
    </row>
    <row r="2298" spans="1:6" x14ac:dyDescent="0.25">
      <c r="A2298" t="s">
        <v>1783</v>
      </c>
      <c r="B2298" t="s">
        <v>1784</v>
      </c>
      <c r="C2298" t="s">
        <v>1785</v>
      </c>
      <c r="D2298" t="s">
        <v>247</v>
      </c>
      <c r="E2298" t="str">
        <f>INDEX('State Codes'!$E$7:$E$70,MATCH(INDEX('State Codes'!$C$7:$C$70,MATCH('County Climates'!B2298,'State Codes'!$D$7:$D$70,0),1),'State Codes'!$C$7:$C$70,0),1)</f>
        <v>West North Central Division</v>
      </c>
      <c r="F2298">
        <f>INDEX('CBECS_Table B5'!$C$6:$K$6,1,MATCH('County Climates'!E2298,'CBECS_Table B5'!$C$1:$K$1,0))</f>
        <v>6178</v>
      </c>
    </row>
    <row r="2299" spans="1:6" x14ac:dyDescent="0.25">
      <c r="A2299" t="s">
        <v>1783</v>
      </c>
      <c r="B2299" t="s">
        <v>1784</v>
      </c>
      <c r="C2299" t="s">
        <v>445</v>
      </c>
      <c r="D2299" t="s">
        <v>247</v>
      </c>
      <c r="E2299" t="str">
        <f>INDEX('State Codes'!$E$7:$E$70,MATCH(INDEX('State Codes'!$C$7:$C$70,MATCH('County Climates'!B2299,'State Codes'!$D$7:$D$70,0),1),'State Codes'!$C$7:$C$70,0),1)</f>
        <v>West North Central Division</v>
      </c>
      <c r="F2299">
        <f>INDEX('CBECS_Table B5'!$C$6:$K$6,1,MATCH('County Climates'!E2299,'CBECS_Table B5'!$C$1:$K$1,0))</f>
        <v>6178</v>
      </c>
    </row>
    <row r="2300" spans="1:6" x14ac:dyDescent="0.25">
      <c r="A2300" t="s">
        <v>1783</v>
      </c>
      <c r="B2300" t="s">
        <v>1784</v>
      </c>
      <c r="C2300" t="s">
        <v>1786</v>
      </c>
      <c r="D2300" t="s">
        <v>247</v>
      </c>
      <c r="E2300" t="str">
        <f>INDEX('State Codes'!$E$7:$E$70,MATCH(INDEX('State Codes'!$C$7:$C$70,MATCH('County Climates'!B2300,'State Codes'!$D$7:$D$70,0),1),'State Codes'!$C$7:$C$70,0),1)</f>
        <v>West North Central Division</v>
      </c>
      <c r="F2300">
        <f>INDEX('CBECS_Table B5'!$C$6:$K$6,1,MATCH('County Climates'!E2300,'CBECS_Table B5'!$C$1:$K$1,0))</f>
        <v>6178</v>
      </c>
    </row>
    <row r="2301" spans="1:6" x14ac:dyDescent="0.25">
      <c r="A2301" t="s">
        <v>1783</v>
      </c>
      <c r="B2301" t="s">
        <v>1784</v>
      </c>
      <c r="C2301" t="s">
        <v>447</v>
      </c>
      <c r="D2301" t="s">
        <v>247</v>
      </c>
      <c r="E2301" t="str">
        <f>INDEX('State Codes'!$E$7:$E$70,MATCH(INDEX('State Codes'!$C$7:$C$70,MATCH('County Climates'!B2301,'State Codes'!$D$7:$D$70,0),1),'State Codes'!$C$7:$C$70,0),1)</f>
        <v>West North Central Division</v>
      </c>
      <c r="F2301">
        <f>INDEX('CBECS_Table B5'!$C$6:$K$6,1,MATCH('County Climates'!E2301,'CBECS_Table B5'!$C$1:$K$1,0))</f>
        <v>6178</v>
      </c>
    </row>
    <row r="2302" spans="1:6" x14ac:dyDescent="0.25">
      <c r="A2302" t="s">
        <v>1783</v>
      </c>
      <c r="B2302" t="s">
        <v>1784</v>
      </c>
      <c r="C2302" t="s">
        <v>877</v>
      </c>
      <c r="D2302" t="s">
        <v>247</v>
      </c>
      <c r="E2302" t="str">
        <f>INDEX('State Codes'!$E$7:$E$70,MATCH(INDEX('State Codes'!$C$7:$C$70,MATCH('County Climates'!B2302,'State Codes'!$D$7:$D$70,0),1),'State Codes'!$C$7:$C$70,0),1)</f>
        <v>West North Central Division</v>
      </c>
      <c r="F2302">
        <f>INDEX('CBECS_Table B5'!$C$6:$K$6,1,MATCH('County Climates'!E2302,'CBECS_Table B5'!$C$1:$K$1,0))</f>
        <v>6178</v>
      </c>
    </row>
    <row r="2303" spans="1:6" x14ac:dyDescent="0.25">
      <c r="A2303" t="s">
        <v>1783</v>
      </c>
      <c r="B2303" t="s">
        <v>1784</v>
      </c>
      <c r="C2303" t="s">
        <v>579</v>
      </c>
      <c r="D2303" t="s">
        <v>247</v>
      </c>
      <c r="E2303" t="str">
        <f>INDEX('State Codes'!$E$7:$E$70,MATCH(INDEX('State Codes'!$C$7:$C$70,MATCH('County Climates'!B2303,'State Codes'!$D$7:$D$70,0),1),'State Codes'!$C$7:$C$70,0),1)</f>
        <v>West North Central Division</v>
      </c>
      <c r="F2303">
        <f>INDEX('CBECS_Table B5'!$C$6:$K$6,1,MATCH('County Climates'!E2303,'CBECS_Table B5'!$C$1:$K$1,0))</f>
        <v>6178</v>
      </c>
    </row>
    <row r="2304" spans="1:6" x14ac:dyDescent="0.25">
      <c r="A2304" t="s">
        <v>1783</v>
      </c>
      <c r="B2304" t="s">
        <v>1784</v>
      </c>
      <c r="C2304" t="s">
        <v>599</v>
      </c>
      <c r="D2304" t="s">
        <v>247</v>
      </c>
      <c r="E2304" t="str">
        <f>INDEX('State Codes'!$E$7:$E$70,MATCH(INDEX('State Codes'!$C$7:$C$70,MATCH('County Climates'!B2304,'State Codes'!$D$7:$D$70,0),1),'State Codes'!$C$7:$C$70,0),1)</f>
        <v>West North Central Division</v>
      </c>
      <c r="F2304">
        <f>INDEX('CBECS_Table B5'!$C$6:$K$6,1,MATCH('County Climates'!E2304,'CBECS_Table B5'!$C$1:$K$1,0))</f>
        <v>6178</v>
      </c>
    </row>
    <row r="2305" spans="1:6" x14ac:dyDescent="0.25">
      <c r="A2305" t="s">
        <v>1783</v>
      </c>
      <c r="B2305" t="s">
        <v>1784</v>
      </c>
      <c r="C2305" t="s">
        <v>1787</v>
      </c>
      <c r="D2305" t="s">
        <v>228</v>
      </c>
      <c r="E2305" t="str">
        <f>INDEX('State Codes'!$E$7:$E$70,MATCH(INDEX('State Codes'!$C$7:$C$70,MATCH('County Climates'!B2305,'State Codes'!$D$7:$D$70,0),1),'State Codes'!$C$7:$C$70,0),1)</f>
        <v>West North Central Division</v>
      </c>
      <c r="F2305">
        <f>INDEX('CBECS_Table B5'!$C$6:$K$6,1,MATCH('County Climates'!E2305,'CBECS_Table B5'!$C$1:$K$1,0))</f>
        <v>6178</v>
      </c>
    </row>
    <row r="2306" spans="1:6" x14ac:dyDescent="0.25">
      <c r="A2306" t="s">
        <v>1783</v>
      </c>
      <c r="B2306" t="s">
        <v>1784</v>
      </c>
      <c r="C2306" t="s">
        <v>1569</v>
      </c>
      <c r="D2306" t="s">
        <v>247</v>
      </c>
      <c r="E2306" t="str">
        <f>INDEX('State Codes'!$E$7:$E$70,MATCH(INDEX('State Codes'!$C$7:$C$70,MATCH('County Climates'!B2306,'State Codes'!$D$7:$D$70,0),1),'State Codes'!$C$7:$C$70,0),1)</f>
        <v>West North Central Division</v>
      </c>
      <c r="F2306">
        <f>INDEX('CBECS_Table B5'!$C$6:$K$6,1,MATCH('County Climates'!E2306,'CBECS_Table B5'!$C$1:$K$1,0))</f>
        <v>6178</v>
      </c>
    </row>
    <row r="2307" spans="1:6" x14ac:dyDescent="0.25">
      <c r="A2307" t="s">
        <v>1783</v>
      </c>
      <c r="B2307" t="s">
        <v>1784</v>
      </c>
      <c r="C2307" t="s">
        <v>530</v>
      </c>
      <c r="D2307" t="s">
        <v>228</v>
      </c>
      <c r="E2307" t="str">
        <f>INDEX('State Codes'!$E$7:$E$70,MATCH(INDEX('State Codes'!$C$7:$C$70,MATCH('County Climates'!B2307,'State Codes'!$D$7:$D$70,0),1),'State Codes'!$C$7:$C$70,0),1)</f>
        <v>West North Central Division</v>
      </c>
      <c r="F2307">
        <f>INDEX('CBECS_Table B5'!$C$6:$K$6,1,MATCH('County Climates'!E2307,'CBECS_Table B5'!$C$1:$K$1,0))</f>
        <v>6178</v>
      </c>
    </row>
    <row r="2308" spans="1:6" x14ac:dyDescent="0.25">
      <c r="A2308" t="s">
        <v>1783</v>
      </c>
      <c r="B2308" t="s">
        <v>1784</v>
      </c>
      <c r="C2308" t="s">
        <v>257</v>
      </c>
      <c r="D2308" t="s">
        <v>247</v>
      </c>
      <c r="E2308" t="str">
        <f>INDEX('State Codes'!$E$7:$E$70,MATCH(INDEX('State Codes'!$C$7:$C$70,MATCH('County Climates'!B2308,'State Codes'!$D$7:$D$70,0),1),'State Codes'!$C$7:$C$70,0),1)</f>
        <v>West North Central Division</v>
      </c>
      <c r="F2308">
        <f>INDEX('CBECS_Table B5'!$C$6:$K$6,1,MATCH('County Climates'!E2308,'CBECS_Table B5'!$C$1:$K$1,0))</f>
        <v>6178</v>
      </c>
    </row>
    <row r="2309" spans="1:6" x14ac:dyDescent="0.25">
      <c r="A2309" t="s">
        <v>1783</v>
      </c>
      <c r="B2309" t="s">
        <v>1784</v>
      </c>
      <c r="C2309" t="s">
        <v>580</v>
      </c>
      <c r="D2309" t="s">
        <v>228</v>
      </c>
      <c r="E2309" t="str">
        <f>INDEX('State Codes'!$E$7:$E$70,MATCH(INDEX('State Codes'!$C$7:$C$70,MATCH('County Climates'!B2309,'State Codes'!$D$7:$D$70,0),1),'State Codes'!$C$7:$C$70,0),1)</f>
        <v>West North Central Division</v>
      </c>
      <c r="F2309">
        <f>INDEX('CBECS_Table B5'!$C$6:$K$6,1,MATCH('County Climates'!E2309,'CBECS_Table B5'!$C$1:$K$1,0))</f>
        <v>6178</v>
      </c>
    </row>
    <row r="2310" spans="1:6" x14ac:dyDescent="0.25">
      <c r="A2310" t="s">
        <v>1783</v>
      </c>
      <c r="B2310" t="s">
        <v>1784</v>
      </c>
      <c r="C2310" t="s">
        <v>1788</v>
      </c>
      <c r="D2310" t="s">
        <v>247</v>
      </c>
      <c r="E2310" t="str">
        <f>INDEX('State Codes'!$E$7:$E$70,MATCH(INDEX('State Codes'!$C$7:$C$70,MATCH('County Climates'!B2310,'State Codes'!$D$7:$D$70,0),1),'State Codes'!$C$7:$C$70,0),1)</f>
        <v>West North Central Division</v>
      </c>
      <c r="F2310">
        <f>INDEX('CBECS_Table B5'!$C$6:$K$6,1,MATCH('County Climates'!E2310,'CBECS_Table B5'!$C$1:$K$1,0))</f>
        <v>6178</v>
      </c>
    </row>
    <row r="2311" spans="1:6" x14ac:dyDescent="0.25">
      <c r="A2311" t="s">
        <v>1783</v>
      </c>
      <c r="B2311" t="s">
        <v>1784</v>
      </c>
      <c r="C2311" t="s">
        <v>1789</v>
      </c>
      <c r="D2311" t="s">
        <v>247</v>
      </c>
      <c r="E2311" t="str">
        <f>INDEX('State Codes'!$E$7:$E$70,MATCH(INDEX('State Codes'!$C$7:$C$70,MATCH('County Climates'!B2311,'State Codes'!$D$7:$D$70,0),1),'State Codes'!$C$7:$C$70,0),1)</f>
        <v>West North Central Division</v>
      </c>
      <c r="F2311">
        <f>INDEX('CBECS_Table B5'!$C$6:$K$6,1,MATCH('County Climates'!E2311,'CBECS_Table B5'!$C$1:$K$1,0))</f>
        <v>6178</v>
      </c>
    </row>
    <row r="2312" spans="1:6" x14ac:dyDescent="0.25">
      <c r="A2312" t="s">
        <v>1783</v>
      </c>
      <c r="B2312" t="s">
        <v>1784</v>
      </c>
      <c r="C2312" t="s">
        <v>460</v>
      </c>
      <c r="D2312" t="s">
        <v>247</v>
      </c>
      <c r="E2312" t="str">
        <f>INDEX('State Codes'!$E$7:$E$70,MATCH(INDEX('State Codes'!$C$7:$C$70,MATCH('County Climates'!B2312,'State Codes'!$D$7:$D$70,0),1),'State Codes'!$C$7:$C$70,0),1)</f>
        <v>West North Central Division</v>
      </c>
      <c r="F2312">
        <f>INDEX('CBECS_Table B5'!$C$6:$K$6,1,MATCH('County Climates'!E2312,'CBECS_Table B5'!$C$1:$K$1,0))</f>
        <v>6178</v>
      </c>
    </row>
    <row r="2313" spans="1:6" x14ac:dyDescent="0.25">
      <c r="A2313" t="s">
        <v>1783</v>
      </c>
      <c r="B2313" t="s">
        <v>1784</v>
      </c>
      <c r="C2313" t="s">
        <v>462</v>
      </c>
      <c r="D2313" t="s">
        <v>247</v>
      </c>
      <c r="E2313" t="str">
        <f>INDEX('State Codes'!$E$7:$E$70,MATCH(INDEX('State Codes'!$C$7:$C$70,MATCH('County Climates'!B2313,'State Codes'!$D$7:$D$70,0),1),'State Codes'!$C$7:$C$70,0),1)</f>
        <v>West North Central Division</v>
      </c>
      <c r="F2313">
        <f>INDEX('CBECS_Table B5'!$C$6:$K$6,1,MATCH('County Climates'!E2313,'CBECS_Table B5'!$C$1:$K$1,0))</f>
        <v>6178</v>
      </c>
    </row>
    <row r="2314" spans="1:6" x14ac:dyDescent="0.25">
      <c r="A2314" t="s">
        <v>1783</v>
      </c>
      <c r="B2314" t="s">
        <v>1784</v>
      </c>
      <c r="C2314" t="s">
        <v>267</v>
      </c>
      <c r="D2314" t="s">
        <v>247</v>
      </c>
      <c r="E2314" t="str">
        <f>INDEX('State Codes'!$E$7:$E$70,MATCH(INDEX('State Codes'!$C$7:$C$70,MATCH('County Climates'!B2314,'State Codes'!$D$7:$D$70,0),1),'State Codes'!$C$7:$C$70,0),1)</f>
        <v>West North Central Division</v>
      </c>
      <c r="F2314">
        <f>INDEX('CBECS_Table B5'!$C$6:$K$6,1,MATCH('County Climates'!E2314,'CBECS_Table B5'!$C$1:$K$1,0))</f>
        <v>6178</v>
      </c>
    </row>
    <row r="2315" spans="1:6" x14ac:dyDescent="0.25">
      <c r="A2315" t="s">
        <v>1783</v>
      </c>
      <c r="B2315" t="s">
        <v>1784</v>
      </c>
      <c r="C2315" t="s">
        <v>581</v>
      </c>
      <c r="D2315" t="s">
        <v>228</v>
      </c>
      <c r="E2315" t="str">
        <f>INDEX('State Codes'!$E$7:$E$70,MATCH(INDEX('State Codes'!$C$7:$C$70,MATCH('County Climates'!B2315,'State Codes'!$D$7:$D$70,0),1),'State Codes'!$C$7:$C$70,0),1)</f>
        <v>West North Central Division</v>
      </c>
      <c r="F2315">
        <f>INDEX('CBECS_Table B5'!$C$6:$K$6,1,MATCH('County Climates'!E2315,'CBECS_Table B5'!$C$1:$K$1,0))</f>
        <v>6178</v>
      </c>
    </row>
    <row r="2316" spans="1:6" x14ac:dyDescent="0.25">
      <c r="A2316" t="s">
        <v>1783</v>
      </c>
      <c r="B2316" t="s">
        <v>1784</v>
      </c>
      <c r="C2316" t="s">
        <v>268</v>
      </c>
      <c r="D2316" t="s">
        <v>228</v>
      </c>
      <c r="E2316" t="str">
        <f>INDEX('State Codes'!$E$7:$E$70,MATCH(INDEX('State Codes'!$C$7:$C$70,MATCH('County Climates'!B2316,'State Codes'!$D$7:$D$70,0),1),'State Codes'!$C$7:$C$70,0),1)</f>
        <v>West North Central Division</v>
      </c>
      <c r="F2316">
        <f>INDEX('CBECS_Table B5'!$C$6:$K$6,1,MATCH('County Climates'!E2316,'CBECS_Table B5'!$C$1:$K$1,0))</f>
        <v>6178</v>
      </c>
    </row>
    <row r="2317" spans="1:6" x14ac:dyDescent="0.25">
      <c r="A2317" t="s">
        <v>1783</v>
      </c>
      <c r="B2317" t="s">
        <v>1784</v>
      </c>
      <c r="C2317" t="s">
        <v>1790</v>
      </c>
      <c r="D2317" t="s">
        <v>247</v>
      </c>
      <c r="E2317" t="str">
        <f>INDEX('State Codes'!$E$7:$E$70,MATCH(INDEX('State Codes'!$C$7:$C$70,MATCH('County Climates'!B2317,'State Codes'!$D$7:$D$70,0),1),'State Codes'!$C$7:$C$70,0),1)</f>
        <v>West North Central Division</v>
      </c>
      <c r="F2317">
        <f>INDEX('CBECS_Table B5'!$C$6:$K$6,1,MATCH('County Climates'!E2317,'CBECS_Table B5'!$C$1:$K$1,0))</f>
        <v>6178</v>
      </c>
    </row>
    <row r="2318" spans="1:6" x14ac:dyDescent="0.25">
      <c r="A2318" t="s">
        <v>1783</v>
      </c>
      <c r="B2318" t="s">
        <v>1784</v>
      </c>
      <c r="C2318" t="s">
        <v>369</v>
      </c>
      <c r="D2318" t="s">
        <v>247</v>
      </c>
      <c r="E2318" t="str">
        <f>INDEX('State Codes'!$E$7:$E$70,MATCH(INDEX('State Codes'!$C$7:$C$70,MATCH('County Climates'!B2318,'State Codes'!$D$7:$D$70,0),1),'State Codes'!$C$7:$C$70,0),1)</f>
        <v>West North Central Division</v>
      </c>
      <c r="F2318">
        <f>INDEX('CBECS_Table B5'!$C$6:$K$6,1,MATCH('County Climates'!E2318,'CBECS_Table B5'!$C$1:$K$1,0))</f>
        <v>6178</v>
      </c>
    </row>
    <row r="2319" spans="1:6" x14ac:dyDescent="0.25">
      <c r="A2319" t="s">
        <v>1783</v>
      </c>
      <c r="B2319" t="s">
        <v>1784</v>
      </c>
      <c r="C2319" t="s">
        <v>1791</v>
      </c>
      <c r="D2319" t="s">
        <v>247</v>
      </c>
      <c r="E2319" t="str">
        <f>INDEX('State Codes'!$E$7:$E$70,MATCH(INDEX('State Codes'!$C$7:$C$70,MATCH('County Climates'!B2319,'State Codes'!$D$7:$D$70,0),1),'State Codes'!$C$7:$C$70,0),1)</f>
        <v>West North Central Division</v>
      </c>
      <c r="F2319">
        <f>INDEX('CBECS_Table B5'!$C$6:$K$6,1,MATCH('County Climates'!E2319,'CBECS_Table B5'!$C$1:$K$1,0))</f>
        <v>6178</v>
      </c>
    </row>
    <row r="2320" spans="1:6" x14ac:dyDescent="0.25">
      <c r="A2320" t="s">
        <v>1783</v>
      </c>
      <c r="B2320" t="s">
        <v>1784</v>
      </c>
      <c r="C2320" t="s">
        <v>273</v>
      </c>
      <c r="D2320" t="s">
        <v>247</v>
      </c>
      <c r="E2320" t="str">
        <f>INDEX('State Codes'!$E$7:$E$70,MATCH(INDEX('State Codes'!$C$7:$C$70,MATCH('County Climates'!B2320,'State Codes'!$D$7:$D$70,0),1),'State Codes'!$C$7:$C$70,0),1)</f>
        <v>West North Central Division</v>
      </c>
      <c r="F2320">
        <f>INDEX('CBECS_Table B5'!$C$6:$K$6,1,MATCH('County Climates'!E2320,'CBECS_Table B5'!$C$1:$K$1,0))</f>
        <v>6178</v>
      </c>
    </row>
    <row r="2321" spans="1:6" x14ac:dyDescent="0.25">
      <c r="A2321" t="s">
        <v>1783</v>
      </c>
      <c r="B2321" t="s">
        <v>1784</v>
      </c>
      <c r="C2321" t="s">
        <v>1792</v>
      </c>
      <c r="D2321" t="s">
        <v>247</v>
      </c>
      <c r="E2321" t="str">
        <f>INDEX('State Codes'!$E$7:$E$70,MATCH(INDEX('State Codes'!$C$7:$C$70,MATCH('County Climates'!B2321,'State Codes'!$D$7:$D$70,0),1),'State Codes'!$C$7:$C$70,0),1)</f>
        <v>West North Central Division</v>
      </c>
      <c r="F2321">
        <f>INDEX('CBECS_Table B5'!$C$6:$K$6,1,MATCH('County Climates'!E2321,'CBECS_Table B5'!$C$1:$K$1,0))</f>
        <v>6178</v>
      </c>
    </row>
    <row r="2322" spans="1:6" x14ac:dyDescent="0.25">
      <c r="A2322" t="s">
        <v>1783</v>
      </c>
      <c r="B2322" t="s">
        <v>1784</v>
      </c>
      <c r="C2322" t="s">
        <v>1793</v>
      </c>
      <c r="D2322" t="s">
        <v>228</v>
      </c>
      <c r="E2322" t="str">
        <f>INDEX('State Codes'!$E$7:$E$70,MATCH(INDEX('State Codes'!$C$7:$C$70,MATCH('County Climates'!B2322,'State Codes'!$D$7:$D$70,0),1),'State Codes'!$C$7:$C$70,0),1)</f>
        <v>West North Central Division</v>
      </c>
      <c r="F2322">
        <f>INDEX('CBECS_Table B5'!$C$6:$K$6,1,MATCH('County Climates'!E2322,'CBECS_Table B5'!$C$1:$K$1,0))</f>
        <v>6178</v>
      </c>
    </row>
    <row r="2323" spans="1:6" x14ac:dyDescent="0.25">
      <c r="A2323" t="s">
        <v>1783</v>
      </c>
      <c r="B2323" t="s">
        <v>1784</v>
      </c>
      <c r="C2323" t="s">
        <v>275</v>
      </c>
      <c r="D2323" t="s">
        <v>247</v>
      </c>
      <c r="E2323" t="str">
        <f>INDEX('State Codes'!$E$7:$E$70,MATCH(INDEX('State Codes'!$C$7:$C$70,MATCH('County Climates'!B2323,'State Codes'!$D$7:$D$70,0),1),'State Codes'!$C$7:$C$70,0),1)</f>
        <v>West North Central Division</v>
      </c>
      <c r="F2323">
        <f>INDEX('CBECS_Table B5'!$C$6:$K$6,1,MATCH('County Climates'!E2323,'CBECS_Table B5'!$C$1:$K$1,0))</f>
        <v>6178</v>
      </c>
    </row>
    <row r="2324" spans="1:6" x14ac:dyDescent="0.25">
      <c r="A2324" t="s">
        <v>1783</v>
      </c>
      <c r="B2324" t="s">
        <v>1784</v>
      </c>
      <c r="C2324" t="s">
        <v>607</v>
      </c>
      <c r="D2324" t="s">
        <v>228</v>
      </c>
      <c r="E2324" t="str">
        <f>INDEX('State Codes'!$E$7:$E$70,MATCH(INDEX('State Codes'!$C$7:$C$70,MATCH('County Climates'!B2324,'State Codes'!$D$7:$D$70,0),1),'State Codes'!$C$7:$C$70,0),1)</f>
        <v>West North Central Division</v>
      </c>
      <c r="F2324">
        <f>INDEX('CBECS_Table B5'!$C$6:$K$6,1,MATCH('County Climates'!E2324,'CBECS_Table B5'!$C$1:$K$1,0))</f>
        <v>6178</v>
      </c>
    </row>
    <row r="2325" spans="1:6" x14ac:dyDescent="0.25">
      <c r="A2325" t="s">
        <v>1783</v>
      </c>
      <c r="B2325" t="s">
        <v>1784</v>
      </c>
      <c r="C2325" t="s">
        <v>612</v>
      </c>
      <c r="D2325" t="s">
        <v>228</v>
      </c>
      <c r="E2325" t="str">
        <f>INDEX('State Codes'!$E$7:$E$70,MATCH(INDEX('State Codes'!$C$7:$C$70,MATCH('County Climates'!B2325,'State Codes'!$D$7:$D$70,0),1),'State Codes'!$C$7:$C$70,0),1)</f>
        <v>West North Central Division</v>
      </c>
      <c r="F2325">
        <f>INDEX('CBECS_Table B5'!$C$6:$K$6,1,MATCH('County Climates'!E2325,'CBECS_Table B5'!$C$1:$K$1,0))</f>
        <v>6178</v>
      </c>
    </row>
    <row r="2326" spans="1:6" x14ac:dyDescent="0.25">
      <c r="A2326" t="s">
        <v>1783</v>
      </c>
      <c r="B2326" t="s">
        <v>1784</v>
      </c>
      <c r="C2326" t="s">
        <v>277</v>
      </c>
      <c r="D2326" t="s">
        <v>247</v>
      </c>
      <c r="E2326" t="str">
        <f>INDEX('State Codes'!$E$7:$E$70,MATCH(INDEX('State Codes'!$C$7:$C$70,MATCH('County Climates'!B2326,'State Codes'!$D$7:$D$70,0),1),'State Codes'!$C$7:$C$70,0),1)</f>
        <v>West North Central Division</v>
      </c>
      <c r="F2326">
        <f>INDEX('CBECS_Table B5'!$C$6:$K$6,1,MATCH('County Climates'!E2326,'CBECS_Table B5'!$C$1:$K$1,0))</f>
        <v>6178</v>
      </c>
    </row>
    <row r="2327" spans="1:6" x14ac:dyDescent="0.25">
      <c r="A2327" t="s">
        <v>1783</v>
      </c>
      <c r="B2327" t="s">
        <v>1784</v>
      </c>
      <c r="C2327" t="s">
        <v>1794</v>
      </c>
      <c r="D2327" t="s">
        <v>247</v>
      </c>
      <c r="E2327" t="str">
        <f>INDEX('State Codes'!$E$7:$E$70,MATCH(INDEX('State Codes'!$C$7:$C$70,MATCH('County Climates'!B2327,'State Codes'!$D$7:$D$70,0),1),'State Codes'!$C$7:$C$70,0),1)</f>
        <v>West North Central Division</v>
      </c>
      <c r="F2327">
        <f>INDEX('CBECS_Table B5'!$C$6:$K$6,1,MATCH('County Climates'!E2327,'CBECS_Table B5'!$C$1:$K$1,0))</f>
        <v>6178</v>
      </c>
    </row>
    <row r="2328" spans="1:6" x14ac:dyDescent="0.25">
      <c r="A2328" t="s">
        <v>1783</v>
      </c>
      <c r="B2328" t="s">
        <v>1784</v>
      </c>
      <c r="C2328" t="s">
        <v>899</v>
      </c>
      <c r="D2328" t="s">
        <v>228</v>
      </c>
      <c r="E2328" t="str">
        <f>INDEX('State Codes'!$E$7:$E$70,MATCH(INDEX('State Codes'!$C$7:$C$70,MATCH('County Climates'!B2328,'State Codes'!$D$7:$D$70,0),1),'State Codes'!$C$7:$C$70,0),1)</f>
        <v>West North Central Division</v>
      </c>
      <c r="F2328">
        <f>INDEX('CBECS_Table B5'!$C$6:$K$6,1,MATCH('County Climates'!E2328,'CBECS_Table B5'!$C$1:$K$1,0))</f>
        <v>6178</v>
      </c>
    </row>
    <row r="2329" spans="1:6" x14ac:dyDescent="0.25">
      <c r="A2329" t="s">
        <v>1783</v>
      </c>
      <c r="B2329" t="s">
        <v>1784</v>
      </c>
      <c r="C2329" t="s">
        <v>319</v>
      </c>
      <c r="D2329" t="s">
        <v>247</v>
      </c>
      <c r="E2329" t="str">
        <f>INDEX('State Codes'!$E$7:$E$70,MATCH(INDEX('State Codes'!$C$7:$C$70,MATCH('County Climates'!B2329,'State Codes'!$D$7:$D$70,0),1),'State Codes'!$C$7:$C$70,0),1)</f>
        <v>West North Central Division</v>
      </c>
      <c r="F2329">
        <f>INDEX('CBECS_Table B5'!$C$6:$K$6,1,MATCH('County Climates'!E2329,'CBECS_Table B5'!$C$1:$K$1,0))</f>
        <v>6178</v>
      </c>
    </row>
    <row r="2330" spans="1:6" x14ac:dyDescent="0.25">
      <c r="A2330" t="s">
        <v>1783</v>
      </c>
      <c r="B2330" t="s">
        <v>1784</v>
      </c>
      <c r="C2330" t="s">
        <v>1795</v>
      </c>
      <c r="D2330" t="s">
        <v>247</v>
      </c>
      <c r="E2330" t="str">
        <f>INDEX('State Codes'!$E$7:$E$70,MATCH(INDEX('State Codes'!$C$7:$C$70,MATCH('County Climates'!B2330,'State Codes'!$D$7:$D$70,0),1),'State Codes'!$C$7:$C$70,0),1)</f>
        <v>West North Central Division</v>
      </c>
      <c r="F2330">
        <f>INDEX('CBECS_Table B5'!$C$6:$K$6,1,MATCH('County Climates'!E2330,'CBECS_Table B5'!$C$1:$K$1,0))</f>
        <v>6178</v>
      </c>
    </row>
    <row r="2331" spans="1:6" x14ac:dyDescent="0.25">
      <c r="A2331" t="s">
        <v>1783</v>
      </c>
      <c r="B2331" t="s">
        <v>1784</v>
      </c>
      <c r="C2331" t="s">
        <v>1271</v>
      </c>
      <c r="D2331" t="s">
        <v>247</v>
      </c>
      <c r="E2331" t="str">
        <f>INDEX('State Codes'!$E$7:$E$70,MATCH(INDEX('State Codes'!$C$7:$C$70,MATCH('County Climates'!B2331,'State Codes'!$D$7:$D$70,0),1),'State Codes'!$C$7:$C$70,0),1)</f>
        <v>West North Central Division</v>
      </c>
      <c r="F2331">
        <f>INDEX('CBECS_Table B5'!$C$6:$K$6,1,MATCH('County Climates'!E2331,'CBECS_Table B5'!$C$1:$K$1,0))</f>
        <v>6178</v>
      </c>
    </row>
    <row r="2332" spans="1:6" x14ac:dyDescent="0.25">
      <c r="A2332" t="s">
        <v>1783</v>
      </c>
      <c r="B2332" t="s">
        <v>1784</v>
      </c>
      <c r="C2332" t="s">
        <v>279</v>
      </c>
      <c r="D2332" t="s">
        <v>247</v>
      </c>
      <c r="E2332" t="str">
        <f>INDEX('State Codes'!$E$7:$E$70,MATCH(INDEX('State Codes'!$C$7:$C$70,MATCH('County Climates'!B2332,'State Codes'!$D$7:$D$70,0),1),'State Codes'!$C$7:$C$70,0),1)</f>
        <v>West North Central Division</v>
      </c>
      <c r="F2332">
        <f>INDEX('CBECS_Table B5'!$C$6:$K$6,1,MATCH('County Climates'!E2332,'CBECS_Table B5'!$C$1:$K$1,0))</f>
        <v>6178</v>
      </c>
    </row>
    <row r="2333" spans="1:6" x14ac:dyDescent="0.25">
      <c r="A2333" t="s">
        <v>1783</v>
      </c>
      <c r="B2333" t="s">
        <v>1784</v>
      </c>
      <c r="C2333" t="s">
        <v>616</v>
      </c>
      <c r="D2333" t="s">
        <v>247</v>
      </c>
      <c r="E2333" t="str">
        <f>INDEX('State Codes'!$E$7:$E$70,MATCH(INDEX('State Codes'!$C$7:$C$70,MATCH('County Climates'!B2333,'State Codes'!$D$7:$D$70,0),1),'State Codes'!$C$7:$C$70,0),1)</f>
        <v>West North Central Division</v>
      </c>
      <c r="F2333">
        <f>INDEX('CBECS_Table B5'!$C$6:$K$6,1,MATCH('County Climates'!E2333,'CBECS_Table B5'!$C$1:$K$1,0))</f>
        <v>6178</v>
      </c>
    </row>
    <row r="2334" spans="1:6" x14ac:dyDescent="0.25">
      <c r="A2334" t="s">
        <v>1783</v>
      </c>
      <c r="B2334" t="s">
        <v>1784</v>
      </c>
      <c r="C2334" t="s">
        <v>280</v>
      </c>
      <c r="D2334" t="s">
        <v>247</v>
      </c>
      <c r="E2334" t="str">
        <f>INDEX('State Codes'!$E$7:$E$70,MATCH(INDEX('State Codes'!$C$7:$C$70,MATCH('County Climates'!B2334,'State Codes'!$D$7:$D$70,0),1),'State Codes'!$C$7:$C$70,0),1)</f>
        <v>West North Central Division</v>
      </c>
      <c r="F2334">
        <f>INDEX('CBECS_Table B5'!$C$6:$K$6,1,MATCH('County Climates'!E2334,'CBECS_Table B5'!$C$1:$K$1,0))</f>
        <v>6178</v>
      </c>
    </row>
    <row r="2335" spans="1:6" x14ac:dyDescent="0.25">
      <c r="A2335" t="s">
        <v>1783</v>
      </c>
      <c r="B2335" t="s">
        <v>1784</v>
      </c>
      <c r="C2335" t="s">
        <v>322</v>
      </c>
      <c r="D2335" t="s">
        <v>247</v>
      </c>
      <c r="E2335" t="str">
        <f>INDEX('State Codes'!$E$7:$E$70,MATCH(INDEX('State Codes'!$C$7:$C$70,MATCH('County Climates'!B2335,'State Codes'!$D$7:$D$70,0),1),'State Codes'!$C$7:$C$70,0),1)</f>
        <v>West North Central Division</v>
      </c>
      <c r="F2335">
        <f>INDEX('CBECS_Table B5'!$C$6:$K$6,1,MATCH('County Climates'!E2335,'CBECS_Table B5'!$C$1:$K$1,0))</f>
        <v>6178</v>
      </c>
    </row>
    <row r="2336" spans="1:6" x14ac:dyDescent="0.25">
      <c r="A2336" t="s">
        <v>1783</v>
      </c>
      <c r="B2336" t="s">
        <v>1784</v>
      </c>
      <c r="C2336" t="s">
        <v>679</v>
      </c>
      <c r="D2336" t="s">
        <v>228</v>
      </c>
      <c r="E2336" t="str">
        <f>INDEX('State Codes'!$E$7:$E$70,MATCH(INDEX('State Codes'!$C$7:$C$70,MATCH('County Climates'!B2336,'State Codes'!$D$7:$D$70,0),1),'State Codes'!$C$7:$C$70,0),1)</f>
        <v>West North Central Division</v>
      </c>
      <c r="F2336">
        <f>INDEX('CBECS_Table B5'!$C$6:$K$6,1,MATCH('County Climates'!E2336,'CBECS_Table B5'!$C$1:$K$1,0))</f>
        <v>6178</v>
      </c>
    </row>
    <row r="2337" spans="1:6" x14ac:dyDescent="0.25">
      <c r="A2337" t="s">
        <v>1783</v>
      </c>
      <c r="B2337" t="s">
        <v>1784</v>
      </c>
      <c r="C2337" t="s">
        <v>1796</v>
      </c>
      <c r="D2337" t="s">
        <v>247</v>
      </c>
      <c r="E2337" t="str">
        <f>INDEX('State Codes'!$E$7:$E$70,MATCH(INDEX('State Codes'!$C$7:$C$70,MATCH('County Climates'!B2337,'State Codes'!$D$7:$D$70,0),1),'State Codes'!$C$7:$C$70,0),1)</f>
        <v>West North Central Division</v>
      </c>
      <c r="F2337">
        <f>INDEX('CBECS_Table B5'!$C$6:$K$6,1,MATCH('County Climates'!E2337,'CBECS_Table B5'!$C$1:$K$1,0))</f>
        <v>6178</v>
      </c>
    </row>
    <row r="2338" spans="1:6" x14ac:dyDescent="0.25">
      <c r="A2338" t="s">
        <v>1783</v>
      </c>
      <c r="B2338" t="s">
        <v>1784</v>
      </c>
      <c r="C2338" t="s">
        <v>323</v>
      </c>
      <c r="D2338" t="s">
        <v>247</v>
      </c>
      <c r="E2338" t="str">
        <f>INDEX('State Codes'!$E$7:$E$70,MATCH(INDEX('State Codes'!$C$7:$C$70,MATCH('County Climates'!B2338,'State Codes'!$D$7:$D$70,0),1),'State Codes'!$C$7:$C$70,0),1)</f>
        <v>West North Central Division</v>
      </c>
      <c r="F2338">
        <f>INDEX('CBECS_Table B5'!$C$6:$K$6,1,MATCH('County Climates'!E2338,'CBECS_Table B5'!$C$1:$K$1,0))</f>
        <v>6178</v>
      </c>
    </row>
    <row r="2339" spans="1:6" x14ac:dyDescent="0.25">
      <c r="A2339" t="s">
        <v>1783</v>
      </c>
      <c r="B2339" t="s">
        <v>1784</v>
      </c>
      <c r="C2339" t="s">
        <v>283</v>
      </c>
      <c r="D2339" t="s">
        <v>247</v>
      </c>
      <c r="E2339" t="str">
        <f>INDEX('State Codes'!$E$7:$E$70,MATCH(INDEX('State Codes'!$C$7:$C$70,MATCH('County Climates'!B2339,'State Codes'!$D$7:$D$70,0),1),'State Codes'!$C$7:$C$70,0),1)</f>
        <v>West North Central Division</v>
      </c>
      <c r="F2339">
        <f>INDEX('CBECS_Table B5'!$C$6:$K$6,1,MATCH('County Climates'!E2339,'CBECS_Table B5'!$C$1:$K$1,0))</f>
        <v>6178</v>
      </c>
    </row>
    <row r="2340" spans="1:6" x14ac:dyDescent="0.25">
      <c r="A2340" t="s">
        <v>1783</v>
      </c>
      <c r="B2340" t="s">
        <v>1784</v>
      </c>
      <c r="C2340" t="s">
        <v>540</v>
      </c>
      <c r="D2340" t="s">
        <v>228</v>
      </c>
      <c r="E2340" t="str">
        <f>INDEX('State Codes'!$E$7:$E$70,MATCH(INDEX('State Codes'!$C$7:$C$70,MATCH('County Climates'!B2340,'State Codes'!$D$7:$D$70,0),1),'State Codes'!$C$7:$C$70,0),1)</f>
        <v>West North Central Division</v>
      </c>
      <c r="F2340">
        <f>INDEX('CBECS_Table B5'!$C$6:$K$6,1,MATCH('County Climates'!E2340,'CBECS_Table B5'!$C$1:$K$1,0))</f>
        <v>6178</v>
      </c>
    </row>
    <row r="2341" spans="1:6" x14ac:dyDescent="0.25">
      <c r="A2341" t="s">
        <v>1783</v>
      </c>
      <c r="B2341" t="s">
        <v>1784</v>
      </c>
      <c r="C2341" t="s">
        <v>324</v>
      </c>
      <c r="D2341" t="s">
        <v>247</v>
      </c>
      <c r="E2341" t="str">
        <f>INDEX('State Codes'!$E$7:$E$70,MATCH(INDEX('State Codes'!$C$7:$C$70,MATCH('County Climates'!B2341,'State Codes'!$D$7:$D$70,0),1),'State Codes'!$C$7:$C$70,0),1)</f>
        <v>West North Central Division</v>
      </c>
      <c r="F2341">
        <f>INDEX('CBECS_Table B5'!$C$6:$K$6,1,MATCH('County Climates'!E2341,'CBECS_Table B5'!$C$1:$K$1,0))</f>
        <v>6178</v>
      </c>
    </row>
    <row r="2342" spans="1:6" x14ac:dyDescent="0.25">
      <c r="A2342" t="s">
        <v>1783</v>
      </c>
      <c r="B2342" t="s">
        <v>1784</v>
      </c>
      <c r="C2342" t="s">
        <v>644</v>
      </c>
      <c r="D2342" t="s">
        <v>228</v>
      </c>
      <c r="E2342" t="str">
        <f>INDEX('State Codes'!$E$7:$E$70,MATCH(INDEX('State Codes'!$C$7:$C$70,MATCH('County Climates'!B2342,'State Codes'!$D$7:$D$70,0),1),'State Codes'!$C$7:$C$70,0),1)</f>
        <v>West North Central Division</v>
      </c>
      <c r="F2342">
        <f>INDEX('CBECS_Table B5'!$C$6:$K$6,1,MATCH('County Climates'!E2342,'CBECS_Table B5'!$C$1:$K$1,0))</f>
        <v>6178</v>
      </c>
    </row>
    <row r="2343" spans="1:6" x14ac:dyDescent="0.25">
      <c r="A2343" t="s">
        <v>1783</v>
      </c>
      <c r="B2343" t="s">
        <v>1784</v>
      </c>
      <c r="C2343" t="s">
        <v>684</v>
      </c>
      <c r="D2343" t="s">
        <v>228</v>
      </c>
      <c r="E2343" t="str">
        <f>INDEX('State Codes'!$E$7:$E$70,MATCH(INDEX('State Codes'!$C$7:$C$70,MATCH('County Climates'!B2343,'State Codes'!$D$7:$D$70,0),1),'State Codes'!$C$7:$C$70,0),1)</f>
        <v>West North Central Division</v>
      </c>
      <c r="F2343">
        <f>INDEX('CBECS_Table B5'!$C$6:$K$6,1,MATCH('County Climates'!E2343,'CBECS_Table B5'!$C$1:$K$1,0))</f>
        <v>6178</v>
      </c>
    </row>
    <row r="2344" spans="1:6" x14ac:dyDescent="0.25">
      <c r="A2344" t="s">
        <v>1783</v>
      </c>
      <c r="B2344" t="s">
        <v>1784</v>
      </c>
      <c r="C2344" t="s">
        <v>287</v>
      </c>
      <c r="D2344" t="s">
        <v>228</v>
      </c>
      <c r="E2344" t="str">
        <f>INDEX('State Codes'!$E$7:$E$70,MATCH(INDEX('State Codes'!$C$7:$C$70,MATCH('County Climates'!B2344,'State Codes'!$D$7:$D$70,0),1),'State Codes'!$C$7:$C$70,0),1)</f>
        <v>West North Central Division</v>
      </c>
      <c r="F2344">
        <f>INDEX('CBECS_Table B5'!$C$6:$K$6,1,MATCH('County Climates'!E2344,'CBECS_Table B5'!$C$1:$K$1,0))</f>
        <v>6178</v>
      </c>
    </row>
    <row r="2345" spans="1:6" x14ac:dyDescent="0.25">
      <c r="A2345" t="s">
        <v>1783</v>
      </c>
      <c r="B2345" t="s">
        <v>1784</v>
      </c>
      <c r="C2345" t="s">
        <v>288</v>
      </c>
      <c r="D2345" t="s">
        <v>247</v>
      </c>
      <c r="E2345" t="str">
        <f>INDEX('State Codes'!$E$7:$E$70,MATCH(INDEX('State Codes'!$C$7:$C$70,MATCH('County Climates'!B2345,'State Codes'!$D$7:$D$70,0),1),'State Codes'!$C$7:$C$70,0),1)</f>
        <v>West North Central Division</v>
      </c>
      <c r="F2345">
        <f>INDEX('CBECS_Table B5'!$C$6:$K$6,1,MATCH('County Climates'!E2345,'CBECS_Table B5'!$C$1:$K$1,0))</f>
        <v>6178</v>
      </c>
    </row>
    <row r="2346" spans="1:6" x14ac:dyDescent="0.25">
      <c r="A2346" t="s">
        <v>1783</v>
      </c>
      <c r="B2346" t="s">
        <v>1784</v>
      </c>
      <c r="C2346" t="s">
        <v>1797</v>
      </c>
      <c r="D2346" t="s">
        <v>247</v>
      </c>
      <c r="E2346" t="str">
        <f>INDEX('State Codes'!$E$7:$E$70,MATCH(INDEX('State Codes'!$C$7:$C$70,MATCH('County Climates'!B2346,'State Codes'!$D$7:$D$70,0),1),'State Codes'!$C$7:$C$70,0),1)</f>
        <v>West North Central Division</v>
      </c>
      <c r="F2346">
        <f>INDEX('CBECS_Table B5'!$C$6:$K$6,1,MATCH('County Climates'!E2346,'CBECS_Table B5'!$C$1:$K$1,0))</f>
        <v>6178</v>
      </c>
    </row>
    <row r="2347" spans="1:6" x14ac:dyDescent="0.25">
      <c r="A2347" t="s">
        <v>1783</v>
      </c>
      <c r="B2347" t="s">
        <v>1784</v>
      </c>
      <c r="C2347" t="s">
        <v>290</v>
      </c>
      <c r="D2347" t="s">
        <v>228</v>
      </c>
      <c r="E2347" t="str">
        <f>INDEX('State Codes'!$E$7:$E$70,MATCH(INDEX('State Codes'!$C$7:$C$70,MATCH('County Climates'!B2347,'State Codes'!$D$7:$D$70,0),1),'State Codes'!$C$7:$C$70,0),1)</f>
        <v>West North Central Division</v>
      </c>
      <c r="F2347">
        <f>INDEX('CBECS_Table B5'!$C$6:$K$6,1,MATCH('County Climates'!E2347,'CBECS_Table B5'!$C$1:$K$1,0))</f>
        <v>6178</v>
      </c>
    </row>
    <row r="2348" spans="1:6" x14ac:dyDescent="0.25">
      <c r="A2348" t="s">
        <v>1783</v>
      </c>
      <c r="B2348" t="s">
        <v>1784</v>
      </c>
      <c r="C2348" t="s">
        <v>1798</v>
      </c>
      <c r="D2348" t="s">
        <v>247</v>
      </c>
      <c r="E2348" t="str">
        <f>INDEX('State Codes'!$E$7:$E$70,MATCH(INDEX('State Codes'!$C$7:$C$70,MATCH('County Climates'!B2348,'State Codes'!$D$7:$D$70,0),1),'State Codes'!$C$7:$C$70,0),1)</f>
        <v>West North Central Division</v>
      </c>
      <c r="F2348">
        <f>INDEX('CBECS_Table B5'!$C$6:$K$6,1,MATCH('County Climates'!E2348,'CBECS_Table B5'!$C$1:$K$1,0))</f>
        <v>6178</v>
      </c>
    </row>
    <row r="2349" spans="1:6" x14ac:dyDescent="0.25">
      <c r="A2349" t="s">
        <v>1783</v>
      </c>
      <c r="B2349" t="s">
        <v>1784</v>
      </c>
      <c r="C2349" t="s">
        <v>551</v>
      </c>
      <c r="D2349" t="s">
        <v>228</v>
      </c>
      <c r="E2349" t="str">
        <f>INDEX('State Codes'!$E$7:$E$70,MATCH(INDEX('State Codes'!$C$7:$C$70,MATCH('County Climates'!B2349,'State Codes'!$D$7:$D$70,0),1),'State Codes'!$C$7:$C$70,0),1)</f>
        <v>West North Central Division</v>
      </c>
      <c r="F2349">
        <f>INDEX('CBECS_Table B5'!$C$6:$K$6,1,MATCH('County Climates'!E2349,'CBECS_Table B5'!$C$1:$K$1,0))</f>
        <v>6178</v>
      </c>
    </row>
    <row r="2350" spans="1:6" x14ac:dyDescent="0.25">
      <c r="A2350" t="s">
        <v>1783</v>
      </c>
      <c r="B2350" t="s">
        <v>1784</v>
      </c>
      <c r="C2350" t="s">
        <v>328</v>
      </c>
      <c r="D2350" t="s">
        <v>247</v>
      </c>
      <c r="E2350" t="str">
        <f>INDEX('State Codes'!$E$7:$E$70,MATCH(INDEX('State Codes'!$C$7:$C$70,MATCH('County Climates'!B2350,'State Codes'!$D$7:$D$70,0),1),'State Codes'!$C$7:$C$70,0),1)</f>
        <v>West North Central Division</v>
      </c>
      <c r="F2350">
        <f>INDEX('CBECS_Table B5'!$C$6:$K$6,1,MATCH('County Climates'!E2350,'CBECS_Table B5'!$C$1:$K$1,0))</f>
        <v>6178</v>
      </c>
    </row>
    <row r="2351" spans="1:6" x14ac:dyDescent="0.25">
      <c r="A2351" t="s">
        <v>1783</v>
      </c>
      <c r="B2351" t="s">
        <v>1784</v>
      </c>
      <c r="C2351" t="s">
        <v>329</v>
      </c>
      <c r="D2351" t="s">
        <v>247</v>
      </c>
      <c r="E2351" t="str">
        <f>INDEX('State Codes'!$E$7:$E$70,MATCH(INDEX('State Codes'!$C$7:$C$70,MATCH('County Climates'!B2351,'State Codes'!$D$7:$D$70,0),1),'State Codes'!$C$7:$C$70,0),1)</f>
        <v>West North Central Division</v>
      </c>
      <c r="F2351">
        <f>INDEX('CBECS_Table B5'!$C$6:$K$6,1,MATCH('County Climates'!E2351,'CBECS_Table B5'!$C$1:$K$1,0))</f>
        <v>6178</v>
      </c>
    </row>
    <row r="2352" spans="1:6" x14ac:dyDescent="0.25">
      <c r="A2352" t="s">
        <v>1783</v>
      </c>
      <c r="B2352" t="s">
        <v>1784</v>
      </c>
      <c r="C2352" t="s">
        <v>1799</v>
      </c>
      <c r="D2352" t="s">
        <v>247</v>
      </c>
      <c r="E2352" t="str">
        <f>INDEX('State Codes'!$E$7:$E$70,MATCH(INDEX('State Codes'!$C$7:$C$70,MATCH('County Climates'!B2352,'State Codes'!$D$7:$D$70,0),1),'State Codes'!$C$7:$C$70,0),1)</f>
        <v>West North Central Division</v>
      </c>
      <c r="F2352">
        <f>INDEX('CBECS_Table B5'!$C$6:$K$6,1,MATCH('County Climates'!E2352,'CBECS_Table B5'!$C$1:$K$1,0))</f>
        <v>6178</v>
      </c>
    </row>
    <row r="2353" spans="1:6" x14ac:dyDescent="0.25">
      <c r="A2353" t="s">
        <v>1783</v>
      </c>
      <c r="B2353" t="s">
        <v>1784</v>
      </c>
      <c r="C2353" t="s">
        <v>293</v>
      </c>
      <c r="D2353" t="s">
        <v>247</v>
      </c>
      <c r="E2353" t="str">
        <f>INDEX('State Codes'!$E$7:$E$70,MATCH(INDEX('State Codes'!$C$7:$C$70,MATCH('County Climates'!B2353,'State Codes'!$D$7:$D$70,0),1),'State Codes'!$C$7:$C$70,0),1)</f>
        <v>West North Central Division</v>
      </c>
      <c r="F2353">
        <f>INDEX('CBECS_Table B5'!$C$6:$K$6,1,MATCH('County Climates'!E2353,'CBECS_Table B5'!$C$1:$K$1,0))</f>
        <v>6178</v>
      </c>
    </row>
    <row r="2354" spans="1:6" x14ac:dyDescent="0.25">
      <c r="A2354" t="s">
        <v>1783</v>
      </c>
      <c r="B2354" t="s">
        <v>1784</v>
      </c>
      <c r="C2354" t="s">
        <v>294</v>
      </c>
      <c r="D2354" t="s">
        <v>247</v>
      </c>
      <c r="E2354" t="str">
        <f>INDEX('State Codes'!$E$7:$E$70,MATCH(INDEX('State Codes'!$C$7:$C$70,MATCH('County Climates'!B2354,'State Codes'!$D$7:$D$70,0),1),'State Codes'!$C$7:$C$70,0),1)</f>
        <v>West North Central Division</v>
      </c>
      <c r="F2354">
        <f>INDEX('CBECS_Table B5'!$C$6:$K$6,1,MATCH('County Climates'!E2354,'CBECS_Table B5'!$C$1:$K$1,0))</f>
        <v>6178</v>
      </c>
    </row>
    <row r="2355" spans="1:6" x14ac:dyDescent="0.25">
      <c r="A2355" t="s">
        <v>1783</v>
      </c>
      <c r="B2355" t="s">
        <v>1784</v>
      </c>
      <c r="C2355" t="s">
        <v>295</v>
      </c>
      <c r="D2355" t="s">
        <v>247</v>
      </c>
      <c r="E2355" t="str">
        <f>INDEX('State Codes'!$E$7:$E$70,MATCH(INDEX('State Codes'!$C$7:$C$70,MATCH('County Climates'!B2355,'State Codes'!$D$7:$D$70,0),1),'State Codes'!$C$7:$C$70,0),1)</f>
        <v>West North Central Division</v>
      </c>
      <c r="F2355">
        <f>INDEX('CBECS_Table B5'!$C$6:$K$6,1,MATCH('County Climates'!E2355,'CBECS_Table B5'!$C$1:$K$1,0))</f>
        <v>6178</v>
      </c>
    </row>
    <row r="2356" spans="1:6" x14ac:dyDescent="0.25">
      <c r="A2356" t="s">
        <v>1783</v>
      </c>
      <c r="B2356" t="s">
        <v>1784</v>
      </c>
      <c r="C2356" t="s">
        <v>1800</v>
      </c>
      <c r="D2356" t="s">
        <v>247</v>
      </c>
      <c r="E2356" t="str">
        <f>INDEX('State Codes'!$E$7:$E$70,MATCH(INDEX('State Codes'!$C$7:$C$70,MATCH('County Climates'!B2356,'State Codes'!$D$7:$D$70,0),1),'State Codes'!$C$7:$C$70,0),1)</f>
        <v>West North Central Division</v>
      </c>
      <c r="F2356">
        <f>INDEX('CBECS_Table B5'!$C$6:$K$6,1,MATCH('County Climates'!E2356,'CBECS_Table B5'!$C$1:$K$1,0))</f>
        <v>6178</v>
      </c>
    </row>
    <row r="2357" spans="1:6" x14ac:dyDescent="0.25">
      <c r="A2357" t="s">
        <v>1783</v>
      </c>
      <c r="B2357" t="s">
        <v>1784</v>
      </c>
      <c r="C2357" t="s">
        <v>331</v>
      </c>
      <c r="D2357" t="s">
        <v>247</v>
      </c>
      <c r="E2357" t="str">
        <f>INDEX('State Codes'!$E$7:$E$70,MATCH(INDEX('State Codes'!$C$7:$C$70,MATCH('County Climates'!B2357,'State Codes'!$D$7:$D$70,0),1),'State Codes'!$C$7:$C$70,0),1)</f>
        <v>West North Central Division</v>
      </c>
      <c r="F2357">
        <f>INDEX('CBECS_Table B5'!$C$6:$K$6,1,MATCH('County Climates'!E2357,'CBECS_Table B5'!$C$1:$K$1,0))</f>
        <v>6178</v>
      </c>
    </row>
    <row r="2358" spans="1:6" x14ac:dyDescent="0.25">
      <c r="A2358" t="s">
        <v>1783</v>
      </c>
      <c r="B2358" t="s">
        <v>1784</v>
      </c>
      <c r="C2358" t="s">
        <v>1801</v>
      </c>
      <c r="D2358" t="s">
        <v>228</v>
      </c>
      <c r="E2358" t="str">
        <f>INDEX('State Codes'!$E$7:$E$70,MATCH(INDEX('State Codes'!$C$7:$C$70,MATCH('County Climates'!B2358,'State Codes'!$D$7:$D$70,0),1),'State Codes'!$C$7:$C$70,0),1)</f>
        <v>West North Central Division</v>
      </c>
      <c r="F2358">
        <f>INDEX('CBECS_Table B5'!$C$6:$K$6,1,MATCH('County Climates'!E2358,'CBECS_Table B5'!$C$1:$K$1,0))</f>
        <v>6178</v>
      </c>
    </row>
    <row r="2359" spans="1:6" x14ac:dyDescent="0.25">
      <c r="A2359" t="s">
        <v>1783</v>
      </c>
      <c r="B2359" t="s">
        <v>1784</v>
      </c>
      <c r="C2359" t="s">
        <v>1802</v>
      </c>
      <c r="D2359" t="s">
        <v>247</v>
      </c>
      <c r="E2359" t="str">
        <f>INDEX('State Codes'!$E$7:$E$70,MATCH(INDEX('State Codes'!$C$7:$C$70,MATCH('County Climates'!B2359,'State Codes'!$D$7:$D$70,0),1),'State Codes'!$C$7:$C$70,0),1)</f>
        <v>West North Central Division</v>
      </c>
      <c r="F2359">
        <f>INDEX('CBECS_Table B5'!$C$6:$K$6,1,MATCH('County Climates'!E2359,'CBECS_Table B5'!$C$1:$K$1,0))</f>
        <v>6178</v>
      </c>
    </row>
    <row r="2360" spans="1:6" x14ac:dyDescent="0.25">
      <c r="A2360" t="s">
        <v>1783</v>
      </c>
      <c r="B2360" t="s">
        <v>1784</v>
      </c>
      <c r="C2360" t="s">
        <v>656</v>
      </c>
      <c r="D2360" t="s">
        <v>247</v>
      </c>
      <c r="E2360" t="str">
        <f>INDEX('State Codes'!$E$7:$E$70,MATCH(INDEX('State Codes'!$C$7:$C$70,MATCH('County Climates'!B2360,'State Codes'!$D$7:$D$70,0),1),'State Codes'!$C$7:$C$70,0),1)</f>
        <v>West North Central Division</v>
      </c>
      <c r="F2360">
        <f>INDEX('CBECS_Table B5'!$C$6:$K$6,1,MATCH('County Climates'!E2360,'CBECS_Table B5'!$C$1:$K$1,0))</f>
        <v>6178</v>
      </c>
    </row>
    <row r="2361" spans="1:6" x14ac:dyDescent="0.25">
      <c r="A2361" t="s">
        <v>1783</v>
      </c>
      <c r="B2361" t="s">
        <v>1784</v>
      </c>
      <c r="C2361" t="s">
        <v>1803</v>
      </c>
      <c r="D2361" t="s">
        <v>247</v>
      </c>
      <c r="E2361" t="str">
        <f>INDEX('State Codes'!$E$7:$E$70,MATCH(INDEX('State Codes'!$C$7:$C$70,MATCH('County Climates'!B2361,'State Codes'!$D$7:$D$70,0),1),'State Codes'!$C$7:$C$70,0),1)</f>
        <v>West North Central Division</v>
      </c>
      <c r="F2361">
        <f>INDEX('CBECS_Table B5'!$C$6:$K$6,1,MATCH('County Climates'!E2361,'CBECS_Table B5'!$C$1:$K$1,0))</f>
        <v>6178</v>
      </c>
    </row>
    <row r="2362" spans="1:6" x14ac:dyDescent="0.25">
      <c r="A2362" t="s">
        <v>1804</v>
      </c>
      <c r="B2362" t="s">
        <v>1805</v>
      </c>
      <c r="C2362" t="s">
        <v>288</v>
      </c>
      <c r="D2362" t="s">
        <v>228</v>
      </c>
      <c r="E2362" t="str">
        <f>INDEX('State Codes'!$E$7:$E$70,MATCH(INDEX('State Codes'!$C$7:$C$70,MATCH('County Climates'!B2362,'State Codes'!$D$7:$D$70,0),1),'State Codes'!$C$7:$C$70,0),1)</f>
        <v>Mountain Division</v>
      </c>
      <c r="F2362">
        <f>INDEX('CBECS_Table B5'!$C$6:$K$6,1,MATCH('County Climates'!E2362,'CBECS_Table B5'!$C$1:$K$1,0))</f>
        <v>4981</v>
      </c>
    </row>
    <row r="2363" spans="1:6" x14ac:dyDescent="0.25">
      <c r="A2363" t="s">
        <v>1804</v>
      </c>
      <c r="B2363" t="s">
        <v>1805</v>
      </c>
      <c r="C2363" t="s">
        <v>1806</v>
      </c>
      <c r="D2363" t="s">
        <v>228</v>
      </c>
      <c r="E2363" t="str">
        <f>INDEX('State Codes'!$E$7:$E$70,MATCH(INDEX('State Codes'!$C$7:$C$70,MATCH('County Climates'!B2363,'State Codes'!$D$7:$D$70,0),1),'State Codes'!$C$7:$C$70,0),1)</f>
        <v>Mountain Division</v>
      </c>
      <c r="F2363">
        <f>INDEX('CBECS_Table B5'!$C$6:$K$6,1,MATCH('County Climates'!E2363,'CBECS_Table B5'!$C$1:$K$1,0))</f>
        <v>4981</v>
      </c>
    </row>
    <row r="2364" spans="1:6" x14ac:dyDescent="0.25">
      <c r="A2364" t="s">
        <v>1804</v>
      </c>
      <c r="B2364" t="s">
        <v>1805</v>
      </c>
      <c r="C2364" t="s">
        <v>1807</v>
      </c>
      <c r="D2364" t="s">
        <v>228</v>
      </c>
      <c r="E2364" t="str">
        <f>INDEX('State Codes'!$E$7:$E$70,MATCH(INDEX('State Codes'!$C$7:$C$70,MATCH('County Climates'!B2364,'State Codes'!$D$7:$D$70,0),1),'State Codes'!$C$7:$C$70,0),1)</f>
        <v>Mountain Division</v>
      </c>
      <c r="F2364">
        <f>INDEX('CBECS_Table B5'!$C$6:$K$6,1,MATCH('County Climates'!E2364,'CBECS_Table B5'!$C$1:$K$1,0))</f>
        <v>4981</v>
      </c>
    </row>
    <row r="2365" spans="1:6" x14ac:dyDescent="0.25">
      <c r="A2365" t="s">
        <v>1804</v>
      </c>
      <c r="B2365" t="s">
        <v>1805</v>
      </c>
      <c r="C2365" t="s">
        <v>387</v>
      </c>
      <c r="D2365" t="s">
        <v>228</v>
      </c>
      <c r="E2365" t="str">
        <f>INDEX('State Codes'!$E$7:$E$70,MATCH(INDEX('State Codes'!$C$7:$C$70,MATCH('County Climates'!B2365,'State Codes'!$D$7:$D$70,0),1),'State Codes'!$C$7:$C$70,0),1)</f>
        <v>Mountain Division</v>
      </c>
      <c r="F2365">
        <f>INDEX('CBECS_Table B5'!$C$6:$K$6,1,MATCH('County Climates'!E2365,'CBECS_Table B5'!$C$1:$K$1,0))</f>
        <v>4981</v>
      </c>
    </row>
    <row r="2366" spans="1:6" x14ac:dyDescent="0.25">
      <c r="A2366" t="s">
        <v>1804</v>
      </c>
      <c r="B2366" t="s">
        <v>1805</v>
      </c>
      <c r="C2366" t="s">
        <v>1808</v>
      </c>
      <c r="D2366" t="s">
        <v>228</v>
      </c>
      <c r="E2366" t="str">
        <f>INDEX('State Codes'!$E$7:$E$70,MATCH(INDEX('State Codes'!$C$7:$C$70,MATCH('County Climates'!B2366,'State Codes'!$D$7:$D$70,0),1),'State Codes'!$C$7:$C$70,0),1)</f>
        <v>Mountain Division</v>
      </c>
      <c r="F2366">
        <f>INDEX('CBECS_Table B5'!$C$6:$K$6,1,MATCH('County Climates'!E2366,'CBECS_Table B5'!$C$1:$K$1,0))</f>
        <v>4981</v>
      </c>
    </row>
    <row r="2367" spans="1:6" x14ac:dyDescent="0.25">
      <c r="A2367" t="s">
        <v>1804</v>
      </c>
      <c r="B2367" t="s">
        <v>1805</v>
      </c>
      <c r="C2367" t="s">
        <v>1809</v>
      </c>
      <c r="D2367" t="s">
        <v>228</v>
      </c>
      <c r="E2367" t="str">
        <f>INDEX('State Codes'!$E$7:$E$70,MATCH(INDEX('State Codes'!$C$7:$C$70,MATCH('County Climates'!B2367,'State Codes'!$D$7:$D$70,0),1),'State Codes'!$C$7:$C$70,0),1)</f>
        <v>Mountain Division</v>
      </c>
      <c r="F2367">
        <f>INDEX('CBECS_Table B5'!$C$6:$K$6,1,MATCH('County Climates'!E2367,'CBECS_Table B5'!$C$1:$K$1,0))</f>
        <v>4981</v>
      </c>
    </row>
    <row r="2368" spans="1:6" x14ac:dyDescent="0.25">
      <c r="A2368" t="s">
        <v>1804</v>
      </c>
      <c r="B2368" t="s">
        <v>1805</v>
      </c>
      <c r="C2368" t="s">
        <v>393</v>
      </c>
      <c r="D2368" t="s">
        <v>228</v>
      </c>
      <c r="E2368" t="str">
        <f>INDEX('State Codes'!$E$7:$E$70,MATCH(INDEX('State Codes'!$C$7:$C$70,MATCH('County Climates'!B2368,'State Codes'!$D$7:$D$70,0),1),'State Codes'!$C$7:$C$70,0),1)</f>
        <v>Mountain Division</v>
      </c>
      <c r="F2368">
        <f>INDEX('CBECS_Table B5'!$C$6:$K$6,1,MATCH('County Climates'!E2368,'CBECS_Table B5'!$C$1:$K$1,0))</f>
        <v>4981</v>
      </c>
    </row>
    <row r="2369" spans="1:6" x14ac:dyDescent="0.25">
      <c r="A2369" t="s">
        <v>1804</v>
      </c>
      <c r="B2369" t="s">
        <v>1805</v>
      </c>
      <c r="C2369" t="s">
        <v>1810</v>
      </c>
      <c r="D2369" t="s">
        <v>228</v>
      </c>
      <c r="E2369" t="str">
        <f>INDEX('State Codes'!$E$7:$E$70,MATCH(INDEX('State Codes'!$C$7:$C$70,MATCH('County Climates'!B2369,'State Codes'!$D$7:$D$70,0),1),'State Codes'!$C$7:$C$70,0),1)</f>
        <v>Mountain Division</v>
      </c>
      <c r="F2369">
        <f>INDEX('CBECS_Table B5'!$C$6:$K$6,1,MATCH('County Climates'!E2369,'CBECS_Table B5'!$C$1:$K$1,0))</f>
        <v>4981</v>
      </c>
    </row>
    <row r="2370" spans="1:6" x14ac:dyDescent="0.25">
      <c r="A2370" t="s">
        <v>1804</v>
      </c>
      <c r="B2370" t="s">
        <v>1805</v>
      </c>
      <c r="C2370" t="s">
        <v>333</v>
      </c>
      <c r="D2370" t="s">
        <v>228</v>
      </c>
      <c r="E2370" t="str">
        <f>INDEX('State Codes'!$E$7:$E$70,MATCH(INDEX('State Codes'!$C$7:$C$70,MATCH('County Climates'!B2370,'State Codes'!$D$7:$D$70,0),1),'State Codes'!$C$7:$C$70,0),1)</f>
        <v>Mountain Division</v>
      </c>
      <c r="F2370">
        <f>INDEX('CBECS_Table B5'!$C$6:$K$6,1,MATCH('County Climates'!E2370,'CBECS_Table B5'!$C$1:$K$1,0))</f>
        <v>4981</v>
      </c>
    </row>
    <row r="2371" spans="1:6" x14ac:dyDescent="0.25">
      <c r="A2371" t="s">
        <v>1804</v>
      </c>
      <c r="B2371" t="s">
        <v>1805</v>
      </c>
      <c r="C2371" t="s">
        <v>1811</v>
      </c>
      <c r="D2371" t="s">
        <v>228</v>
      </c>
      <c r="E2371" t="str">
        <f>INDEX('State Codes'!$E$7:$E$70,MATCH(INDEX('State Codes'!$C$7:$C$70,MATCH('County Climates'!B2371,'State Codes'!$D$7:$D$70,0),1),'State Codes'!$C$7:$C$70,0),1)</f>
        <v>Mountain Division</v>
      </c>
      <c r="F2371">
        <f>INDEX('CBECS_Table B5'!$C$6:$K$6,1,MATCH('County Climates'!E2371,'CBECS_Table B5'!$C$1:$K$1,0))</f>
        <v>4981</v>
      </c>
    </row>
    <row r="2372" spans="1:6" x14ac:dyDescent="0.25">
      <c r="A2372" t="s">
        <v>1804</v>
      </c>
      <c r="B2372" t="s">
        <v>1805</v>
      </c>
      <c r="C2372" t="s">
        <v>1812</v>
      </c>
      <c r="D2372" t="s">
        <v>228</v>
      </c>
      <c r="E2372" t="str">
        <f>INDEX('State Codes'!$E$7:$E$70,MATCH(INDEX('State Codes'!$C$7:$C$70,MATCH('County Climates'!B2372,'State Codes'!$D$7:$D$70,0),1),'State Codes'!$C$7:$C$70,0),1)</f>
        <v>Mountain Division</v>
      </c>
      <c r="F2372">
        <f>INDEX('CBECS_Table B5'!$C$6:$K$6,1,MATCH('County Climates'!E2372,'CBECS_Table B5'!$C$1:$K$1,0))</f>
        <v>4981</v>
      </c>
    </row>
    <row r="2373" spans="1:6" x14ac:dyDescent="0.25">
      <c r="A2373" t="s">
        <v>1804</v>
      </c>
      <c r="B2373" t="s">
        <v>1805</v>
      </c>
      <c r="C2373" t="s">
        <v>699</v>
      </c>
      <c r="D2373" t="s">
        <v>228</v>
      </c>
      <c r="E2373" t="str">
        <f>INDEX('State Codes'!$E$7:$E$70,MATCH(INDEX('State Codes'!$C$7:$C$70,MATCH('County Climates'!B2373,'State Codes'!$D$7:$D$70,0),1),'State Codes'!$C$7:$C$70,0),1)</f>
        <v>Mountain Division</v>
      </c>
      <c r="F2373">
        <f>INDEX('CBECS_Table B5'!$C$6:$K$6,1,MATCH('County Climates'!E2373,'CBECS_Table B5'!$C$1:$K$1,0))</f>
        <v>4981</v>
      </c>
    </row>
    <row r="2374" spans="1:6" x14ac:dyDescent="0.25">
      <c r="A2374" t="s">
        <v>1804</v>
      </c>
      <c r="B2374" t="s">
        <v>1805</v>
      </c>
      <c r="C2374" t="s">
        <v>337</v>
      </c>
      <c r="D2374" t="s">
        <v>228</v>
      </c>
      <c r="E2374" t="str">
        <f>INDEX('State Codes'!$E$7:$E$70,MATCH(INDEX('State Codes'!$C$7:$C$70,MATCH('County Climates'!B2374,'State Codes'!$D$7:$D$70,0),1),'State Codes'!$C$7:$C$70,0),1)</f>
        <v>Mountain Division</v>
      </c>
      <c r="F2374">
        <f>INDEX('CBECS_Table B5'!$C$6:$K$6,1,MATCH('County Climates'!E2374,'CBECS_Table B5'!$C$1:$K$1,0))</f>
        <v>4981</v>
      </c>
    </row>
    <row r="2375" spans="1:6" x14ac:dyDescent="0.25">
      <c r="A2375" t="s">
        <v>1804</v>
      </c>
      <c r="B2375" t="s">
        <v>1805</v>
      </c>
      <c r="C2375" t="s">
        <v>1813</v>
      </c>
      <c r="D2375" t="s">
        <v>228</v>
      </c>
      <c r="E2375" t="str">
        <f>INDEX('State Codes'!$E$7:$E$70,MATCH(INDEX('State Codes'!$C$7:$C$70,MATCH('County Climates'!B2375,'State Codes'!$D$7:$D$70,0),1),'State Codes'!$C$7:$C$70,0),1)</f>
        <v>Mountain Division</v>
      </c>
      <c r="F2375">
        <f>INDEX('CBECS_Table B5'!$C$6:$K$6,1,MATCH('County Climates'!E2375,'CBECS_Table B5'!$C$1:$K$1,0))</f>
        <v>4981</v>
      </c>
    </row>
    <row r="2376" spans="1:6" x14ac:dyDescent="0.25">
      <c r="A2376" t="s">
        <v>1804</v>
      </c>
      <c r="B2376" t="s">
        <v>1805</v>
      </c>
      <c r="C2376" t="s">
        <v>557</v>
      </c>
      <c r="D2376" t="s">
        <v>228</v>
      </c>
      <c r="E2376" t="str">
        <f>INDEX('State Codes'!$E$7:$E$70,MATCH(INDEX('State Codes'!$C$7:$C$70,MATCH('County Climates'!B2376,'State Codes'!$D$7:$D$70,0),1),'State Codes'!$C$7:$C$70,0),1)</f>
        <v>Mountain Division</v>
      </c>
      <c r="F2376">
        <f>INDEX('CBECS_Table B5'!$C$6:$K$6,1,MATCH('County Climates'!E2376,'CBECS_Table B5'!$C$1:$K$1,0))</f>
        <v>4981</v>
      </c>
    </row>
    <row r="2377" spans="1:6" x14ac:dyDescent="0.25">
      <c r="A2377" t="s">
        <v>1804</v>
      </c>
      <c r="B2377" t="s">
        <v>1805</v>
      </c>
      <c r="C2377" t="s">
        <v>1814</v>
      </c>
      <c r="D2377" t="s">
        <v>228</v>
      </c>
      <c r="E2377" t="str">
        <f>INDEX('State Codes'!$E$7:$E$70,MATCH(INDEX('State Codes'!$C$7:$C$70,MATCH('County Climates'!B2377,'State Codes'!$D$7:$D$70,0),1),'State Codes'!$C$7:$C$70,0),1)</f>
        <v>Mountain Division</v>
      </c>
      <c r="F2377">
        <f>INDEX('CBECS_Table B5'!$C$6:$K$6,1,MATCH('County Climates'!E2377,'CBECS_Table B5'!$C$1:$K$1,0))</f>
        <v>4981</v>
      </c>
    </row>
    <row r="2378" spans="1:6" x14ac:dyDescent="0.25">
      <c r="A2378" t="s">
        <v>1804</v>
      </c>
      <c r="B2378" t="s">
        <v>1805</v>
      </c>
      <c r="C2378" t="s">
        <v>1815</v>
      </c>
      <c r="D2378" t="s">
        <v>228</v>
      </c>
      <c r="E2378" t="str">
        <f>INDEX('State Codes'!$E$7:$E$70,MATCH(INDEX('State Codes'!$C$7:$C$70,MATCH('County Climates'!B2378,'State Codes'!$D$7:$D$70,0),1),'State Codes'!$C$7:$C$70,0),1)</f>
        <v>Mountain Division</v>
      </c>
      <c r="F2378">
        <f>INDEX('CBECS_Table B5'!$C$6:$K$6,1,MATCH('County Climates'!E2378,'CBECS_Table B5'!$C$1:$K$1,0))</f>
        <v>4981</v>
      </c>
    </row>
    <row r="2379" spans="1:6" x14ac:dyDescent="0.25">
      <c r="A2379" t="s">
        <v>1804</v>
      </c>
      <c r="B2379" t="s">
        <v>1805</v>
      </c>
      <c r="C2379" t="s">
        <v>1816</v>
      </c>
      <c r="D2379" t="s">
        <v>228</v>
      </c>
      <c r="E2379" t="str">
        <f>INDEX('State Codes'!$E$7:$E$70,MATCH(INDEX('State Codes'!$C$7:$C$70,MATCH('County Climates'!B2379,'State Codes'!$D$7:$D$70,0),1),'State Codes'!$C$7:$C$70,0),1)</f>
        <v>Mountain Division</v>
      </c>
      <c r="F2379">
        <f>INDEX('CBECS_Table B5'!$C$6:$K$6,1,MATCH('County Climates'!E2379,'CBECS_Table B5'!$C$1:$K$1,0))</f>
        <v>4981</v>
      </c>
    </row>
    <row r="2380" spans="1:6" x14ac:dyDescent="0.25">
      <c r="A2380" t="s">
        <v>1804</v>
      </c>
      <c r="B2380" t="s">
        <v>1805</v>
      </c>
      <c r="C2380" t="s">
        <v>921</v>
      </c>
      <c r="D2380" t="s">
        <v>228</v>
      </c>
      <c r="E2380" t="str">
        <f>INDEX('State Codes'!$E$7:$E$70,MATCH(INDEX('State Codes'!$C$7:$C$70,MATCH('County Climates'!B2380,'State Codes'!$D$7:$D$70,0),1),'State Codes'!$C$7:$C$70,0),1)</f>
        <v>Mountain Division</v>
      </c>
      <c r="F2380">
        <f>INDEX('CBECS_Table B5'!$C$6:$K$6,1,MATCH('County Climates'!E2380,'CBECS_Table B5'!$C$1:$K$1,0))</f>
        <v>4981</v>
      </c>
    </row>
    <row r="2381" spans="1:6" x14ac:dyDescent="0.25">
      <c r="A2381" t="s">
        <v>1804</v>
      </c>
      <c r="B2381" t="s">
        <v>1805</v>
      </c>
      <c r="C2381" t="s">
        <v>1817</v>
      </c>
      <c r="D2381" t="s">
        <v>228</v>
      </c>
      <c r="E2381" t="str">
        <f>INDEX('State Codes'!$E$7:$E$70,MATCH(INDEX('State Codes'!$C$7:$C$70,MATCH('County Climates'!B2381,'State Codes'!$D$7:$D$70,0),1),'State Codes'!$C$7:$C$70,0),1)</f>
        <v>Mountain Division</v>
      </c>
      <c r="F2381">
        <f>INDEX('CBECS_Table B5'!$C$6:$K$6,1,MATCH('County Climates'!E2381,'CBECS_Table B5'!$C$1:$K$1,0))</f>
        <v>4981</v>
      </c>
    </row>
    <row r="2382" spans="1:6" x14ac:dyDescent="0.25">
      <c r="A2382" t="s">
        <v>1804</v>
      </c>
      <c r="B2382" t="s">
        <v>1805</v>
      </c>
      <c r="C2382" t="s">
        <v>1818</v>
      </c>
      <c r="D2382" t="s">
        <v>228</v>
      </c>
      <c r="E2382" t="str">
        <f>INDEX('State Codes'!$E$7:$E$70,MATCH(INDEX('State Codes'!$C$7:$C$70,MATCH('County Climates'!B2382,'State Codes'!$D$7:$D$70,0),1),'State Codes'!$C$7:$C$70,0),1)</f>
        <v>Mountain Division</v>
      </c>
      <c r="F2382">
        <f>INDEX('CBECS_Table B5'!$C$6:$K$6,1,MATCH('County Climates'!E2382,'CBECS_Table B5'!$C$1:$K$1,0))</f>
        <v>4981</v>
      </c>
    </row>
    <row r="2383" spans="1:6" x14ac:dyDescent="0.25">
      <c r="A2383" t="s">
        <v>1804</v>
      </c>
      <c r="B2383" t="s">
        <v>1805</v>
      </c>
      <c r="C2383" t="s">
        <v>1819</v>
      </c>
      <c r="D2383" t="s">
        <v>228</v>
      </c>
      <c r="E2383" t="str">
        <f>INDEX('State Codes'!$E$7:$E$70,MATCH(INDEX('State Codes'!$C$7:$C$70,MATCH('County Climates'!B2383,'State Codes'!$D$7:$D$70,0),1),'State Codes'!$C$7:$C$70,0),1)</f>
        <v>Mountain Division</v>
      </c>
      <c r="F2383">
        <f>INDEX('CBECS_Table B5'!$C$6:$K$6,1,MATCH('County Climates'!E2383,'CBECS_Table B5'!$C$1:$K$1,0))</f>
        <v>4981</v>
      </c>
    </row>
    <row r="2384" spans="1:6" x14ac:dyDescent="0.25">
      <c r="A2384" t="s">
        <v>1804</v>
      </c>
      <c r="B2384" t="s">
        <v>1805</v>
      </c>
      <c r="C2384" t="s">
        <v>1374</v>
      </c>
      <c r="D2384" t="s">
        <v>228</v>
      </c>
      <c r="E2384" t="str">
        <f>INDEX('State Codes'!$E$7:$E$70,MATCH(INDEX('State Codes'!$C$7:$C$70,MATCH('County Climates'!B2384,'State Codes'!$D$7:$D$70,0),1),'State Codes'!$C$7:$C$70,0),1)</f>
        <v>Mountain Division</v>
      </c>
      <c r="F2384">
        <f>INDEX('CBECS_Table B5'!$C$6:$K$6,1,MATCH('County Climates'!E2384,'CBECS_Table B5'!$C$1:$K$1,0))</f>
        <v>4981</v>
      </c>
    </row>
    <row r="2385" spans="1:6" x14ac:dyDescent="0.25">
      <c r="A2385" t="s">
        <v>1804</v>
      </c>
      <c r="B2385" t="s">
        <v>1805</v>
      </c>
      <c r="C2385" t="s">
        <v>1820</v>
      </c>
      <c r="D2385" t="s">
        <v>228</v>
      </c>
      <c r="E2385" t="str">
        <f>INDEX('State Codes'!$E$7:$E$70,MATCH(INDEX('State Codes'!$C$7:$C$70,MATCH('County Climates'!B2385,'State Codes'!$D$7:$D$70,0),1),'State Codes'!$C$7:$C$70,0),1)</f>
        <v>Mountain Division</v>
      </c>
      <c r="F2385">
        <f>INDEX('CBECS_Table B5'!$C$6:$K$6,1,MATCH('County Climates'!E2385,'CBECS_Table B5'!$C$1:$K$1,0))</f>
        <v>4981</v>
      </c>
    </row>
    <row r="2386" spans="1:6" x14ac:dyDescent="0.25">
      <c r="A2386" t="s">
        <v>1804</v>
      </c>
      <c r="B2386" t="s">
        <v>1805</v>
      </c>
      <c r="C2386" t="s">
        <v>1821</v>
      </c>
      <c r="D2386" t="s">
        <v>228</v>
      </c>
      <c r="E2386" t="str">
        <f>INDEX('State Codes'!$E$7:$E$70,MATCH(INDEX('State Codes'!$C$7:$C$70,MATCH('County Climates'!B2386,'State Codes'!$D$7:$D$70,0),1),'State Codes'!$C$7:$C$70,0),1)</f>
        <v>Mountain Division</v>
      </c>
      <c r="F2386">
        <f>INDEX('CBECS_Table B5'!$C$6:$K$6,1,MATCH('County Climates'!E2386,'CBECS_Table B5'!$C$1:$K$1,0))</f>
        <v>4981</v>
      </c>
    </row>
    <row r="2387" spans="1:6" x14ac:dyDescent="0.25">
      <c r="A2387" t="s">
        <v>1804</v>
      </c>
      <c r="B2387" t="s">
        <v>1805</v>
      </c>
      <c r="C2387" t="s">
        <v>927</v>
      </c>
      <c r="D2387" t="s">
        <v>228</v>
      </c>
      <c r="E2387" t="str">
        <f>INDEX('State Codes'!$E$7:$E$70,MATCH(INDEX('State Codes'!$C$7:$C$70,MATCH('County Climates'!B2387,'State Codes'!$D$7:$D$70,0),1),'State Codes'!$C$7:$C$70,0),1)</f>
        <v>Mountain Division</v>
      </c>
      <c r="F2387">
        <f>INDEX('CBECS_Table B5'!$C$6:$K$6,1,MATCH('County Climates'!E2387,'CBECS_Table B5'!$C$1:$K$1,0))</f>
        <v>4981</v>
      </c>
    </row>
    <row r="2388" spans="1:6" x14ac:dyDescent="0.25">
      <c r="A2388" t="s">
        <v>1804</v>
      </c>
      <c r="B2388" t="s">
        <v>1805</v>
      </c>
      <c r="C2388" t="s">
        <v>1822</v>
      </c>
      <c r="D2388" t="s">
        <v>228</v>
      </c>
      <c r="E2388" t="str">
        <f>INDEX('State Codes'!$E$7:$E$70,MATCH(INDEX('State Codes'!$C$7:$C$70,MATCH('County Climates'!B2388,'State Codes'!$D$7:$D$70,0),1),'State Codes'!$C$7:$C$70,0),1)</f>
        <v>Mountain Division</v>
      </c>
      <c r="F2388">
        <f>INDEX('CBECS_Table B5'!$C$6:$K$6,1,MATCH('County Climates'!E2388,'CBECS_Table B5'!$C$1:$K$1,0))</f>
        <v>4981</v>
      </c>
    </row>
    <row r="2389" spans="1:6" x14ac:dyDescent="0.25">
      <c r="A2389" t="s">
        <v>1804</v>
      </c>
      <c r="B2389" t="s">
        <v>1805</v>
      </c>
      <c r="C2389" t="s">
        <v>1823</v>
      </c>
      <c r="D2389" t="s">
        <v>228</v>
      </c>
      <c r="E2389" t="str">
        <f>INDEX('State Codes'!$E$7:$E$70,MATCH(INDEX('State Codes'!$C$7:$C$70,MATCH('County Climates'!B2389,'State Codes'!$D$7:$D$70,0),1),'State Codes'!$C$7:$C$70,0),1)</f>
        <v>Mountain Division</v>
      </c>
      <c r="F2389">
        <f>INDEX('CBECS_Table B5'!$C$6:$K$6,1,MATCH('County Climates'!E2389,'CBECS_Table B5'!$C$1:$K$1,0))</f>
        <v>4981</v>
      </c>
    </row>
    <row r="2390" spans="1:6" x14ac:dyDescent="0.25">
      <c r="A2390" t="s">
        <v>1804</v>
      </c>
      <c r="B2390" t="s">
        <v>1805</v>
      </c>
      <c r="C2390" t="s">
        <v>1824</v>
      </c>
      <c r="D2390" t="s">
        <v>228</v>
      </c>
      <c r="E2390" t="str">
        <f>INDEX('State Codes'!$E$7:$E$70,MATCH(INDEX('State Codes'!$C$7:$C$70,MATCH('County Climates'!B2390,'State Codes'!$D$7:$D$70,0),1),'State Codes'!$C$7:$C$70,0),1)</f>
        <v>Mountain Division</v>
      </c>
      <c r="F2390">
        <f>INDEX('CBECS_Table B5'!$C$6:$K$6,1,MATCH('County Climates'!E2390,'CBECS_Table B5'!$C$1:$K$1,0))</f>
        <v>4981</v>
      </c>
    </row>
    <row r="2391" spans="1:6" x14ac:dyDescent="0.25">
      <c r="A2391" t="s">
        <v>1825</v>
      </c>
      <c r="B2391" t="s">
        <v>1826</v>
      </c>
      <c r="C2391" t="s">
        <v>516</v>
      </c>
      <c r="D2391" t="s">
        <v>228</v>
      </c>
      <c r="E2391" t="str">
        <f>INDEX('State Codes'!$E$7:$E$70,MATCH(INDEX('State Codes'!$C$7:$C$70,MATCH('County Climates'!B2391,'State Codes'!$D$7:$D$70,0),1),'State Codes'!$C$7:$C$70,0),1)</f>
        <v>West North Central Division</v>
      </c>
      <c r="F2391">
        <f>INDEX('CBECS_Table B5'!$C$6:$K$6,1,MATCH('County Climates'!E2391,'CBECS_Table B5'!$C$1:$K$1,0))</f>
        <v>6178</v>
      </c>
    </row>
    <row r="2392" spans="1:6" x14ac:dyDescent="0.25">
      <c r="A2392" t="s">
        <v>1825</v>
      </c>
      <c r="B2392" t="s">
        <v>1826</v>
      </c>
      <c r="C2392" t="s">
        <v>1827</v>
      </c>
      <c r="D2392" t="s">
        <v>228</v>
      </c>
      <c r="E2392" t="str">
        <f>INDEX('State Codes'!$E$7:$E$70,MATCH(INDEX('State Codes'!$C$7:$C$70,MATCH('County Climates'!B2392,'State Codes'!$D$7:$D$70,0),1),'State Codes'!$C$7:$C$70,0),1)</f>
        <v>West North Central Division</v>
      </c>
      <c r="F2392">
        <f>INDEX('CBECS_Table B5'!$C$6:$K$6,1,MATCH('County Climates'!E2392,'CBECS_Table B5'!$C$1:$K$1,0))</f>
        <v>6178</v>
      </c>
    </row>
    <row r="2393" spans="1:6" x14ac:dyDescent="0.25">
      <c r="A2393" t="s">
        <v>1825</v>
      </c>
      <c r="B2393" t="s">
        <v>1826</v>
      </c>
      <c r="C2393" t="s">
        <v>1828</v>
      </c>
      <c r="D2393" t="s">
        <v>228</v>
      </c>
      <c r="E2393" t="str">
        <f>INDEX('State Codes'!$E$7:$E$70,MATCH(INDEX('State Codes'!$C$7:$C$70,MATCH('County Climates'!B2393,'State Codes'!$D$7:$D$70,0),1),'State Codes'!$C$7:$C$70,0),1)</f>
        <v>West North Central Division</v>
      </c>
      <c r="F2393">
        <f>INDEX('CBECS_Table B5'!$C$6:$K$6,1,MATCH('County Climates'!E2393,'CBECS_Table B5'!$C$1:$K$1,0))</f>
        <v>6178</v>
      </c>
    </row>
    <row r="2394" spans="1:6" x14ac:dyDescent="0.25">
      <c r="A2394" t="s">
        <v>1825</v>
      </c>
      <c r="B2394" t="s">
        <v>1826</v>
      </c>
      <c r="C2394" t="s">
        <v>1829</v>
      </c>
      <c r="D2394" t="s">
        <v>228</v>
      </c>
      <c r="E2394" t="str">
        <f>INDEX('State Codes'!$E$7:$E$70,MATCH(INDEX('State Codes'!$C$7:$C$70,MATCH('County Climates'!B2394,'State Codes'!$D$7:$D$70,0),1),'State Codes'!$C$7:$C$70,0),1)</f>
        <v>West North Central Division</v>
      </c>
      <c r="F2394">
        <f>INDEX('CBECS_Table B5'!$C$6:$K$6,1,MATCH('County Climates'!E2394,'CBECS_Table B5'!$C$1:$K$1,0))</f>
        <v>6178</v>
      </c>
    </row>
    <row r="2395" spans="1:6" x14ac:dyDescent="0.25">
      <c r="A2395" t="s">
        <v>1825</v>
      </c>
      <c r="B2395" t="s">
        <v>1826</v>
      </c>
      <c r="C2395" t="s">
        <v>521</v>
      </c>
      <c r="D2395" t="s">
        <v>228</v>
      </c>
      <c r="E2395" t="str">
        <f>INDEX('State Codes'!$E$7:$E$70,MATCH(INDEX('State Codes'!$C$7:$C$70,MATCH('County Climates'!B2395,'State Codes'!$D$7:$D$70,0),1),'State Codes'!$C$7:$C$70,0),1)</f>
        <v>West North Central Division</v>
      </c>
      <c r="F2395">
        <f>INDEX('CBECS_Table B5'!$C$6:$K$6,1,MATCH('County Climates'!E2395,'CBECS_Table B5'!$C$1:$K$1,0))</f>
        <v>6178</v>
      </c>
    </row>
    <row r="2396" spans="1:6" x14ac:dyDescent="0.25">
      <c r="A2396" t="s">
        <v>1825</v>
      </c>
      <c r="B2396" t="s">
        <v>1826</v>
      </c>
      <c r="C2396" t="s">
        <v>577</v>
      </c>
      <c r="D2396" t="s">
        <v>228</v>
      </c>
      <c r="E2396" t="str">
        <f>INDEX('State Codes'!$E$7:$E$70,MATCH(INDEX('State Codes'!$C$7:$C$70,MATCH('County Climates'!B2396,'State Codes'!$D$7:$D$70,0),1),'State Codes'!$C$7:$C$70,0),1)</f>
        <v>West North Central Division</v>
      </c>
      <c r="F2396">
        <f>INDEX('CBECS_Table B5'!$C$6:$K$6,1,MATCH('County Climates'!E2396,'CBECS_Table B5'!$C$1:$K$1,0))</f>
        <v>6178</v>
      </c>
    </row>
    <row r="2397" spans="1:6" x14ac:dyDescent="0.25">
      <c r="A2397" t="s">
        <v>1825</v>
      </c>
      <c r="B2397" t="s">
        <v>1826</v>
      </c>
      <c r="C2397" t="s">
        <v>1830</v>
      </c>
      <c r="D2397" t="s">
        <v>228</v>
      </c>
      <c r="E2397" t="str">
        <f>INDEX('State Codes'!$E$7:$E$70,MATCH(INDEX('State Codes'!$C$7:$C$70,MATCH('County Climates'!B2397,'State Codes'!$D$7:$D$70,0),1),'State Codes'!$C$7:$C$70,0),1)</f>
        <v>West North Central Division</v>
      </c>
      <c r="F2397">
        <f>INDEX('CBECS_Table B5'!$C$6:$K$6,1,MATCH('County Climates'!E2397,'CBECS_Table B5'!$C$1:$K$1,0))</f>
        <v>6178</v>
      </c>
    </row>
    <row r="2398" spans="1:6" x14ac:dyDescent="0.25">
      <c r="A2398" t="s">
        <v>1825</v>
      </c>
      <c r="B2398" t="s">
        <v>1826</v>
      </c>
      <c r="C2398" t="s">
        <v>1639</v>
      </c>
      <c r="D2398" t="s">
        <v>228</v>
      </c>
      <c r="E2398" t="str">
        <f>INDEX('State Codes'!$E$7:$E$70,MATCH(INDEX('State Codes'!$C$7:$C$70,MATCH('County Climates'!B2398,'State Codes'!$D$7:$D$70,0),1),'State Codes'!$C$7:$C$70,0),1)</f>
        <v>West North Central Division</v>
      </c>
      <c r="F2398">
        <f>INDEX('CBECS_Table B5'!$C$6:$K$6,1,MATCH('County Climates'!E2398,'CBECS_Table B5'!$C$1:$K$1,0))</f>
        <v>6178</v>
      </c>
    </row>
    <row r="2399" spans="1:6" x14ac:dyDescent="0.25">
      <c r="A2399" t="s">
        <v>1825</v>
      </c>
      <c r="B2399" t="s">
        <v>1826</v>
      </c>
      <c r="C2399" t="s">
        <v>578</v>
      </c>
      <c r="D2399" t="s">
        <v>228</v>
      </c>
      <c r="E2399" t="str">
        <f>INDEX('State Codes'!$E$7:$E$70,MATCH(INDEX('State Codes'!$C$7:$C$70,MATCH('County Climates'!B2399,'State Codes'!$D$7:$D$70,0),1),'State Codes'!$C$7:$C$70,0),1)</f>
        <v>West North Central Division</v>
      </c>
      <c r="F2399">
        <f>INDEX('CBECS_Table B5'!$C$6:$K$6,1,MATCH('County Climates'!E2399,'CBECS_Table B5'!$C$1:$K$1,0))</f>
        <v>6178</v>
      </c>
    </row>
    <row r="2400" spans="1:6" x14ac:dyDescent="0.25">
      <c r="A2400" t="s">
        <v>1825</v>
      </c>
      <c r="B2400" t="s">
        <v>1826</v>
      </c>
      <c r="C2400" t="s">
        <v>1129</v>
      </c>
      <c r="D2400" t="s">
        <v>228</v>
      </c>
      <c r="E2400" t="str">
        <f>INDEX('State Codes'!$E$7:$E$70,MATCH(INDEX('State Codes'!$C$7:$C$70,MATCH('County Climates'!B2400,'State Codes'!$D$7:$D$70,0),1),'State Codes'!$C$7:$C$70,0),1)</f>
        <v>West North Central Division</v>
      </c>
      <c r="F2400">
        <f>INDEX('CBECS_Table B5'!$C$6:$K$6,1,MATCH('County Climates'!E2400,'CBECS_Table B5'!$C$1:$K$1,0))</f>
        <v>6178</v>
      </c>
    </row>
    <row r="2401" spans="1:6" x14ac:dyDescent="0.25">
      <c r="A2401" t="s">
        <v>1825</v>
      </c>
      <c r="B2401" t="s">
        <v>1826</v>
      </c>
      <c r="C2401" t="s">
        <v>1831</v>
      </c>
      <c r="D2401" t="s">
        <v>228</v>
      </c>
      <c r="E2401" t="str">
        <f>INDEX('State Codes'!$E$7:$E$70,MATCH(INDEX('State Codes'!$C$7:$C$70,MATCH('County Climates'!B2401,'State Codes'!$D$7:$D$70,0),1),'State Codes'!$C$7:$C$70,0),1)</f>
        <v>West North Central Division</v>
      </c>
      <c r="F2401">
        <f>INDEX('CBECS_Table B5'!$C$6:$K$6,1,MATCH('County Climates'!E2401,'CBECS_Table B5'!$C$1:$K$1,0))</f>
        <v>6178</v>
      </c>
    </row>
    <row r="2402" spans="1:6" x14ac:dyDescent="0.25">
      <c r="A2402" t="s">
        <v>1825</v>
      </c>
      <c r="B2402" t="s">
        <v>1826</v>
      </c>
      <c r="C2402" t="s">
        <v>250</v>
      </c>
      <c r="D2402" t="s">
        <v>228</v>
      </c>
      <c r="E2402" t="str">
        <f>INDEX('State Codes'!$E$7:$E$70,MATCH(INDEX('State Codes'!$C$7:$C$70,MATCH('County Climates'!B2402,'State Codes'!$D$7:$D$70,0),1),'State Codes'!$C$7:$C$70,0),1)</f>
        <v>West North Central Division</v>
      </c>
      <c r="F2402">
        <f>INDEX('CBECS_Table B5'!$C$6:$K$6,1,MATCH('County Climates'!E2402,'CBECS_Table B5'!$C$1:$K$1,0))</f>
        <v>6178</v>
      </c>
    </row>
    <row r="2403" spans="1:6" x14ac:dyDescent="0.25">
      <c r="A2403" t="s">
        <v>1825</v>
      </c>
      <c r="B2403" t="s">
        <v>1826</v>
      </c>
      <c r="C2403" t="s">
        <v>579</v>
      </c>
      <c r="D2403" t="s">
        <v>228</v>
      </c>
      <c r="E2403" t="str">
        <f>INDEX('State Codes'!$E$7:$E$70,MATCH(INDEX('State Codes'!$C$7:$C$70,MATCH('County Climates'!B2403,'State Codes'!$D$7:$D$70,0),1),'State Codes'!$C$7:$C$70,0),1)</f>
        <v>West North Central Division</v>
      </c>
      <c r="F2403">
        <f>INDEX('CBECS_Table B5'!$C$6:$K$6,1,MATCH('County Climates'!E2403,'CBECS_Table B5'!$C$1:$K$1,0))</f>
        <v>6178</v>
      </c>
    </row>
    <row r="2404" spans="1:6" x14ac:dyDescent="0.25">
      <c r="A2404" t="s">
        <v>1825</v>
      </c>
      <c r="B2404" t="s">
        <v>1826</v>
      </c>
      <c r="C2404" t="s">
        <v>599</v>
      </c>
      <c r="D2404" t="s">
        <v>228</v>
      </c>
      <c r="E2404" t="str">
        <f>INDEX('State Codes'!$E$7:$E$70,MATCH(INDEX('State Codes'!$C$7:$C$70,MATCH('County Climates'!B2404,'State Codes'!$D$7:$D$70,0),1),'State Codes'!$C$7:$C$70,0),1)</f>
        <v>West North Central Division</v>
      </c>
      <c r="F2404">
        <f>INDEX('CBECS_Table B5'!$C$6:$K$6,1,MATCH('County Climates'!E2404,'CBECS_Table B5'!$C$1:$K$1,0))</f>
        <v>6178</v>
      </c>
    </row>
    <row r="2405" spans="1:6" x14ac:dyDescent="0.25">
      <c r="A2405" t="s">
        <v>1825</v>
      </c>
      <c r="B2405" t="s">
        <v>1826</v>
      </c>
      <c r="C2405" t="s">
        <v>1619</v>
      </c>
      <c r="D2405" t="s">
        <v>228</v>
      </c>
      <c r="E2405" t="str">
        <f>INDEX('State Codes'!$E$7:$E$70,MATCH(INDEX('State Codes'!$C$7:$C$70,MATCH('County Climates'!B2405,'State Codes'!$D$7:$D$70,0),1),'State Codes'!$C$7:$C$70,0),1)</f>
        <v>West North Central Division</v>
      </c>
      <c r="F2405">
        <f>INDEX('CBECS_Table B5'!$C$6:$K$6,1,MATCH('County Climates'!E2405,'CBECS_Table B5'!$C$1:$K$1,0))</f>
        <v>6178</v>
      </c>
    </row>
    <row r="2406" spans="1:6" x14ac:dyDescent="0.25">
      <c r="A2406" t="s">
        <v>1825</v>
      </c>
      <c r="B2406" t="s">
        <v>1826</v>
      </c>
      <c r="C2406" t="s">
        <v>1832</v>
      </c>
      <c r="D2406" t="s">
        <v>228</v>
      </c>
      <c r="E2406" t="str">
        <f>INDEX('State Codes'!$E$7:$E$70,MATCH(INDEX('State Codes'!$C$7:$C$70,MATCH('County Climates'!B2406,'State Codes'!$D$7:$D$70,0),1),'State Codes'!$C$7:$C$70,0),1)</f>
        <v>West North Central Division</v>
      </c>
      <c r="F2406">
        <f>INDEX('CBECS_Table B5'!$C$6:$K$6,1,MATCH('County Climates'!E2406,'CBECS_Table B5'!$C$1:$K$1,0))</f>
        <v>6178</v>
      </c>
    </row>
    <row r="2407" spans="1:6" x14ac:dyDescent="0.25">
      <c r="A2407" t="s">
        <v>1825</v>
      </c>
      <c r="B2407" t="s">
        <v>1826</v>
      </c>
      <c r="C2407" t="s">
        <v>1486</v>
      </c>
      <c r="D2407" t="s">
        <v>228</v>
      </c>
      <c r="E2407" t="str">
        <f>INDEX('State Codes'!$E$7:$E$70,MATCH(INDEX('State Codes'!$C$7:$C$70,MATCH('County Climates'!B2407,'State Codes'!$D$7:$D$70,0),1),'State Codes'!$C$7:$C$70,0),1)</f>
        <v>West North Central Division</v>
      </c>
      <c r="F2407">
        <f>INDEX('CBECS_Table B5'!$C$6:$K$6,1,MATCH('County Climates'!E2407,'CBECS_Table B5'!$C$1:$K$1,0))</f>
        <v>6178</v>
      </c>
    </row>
    <row r="2408" spans="1:6" x14ac:dyDescent="0.25">
      <c r="A2408" t="s">
        <v>1825</v>
      </c>
      <c r="B2408" t="s">
        <v>1826</v>
      </c>
      <c r="C2408" t="s">
        <v>257</v>
      </c>
      <c r="D2408" t="s">
        <v>228</v>
      </c>
      <c r="E2408" t="str">
        <f>INDEX('State Codes'!$E$7:$E$70,MATCH(INDEX('State Codes'!$C$7:$C$70,MATCH('County Climates'!B2408,'State Codes'!$D$7:$D$70,0),1),'State Codes'!$C$7:$C$70,0),1)</f>
        <v>West North Central Division</v>
      </c>
      <c r="F2408">
        <f>INDEX('CBECS_Table B5'!$C$6:$K$6,1,MATCH('County Climates'!E2408,'CBECS_Table B5'!$C$1:$K$1,0))</f>
        <v>6178</v>
      </c>
    </row>
    <row r="2409" spans="1:6" x14ac:dyDescent="0.25">
      <c r="A2409" t="s">
        <v>1825</v>
      </c>
      <c r="B2409" t="s">
        <v>1826</v>
      </c>
      <c r="C2409" t="s">
        <v>1833</v>
      </c>
      <c r="D2409" t="s">
        <v>228</v>
      </c>
      <c r="E2409" t="str">
        <f>INDEX('State Codes'!$E$7:$E$70,MATCH(INDEX('State Codes'!$C$7:$C$70,MATCH('County Climates'!B2409,'State Codes'!$D$7:$D$70,0),1),'State Codes'!$C$7:$C$70,0),1)</f>
        <v>West North Central Division</v>
      </c>
      <c r="F2409">
        <f>INDEX('CBECS_Table B5'!$C$6:$K$6,1,MATCH('County Climates'!E2409,'CBECS_Table B5'!$C$1:$K$1,0))</f>
        <v>6178</v>
      </c>
    </row>
    <row r="2410" spans="1:6" x14ac:dyDescent="0.25">
      <c r="A2410" t="s">
        <v>1825</v>
      </c>
      <c r="B2410" t="s">
        <v>1826</v>
      </c>
      <c r="C2410" t="s">
        <v>1834</v>
      </c>
      <c r="D2410" t="s">
        <v>228</v>
      </c>
      <c r="E2410" t="str">
        <f>INDEX('State Codes'!$E$7:$E$70,MATCH(INDEX('State Codes'!$C$7:$C$70,MATCH('County Climates'!B2410,'State Codes'!$D$7:$D$70,0),1),'State Codes'!$C$7:$C$70,0),1)</f>
        <v>West North Central Division</v>
      </c>
      <c r="F2410">
        <f>INDEX('CBECS_Table B5'!$C$6:$K$6,1,MATCH('County Climates'!E2410,'CBECS_Table B5'!$C$1:$K$1,0))</f>
        <v>6178</v>
      </c>
    </row>
    <row r="2411" spans="1:6" x14ac:dyDescent="0.25">
      <c r="A2411" t="s">
        <v>1825</v>
      </c>
      <c r="B2411" t="s">
        <v>1826</v>
      </c>
      <c r="C2411" t="s">
        <v>532</v>
      </c>
      <c r="D2411" t="s">
        <v>228</v>
      </c>
      <c r="E2411" t="str">
        <f>INDEX('State Codes'!$E$7:$E$70,MATCH(INDEX('State Codes'!$C$7:$C$70,MATCH('County Climates'!B2411,'State Codes'!$D$7:$D$70,0),1),'State Codes'!$C$7:$C$70,0),1)</f>
        <v>West North Central Division</v>
      </c>
      <c r="F2411">
        <f>INDEX('CBECS_Table B5'!$C$6:$K$6,1,MATCH('County Climates'!E2411,'CBECS_Table B5'!$C$1:$K$1,0))</f>
        <v>6178</v>
      </c>
    </row>
    <row r="2412" spans="1:6" x14ac:dyDescent="0.25">
      <c r="A2412" t="s">
        <v>1825</v>
      </c>
      <c r="B2412" t="s">
        <v>1826</v>
      </c>
      <c r="C2412" t="s">
        <v>792</v>
      </c>
      <c r="D2412" t="s">
        <v>228</v>
      </c>
      <c r="E2412" t="str">
        <f>INDEX('State Codes'!$E$7:$E$70,MATCH(INDEX('State Codes'!$C$7:$C$70,MATCH('County Climates'!B2412,'State Codes'!$D$7:$D$70,0),1),'State Codes'!$C$7:$C$70,0),1)</f>
        <v>West North Central Division</v>
      </c>
      <c r="F2412">
        <f>INDEX('CBECS_Table B5'!$C$6:$K$6,1,MATCH('County Climates'!E2412,'CBECS_Table B5'!$C$1:$K$1,0))</f>
        <v>6178</v>
      </c>
    </row>
    <row r="2413" spans="1:6" x14ac:dyDescent="0.25">
      <c r="A2413" t="s">
        <v>1825</v>
      </c>
      <c r="B2413" t="s">
        <v>1826</v>
      </c>
      <c r="C2413" t="s">
        <v>1835</v>
      </c>
      <c r="D2413" t="s">
        <v>228</v>
      </c>
      <c r="E2413" t="str">
        <f>INDEX('State Codes'!$E$7:$E$70,MATCH(INDEX('State Codes'!$C$7:$C$70,MATCH('County Climates'!B2413,'State Codes'!$D$7:$D$70,0),1),'State Codes'!$C$7:$C$70,0),1)</f>
        <v>West North Central Division</v>
      </c>
      <c r="F2413">
        <f>INDEX('CBECS_Table B5'!$C$6:$K$6,1,MATCH('County Climates'!E2413,'CBECS_Table B5'!$C$1:$K$1,0))</f>
        <v>6178</v>
      </c>
    </row>
    <row r="2414" spans="1:6" x14ac:dyDescent="0.25">
      <c r="A2414" t="s">
        <v>1825</v>
      </c>
      <c r="B2414" t="s">
        <v>1826</v>
      </c>
      <c r="C2414" t="s">
        <v>463</v>
      </c>
      <c r="D2414" t="s">
        <v>228</v>
      </c>
      <c r="E2414" t="str">
        <f>INDEX('State Codes'!$E$7:$E$70,MATCH(INDEX('State Codes'!$C$7:$C$70,MATCH('County Climates'!B2414,'State Codes'!$D$7:$D$70,0),1),'State Codes'!$C$7:$C$70,0),1)</f>
        <v>West North Central Division</v>
      </c>
      <c r="F2414">
        <f>INDEX('CBECS_Table B5'!$C$6:$K$6,1,MATCH('County Climates'!E2414,'CBECS_Table B5'!$C$1:$K$1,0))</f>
        <v>6178</v>
      </c>
    </row>
    <row r="2415" spans="1:6" x14ac:dyDescent="0.25">
      <c r="A2415" t="s">
        <v>1825</v>
      </c>
      <c r="B2415" t="s">
        <v>1826</v>
      </c>
      <c r="C2415" t="s">
        <v>1136</v>
      </c>
      <c r="D2415" t="s">
        <v>228</v>
      </c>
      <c r="E2415" t="str">
        <f>INDEX('State Codes'!$E$7:$E$70,MATCH(INDEX('State Codes'!$C$7:$C$70,MATCH('County Climates'!B2415,'State Codes'!$D$7:$D$70,0),1),'State Codes'!$C$7:$C$70,0),1)</f>
        <v>West North Central Division</v>
      </c>
      <c r="F2415">
        <f>INDEX('CBECS_Table B5'!$C$6:$K$6,1,MATCH('County Climates'!E2415,'CBECS_Table B5'!$C$1:$K$1,0))</f>
        <v>6178</v>
      </c>
    </row>
    <row r="2416" spans="1:6" x14ac:dyDescent="0.25">
      <c r="A2416" t="s">
        <v>1825</v>
      </c>
      <c r="B2416" t="s">
        <v>1826</v>
      </c>
      <c r="C2416" t="s">
        <v>1836</v>
      </c>
      <c r="D2416" t="s">
        <v>228</v>
      </c>
      <c r="E2416" t="str">
        <f>INDEX('State Codes'!$E$7:$E$70,MATCH(INDEX('State Codes'!$C$7:$C$70,MATCH('County Climates'!B2416,'State Codes'!$D$7:$D$70,0),1),'State Codes'!$C$7:$C$70,0),1)</f>
        <v>West North Central Division</v>
      </c>
      <c r="F2416">
        <f>INDEX('CBECS_Table B5'!$C$6:$K$6,1,MATCH('County Climates'!E2416,'CBECS_Table B5'!$C$1:$K$1,0))</f>
        <v>6178</v>
      </c>
    </row>
    <row r="2417" spans="1:6" x14ac:dyDescent="0.25">
      <c r="A2417" t="s">
        <v>1825</v>
      </c>
      <c r="B2417" t="s">
        <v>1826</v>
      </c>
      <c r="C2417" t="s">
        <v>465</v>
      </c>
      <c r="D2417" t="s">
        <v>228</v>
      </c>
      <c r="E2417" t="str">
        <f>INDEX('State Codes'!$E$7:$E$70,MATCH(INDEX('State Codes'!$C$7:$C$70,MATCH('County Climates'!B2417,'State Codes'!$D$7:$D$70,0),1),'State Codes'!$C$7:$C$70,0),1)</f>
        <v>West North Central Division</v>
      </c>
      <c r="F2417">
        <f>INDEX('CBECS_Table B5'!$C$6:$K$6,1,MATCH('County Climates'!E2417,'CBECS_Table B5'!$C$1:$K$1,0))</f>
        <v>6178</v>
      </c>
    </row>
    <row r="2418" spans="1:6" x14ac:dyDescent="0.25">
      <c r="A2418" t="s">
        <v>1825</v>
      </c>
      <c r="B2418" t="s">
        <v>1826</v>
      </c>
      <c r="C2418" t="s">
        <v>369</v>
      </c>
      <c r="D2418" t="s">
        <v>228</v>
      </c>
      <c r="E2418" t="str">
        <f>INDEX('State Codes'!$E$7:$E$70,MATCH(INDEX('State Codes'!$C$7:$C$70,MATCH('County Climates'!B2418,'State Codes'!$D$7:$D$70,0),1),'State Codes'!$C$7:$C$70,0),1)</f>
        <v>West North Central Division</v>
      </c>
      <c r="F2418">
        <f>INDEX('CBECS_Table B5'!$C$6:$K$6,1,MATCH('County Climates'!E2418,'CBECS_Table B5'!$C$1:$K$1,0))</f>
        <v>6178</v>
      </c>
    </row>
    <row r="2419" spans="1:6" x14ac:dyDescent="0.25">
      <c r="A2419" t="s">
        <v>1825</v>
      </c>
      <c r="B2419" t="s">
        <v>1826</v>
      </c>
      <c r="C2419" t="s">
        <v>1837</v>
      </c>
      <c r="D2419" t="s">
        <v>228</v>
      </c>
      <c r="E2419" t="str">
        <f>INDEX('State Codes'!$E$7:$E$70,MATCH(INDEX('State Codes'!$C$7:$C$70,MATCH('County Climates'!B2419,'State Codes'!$D$7:$D$70,0),1),'State Codes'!$C$7:$C$70,0),1)</f>
        <v>West North Central Division</v>
      </c>
      <c r="F2419">
        <f>INDEX('CBECS_Table B5'!$C$6:$K$6,1,MATCH('County Climates'!E2419,'CBECS_Table B5'!$C$1:$K$1,0))</f>
        <v>6178</v>
      </c>
    </row>
    <row r="2420" spans="1:6" x14ac:dyDescent="0.25">
      <c r="A2420" t="s">
        <v>1825</v>
      </c>
      <c r="B2420" t="s">
        <v>1826</v>
      </c>
      <c r="C2420" t="s">
        <v>794</v>
      </c>
      <c r="D2420" t="s">
        <v>228</v>
      </c>
      <c r="E2420" t="str">
        <f>INDEX('State Codes'!$E$7:$E$70,MATCH(INDEX('State Codes'!$C$7:$C$70,MATCH('County Climates'!B2420,'State Codes'!$D$7:$D$70,0),1),'State Codes'!$C$7:$C$70,0),1)</f>
        <v>West North Central Division</v>
      </c>
      <c r="F2420">
        <f>INDEX('CBECS_Table B5'!$C$6:$K$6,1,MATCH('County Climates'!E2420,'CBECS_Table B5'!$C$1:$K$1,0))</f>
        <v>6178</v>
      </c>
    </row>
    <row r="2421" spans="1:6" x14ac:dyDescent="0.25">
      <c r="A2421" t="s">
        <v>1825</v>
      </c>
      <c r="B2421" t="s">
        <v>1826</v>
      </c>
      <c r="C2421" t="s">
        <v>273</v>
      </c>
      <c r="D2421" t="s">
        <v>228</v>
      </c>
      <c r="E2421" t="str">
        <f>INDEX('State Codes'!$E$7:$E$70,MATCH(INDEX('State Codes'!$C$7:$C$70,MATCH('County Climates'!B2421,'State Codes'!$D$7:$D$70,0),1),'State Codes'!$C$7:$C$70,0),1)</f>
        <v>West North Central Division</v>
      </c>
      <c r="F2421">
        <f>INDEX('CBECS_Table B5'!$C$6:$K$6,1,MATCH('County Climates'!E2421,'CBECS_Table B5'!$C$1:$K$1,0))</f>
        <v>6178</v>
      </c>
    </row>
    <row r="2422" spans="1:6" x14ac:dyDescent="0.25">
      <c r="A2422" t="s">
        <v>1825</v>
      </c>
      <c r="B2422" t="s">
        <v>1826</v>
      </c>
      <c r="C2422" t="s">
        <v>1838</v>
      </c>
      <c r="D2422" t="s">
        <v>228</v>
      </c>
      <c r="E2422" t="str">
        <f>INDEX('State Codes'!$E$7:$E$70,MATCH(INDEX('State Codes'!$C$7:$C$70,MATCH('County Climates'!B2422,'State Codes'!$D$7:$D$70,0),1),'State Codes'!$C$7:$C$70,0),1)</f>
        <v>West North Central Division</v>
      </c>
      <c r="F2422">
        <f>INDEX('CBECS_Table B5'!$C$6:$K$6,1,MATCH('County Climates'!E2422,'CBECS_Table B5'!$C$1:$K$1,0))</f>
        <v>6178</v>
      </c>
    </row>
    <row r="2423" spans="1:6" x14ac:dyDescent="0.25">
      <c r="A2423" t="s">
        <v>1825</v>
      </c>
      <c r="B2423" t="s">
        <v>1826</v>
      </c>
      <c r="C2423" t="s">
        <v>1839</v>
      </c>
      <c r="D2423" t="s">
        <v>228</v>
      </c>
      <c r="E2423" t="str">
        <f>INDEX('State Codes'!$E$7:$E$70,MATCH(INDEX('State Codes'!$C$7:$C$70,MATCH('County Climates'!B2423,'State Codes'!$D$7:$D$70,0),1),'State Codes'!$C$7:$C$70,0),1)</f>
        <v>West North Central Division</v>
      </c>
      <c r="F2423">
        <f>INDEX('CBECS_Table B5'!$C$6:$K$6,1,MATCH('County Climates'!E2423,'CBECS_Table B5'!$C$1:$K$1,0))</f>
        <v>6178</v>
      </c>
    </row>
    <row r="2424" spans="1:6" x14ac:dyDescent="0.25">
      <c r="A2424" t="s">
        <v>1825</v>
      </c>
      <c r="B2424" t="s">
        <v>1826</v>
      </c>
      <c r="C2424" t="s">
        <v>1840</v>
      </c>
      <c r="D2424" t="s">
        <v>228</v>
      </c>
      <c r="E2424" t="str">
        <f>INDEX('State Codes'!$E$7:$E$70,MATCH(INDEX('State Codes'!$C$7:$C$70,MATCH('County Climates'!B2424,'State Codes'!$D$7:$D$70,0),1),'State Codes'!$C$7:$C$70,0),1)</f>
        <v>West North Central Division</v>
      </c>
      <c r="F2424">
        <f>INDEX('CBECS_Table B5'!$C$6:$K$6,1,MATCH('County Climates'!E2424,'CBECS_Table B5'!$C$1:$K$1,0))</f>
        <v>6178</v>
      </c>
    </row>
    <row r="2425" spans="1:6" x14ac:dyDescent="0.25">
      <c r="A2425" t="s">
        <v>1825</v>
      </c>
      <c r="B2425" t="s">
        <v>1826</v>
      </c>
      <c r="C2425" t="s">
        <v>1841</v>
      </c>
      <c r="D2425" t="s">
        <v>228</v>
      </c>
      <c r="E2425" t="str">
        <f>INDEX('State Codes'!$E$7:$E$70,MATCH(INDEX('State Codes'!$C$7:$C$70,MATCH('County Climates'!B2425,'State Codes'!$D$7:$D$70,0),1),'State Codes'!$C$7:$C$70,0),1)</f>
        <v>West North Central Division</v>
      </c>
      <c r="F2425">
        <f>INDEX('CBECS_Table B5'!$C$6:$K$6,1,MATCH('County Climates'!E2425,'CBECS_Table B5'!$C$1:$K$1,0))</f>
        <v>6178</v>
      </c>
    </row>
    <row r="2426" spans="1:6" x14ac:dyDescent="0.25">
      <c r="A2426" t="s">
        <v>1825</v>
      </c>
      <c r="B2426" t="s">
        <v>1826</v>
      </c>
      <c r="C2426" t="s">
        <v>374</v>
      </c>
      <c r="D2426" t="s">
        <v>228</v>
      </c>
      <c r="E2426" t="str">
        <f>INDEX('State Codes'!$E$7:$E$70,MATCH(INDEX('State Codes'!$C$7:$C$70,MATCH('County Climates'!B2426,'State Codes'!$D$7:$D$70,0),1),'State Codes'!$C$7:$C$70,0),1)</f>
        <v>West North Central Division</v>
      </c>
      <c r="F2426">
        <f>INDEX('CBECS_Table B5'!$C$6:$K$6,1,MATCH('County Climates'!E2426,'CBECS_Table B5'!$C$1:$K$1,0))</f>
        <v>6178</v>
      </c>
    </row>
    <row r="2427" spans="1:6" x14ac:dyDescent="0.25">
      <c r="A2427" t="s">
        <v>1842</v>
      </c>
      <c r="B2427" t="s">
        <v>330</v>
      </c>
      <c r="C2427" t="s">
        <v>1843</v>
      </c>
      <c r="D2427" t="s">
        <v>228</v>
      </c>
      <c r="E2427" t="str">
        <f>INDEX('State Codes'!$E$7:$E$70,MATCH(INDEX('State Codes'!$C$7:$C$70,MATCH('County Climates'!B2427,'State Codes'!$D$7:$D$70,0),1),'State Codes'!$C$7:$C$70,0),1)</f>
        <v>Mountain Division</v>
      </c>
      <c r="F2427">
        <f>INDEX('CBECS_Table B5'!$C$6:$K$6,1,MATCH('County Climates'!E2427,'CBECS_Table B5'!$C$1:$K$1,0))</f>
        <v>4981</v>
      </c>
    </row>
    <row r="2428" spans="1:6" x14ac:dyDescent="0.25">
      <c r="A2428" t="s">
        <v>1842</v>
      </c>
      <c r="B2428" t="s">
        <v>330</v>
      </c>
      <c r="C2428" t="s">
        <v>324</v>
      </c>
      <c r="D2428" t="s">
        <v>228</v>
      </c>
      <c r="E2428" t="str">
        <f>INDEX('State Codes'!$E$7:$E$70,MATCH(INDEX('State Codes'!$C$7:$C$70,MATCH('County Climates'!B2428,'State Codes'!$D$7:$D$70,0),1),'State Codes'!$C$7:$C$70,0),1)</f>
        <v>Mountain Division</v>
      </c>
      <c r="F2428">
        <f>INDEX('CBECS_Table B5'!$C$6:$K$6,1,MATCH('County Climates'!E2428,'CBECS_Table B5'!$C$1:$K$1,0))</f>
        <v>4981</v>
      </c>
    </row>
    <row r="2429" spans="1:6" x14ac:dyDescent="0.25">
      <c r="A2429" t="s">
        <v>1842</v>
      </c>
      <c r="B2429" t="s">
        <v>330</v>
      </c>
      <c r="C2429" t="s">
        <v>645</v>
      </c>
      <c r="D2429" t="s">
        <v>228</v>
      </c>
      <c r="E2429" t="str">
        <f>INDEX('State Codes'!$E$7:$E$70,MATCH(INDEX('State Codes'!$C$7:$C$70,MATCH('County Climates'!B2429,'State Codes'!$D$7:$D$70,0),1),'State Codes'!$C$7:$C$70,0),1)</f>
        <v>Mountain Division</v>
      </c>
      <c r="F2429">
        <f>INDEX('CBECS_Table B5'!$C$6:$K$6,1,MATCH('County Climates'!E2429,'CBECS_Table B5'!$C$1:$K$1,0))</f>
        <v>4981</v>
      </c>
    </row>
    <row r="2430" spans="1:6" x14ac:dyDescent="0.25">
      <c r="A2430" t="s">
        <v>1842</v>
      </c>
      <c r="B2430" t="s">
        <v>330</v>
      </c>
      <c r="C2430" t="s">
        <v>387</v>
      </c>
      <c r="D2430" t="s">
        <v>228</v>
      </c>
      <c r="E2430" t="str">
        <f>INDEX('State Codes'!$E$7:$E$70,MATCH(INDEX('State Codes'!$C$7:$C$70,MATCH('County Climates'!B2430,'State Codes'!$D$7:$D$70,0),1),'State Codes'!$C$7:$C$70,0),1)</f>
        <v>Mountain Division</v>
      </c>
      <c r="F2430">
        <f>INDEX('CBECS_Table B5'!$C$6:$K$6,1,MATCH('County Climates'!E2430,'CBECS_Table B5'!$C$1:$K$1,0))</f>
        <v>4981</v>
      </c>
    </row>
    <row r="2431" spans="1:6" x14ac:dyDescent="0.25">
      <c r="A2431" t="s">
        <v>1842</v>
      </c>
      <c r="B2431" t="s">
        <v>330</v>
      </c>
      <c r="C2431" t="s">
        <v>1844</v>
      </c>
      <c r="D2431" t="s">
        <v>228</v>
      </c>
      <c r="E2431" t="str">
        <f>INDEX('State Codes'!$E$7:$E$70,MATCH(INDEX('State Codes'!$C$7:$C$70,MATCH('County Climates'!B2431,'State Codes'!$D$7:$D$70,0),1),'State Codes'!$C$7:$C$70,0),1)</f>
        <v>Mountain Division</v>
      </c>
      <c r="F2431">
        <f>INDEX('CBECS_Table B5'!$C$6:$K$6,1,MATCH('County Climates'!E2431,'CBECS_Table B5'!$C$1:$K$1,0))</f>
        <v>4981</v>
      </c>
    </row>
    <row r="2432" spans="1:6" x14ac:dyDescent="0.25">
      <c r="A2432" t="s">
        <v>1842</v>
      </c>
      <c r="B2432" t="s">
        <v>330</v>
      </c>
      <c r="C2432" t="s">
        <v>1845</v>
      </c>
      <c r="D2432" t="s">
        <v>228</v>
      </c>
      <c r="E2432" t="str">
        <f>INDEX('State Codes'!$E$7:$E$70,MATCH(INDEX('State Codes'!$C$7:$C$70,MATCH('County Climates'!B2432,'State Codes'!$D$7:$D$70,0),1),'State Codes'!$C$7:$C$70,0),1)</f>
        <v>Mountain Division</v>
      </c>
      <c r="F2432">
        <f>INDEX('CBECS_Table B5'!$C$6:$K$6,1,MATCH('County Climates'!E2432,'CBECS_Table B5'!$C$1:$K$1,0))</f>
        <v>4981</v>
      </c>
    </row>
    <row r="2433" spans="1:6" x14ac:dyDescent="0.25">
      <c r="A2433" t="s">
        <v>1842</v>
      </c>
      <c r="B2433" t="s">
        <v>330</v>
      </c>
      <c r="C2433" t="s">
        <v>1846</v>
      </c>
      <c r="D2433" t="s">
        <v>228</v>
      </c>
      <c r="E2433" t="str">
        <f>INDEX('State Codes'!$E$7:$E$70,MATCH(INDEX('State Codes'!$C$7:$C$70,MATCH('County Climates'!B2433,'State Codes'!$D$7:$D$70,0),1),'State Codes'!$C$7:$C$70,0),1)</f>
        <v>Mountain Division</v>
      </c>
      <c r="F2433">
        <f>INDEX('CBECS_Table B5'!$C$6:$K$6,1,MATCH('County Climates'!E2433,'CBECS_Table B5'!$C$1:$K$1,0))</f>
        <v>4981</v>
      </c>
    </row>
    <row r="2434" spans="1:6" x14ac:dyDescent="0.25">
      <c r="A2434" t="s">
        <v>1842</v>
      </c>
      <c r="B2434" t="s">
        <v>330</v>
      </c>
      <c r="C2434" t="s">
        <v>1847</v>
      </c>
      <c r="D2434" t="s">
        <v>228</v>
      </c>
      <c r="E2434" t="str">
        <f>INDEX('State Codes'!$E$7:$E$70,MATCH(INDEX('State Codes'!$C$7:$C$70,MATCH('County Climates'!B2434,'State Codes'!$D$7:$D$70,0),1),'State Codes'!$C$7:$C$70,0),1)</f>
        <v>Mountain Division</v>
      </c>
      <c r="F2434">
        <f>INDEX('CBECS_Table B5'!$C$6:$K$6,1,MATCH('County Climates'!E2434,'CBECS_Table B5'!$C$1:$K$1,0))</f>
        <v>4981</v>
      </c>
    </row>
    <row r="2435" spans="1:6" x14ac:dyDescent="0.25">
      <c r="A2435" t="s">
        <v>1842</v>
      </c>
      <c r="B2435" t="s">
        <v>330</v>
      </c>
      <c r="C2435" t="s">
        <v>1848</v>
      </c>
      <c r="D2435" t="s">
        <v>228</v>
      </c>
      <c r="E2435" t="str">
        <f>INDEX('State Codes'!$E$7:$E$70,MATCH(INDEX('State Codes'!$C$7:$C$70,MATCH('County Climates'!B2435,'State Codes'!$D$7:$D$70,0),1),'State Codes'!$C$7:$C$70,0),1)</f>
        <v>Mountain Division</v>
      </c>
      <c r="F2435">
        <f>INDEX('CBECS_Table B5'!$C$6:$K$6,1,MATCH('County Climates'!E2435,'CBECS_Table B5'!$C$1:$K$1,0))</f>
        <v>4981</v>
      </c>
    </row>
    <row r="2436" spans="1:6" x14ac:dyDescent="0.25">
      <c r="A2436" t="s">
        <v>1849</v>
      </c>
      <c r="B2436" t="s">
        <v>1850</v>
      </c>
      <c r="C2436" t="s">
        <v>1851</v>
      </c>
      <c r="D2436" t="s">
        <v>228</v>
      </c>
      <c r="E2436" t="str">
        <f>INDEX('State Codes'!$E$7:$E$70,MATCH(INDEX('State Codes'!$C$7:$C$70,MATCH('County Climates'!B2436,'State Codes'!$D$7:$D$70,0),1),'State Codes'!$C$7:$C$70,0),1)</f>
        <v>New England Division</v>
      </c>
      <c r="F2436">
        <f>INDEX('CBECS_Table B5'!$C$6:$K$6,1,MATCH('County Climates'!E2436,'CBECS_Table B5'!$C$1:$K$1,0))</f>
        <v>4302</v>
      </c>
    </row>
    <row r="2437" spans="1:6" x14ac:dyDescent="0.25">
      <c r="A2437" t="s">
        <v>1849</v>
      </c>
      <c r="B2437" t="s">
        <v>1850</v>
      </c>
      <c r="C2437" t="s">
        <v>447</v>
      </c>
      <c r="D2437" t="s">
        <v>228</v>
      </c>
      <c r="E2437" t="str">
        <f>INDEX('State Codes'!$E$7:$E$70,MATCH(INDEX('State Codes'!$C$7:$C$70,MATCH('County Climates'!B2437,'State Codes'!$D$7:$D$70,0),1),'State Codes'!$C$7:$C$70,0),1)</f>
        <v>New England Division</v>
      </c>
      <c r="F2437">
        <f>INDEX('CBECS_Table B5'!$C$6:$K$6,1,MATCH('County Climates'!E2437,'CBECS_Table B5'!$C$1:$K$1,0))</f>
        <v>4302</v>
      </c>
    </row>
    <row r="2438" spans="1:6" x14ac:dyDescent="0.25">
      <c r="A2438" t="s">
        <v>1849</v>
      </c>
      <c r="B2438" t="s">
        <v>1850</v>
      </c>
      <c r="C2438" t="s">
        <v>1852</v>
      </c>
      <c r="D2438" t="s">
        <v>228</v>
      </c>
      <c r="E2438" t="str">
        <f>INDEX('State Codes'!$E$7:$E$70,MATCH(INDEX('State Codes'!$C$7:$C$70,MATCH('County Climates'!B2438,'State Codes'!$D$7:$D$70,0),1),'State Codes'!$C$7:$C$70,0),1)</f>
        <v>New England Division</v>
      </c>
      <c r="F2438">
        <f>INDEX('CBECS_Table B5'!$C$6:$K$6,1,MATCH('County Climates'!E2438,'CBECS_Table B5'!$C$1:$K$1,0))</f>
        <v>4302</v>
      </c>
    </row>
    <row r="2439" spans="1:6" x14ac:dyDescent="0.25">
      <c r="A2439" t="s">
        <v>1849</v>
      </c>
      <c r="B2439" t="s">
        <v>1850</v>
      </c>
      <c r="C2439" t="s">
        <v>1073</v>
      </c>
      <c r="D2439" t="s">
        <v>228</v>
      </c>
      <c r="E2439" t="str">
        <f>INDEX('State Codes'!$E$7:$E$70,MATCH(INDEX('State Codes'!$C$7:$C$70,MATCH('County Climates'!B2439,'State Codes'!$D$7:$D$70,0),1),'State Codes'!$C$7:$C$70,0),1)</f>
        <v>New England Division</v>
      </c>
      <c r="F2439">
        <f>INDEX('CBECS_Table B5'!$C$6:$K$6,1,MATCH('County Climates'!E2439,'CBECS_Table B5'!$C$1:$K$1,0))</f>
        <v>4302</v>
      </c>
    </row>
    <row r="2440" spans="1:6" x14ac:dyDescent="0.25">
      <c r="A2440" t="s">
        <v>1849</v>
      </c>
      <c r="B2440" t="s">
        <v>1850</v>
      </c>
      <c r="C2440" t="s">
        <v>1853</v>
      </c>
      <c r="D2440" t="s">
        <v>228</v>
      </c>
      <c r="E2440" t="str">
        <f>INDEX('State Codes'!$E$7:$E$70,MATCH(INDEX('State Codes'!$C$7:$C$70,MATCH('County Climates'!B2440,'State Codes'!$D$7:$D$70,0),1),'State Codes'!$C$7:$C$70,0),1)</f>
        <v>New England Division</v>
      </c>
      <c r="F2440">
        <f>INDEX('CBECS_Table B5'!$C$6:$K$6,1,MATCH('County Climates'!E2440,'CBECS_Table B5'!$C$1:$K$1,0))</f>
        <v>4302</v>
      </c>
    </row>
    <row r="2441" spans="1:6" x14ac:dyDescent="0.25">
      <c r="A2441" t="s">
        <v>1849</v>
      </c>
      <c r="B2441" t="s">
        <v>1850</v>
      </c>
      <c r="C2441" t="s">
        <v>1511</v>
      </c>
      <c r="D2441" t="s">
        <v>228</v>
      </c>
      <c r="E2441" t="str">
        <f>INDEX('State Codes'!$E$7:$E$70,MATCH(INDEX('State Codes'!$C$7:$C$70,MATCH('County Climates'!B2441,'State Codes'!$D$7:$D$70,0),1),'State Codes'!$C$7:$C$70,0),1)</f>
        <v>New England Division</v>
      </c>
      <c r="F2441">
        <f>INDEX('CBECS_Table B5'!$C$6:$K$6,1,MATCH('County Climates'!E2441,'CBECS_Table B5'!$C$1:$K$1,0))</f>
        <v>4302</v>
      </c>
    </row>
    <row r="2442" spans="1:6" x14ac:dyDescent="0.25">
      <c r="A2442" t="s">
        <v>1849</v>
      </c>
      <c r="B2442" t="s">
        <v>1850</v>
      </c>
      <c r="C2442" t="s">
        <v>1854</v>
      </c>
      <c r="D2442" t="s">
        <v>228</v>
      </c>
      <c r="E2442" t="str">
        <f>INDEX('State Codes'!$E$7:$E$70,MATCH(INDEX('State Codes'!$C$7:$C$70,MATCH('County Climates'!B2442,'State Codes'!$D$7:$D$70,0),1),'State Codes'!$C$7:$C$70,0),1)</f>
        <v>New England Division</v>
      </c>
      <c r="F2442">
        <f>INDEX('CBECS_Table B5'!$C$6:$K$6,1,MATCH('County Climates'!E2442,'CBECS_Table B5'!$C$1:$K$1,0))</f>
        <v>4302</v>
      </c>
    </row>
    <row r="2443" spans="1:6" x14ac:dyDescent="0.25">
      <c r="A2443" t="s">
        <v>1849</v>
      </c>
      <c r="B2443" t="s">
        <v>1850</v>
      </c>
      <c r="C2443" t="s">
        <v>997</v>
      </c>
      <c r="D2443" t="s">
        <v>228</v>
      </c>
      <c r="E2443" t="str">
        <f>INDEX('State Codes'!$E$7:$E$70,MATCH(INDEX('State Codes'!$C$7:$C$70,MATCH('County Climates'!B2443,'State Codes'!$D$7:$D$70,0),1),'State Codes'!$C$7:$C$70,0),1)</f>
        <v>New England Division</v>
      </c>
      <c r="F2443">
        <f>INDEX('CBECS_Table B5'!$C$6:$K$6,1,MATCH('County Climates'!E2443,'CBECS_Table B5'!$C$1:$K$1,0))</f>
        <v>4302</v>
      </c>
    </row>
    <row r="2444" spans="1:6" x14ac:dyDescent="0.25">
      <c r="A2444" t="s">
        <v>1849</v>
      </c>
      <c r="B2444" t="s">
        <v>1850</v>
      </c>
      <c r="C2444" t="s">
        <v>1855</v>
      </c>
      <c r="D2444" t="s">
        <v>228</v>
      </c>
      <c r="E2444" t="str">
        <f>INDEX('State Codes'!$E$7:$E$70,MATCH(INDEX('State Codes'!$C$7:$C$70,MATCH('County Climates'!B2444,'State Codes'!$D$7:$D$70,0),1),'State Codes'!$C$7:$C$70,0),1)</f>
        <v>New England Division</v>
      </c>
      <c r="F2444">
        <f>INDEX('CBECS_Table B5'!$C$6:$K$6,1,MATCH('County Climates'!E2444,'CBECS_Table B5'!$C$1:$K$1,0))</f>
        <v>4302</v>
      </c>
    </row>
    <row r="2445" spans="1:6" x14ac:dyDescent="0.25">
      <c r="A2445" t="s">
        <v>1849</v>
      </c>
      <c r="B2445" t="s">
        <v>1850</v>
      </c>
      <c r="C2445" t="s">
        <v>867</v>
      </c>
      <c r="D2445" t="s">
        <v>228</v>
      </c>
      <c r="E2445" t="str">
        <f>INDEX('State Codes'!$E$7:$E$70,MATCH(INDEX('State Codes'!$C$7:$C$70,MATCH('County Climates'!B2445,'State Codes'!$D$7:$D$70,0),1),'State Codes'!$C$7:$C$70,0),1)</f>
        <v>New England Division</v>
      </c>
      <c r="F2445">
        <f>INDEX('CBECS_Table B5'!$C$6:$K$6,1,MATCH('County Climates'!E2445,'CBECS_Table B5'!$C$1:$K$1,0))</f>
        <v>4302</v>
      </c>
    </row>
    <row r="2446" spans="1:6" x14ac:dyDescent="0.25">
      <c r="A2446" t="s">
        <v>1856</v>
      </c>
      <c r="B2446" t="s">
        <v>1857</v>
      </c>
      <c r="C2446" t="s">
        <v>1858</v>
      </c>
      <c r="D2446" t="s">
        <v>247</v>
      </c>
      <c r="E2446" t="str">
        <f>INDEX('State Codes'!$E$7:$E$70,MATCH(INDEX('State Codes'!$C$7:$C$70,MATCH('County Climates'!B2446,'State Codes'!$D$7:$D$70,0),1),'State Codes'!$C$7:$C$70,0),1)</f>
        <v>Middle Atlantic Division</v>
      </c>
      <c r="F2446">
        <f>INDEX('CBECS_Table B5'!$C$6:$K$6,1,MATCH('County Climates'!E2446,'CBECS_Table B5'!$C$1:$K$1,0))</f>
        <v>11232</v>
      </c>
    </row>
    <row r="2447" spans="1:6" x14ac:dyDescent="0.25">
      <c r="A2447" t="s">
        <v>1856</v>
      </c>
      <c r="B2447" t="s">
        <v>1857</v>
      </c>
      <c r="C2447" t="s">
        <v>1859</v>
      </c>
      <c r="D2447" t="s">
        <v>228</v>
      </c>
      <c r="E2447" t="str">
        <f>INDEX('State Codes'!$E$7:$E$70,MATCH(INDEX('State Codes'!$C$7:$C$70,MATCH('County Climates'!B2447,'State Codes'!$D$7:$D$70,0),1),'State Codes'!$C$7:$C$70,0),1)</f>
        <v>Middle Atlantic Division</v>
      </c>
      <c r="F2447">
        <f>INDEX('CBECS_Table B5'!$C$6:$K$6,1,MATCH('County Climates'!E2447,'CBECS_Table B5'!$C$1:$K$1,0))</f>
        <v>11232</v>
      </c>
    </row>
    <row r="2448" spans="1:6" x14ac:dyDescent="0.25">
      <c r="A2448" t="s">
        <v>1856</v>
      </c>
      <c r="B2448" t="s">
        <v>1857</v>
      </c>
      <c r="C2448" t="s">
        <v>1860</v>
      </c>
      <c r="D2448" t="s">
        <v>247</v>
      </c>
      <c r="E2448" t="str">
        <f>INDEX('State Codes'!$E$7:$E$70,MATCH(INDEX('State Codes'!$C$7:$C$70,MATCH('County Climates'!B2448,'State Codes'!$D$7:$D$70,0),1),'State Codes'!$C$7:$C$70,0),1)</f>
        <v>Middle Atlantic Division</v>
      </c>
      <c r="F2448">
        <f>INDEX('CBECS_Table B5'!$C$6:$K$6,1,MATCH('County Climates'!E2448,'CBECS_Table B5'!$C$1:$K$1,0))</f>
        <v>11232</v>
      </c>
    </row>
    <row r="2449" spans="1:6" x14ac:dyDescent="0.25">
      <c r="A2449" t="s">
        <v>1856</v>
      </c>
      <c r="B2449" t="s">
        <v>1857</v>
      </c>
      <c r="C2449" t="s">
        <v>445</v>
      </c>
      <c r="D2449" t="s">
        <v>247</v>
      </c>
      <c r="E2449" t="str">
        <f>INDEX('State Codes'!$E$7:$E$70,MATCH(INDEX('State Codes'!$C$7:$C$70,MATCH('County Climates'!B2449,'State Codes'!$D$7:$D$70,0),1),'State Codes'!$C$7:$C$70,0),1)</f>
        <v>Middle Atlantic Division</v>
      </c>
      <c r="F2449">
        <f>INDEX('CBECS_Table B5'!$C$6:$K$6,1,MATCH('County Climates'!E2449,'CBECS_Table B5'!$C$1:$K$1,0))</f>
        <v>11232</v>
      </c>
    </row>
    <row r="2450" spans="1:6" x14ac:dyDescent="0.25">
      <c r="A2450" t="s">
        <v>1856</v>
      </c>
      <c r="B2450" t="s">
        <v>1857</v>
      </c>
      <c r="C2450" t="s">
        <v>1861</v>
      </c>
      <c r="D2450" t="s">
        <v>247</v>
      </c>
      <c r="E2450" t="str">
        <f>INDEX('State Codes'!$E$7:$E$70,MATCH(INDEX('State Codes'!$C$7:$C$70,MATCH('County Climates'!B2450,'State Codes'!$D$7:$D$70,0),1),'State Codes'!$C$7:$C$70,0),1)</f>
        <v>Middle Atlantic Division</v>
      </c>
      <c r="F2450">
        <f>INDEX('CBECS_Table B5'!$C$6:$K$6,1,MATCH('County Climates'!E2450,'CBECS_Table B5'!$C$1:$K$1,0))</f>
        <v>11232</v>
      </c>
    </row>
    <row r="2451" spans="1:6" x14ac:dyDescent="0.25">
      <c r="A2451" t="s">
        <v>1856</v>
      </c>
      <c r="B2451" t="s">
        <v>1857</v>
      </c>
      <c r="C2451" t="s">
        <v>720</v>
      </c>
      <c r="D2451" t="s">
        <v>247</v>
      </c>
      <c r="E2451" t="str">
        <f>INDEX('State Codes'!$E$7:$E$70,MATCH(INDEX('State Codes'!$C$7:$C$70,MATCH('County Climates'!B2451,'State Codes'!$D$7:$D$70,0),1),'State Codes'!$C$7:$C$70,0),1)</f>
        <v>Middle Atlantic Division</v>
      </c>
      <c r="F2451">
        <f>INDEX('CBECS_Table B5'!$C$6:$K$6,1,MATCH('County Climates'!E2451,'CBECS_Table B5'!$C$1:$K$1,0))</f>
        <v>11232</v>
      </c>
    </row>
    <row r="2452" spans="1:6" x14ac:dyDescent="0.25">
      <c r="A2452" t="s">
        <v>1856</v>
      </c>
      <c r="B2452" t="s">
        <v>1857</v>
      </c>
      <c r="C2452" t="s">
        <v>755</v>
      </c>
      <c r="D2452" t="s">
        <v>247</v>
      </c>
      <c r="E2452" t="str">
        <f>INDEX('State Codes'!$E$7:$E$70,MATCH(INDEX('State Codes'!$C$7:$C$70,MATCH('County Climates'!B2452,'State Codes'!$D$7:$D$70,0),1),'State Codes'!$C$7:$C$70,0),1)</f>
        <v>Middle Atlantic Division</v>
      </c>
      <c r="F2452">
        <f>INDEX('CBECS_Table B5'!$C$6:$K$6,1,MATCH('County Climates'!E2452,'CBECS_Table B5'!$C$1:$K$1,0))</f>
        <v>11232</v>
      </c>
    </row>
    <row r="2453" spans="1:6" x14ac:dyDescent="0.25">
      <c r="A2453" t="s">
        <v>1856</v>
      </c>
      <c r="B2453" t="s">
        <v>1857</v>
      </c>
      <c r="C2453" t="s">
        <v>1288</v>
      </c>
      <c r="D2453" t="s">
        <v>247</v>
      </c>
      <c r="E2453" t="str">
        <f>INDEX('State Codes'!$E$7:$E$70,MATCH(INDEX('State Codes'!$C$7:$C$70,MATCH('County Climates'!B2453,'State Codes'!$D$7:$D$70,0),1),'State Codes'!$C$7:$C$70,0),1)</f>
        <v>Middle Atlantic Division</v>
      </c>
      <c r="F2453">
        <f>INDEX('CBECS_Table B5'!$C$6:$K$6,1,MATCH('County Climates'!E2453,'CBECS_Table B5'!$C$1:$K$1,0))</f>
        <v>11232</v>
      </c>
    </row>
    <row r="2454" spans="1:6" x14ac:dyDescent="0.25">
      <c r="A2454" t="s">
        <v>1856</v>
      </c>
      <c r="B2454" t="s">
        <v>1857</v>
      </c>
      <c r="C2454" t="s">
        <v>1862</v>
      </c>
      <c r="D2454" t="s">
        <v>247</v>
      </c>
      <c r="E2454" t="str">
        <f>INDEX('State Codes'!$E$7:$E$70,MATCH(INDEX('State Codes'!$C$7:$C$70,MATCH('County Climates'!B2454,'State Codes'!$D$7:$D$70,0),1),'State Codes'!$C$7:$C$70,0),1)</f>
        <v>Middle Atlantic Division</v>
      </c>
      <c r="F2454">
        <f>INDEX('CBECS_Table B5'!$C$6:$K$6,1,MATCH('County Climates'!E2454,'CBECS_Table B5'!$C$1:$K$1,0))</f>
        <v>11232</v>
      </c>
    </row>
    <row r="2455" spans="1:6" x14ac:dyDescent="0.25">
      <c r="A2455" t="s">
        <v>1856</v>
      </c>
      <c r="B2455" t="s">
        <v>1857</v>
      </c>
      <c r="C2455" t="s">
        <v>1863</v>
      </c>
      <c r="D2455" t="s">
        <v>228</v>
      </c>
      <c r="E2455" t="str">
        <f>INDEX('State Codes'!$E$7:$E$70,MATCH(INDEX('State Codes'!$C$7:$C$70,MATCH('County Climates'!B2455,'State Codes'!$D$7:$D$70,0),1),'State Codes'!$C$7:$C$70,0),1)</f>
        <v>Middle Atlantic Division</v>
      </c>
      <c r="F2455">
        <f>INDEX('CBECS_Table B5'!$C$6:$K$6,1,MATCH('County Climates'!E2455,'CBECS_Table B5'!$C$1:$K$1,0))</f>
        <v>11232</v>
      </c>
    </row>
    <row r="2456" spans="1:6" x14ac:dyDescent="0.25">
      <c r="A2456" t="s">
        <v>1856</v>
      </c>
      <c r="B2456" t="s">
        <v>1857</v>
      </c>
      <c r="C2456" t="s">
        <v>551</v>
      </c>
      <c r="D2456" t="s">
        <v>228</v>
      </c>
      <c r="E2456" t="str">
        <f>INDEX('State Codes'!$E$7:$E$70,MATCH(INDEX('State Codes'!$C$7:$C$70,MATCH('County Climates'!B2456,'State Codes'!$D$7:$D$70,0),1),'State Codes'!$C$7:$C$70,0),1)</f>
        <v>Middle Atlantic Division</v>
      </c>
      <c r="F2456">
        <f>INDEX('CBECS_Table B5'!$C$6:$K$6,1,MATCH('County Climates'!E2456,'CBECS_Table B5'!$C$1:$K$1,0))</f>
        <v>11232</v>
      </c>
    </row>
    <row r="2457" spans="1:6" x14ac:dyDescent="0.25">
      <c r="A2457" t="s">
        <v>1856</v>
      </c>
      <c r="B2457" t="s">
        <v>1857</v>
      </c>
      <c r="C2457" t="s">
        <v>413</v>
      </c>
      <c r="D2457" t="s">
        <v>247</v>
      </c>
      <c r="E2457" t="str">
        <f>INDEX('State Codes'!$E$7:$E$70,MATCH(INDEX('State Codes'!$C$7:$C$70,MATCH('County Climates'!B2457,'State Codes'!$D$7:$D$70,0),1),'State Codes'!$C$7:$C$70,0),1)</f>
        <v>Middle Atlantic Division</v>
      </c>
      <c r="F2457">
        <f>INDEX('CBECS_Table B5'!$C$6:$K$6,1,MATCH('County Climates'!E2457,'CBECS_Table B5'!$C$1:$K$1,0))</f>
        <v>11232</v>
      </c>
    </row>
    <row r="2458" spans="1:6" x14ac:dyDescent="0.25">
      <c r="A2458" t="s">
        <v>1856</v>
      </c>
      <c r="B2458" t="s">
        <v>1857</v>
      </c>
      <c r="C2458" t="s">
        <v>1864</v>
      </c>
      <c r="D2458" t="s">
        <v>247</v>
      </c>
      <c r="E2458" t="str">
        <f>INDEX('State Codes'!$E$7:$E$70,MATCH(INDEX('State Codes'!$C$7:$C$70,MATCH('County Climates'!B2458,'State Codes'!$D$7:$D$70,0),1),'State Codes'!$C$7:$C$70,0),1)</f>
        <v>Middle Atlantic Division</v>
      </c>
      <c r="F2458">
        <f>INDEX('CBECS_Table B5'!$C$6:$K$6,1,MATCH('County Climates'!E2458,'CBECS_Table B5'!$C$1:$K$1,0))</f>
        <v>11232</v>
      </c>
    </row>
    <row r="2459" spans="1:6" x14ac:dyDescent="0.25">
      <c r="A2459" t="s">
        <v>1856</v>
      </c>
      <c r="B2459" t="s">
        <v>1857</v>
      </c>
      <c r="C2459" t="s">
        <v>650</v>
      </c>
      <c r="D2459" t="s">
        <v>228</v>
      </c>
      <c r="E2459" t="str">
        <f>INDEX('State Codes'!$E$7:$E$70,MATCH(INDEX('State Codes'!$C$7:$C$70,MATCH('County Climates'!B2459,'State Codes'!$D$7:$D$70,0),1),'State Codes'!$C$7:$C$70,0),1)</f>
        <v>Middle Atlantic Division</v>
      </c>
      <c r="F2459">
        <f>INDEX('CBECS_Table B5'!$C$6:$K$6,1,MATCH('County Climates'!E2459,'CBECS_Table B5'!$C$1:$K$1,0))</f>
        <v>11232</v>
      </c>
    </row>
    <row r="2460" spans="1:6" x14ac:dyDescent="0.25">
      <c r="A2460" t="s">
        <v>1856</v>
      </c>
      <c r="B2460" t="s">
        <v>1857</v>
      </c>
      <c r="C2460" t="s">
        <v>1865</v>
      </c>
      <c r="D2460" t="s">
        <v>247</v>
      </c>
      <c r="E2460" t="str">
        <f>INDEX('State Codes'!$E$7:$E$70,MATCH(INDEX('State Codes'!$C$7:$C$70,MATCH('County Climates'!B2460,'State Codes'!$D$7:$D$70,0),1),'State Codes'!$C$7:$C$70,0),1)</f>
        <v>Middle Atlantic Division</v>
      </c>
      <c r="F2460">
        <f>INDEX('CBECS_Table B5'!$C$6:$K$6,1,MATCH('County Climates'!E2460,'CBECS_Table B5'!$C$1:$K$1,0))</f>
        <v>11232</v>
      </c>
    </row>
    <row r="2461" spans="1:6" x14ac:dyDescent="0.25">
      <c r="A2461" t="s">
        <v>1856</v>
      </c>
      <c r="B2461" t="s">
        <v>1857</v>
      </c>
      <c r="C2461" t="s">
        <v>1866</v>
      </c>
      <c r="D2461" t="s">
        <v>228</v>
      </c>
      <c r="E2461" t="str">
        <f>INDEX('State Codes'!$E$7:$E$70,MATCH(INDEX('State Codes'!$C$7:$C$70,MATCH('County Climates'!B2461,'State Codes'!$D$7:$D$70,0),1),'State Codes'!$C$7:$C$70,0),1)</f>
        <v>Middle Atlantic Division</v>
      </c>
      <c r="F2461">
        <f>INDEX('CBECS_Table B5'!$C$6:$K$6,1,MATCH('County Climates'!E2461,'CBECS_Table B5'!$C$1:$K$1,0))</f>
        <v>11232</v>
      </c>
    </row>
    <row r="2462" spans="1:6" x14ac:dyDescent="0.25">
      <c r="A2462" t="s">
        <v>1856</v>
      </c>
      <c r="B2462" t="s">
        <v>1857</v>
      </c>
      <c r="C2462" t="s">
        <v>1867</v>
      </c>
      <c r="D2462" t="s">
        <v>247</v>
      </c>
      <c r="E2462" t="str">
        <f>INDEX('State Codes'!$E$7:$E$70,MATCH(INDEX('State Codes'!$C$7:$C$70,MATCH('County Climates'!B2462,'State Codes'!$D$7:$D$70,0),1),'State Codes'!$C$7:$C$70,0),1)</f>
        <v>Middle Atlantic Division</v>
      </c>
      <c r="F2462">
        <f>INDEX('CBECS_Table B5'!$C$6:$K$6,1,MATCH('County Climates'!E2462,'CBECS_Table B5'!$C$1:$K$1,0))</f>
        <v>11232</v>
      </c>
    </row>
    <row r="2463" spans="1:6" x14ac:dyDescent="0.25">
      <c r="A2463" t="s">
        <v>1856</v>
      </c>
      <c r="B2463" t="s">
        <v>1857</v>
      </c>
      <c r="C2463" t="s">
        <v>726</v>
      </c>
      <c r="D2463" t="s">
        <v>228</v>
      </c>
      <c r="E2463" t="str">
        <f>INDEX('State Codes'!$E$7:$E$70,MATCH(INDEX('State Codes'!$C$7:$C$70,MATCH('County Climates'!B2463,'State Codes'!$D$7:$D$70,0),1),'State Codes'!$C$7:$C$70,0),1)</f>
        <v>Middle Atlantic Division</v>
      </c>
      <c r="F2463">
        <f>INDEX('CBECS_Table B5'!$C$6:$K$6,1,MATCH('County Climates'!E2463,'CBECS_Table B5'!$C$1:$K$1,0))</f>
        <v>11232</v>
      </c>
    </row>
    <row r="2464" spans="1:6" x14ac:dyDescent="0.25">
      <c r="A2464" t="s">
        <v>1856</v>
      </c>
      <c r="B2464" t="s">
        <v>1857</v>
      </c>
      <c r="C2464" t="s">
        <v>422</v>
      </c>
      <c r="D2464" t="s">
        <v>228</v>
      </c>
      <c r="E2464" t="str">
        <f>INDEX('State Codes'!$E$7:$E$70,MATCH(INDEX('State Codes'!$C$7:$C$70,MATCH('County Climates'!B2464,'State Codes'!$D$7:$D$70,0),1),'State Codes'!$C$7:$C$70,0),1)</f>
        <v>Middle Atlantic Division</v>
      </c>
      <c r="F2464">
        <f>INDEX('CBECS_Table B5'!$C$6:$K$6,1,MATCH('County Climates'!E2464,'CBECS_Table B5'!$C$1:$K$1,0))</f>
        <v>11232</v>
      </c>
    </row>
    <row r="2465" spans="1:6" x14ac:dyDescent="0.25">
      <c r="A2465" t="s">
        <v>1856</v>
      </c>
      <c r="B2465" t="s">
        <v>1857</v>
      </c>
      <c r="C2465" t="s">
        <v>347</v>
      </c>
      <c r="D2465" t="s">
        <v>247</v>
      </c>
      <c r="E2465" t="str">
        <f>INDEX('State Codes'!$E$7:$E$70,MATCH(INDEX('State Codes'!$C$7:$C$70,MATCH('County Climates'!B2465,'State Codes'!$D$7:$D$70,0),1),'State Codes'!$C$7:$C$70,0),1)</f>
        <v>Middle Atlantic Division</v>
      </c>
      <c r="F2465">
        <f>INDEX('CBECS_Table B5'!$C$6:$K$6,1,MATCH('County Climates'!E2465,'CBECS_Table B5'!$C$1:$K$1,0))</f>
        <v>11232</v>
      </c>
    </row>
    <row r="2466" spans="1:6" x14ac:dyDescent="0.25">
      <c r="A2466" t="s">
        <v>1856</v>
      </c>
      <c r="B2466" t="s">
        <v>1857</v>
      </c>
      <c r="C2466" t="s">
        <v>497</v>
      </c>
      <c r="D2466" t="s">
        <v>228</v>
      </c>
      <c r="E2466" t="str">
        <f>INDEX('State Codes'!$E$7:$E$70,MATCH(INDEX('State Codes'!$C$7:$C$70,MATCH('County Climates'!B2466,'State Codes'!$D$7:$D$70,0),1),'State Codes'!$C$7:$C$70,0),1)</f>
        <v>Middle Atlantic Division</v>
      </c>
      <c r="F2466">
        <f>INDEX('CBECS_Table B5'!$C$6:$K$6,1,MATCH('County Climates'!E2466,'CBECS_Table B5'!$C$1:$K$1,0))</f>
        <v>11232</v>
      </c>
    </row>
    <row r="2467" spans="1:6" x14ac:dyDescent="0.25">
      <c r="A2467" t="s">
        <v>1868</v>
      </c>
      <c r="B2467" t="s">
        <v>1869</v>
      </c>
      <c r="C2467" t="s">
        <v>1870</v>
      </c>
      <c r="D2467" t="s">
        <v>357</v>
      </c>
      <c r="E2467" t="str">
        <f>INDEX('State Codes'!$E$7:$E$70,MATCH(INDEX('State Codes'!$C$7:$C$70,MATCH('County Climates'!B2467,'State Codes'!$D$7:$D$70,0),1),'State Codes'!$C$7:$C$70,0),1)</f>
        <v>Mountain Division</v>
      </c>
      <c r="F2467">
        <f>INDEX('CBECS_Table B5'!$C$6:$K$6,1,MATCH('County Climates'!E2467,'CBECS_Table B5'!$C$1:$K$1,0))</f>
        <v>4981</v>
      </c>
    </row>
    <row r="2468" spans="1:6" x14ac:dyDescent="0.25">
      <c r="A2468" t="s">
        <v>1868</v>
      </c>
      <c r="B2468" t="s">
        <v>1869</v>
      </c>
      <c r="C2468" t="s">
        <v>1871</v>
      </c>
      <c r="D2468" t="s">
        <v>228</v>
      </c>
      <c r="E2468" t="str">
        <f>INDEX('State Codes'!$E$7:$E$70,MATCH(INDEX('State Codes'!$C$7:$C$70,MATCH('County Climates'!B2468,'State Codes'!$D$7:$D$70,0),1),'State Codes'!$C$7:$C$70,0),1)</f>
        <v>Mountain Division</v>
      </c>
      <c r="F2468">
        <f>INDEX('CBECS_Table B5'!$C$6:$K$6,1,MATCH('County Climates'!E2468,'CBECS_Table B5'!$C$1:$K$1,0))</f>
        <v>4981</v>
      </c>
    </row>
    <row r="2469" spans="1:6" x14ac:dyDescent="0.25">
      <c r="A2469" t="s">
        <v>1868</v>
      </c>
      <c r="B2469" t="s">
        <v>1869</v>
      </c>
      <c r="C2469" t="s">
        <v>1872</v>
      </c>
      <c r="D2469" t="s">
        <v>359</v>
      </c>
      <c r="E2469" t="str">
        <f>INDEX('State Codes'!$E$7:$E$70,MATCH(INDEX('State Codes'!$C$7:$C$70,MATCH('County Climates'!B2469,'State Codes'!$D$7:$D$70,0),1),'State Codes'!$C$7:$C$70,0),1)</f>
        <v>Mountain Division</v>
      </c>
      <c r="F2469">
        <f>INDEX('CBECS_Table B5'!$C$6:$K$6,1,MATCH('County Climates'!E2469,'CBECS_Table B5'!$C$1:$K$1,0))</f>
        <v>4981</v>
      </c>
    </row>
    <row r="2470" spans="1:6" x14ac:dyDescent="0.25">
      <c r="A2470" t="s">
        <v>1868</v>
      </c>
      <c r="B2470" t="s">
        <v>1869</v>
      </c>
      <c r="C2470" t="s">
        <v>1873</v>
      </c>
      <c r="D2470" t="s">
        <v>228</v>
      </c>
      <c r="E2470" t="str">
        <f>INDEX('State Codes'!$E$7:$E$70,MATCH(INDEX('State Codes'!$C$7:$C$70,MATCH('County Climates'!B2470,'State Codes'!$D$7:$D$70,0),1),'State Codes'!$C$7:$C$70,0),1)</f>
        <v>Mountain Division</v>
      </c>
      <c r="F2470">
        <f>INDEX('CBECS_Table B5'!$C$6:$K$6,1,MATCH('County Climates'!E2470,'CBECS_Table B5'!$C$1:$K$1,0))</f>
        <v>4981</v>
      </c>
    </row>
    <row r="2471" spans="1:6" x14ac:dyDescent="0.25">
      <c r="A2471" t="s">
        <v>1868</v>
      </c>
      <c r="B2471" t="s">
        <v>1869</v>
      </c>
      <c r="C2471" t="s">
        <v>1833</v>
      </c>
      <c r="D2471" t="s">
        <v>228</v>
      </c>
      <c r="E2471" t="str">
        <f>INDEX('State Codes'!$E$7:$E$70,MATCH(INDEX('State Codes'!$C$7:$C$70,MATCH('County Climates'!B2471,'State Codes'!$D$7:$D$70,0),1),'State Codes'!$C$7:$C$70,0),1)</f>
        <v>Mountain Division</v>
      </c>
      <c r="F2471">
        <f>INDEX('CBECS_Table B5'!$C$6:$K$6,1,MATCH('County Climates'!E2471,'CBECS_Table B5'!$C$1:$K$1,0))</f>
        <v>4981</v>
      </c>
    </row>
    <row r="2472" spans="1:6" x14ac:dyDescent="0.25">
      <c r="A2472" t="s">
        <v>1868</v>
      </c>
      <c r="B2472" t="s">
        <v>1869</v>
      </c>
      <c r="C2472" t="s">
        <v>1075</v>
      </c>
      <c r="D2472" t="s">
        <v>357</v>
      </c>
      <c r="E2472" t="str">
        <f>INDEX('State Codes'!$E$7:$E$70,MATCH(INDEX('State Codes'!$C$7:$C$70,MATCH('County Climates'!B2472,'State Codes'!$D$7:$D$70,0),1),'State Codes'!$C$7:$C$70,0),1)</f>
        <v>Mountain Division</v>
      </c>
      <c r="F2472">
        <f>INDEX('CBECS_Table B5'!$C$6:$K$6,1,MATCH('County Climates'!E2472,'CBECS_Table B5'!$C$1:$K$1,0))</f>
        <v>4981</v>
      </c>
    </row>
    <row r="2473" spans="1:6" x14ac:dyDescent="0.25">
      <c r="A2473" t="s">
        <v>1868</v>
      </c>
      <c r="B2473" t="s">
        <v>1869</v>
      </c>
      <c r="C2473" t="s">
        <v>1874</v>
      </c>
      <c r="D2473" t="s">
        <v>357</v>
      </c>
      <c r="E2473" t="str">
        <f>INDEX('State Codes'!$E$7:$E$70,MATCH(INDEX('State Codes'!$C$7:$C$70,MATCH('County Climates'!B2473,'State Codes'!$D$7:$D$70,0),1),'State Codes'!$C$7:$C$70,0),1)</f>
        <v>Mountain Division</v>
      </c>
      <c r="F2473">
        <f>INDEX('CBECS_Table B5'!$C$6:$K$6,1,MATCH('County Climates'!E2473,'CBECS_Table B5'!$C$1:$K$1,0))</f>
        <v>4981</v>
      </c>
    </row>
    <row r="2474" spans="1:6" x14ac:dyDescent="0.25">
      <c r="A2474" t="s">
        <v>1868</v>
      </c>
      <c r="B2474" t="s">
        <v>1869</v>
      </c>
      <c r="C2474" t="s">
        <v>1875</v>
      </c>
      <c r="D2474" t="s">
        <v>359</v>
      </c>
      <c r="E2474" t="str">
        <f>INDEX('State Codes'!$E$7:$E$70,MATCH(INDEX('State Codes'!$C$7:$C$70,MATCH('County Climates'!B2474,'State Codes'!$D$7:$D$70,0),1),'State Codes'!$C$7:$C$70,0),1)</f>
        <v>Mountain Division</v>
      </c>
      <c r="F2474">
        <f>INDEX('CBECS_Table B5'!$C$6:$K$6,1,MATCH('County Climates'!E2474,'CBECS_Table B5'!$C$1:$K$1,0))</f>
        <v>4981</v>
      </c>
    </row>
    <row r="2475" spans="1:6" x14ac:dyDescent="0.25">
      <c r="A2475" t="s">
        <v>1868</v>
      </c>
      <c r="B2475" t="s">
        <v>1869</v>
      </c>
      <c r="C2475" t="s">
        <v>1024</v>
      </c>
      <c r="D2475" t="s">
        <v>359</v>
      </c>
      <c r="E2475" t="str">
        <f>INDEX('State Codes'!$E$7:$E$70,MATCH(INDEX('State Codes'!$C$7:$C$70,MATCH('County Climates'!B2475,'State Codes'!$D$7:$D$70,0),1),'State Codes'!$C$7:$C$70,0),1)</f>
        <v>Mountain Division</v>
      </c>
      <c r="F2475">
        <f>INDEX('CBECS_Table B5'!$C$6:$K$6,1,MATCH('County Climates'!E2475,'CBECS_Table B5'!$C$1:$K$1,0))</f>
        <v>4981</v>
      </c>
    </row>
    <row r="2476" spans="1:6" x14ac:dyDescent="0.25">
      <c r="A2476" t="s">
        <v>1868</v>
      </c>
      <c r="B2476" t="s">
        <v>1869</v>
      </c>
      <c r="C2476" t="s">
        <v>316</v>
      </c>
      <c r="D2476" t="s">
        <v>357</v>
      </c>
      <c r="E2476" t="str">
        <f>INDEX('State Codes'!$E$7:$E$70,MATCH(INDEX('State Codes'!$C$7:$C$70,MATCH('County Climates'!B2476,'State Codes'!$D$7:$D$70,0),1),'State Codes'!$C$7:$C$70,0),1)</f>
        <v>Mountain Division</v>
      </c>
      <c r="F2476">
        <f>INDEX('CBECS_Table B5'!$C$6:$K$6,1,MATCH('County Climates'!E2476,'CBECS_Table B5'!$C$1:$K$1,0))</f>
        <v>4981</v>
      </c>
    </row>
    <row r="2477" spans="1:6" x14ac:dyDescent="0.25">
      <c r="A2477" t="s">
        <v>1868</v>
      </c>
      <c r="B2477" t="s">
        <v>1869</v>
      </c>
      <c r="C2477" t="s">
        <v>1199</v>
      </c>
      <c r="D2477" t="s">
        <v>357</v>
      </c>
      <c r="E2477" t="str">
        <f>INDEX('State Codes'!$E$7:$E$70,MATCH(INDEX('State Codes'!$C$7:$C$70,MATCH('County Climates'!B2477,'State Codes'!$D$7:$D$70,0),1),'State Codes'!$C$7:$C$70,0),1)</f>
        <v>Mountain Division</v>
      </c>
      <c r="F2477">
        <f>INDEX('CBECS_Table B5'!$C$6:$K$6,1,MATCH('County Climates'!E2477,'CBECS_Table B5'!$C$1:$K$1,0))</f>
        <v>4981</v>
      </c>
    </row>
    <row r="2478" spans="1:6" x14ac:dyDescent="0.25">
      <c r="A2478" t="s">
        <v>1868</v>
      </c>
      <c r="B2478" t="s">
        <v>1869</v>
      </c>
      <c r="C2478" t="s">
        <v>1146</v>
      </c>
      <c r="D2478" t="s">
        <v>228</v>
      </c>
      <c r="E2478" t="str">
        <f>INDEX('State Codes'!$E$7:$E$70,MATCH(INDEX('State Codes'!$C$7:$C$70,MATCH('County Climates'!B2478,'State Codes'!$D$7:$D$70,0),1),'State Codes'!$C$7:$C$70,0),1)</f>
        <v>Mountain Division</v>
      </c>
      <c r="F2478">
        <f>INDEX('CBECS_Table B5'!$C$6:$K$6,1,MATCH('County Climates'!E2478,'CBECS_Table B5'!$C$1:$K$1,0))</f>
        <v>4981</v>
      </c>
    </row>
    <row r="2479" spans="1:6" x14ac:dyDescent="0.25">
      <c r="A2479" t="s">
        <v>1868</v>
      </c>
      <c r="B2479" t="s">
        <v>1869</v>
      </c>
      <c r="C2479" t="s">
        <v>1206</v>
      </c>
      <c r="D2479" t="s">
        <v>359</v>
      </c>
      <c r="E2479" t="str">
        <f>INDEX('State Codes'!$E$7:$E$70,MATCH(INDEX('State Codes'!$C$7:$C$70,MATCH('County Climates'!B2479,'State Codes'!$D$7:$D$70,0),1),'State Codes'!$C$7:$C$70,0),1)</f>
        <v>Mountain Division</v>
      </c>
      <c r="F2479">
        <f>INDEX('CBECS_Table B5'!$C$6:$K$6,1,MATCH('County Climates'!E2479,'CBECS_Table B5'!$C$1:$K$1,0))</f>
        <v>4981</v>
      </c>
    </row>
    <row r="2480" spans="1:6" x14ac:dyDescent="0.25">
      <c r="A2480" t="s">
        <v>1868</v>
      </c>
      <c r="B2480" t="s">
        <v>1869</v>
      </c>
      <c r="C2480" t="s">
        <v>1876</v>
      </c>
      <c r="D2480" t="s">
        <v>359</v>
      </c>
      <c r="E2480" t="str">
        <f>INDEX('State Codes'!$E$7:$E$70,MATCH(INDEX('State Codes'!$C$7:$C$70,MATCH('County Climates'!B2480,'State Codes'!$D$7:$D$70,0),1),'State Codes'!$C$7:$C$70,0),1)</f>
        <v>Mountain Division</v>
      </c>
      <c r="F2480">
        <f>INDEX('CBECS_Table B5'!$C$6:$K$6,1,MATCH('County Climates'!E2480,'CBECS_Table B5'!$C$1:$K$1,0))</f>
        <v>4981</v>
      </c>
    </row>
    <row r="2481" spans="1:6" x14ac:dyDescent="0.25">
      <c r="A2481" t="s">
        <v>1868</v>
      </c>
      <c r="B2481" t="s">
        <v>1869</v>
      </c>
      <c r="C2481" t="s">
        <v>324</v>
      </c>
      <c r="D2481" t="s">
        <v>357</v>
      </c>
      <c r="E2481" t="str">
        <f>INDEX('State Codes'!$E$7:$E$70,MATCH(INDEX('State Codes'!$C$7:$C$70,MATCH('County Climates'!B2481,'State Codes'!$D$7:$D$70,0),1),'State Codes'!$C$7:$C$70,0),1)</f>
        <v>Mountain Division</v>
      </c>
      <c r="F2481">
        <f>INDEX('CBECS_Table B5'!$C$6:$K$6,1,MATCH('County Climates'!E2481,'CBECS_Table B5'!$C$1:$K$1,0))</f>
        <v>4981</v>
      </c>
    </row>
    <row r="2482" spans="1:6" x14ac:dyDescent="0.25">
      <c r="A2482" t="s">
        <v>1868</v>
      </c>
      <c r="B2482" t="s">
        <v>1869</v>
      </c>
      <c r="C2482" t="s">
        <v>1877</v>
      </c>
      <c r="D2482" t="s">
        <v>228</v>
      </c>
      <c r="E2482" t="str">
        <f>INDEX('State Codes'!$E$7:$E$70,MATCH(INDEX('State Codes'!$C$7:$C$70,MATCH('County Climates'!B2482,'State Codes'!$D$7:$D$70,0),1),'State Codes'!$C$7:$C$70,0),1)</f>
        <v>Mountain Division</v>
      </c>
      <c r="F2482">
        <f>INDEX('CBECS_Table B5'!$C$6:$K$6,1,MATCH('County Climates'!E2482,'CBECS_Table B5'!$C$1:$K$1,0))</f>
        <v>4981</v>
      </c>
    </row>
    <row r="2483" spans="1:6" x14ac:dyDescent="0.25">
      <c r="A2483" t="s">
        <v>1868</v>
      </c>
      <c r="B2483" t="s">
        <v>1869</v>
      </c>
      <c r="C2483" t="s">
        <v>1878</v>
      </c>
      <c r="D2483" t="s">
        <v>359</v>
      </c>
      <c r="E2483" t="str">
        <f>INDEX('State Codes'!$E$7:$E$70,MATCH(INDEX('State Codes'!$C$7:$C$70,MATCH('County Climates'!B2483,'State Codes'!$D$7:$D$70,0),1),'State Codes'!$C$7:$C$70,0),1)</f>
        <v>Mountain Division</v>
      </c>
      <c r="F2483">
        <f>INDEX('CBECS_Table B5'!$C$6:$K$6,1,MATCH('County Climates'!E2483,'CBECS_Table B5'!$C$1:$K$1,0))</f>
        <v>4981</v>
      </c>
    </row>
    <row r="2484" spans="1:6" x14ac:dyDescent="0.25">
      <c r="A2484" t="s">
        <v>1868</v>
      </c>
      <c r="B2484" t="s">
        <v>1869</v>
      </c>
      <c r="C2484" t="s">
        <v>1879</v>
      </c>
      <c r="D2484" t="s">
        <v>228</v>
      </c>
      <c r="E2484" t="str">
        <f>INDEX('State Codes'!$E$7:$E$70,MATCH(INDEX('State Codes'!$C$7:$C$70,MATCH('County Climates'!B2484,'State Codes'!$D$7:$D$70,0),1),'State Codes'!$C$7:$C$70,0),1)</f>
        <v>Mountain Division</v>
      </c>
      <c r="F2484">
        <f>INDEX('CBECS_Table B5'!$C$6:$K$6,1,MATCH('County Climates'!E2484,'CBECS_Table B5'!$C$1:$K$1,0))</f>
        <v>4981</v>
      </c>
    </row>
    <row r="2485" spans="1:6" x14ac:dyDescent="0.25">
      <c r="A2485" t="s">
        <v>1868</v>
      </c>
      <c r="B2485" t="s">
        <v>1869</v>
      </c>
      <c r="C2485" t="s">
        <v>1880</v>
      </c>
      <c r="D2485" t="s">
        <v>228</v>
      </c>
      <c r="E2485" t="str">
        <f>INDEX('State Codes'!$E$7:$E$70,MATCH(INDEX('State Codes'!$C$7:$C$70,MATCH('County Climates'!B2485,'State Codes'!$D$7:$D$70,0),1),'State Codes'!$C$7:$C$70,0),1)</f>
        <v>Mountain Division</v>
      </c>
      <c r="F2485">
        <f>INDEX('CBECS_Table B5'!$C$6:$K$6,1,MATCH('County Climates'!E2485,'CBECS_Table B5'!$C$1:$K$1,0))</f>
        <v>4981</v>
      </c>
    </row>
    <row r="2486" spans="1:6" x14ac:dyDescent="0.25">
      <c r="A2486" t="s">
        <v>1868</v>
      </c>
      <c r="B2486" t="s">
        <v>1869</v>
      </c>
      <c r="C2486" t="s">
        <v>391</v>
      </c>
      <c r="D2486" t="s">
        <v>359</v>
      </c>
      <c r="E2486" t="str">
        <f>INDEX('State Codes'!$E$7:$E$70,MATCH(INDEX('State Codes'!$C$7:$C$70,MATCH('County Climates'!B2486,'State Codes'!$D$7:$D$70,0),1),'State Codes'!$C$7:$C$70,0),1)</f>
        <v>Mountain Division</v>
      </c>
      <c r="F2486">
        <f>INDEX('CBECS_Table B5'!$C$6:$K$6,1,MATCH('County Climates'!E2486,'CBECS_Table B5'!$C$1:$K$1,0))</f>
        <v>4981</v>
      </c>
    </row>
    <row r="2487" spans="1:6" x14ac:dyDescent="0.25">
      <c r="A2487" t="s">
        <v>1868</v>
      </c>
      <c r="B2487" t="s">
        <v>1869</v>
      </c>
      <c r="C2487" t="s">
        <v>1881</v>
      </c>
      <c r="D2487" t="s">
        <v>357</v>
      </c>
      <c r="E2487" t="str">
        <f>INDEX('State Codes'!$E$7:$E$70,MATCH(INDEX('State Codes'!$C$7:$C$70,MATCH('County Climates'!B2487,'State Codes'!$D$7:$D$70,0),1),'State Codes'!$C$7:$C$70,0),1)</f>
        <v>Mountain Division</v>
      </c>
      <c r="F2487">
        <f>INDEX('CBECS_Table B5'!$C$6:$K$6,1,MATCH('County Climates'!E2487,'CBECS_Table B5'!$C$1:$K$1,0))</f>
        <v>4981</v>
      </c>
    </row>
    <row r="2488" spans="1:6" x14ac:dyDescent="0.25">
      <c r="A2488" t="s">
        <v>1868</v>
      </c>
      <c r="B2488" t="s">
        <v>1869</v>
      </c>
      <c r="C2488" t="s">
        <v>1882</v>
      </c>
      <c r="D2488" t="s">
        <v>228</v>
      </c>
      <c r="E2488" t="str">
        <f>INDEX('State Codes'!$E$7:$E$70,MATCH(INDEX('State Codes'!$C$7:$C$70,MATCH('County Climates'!B2488,'State Codes'!$D$7:$D$70,0),1),'State Codes'!$C$7:$C$70,0),1)</f>
        <v>Mountain Division</v>
      </c>
      <c r="F2488">
        <f>INDEX('CBECS_Table B5'!$C$6:$K$6,1,MATCH('County Climates'!E2488,'CBECS_Table B5'!$C$1:$K$1,0))</f>
        <v>4981</v>
      </c>
    </row>
    <row r="2489" spans="1:6" x14ac:dyDescent="0.25">
      <c r="A2489" t="s">
        <v>1868</v>
      </c>
      <c r="B2489" t="s">
        <v>1869</v>
      </c>
      <c r="C2489" t="s">
        <v>1814</v>
      </c>
      <c r="D2489" t="s">
        <v>357</v>
      </c>
      <c r="E2489" t="str">
        <f>INDEX('State Codes'!$E$7:$E$70,MATCH(INDEX('State Codes'!$C$7:$C$70,MATCH('County Climates'!B2489,'State Codes'!$D$7:$D$70,0),1),'State Codes'!$C$7:$C$70,0),1)</f>
        <v>Mountain Division</v>
      </c>
      <c r="F2489">
        <f>INDEX('CBECS_Table B5'!$C$6:$K$6,1,MATCH('County Climates'!E2489,'CBECS_Table B5'!$C$1:$K$1,0))</f>
        <v>4981</v>
      </c>
    </row>
    <row r="2490" spans="1:6" x14ac:dyDescent="0.25">
      <c r="A2490" t="s">
        <v>1868</v>
      </c>
      <c r="B2490" t="s">
        <v>1869</v>
      </c>
      <c r="C2490" t="s">
        <v>401</v>
      </c>
      <c r="D2490" t="s">
        <v>228</v>
      </c>
      <c r="E2490" t="str">
        <f>INDEX('State Codes'!$E$7:$E$70,MATCH(INDEX('State Codes'!$C$7:$C$70,MATCH('County Climates'!B2490,'State Codes'!$D$7:$D$70,0),1),'State Codes'!$C$7:$C$70,0),1)</f>
        <v>Mountain Division</v>
      </c>
      <c r="F2490">
        <f>INDEX('CBECS_Table B5'!$C$6:$K$6,1,MATCH('County Climates'!E2490,'CBECS_Table B5'!$C$1:$K$1,0))</f>
        <v>4981</v>
      </c>
    </row>
    <row r="2491" spans="1:6" x14ac:dyDescent="0.25">
      <c r="A2491" t="s">
        <v>1868</v>
      </c>
      <c r="B2491" t="s">
        <v>1869</v>
      </c>
      <c r="C2491" t="s">
        <v>402</v>
      </c>
      <c r="D2491" t="s">
        <v>228</v>
      </c>
      <c r="E2491" t="str">
        <f>INDEX('State Codes'!$E$7:$E$70,MATCH(INDEX('State Codes'!$C$7:$C$70,MATCH('County Climates'!B2491,'State Codes'!$D$7:$D$70,0),1),'State Codes'!$C$7:$C$70,0),1)</f>
        <v>Mountain Division</v>
      </c>
      <c r="F2491">
        <f>INDEX('CBECS_Table B5'!$C$6:$K$6,1,MATCH('County Climates'!E2491,'CBECS_Table B5'!$C$1:$K$1,0))</f>
        <v>4981</v>
      </c>
    </row>
    <row r="2492" spans="1:6" x14ac:dyDescent="0.25">
      <c r="A2492" t="s">
        <v>1883</v>
      </c>
      <c r="B2492" t="s">
        <v>961</v>
      </c>
      <c r="C2492" t="s">
        <v>308</v>
      </c>
      <c r="D2492" t="s">
        <v>228</v>
      </c>
      <c r="E2492" t="str">
        <f>INDEX('State Codes'!$E$7:$E$70,MATCH(INDEX('State Codes'!$C$7:$C$70,MATCH('County Climates'!B2492,'State Codes'!$D$7:$D$70,0),1),'State Codes'!$C$7:$C$70,0),1)</f>
        <v>Middle Atlantic Division</v>
      </c>
      <c r="F2492">
        <f>INDEX('CBECS_Table B5'!$C$6:$K$6,1,MATCH('County Climates'!E2492,'CBECS_Table B5'!$C$1:$K$1,0))</f>
        <v>11232</v>
      </c>
    </row>
    <row r="2493" spans="1:6" x14ac:dyDescent="0.25">
      <c r="A2493" t="s">
        <v>1883</v>
      </c>
      <c r="B2493" t="s">
        <v>961</v>
      </c>
      <c r="C2493" t="s">
        <v>498</v>
      </c>
      <c r="D2493" t="s">
        <v>228</v>
      </c>
      <c r="E2493" t="str">
        <f>INDEX('State Codes'!$E$7:$E$70,MATCH(INDEX('State Codes'!$C$7:$C$70,MATCH('County Climates'!B2493,'State Codes'!$D$7:$D$70,0),1),'State Codes'!$C$7:$C$70,0),1)</f>
        <v>Middle Atlantic Division</v>
      </c>
      <c r="F2493">
        <f>INDEX('CBECS_Table B5'!$C$6:$K$6,1,MATCH('County Climates'!E2493,'CBECS_Table B5'!$C$1:$K$1,0))</f>
        <v>11232</v>
      </c>
    </row>
    <row r="2494" spans="1:6" x14ac:dyDescent="0.25">
      <c r="A2494" t="s">
        <v>1883</v>
      </c>
      <c r="B2494" t="s">
        <v>961</v>
      </c>
      <c r="C2494" t="s">
        <v>1884</v>
      </c>
      <c r="D2494" t="s">
        <v>247</v>
      </c>
      <c r="E2494" t="str">
        <f>INDEX('State Codes'!$E$7:$E$70,MATCH(INDEX('State Codes'!$C$7:$C$70,MATCH('County Climates'!B2494,'State Codes'!$D$7:$D$70,0),1),'State Codes'!$C$7:$C$70,0),1)</f>
        <v>Middle Atlantic Division</v>
      </c>
      <c r="F2494">
        <f>INDEX('CBECS_Table B5'!$C$6:$K$6,1,MATCH('County Climates'!E2494,'CBECS_Table B5'!$C$1:$K$1,0))</f>
        <v>11232</v>
      </c>
    </row>
    <row r="2495" spans="1:6" x14ac:dyDescent="0.25">
      <c r="A2495" t="s">
        <v>1883</v>
      </c>
      <c r="B2495" t="s">
        <v>961</v>
      </c>
      <c r="C2495" t="s">
        <v>1358</v>
      </c>
      <c r="D2495" t="s">
        <v>228</v>
      </c>
      <c r="E2495" t="str">
        <f>INDEX('State Codes'!$E$7:$E$70,MATCH(INDEX('State Codes'!$C$7:$C$70,MATCH('County Climates'!B2495,'State Codes'!$D$7:$D$70,0),1),'State Codes'!$C$7:$C$70,0),1)</f>
        <v>Middle Atlantic Division</v>
      </c>
      <c r="F2495">
        <f>INDEX('CBECS_Table B5'!$C$6:$K$6,1,MATCH('County Climates'!E2495,'CBECS_Table B5'!$C$1:$K$1,0))</f>
        <v>11232</v>
      </c>
    </row>
    <row r="2496" spans="1:6" x14ac:dyDescent="0.25">
      <c r="A2496" t="s">
        <v>1883</v>
      </c>
      <c r="B2496" t="s">
        <v>961</v>
      </c>
      <c r="C2496" t="s">
        <v>1885</v>
      </c>
      <c r="D2496" t="s">
        <v>228</v>
      </c>
      <c r="E2496" t="str">
        <f>INDEX('State Codes'!$E$7:$E$70,MATCH(INDEX('State Codes'!$C$7:$C$70,MATCH('County Climates'!B2496,'State Codes'!$D$7:$D$70,0),1),'State Codes'!$C$7:$C$70,0),1)</f>
        <v>Middle Atlantic Division</v>
      </c>
      <c r="F2496">
        <f>INDEX('CBECS_Table B5'!$C$6:$K$6,1,MATCH('County Climates'!E2496,'CBECS_Table B5'!$C$1:$K$1,0))</f>
        <v>11232</v>
      </c>
    </row>
    <row r="2497" spans="1:6" x14ac:dyDescent="0.25">
      <c r="A2497" t="s">
        <v>1886</v>
      </c>
      <c r="B2497" t="s">
        <v>1887</v>
      </c>
      <c r="C2497" t="s">
        <v>1888</v>
      </c>
      <c r="D2497" t="s">
        <v>247</v>
      </c>
      <c r="E2497" t="str">
        <f>INDEX('State Codes'!$E$7:$E$70,MATCH(INDEX('State Codes'!$C$7:$C$70,MATCH('County Climates'!B2497,'State Codes'!$D$7:$D$70,0),1),'State Codes'!$C$7:$C$70,0),1)</f>
        <v>South Atlantic Division</v>
      </c>
      <c r="F2497">
        <f>INDEX('CBECS_Table B5'!$C$6:$K$6,1,MATCH('County Climates'!E2497,'CBECS_Table B5'!$C$1:$K$1,0))</f>
        <v>17981</v>
      </c>
    </row>
    <row r="2498" spans="1:6" x14ac:dyDescent="0.25">
      <c r="A2498" t="s">
        <v>1886</v>
      </c>
      <c r="B2498" t="s">
        <v>1887</v>
      </c>
      <c r="C2498" t="s">
        <v>1565</v>
      </c>
      <c r="D2498" t="s">
        <v>247</v>
      </c>
      <c r="E2498" t="str">
        <f>INDEX('State Codes'!$E$7:$E$70,MATCH(INDEX('State Codes'!$C$7:$C$70,MATCH('County Climates'!B2498,'State Codes'!$D$7:$D$70,0),1),'State Codes'!$C$7:$C$70,0),1)</f>
        <v>South Atlantic Division</v>
      </c>
      <c r="F2498">
        <f>INDEX('CBECS_Table B5'!$C$6:$K$6,1,MATCH('County Climates'!E2498,'CBECS_Table B5'!$C$1:$K$1,0))</f>
        <v>17981</v>
      </c>
    </row>
    <row r="2499" spans="1:6" x14ac:dyDescent="0.25">
      <c r="A2499" t="s">
        <v>1886</v>
      </c>
      <c r="B2499" t="s">
        <v>1887</v>
      </c>
      <c r="C2499" t="s">
        <v>1889</v>
      </c>
      <c r="D2499" t="s">
        <v>228</v>
      </c>
      <c r="E2499" t="str">
        <f>INDEX('State Codes'!$E$7:$E$70,MATCH(INDEX('State Codes'!$C$7:$C$70,MATCH('County Climates'!B2499,'State Codes'!$D$7:$D$70,0),1),'State Codes'!$C$7:$C$70,0),1)</f>
        <v>South Atlantic Division</v>
      </c>
      <c r="F2499">
        <f>INDEX('CBECS_Table B5'!$C$6:$K$6,1,MATCH('County Climates'!E2499,'CBECS_Table B5'!$C$1:$K$1,0))</f>
        <v>17981</v>
      </c>
    </row>
    <row r="2500" spans="1:6" x14ac:dyDescent="0.25">
      <c r="A2500" t="s">
        <v>1886</v>
      </c>
      <c r="B2500" t="s">
        <v>1887</v>
      </c>
      <c r="C2500" t="s">
        <v>1890</v>
      </c>
      <c r="D2500" t="s">
        <v>247</v>
      </c>
      <c r="E2500" t="str">
        <f>INDEX('State Codes'!$E$7:$E$70,MATCH(INDEX('State Codes'!$C$7:$C$70,MATCH('County Climates'!B2500,'State Codes'!$D$7:$D$70,0),1),'State Codes'!$C$7:$C$70,0),1)</f>
        <v>South Atlantic Division</v>
      </c>
      <c r="F2500">
        <f>INDEX('CBECS_Table B5'!$C$6:$K$6,1,MATCH('County Climates'!E2500,'CBECS_Table B5'!$C$1:$K$1,0))</f>
        <v>17981</v>
      </c>
    </row>
    <row r="2501" spans="1:6" x14ac:dyDescent="0.25">
      <c r="A2501" t="s">
        <v>1886</v>
      </c>
      <c r="B2501" t="s">
        <v>1887</v>
      </c>
      <c r="C2501" t="s">
        <v>1891</v>
      </c>
      <c r="D2501" t="s">
        <v>228</v>
      </c>
      <c r="E2501" t="str">
        <f>INDEX('State Codes'!$E$7:$E$70,MATCH(INDEX('State Codes'!$C$7:$C$70,MATCH('County Climates'!B2501,'State Codes'!$D$7:$D$70,0),1),'State Codes'!$C$7:$C$70,0),1)</f>
        <v>South Atlantic Division</v>
      </c>
      <c r="F2501">
        <f>INDEX('CBECS_Table B5'!$C$6:$K$6,1,MATCH('County Climates'!E2501,'CBECS_Table B5'!$C$1:$K$1,0))</f>
        <v>17981</v>
      </c>
    </row>
    <row r="2502" spans="1:6" x14ac:dyDescent="0.25">
      <c r="A2502" t="s">
        <v>1886</v>
      </c>
      <c r="B2502" t="s">
        <v>1887</v>
      </c>
      <c r="C2502" t="s">
        <v>1892</v>
      </c>
      <c r="D2502" t="s">
        <v>228</v>
      </c>
      <c r="E2502" t="str">
        <f>INDEX('State Codes'!$E$7:$E$70,MATCH(INDEX('State Codes'!$C$7:$C$70,MATCH('County Climates'!B2502,'State Codes'!$D$7:$D$70,0),1),'State Codes'!$C$7:$C$70,0),1)</f>
        <v>South Atlantic Division</v>
      </c>
      <c r="F2502">
        <f>INDEX('CBECS_Table B5'!$C$6:$K$6,1,MATCH('County Climates'!E2502,'CBECS_Table B5'!$C$1:$K$1,0))</f>
        <v>17981</v>
      </c>
    </row>
    <row r="2503" spans="1:6" x14ac:dyDescent="0.25">
      <c r="A2503" t="s">
        <v>1886</v>
      </c>
      <c r="B2503" t="s">
        <v>1887</v>
      </c>
      <c r="C2503" t="s">
        <v>1893</v>
      </c>
      <c r="D2503" t="s">
        <v>247</v>
      </c>
      <c r="E2503" t="str">
        <f>INDEX('State Codes'!$E$7:$E$70,MATCH(INDEX('State Codes'!$C$7:$C$70,MATCH('County Climates'!B2503,'State Codes'!$D$7:$D$70,0),1),'State Codes'!$C$7:$C$70,0),1)</f>
        <v>South Atlantic Division</v>
      </c>
      <c r="F2503">
        <f>INDEX('CBECS_Table B5'!$C$6:$K$6,1,MATCH('County Climates'!E2503,'CBECS_Table B5'!$C$1:$K$1,0))</f>
        <v>17981</v>
      </c>
    </row>
    <row r="2504" spans="1:6" x14ac:dyDescent="0.25">
      <c r="A2504" t="s">
        <v>1886</v>
      </c>
      <c r="B2504" t="s">
        <v>1887</v>
      </c>
      <c r="C2504" t="s">
        <v>1894</v>
      </c>
      <c r="D2504" t="s">
        <v>247</v>
      </c>
      <c r="E2504" t="str">
        <f>INDEX('State Codes'!$E$7:$E$70,MATCH(INDEX('State Codes'!$C$7:$C$70,MATCH('County Climates'!B2504,'State Codes'!$D$7:$D$70,0),1),'State Codes'!$C$7:$C$70,0),1)</f>
        <v>South Atlantic Division</v>
      </c>
      <c r="F2504">
        <f>INDEX('CBECS_Table B5'!$C$6:$K$6,1,MATCH('County Climates'!E2504,'CBECS_Table B5'!$C$1:$K$1,0))</f>
        <v>17981</v>
      </c>
    </row>
    <row r="2505" spans="1:6" x14ac:dyDescent="0.25">
      <c r="A2505" t="s">
        <v>1886</v>
      </c>
      <c r="B2505" t="s">
        <v>1887</v>
      </c>
      <c r="C2505" t="s">
        <v>1895</v>
      </c>
      <c r="D2505" t="s">
        <v>247</v>
      </c>
      <c r="E2505" t="str">
        <f>INDEX('State Codes'!$E$7:$E$70,MATCH(INDEX('State Codes'!$C$7:$C$70,MATCH('County Climates'!B2505,'State Codes'!$D$7:$D$70,0),1),'State Codes'!$C$7:$C$70,0),1)</f>
        <v>South Atlantic Division</v>
      </c>
      <c r="F2505">
        <f>INDEX('CBECS_Table B5'!$C$6:$K$6,1,MATCH('County Climates'!E2505,'CBECS_Table B5'!$C$1:$K$1,0))</f>
        <v>17981</v>
      </c>
    </row>
    <row r="2506" spans="1:6" x14ac:dyDescent="0.25">
      <c r="A2506" t="s">
        <v>1886</v>
      </c>
      <c r="B2506" t="s">
        <v>1887</v>
      </c>
      <c r="C2506" t="s">
        <v>1896</v>
      </c>
      <c r="D2506" t="s">
        <v>243</v>
      </c>
      <c r="E2506" t="str">
        <f>INDEX('State Codes'!$E$7:$E$70,MATCH(INDEX('State Codes'!$C$7:$C$70,MATCH('County Climates'!B2506,'State Codes'!$D$7:$D$70,0),1),'State Codes'!$C$7:$C$70,0),1)</f>
        <v>South Atlantic Division</v>
      </c>
      <c r="F2506">
        <f>INDEX('CBECS_Table B5'!$C$6:$K$6,1,MATCH('County Climates'!E2506,'CBECS_Table B5'!$C$1:$K$1,0))</f>
        <v>17981</v>
      </c>
    </row>
    <row r="2507" spans="1:6" x14ac:dyDescent="0.25">
      <c r="A2507" t="s">
        <v>1886</v>
      </c>
      <c r="B2507" t="s">
        <v>1887</v>
      </c>
      <c r="C2507" t="s">
        <v>1897</v>
      </c>
      <c r="D2507" t="s">
        <v>247</v>
      </c>
      <c r="E2507" t="str">
        <f>INDEX('State Codes'!$E$7:$E$70,MATCH(INDEX('State Codes'!$C$7:$C$70,MATCH('County Climates'!B2507,'State Codes'!$D$7:$D$70,0),1),'State Codes'!$C$7:$C$70,0),1)</f>
        <v>South Atlantic Division</v>
      </c>
      <c r="F2507">
        <f>INDEX('CBECS_Table B5'!$C$6:$K$6,1,MATCH('County Climates'!E2507,'CBECS_Table B5'!$C$1:$K$1,0))</f>
        <v>17981</v>
      </c>
    </row>
    <row r="2508" spans="1:6" x14ac:dyDescent="0.25">
      <c r="A2508" t="s">
        <v>1886</v>
      </c>
      <c r="B2508" t="s">
        <v>1887</v>
      </c>
      <c r="C2508" t="s">
        <v>443</v>
      </c>
      <c r="D2508" t="s">
        <v>247</v>
      </c>
      <c r="E2508" t="str">
        <f>INDEX('State Codes'!$E$7:$E$70,MATCH(INDEX('State Codes'!$C$7:$C$70,MATCH('County Climates'!B2508,'State Codes'!$D$7:$D$70,0),1),'State Codes'!$C$7:$C$70,0),1)</f>
        <v>South Atlantic Division</v>
      </c>
      <c r="F2508">
        <f>INDEX('CBECS_Table B5'!$C$6:$K$6,1,MATCH('County Climates'!E2508,'CBECS_Table B5'!$C$1:$K$1,0))</f>
        <v>17981</v>
      </c>
    </row>
    <row r="2509" spans="1:6" x14ac:dyDescent="0.25">
      <c r="A2509" t="s">
        <v>1886</v>
      </c>
      <c r="B2509" t="s">
        <v>1887</v>
      </c>
      <c r="C2509" t="s">
        <v>1898</v>
      </c>
      <c r="D2509" t="s">
        <v>247</v>
      </c>
      <c r="E2509" t="str">
        <f>INDEX('State Codes'!$E$7:$E$70,MATCH(INDEX('State Codes'!$C$7:$C$70,MATCH('County Climates'!B2509,'State Codes'!$D$7:$D$70,0),1),'State Codes'!$C$7:$C$70,0),1)</f>
        <v>South Atlantic Division</v>
      </c>
      <c r="F2509">
        <f>INDEX('CBECS_Table B5'!$C$6:$K$6,1,MATCH('County Climates'!E2509,'CBECS_Table B5'!$C$1:$K$1,0))</f>
        <v>17981</v>
      </c>
    </row>
    <row r="2510" spans="1:6" x14ac:dyDescent="0.25">
      <c r="A2510" t="s">
        <v>1886</v>
      </c>
      <c r="B2510" t="s">
        <v>1887</v>
      </c>
      <c r="C2510" t="s">
        <v>1645</v>
      </c>
      <c r="D2510" t="s">
        <v>247</v>
      </c>
      <c r="E2510" t="str">
        <f>INDEX('State Codes'!$E$7:$E$70,MATCH(INDEX('State Codes'!$C$7:$C$70,MATCH('County Climates'!B2510,'State Codes'!$D$7:$D$70,0),1),'State Codes'!$C$7:$C$70,0),1)</f>
        <v>South Atlantic Division</v>
      </c>
      <c r="F2510">
        <f>INDEX('CBECS_Table B5'!$C$6:$K$6,1,MATCH('County Climates'!E2510,'CBECS_Table B5'!$C$1:$K$1,0))</f>
        <v>17981</v>
      </c>
    </row>
    <row r="2511" spans="1:6" x14ac:dyDescent="0.25">
      <c r="A2511" t="s">
        <v>1886</v>
      </c>
      <c r="B2511" t="s">
        <v>1887</v>
      </c>
      <c r="C2511" t="s">
        <v>445</v>
      </c>
      <c r="D2511" t="s">
        <v>247</v>
      </c>
      <c r="E2511" t="str">
        <f>INDEX('State Codes'!$E$7:$E$70,MATCH(INDEX('State Codes'!$C$7:$C$70,MATCH('County Climates'!B2511,'State Codes'!$D$7:$D$70,0),1),'State Codes'!$C$7:$C$70,0),1)</f>
        <v>South Atlantic Division</v>
      </c>
      <c r="F2511">
        <f>INDEX('CBECS_Table B5'!$C$6:$K$6,1,MATCH('County Climates'!E2511,'CBECS_Table B5'!$C$1:$K$1,0))</f>
        <v>17981</v>
      </c>
    </row>
    <row r="2512" spans="1:6" x14ac:dyDescent="0.25">
      <c r="A2512" t="s">
        <v>1886</v>
      </c>
      <c r="B2512" t="s">
        <v>1887</v>
      </c>
      <c r="C2512" t="s">
        <v>1899</v>
      </c>
      <c r="D2512" t="s">
        <v>243</v>
      </c>
      <c r="E2512" t="str">
        <f>INDEX('State Codes'!$E$7:$E$70,MATCH(INDEX('State Codes'!$C$7:$C$70,MATCH('County Climates'!B2512,'State Codes'!$D$7:$D$70,0),1),'State Codes'!$C$7:$C$70,0),1)</f>
        <v>South Atlantic Division</v>
      </c>
      <c r="F2512">
        <f>INDEX('CBECS_Table B5'!$C$6:$K$6,1,MATCH('County Climates'!E2512,'CBECS_Table B5'!$C$1:$K$1,0))</f>
        <v>17981</v>
      </c>
    </row>
    <row r="2513" spans="1:6" x14ac:dyDescent="0.25">
      <c r="A2513" t="s">
        <v>1886</v>
      </c>
      <c r="B2513" t="s">
        <v>1887</v>
      </c>
      <c r="C2513" t="s">
        <v>1900</v>
      </c>
      <c r="D2513" t="s">
        <v>247</v>
      </c>
      <c r="E2513" t="str">
        <f>INDEX('State Codes'!$E$7:$E$70,MATCH(INDEX('State Codes'!$C$7:$C$70,MATCH('County Climates'!B2513,'State Codes'!$D$7:$D$70,0),1),'State Codes'!$C$7:$C$70,0),1)</f>
        <v>South Atlantic Division</v>
      </c>
      <c r="F2513">
        <f>INDEX('CBECS_Table B5'!$C$6:$K$6,1,MATCH('County Climates'!E2513,'CBECS_Table B5'!$C$1:$K$1,0))</f>
        <v>17981</v>
      </c>
    </row>
    <row r="2514" spans="1:6" x14ac:dyDescent="0.25">
      <c r="A2514" t="s">
        <v>1886</v>
      </c>
      <c r="B2514" t="s">
        <v>1887</v>
      </c>
      <c r="C2514" t="s">
        <v>1901</v>
      </c>
      <c r="D2514" t="s">
        <v>247</v>
      </c>
      <c r="E2514" t="str">
        <f>INDEX('State Codes'!$E$7:$E$70,MATCH(INDEX('State Codes'!$C$7:$C$70,MATCH('County Climates'!B2514,'State Codes'!$D$7:$D$70,0),1),'State Codes'!$C$7:$C$70,0),1)</f>
        <v>South Atlantic Division</v>
      </c>
      <c r="F2514">
        <f>INDEX('CBECS_Table B5'!$C$6:$K$6,1,MATCH('County Climates'!E2514,'CBECS_Table B5'!$C$1:$K$1,0))</f>
        <v>17981</v>
      </c>
    </row>
    <row r="2515" spans="1:6" x14ac:dyDescent="0.25">
      <c r="A2515" t="s">
        <v>1886</v>
      </c>
      <c r="B2515" t="s">
        <v>1887</v>
      </c>
      <c r="C2515" t="s">
        <v>450</v>
      </c>
      <c r="D2515" t="s">
        <v>247</v>
      </c>
      <c r="E2515" t="str">
        <f>INDEX('State Codes'!$E$7:$E$70,MATCH(INDEX('State Codes'!$C$7:$C$70,MATCH('County Climates'!B2515,'State Codes'!$D$7:$D$70,0),1),'State Codes'!$C$7:$C$70,0),1)</f>
        <v>South Atlantic Division</v>
      </c>
      <c r="F2515">
        <f>INDEX('CBECS_Table B5'!$C$6:$K$6,1,MATCH('County Climates'!E2515,'CBECS_Table B5'!$C$1:$K$1,0))</f>
        <v>17981</v>
      </c>
    </row>
    <row r="2516" spans="1:6" x14ac:dyDescent="0.25">
      <c r="A2516" t="s">
        <v>1886</v>
      </c>
      <c r="B2516" t="s">
        <v>1887</v>
      </c>
      <c r="C2516" t="s">
        <v>253</v>
      </c>
      <c r="D2516" t="s">
        <v>247</v>
      </c>
      <c r="E2516" t="str">
        <f>INDEX('State Codes'!$E$7:$E$70,MATCH(INDEX('State Codes'!$C$7:$C$70,MATCH('County Climates'!B2516,'State Codes'!$D$7:$D$70,0),1),'State Codes'!$C$7:$C$70,0),1)</f>
        <v>South Atlantic Division</v>
      </c>
      <c r="F2516">
        <f>INDEX('CBECS_Table B5'!$C$6:$K$6,1,MATCH('County Climates'!E2516,'CBECS_Table B5'!$C$1:$K$1,0))</f>
        <v>17981</v>
      </c>
    </row>
    <row r="2517" spans="1:6" x14ac:dyDescent="0.25">
      <c r="A2517" t="s">
        <v>1886</v>
      </c>
      <c r="B2517" t="s">
        <v>1887</v>
      </c>
      <c r="C2517" t="s">
        <v>1902</v>
      </c>
      <c r="D2517" t="s">
        <v>247</v>
      </c>
      <c r="E2517" t="str">
        <f>INDEX('State Codes'!$E$7:$E$70,MATCH(INDEX('State Codes'!$C$7:$C$70,MATCH('County Climates'!B2517,'State Codes'!$D$7:$D$70,0),1),'State Codes'!$C$7:$C$70,0),1)</f>
        <v>South Atlantic Division</v>
      </c>
      <c r="F2517">
        <f>INDEX('CBECS_Table B5'!$C$6:$K$6,1,MATCH('County Climates'!E2517,'CBECS_Table B5'!$C$1:$K$1,0))</f>
        <v>17981</v>
      </c>
    </row>
    <row r="2518" spans="1:6" x14ac:dyDescent="0.25">
      <c r="A2518" t="s">
        <v>1886</v>
      </c>
      <c r="B2518" t="s">
        <v>1887</v>
      </c>
      <c r="C2518" t="s">
        <v>257</v>
      </c>
      <c r="D2518" t="s">
        <v>247</v>
      </c>
      <c r="E2518" t="str">
        <f>INDEX('State Codes'!$E$7:$E$70,MATCH(INDEX('State Codes'!$C$7:$C$70,MATCH('County Climates'!B2518,'State Codes'!$D$7:$D$70,0),1),'State Codes'!$C$7:$C$70,0),1)</f>
        <v>South Atlantic Division</v>
      </c>
      <c r="F2518">
        <f>INDEX('CBECS_Table B5'!$C$6:$K$6,1,MATCH('County Climates'!E2518,'CBECS_Table B5'!$C$1:$K$1,0))</f>
        <v>17981</v>
      </c>
    </row>
    <row r="2519" spans="1:6" x14ac:dyDescent="0.25">
      <c r="A2519" t="s">
        <v>1886</v>
      </c>
      <c r="B2519" t="s">
        <v>1887</v>
      </c>
      <c r="C2519" t="s">
        <v>1068</v>
      </c>
      <c r="D2519" t="s">
        <v>247</v>
      </c>
      <c r="E2519" t="str">
        <f>INDEX('State Codes'!$E$7:$E$70,MATCH(INDEX('State Codes'!$C$7:$C$70,MATCH('County Climates'!B2519,'State Codes'!$D$7:$D$70,0),1),'State Codes'!$C$7:$C$70,0),1)</f>
        <v>South Atlantic Division</v>
      </c>
      <c r="F2519">
        <f>INDEX('CBECS_Table B5'!$C$6:$K$6,1,MATCH('County Climates'!E2519,'CBECS_Table B5'!$C$1:$K$1,0))</f>
        <v>17981</v>
      </c>
    </row>
    <row r="2520" spans="1:6" x14ac:dyDescent="0.25">
      <c r="A2520" t="s">
        <v>1886</v>
      </c>
      <c r="B2520" t="s">
        <v>1887</v>
      </c>
      <c r="C2520" t="s">
        <v>1903</v>
      </c>
      <c r="D2520" t="s">
        <v>243</v>
      </c>
      <c r="E2520" t="str">
        <f>INDEX('State Codes'!$E$7:$E$70,MATCH(INDEX('State Codes'!$C$7:$C$70,MATCH('County Climates'!B2520,'State Codes'!$D$7:$D$70,0),1),'State Codes'!$C$7:$C$70,0),1)</f>
        <v>South Atlantic Division</v>
      </c>
      <c r="F2520">
        <f>INDEX('CBECS_Table B5'!$C$6:$K$6,1,MATCH('County Climates'!E2520,'CBECS_Table B5'!$C$1:$K$1,0))</f>
        <v>17981</v>
      </c>
    </row>
    <row r="2521" spans="1:6" x14ac:dyDescent="0.25">
      <c r="A2521" t="s">
        <v>1886</v>
      </c>
      <c r="B2521" t="s">
        <v>1887</v>
      </c>
      <c r="C2521" t="s">
        <v>1904</v>
      </c>
      <c r="D2521" t="s">
        <v>247</v>
      </c>
      <c r="E2521" t="str">
        <f>INDEX('State Codes'!$E$7:$E$70,MATCH(INDEX('State Codes'!$C$7:$C$70,MATCH('County Climates'!B2521,'State Codes'!$D$7:$D$70,0),1),'State Codes'!$C$7:$C$70,0),1)</f>
        <v>South Atlantic Division</v>
      </c>
      <c r="F2521">
        <f>INDEX('CBECS_Table B5'!$C$6:$K$6,1,MATCH('County Climates'!E2521,'CBECS_Table B5'!$C$1:$K$1,0))</f>
        <v>17981</v>
      </c>
    </row>
    <row r="2522" spans="1:6" x14ac:dyDescent="0.25">
      <c r="A2522" t="s">
        <v>1886</v>
      </c>
      <c r="B2522" t="s">
        <v>1887</v>
      </c>
      <c r="C2522" t="s">
        <v>720</v>
      </c>
      <c r="D2522" t="s">
        <v>247</v>
      </c>
      <c r="E2522" t="str">
        <f>INDEX('State Codes'!$E$7:$E$70,MATCH(INDEX('State Codes'!$C$7:$C$70,MATCH('County Climates'!B2522,'State Codes'!$D$7:$D$70,0),1),'State Codes'!$C$7:$C$70,0),1)</f>
        <v>South Atlantic Division</v>
      </c>
      <c r="F2522">
        <f>INDEX('CBECS_Table B5'!$C$6:$K$6,1,MATCH('County Climates'!E2522,'CBECS_Table B5'!$C$1:$K$1,0))</f>
        <v>17981</v>
      </c>
    </row>
    <row r="2523" spans="1:6" x14ac:dyDescent="0.25">
      <c r="A2523" t="s">
        <v>1886</v>
      </c>
      <c r="B2523" t="s">
        <v>1887</v>
      </c>
      <c r="C2523" t="s">
        <v>1905</v>
      </c>
      <c r="D2523" t="s">
        <v>247</v>
      </c>
      <c r="E2523" t="str">
        <f>INDEX('State Codes'!$E$7:$E$70,MATCH(INDEX('State Codes'!$C$7:$C$70,MATCH('County Climates'!B2523,'State Codes'!$D$7:$D$70,0),1),'State Codes'!$C$7:$C$70,0),1)</f>
        <v>South Atlantic Division</v>
      </c>
      <c r="F2523">
        <f>INDEX('CBECS_Table B5'!$C$6:$K$6,1,MATCH('County Climates'!E2523,'CBECS_Table B5'!$C$1:$K$1,0))</f>
        <v>17981</v>
      </c>
    </row>
    <row r="2524" spans="1:6" x14ac:dyDescent="0.25">
      <c r="A2524" t="s">
        <v>1886</v>
      </c>
      <c r="B2524" t="s">
        <v>1887</v>
      </c>
      <c r="C2524" t="s">
        <v>1906</v>
      </c>
      <c r="D2524" t="s">
        <v>247</v>
      </c>
      <c r="E2524" t="str">
        <f>INDEX('State Codes'!$E$7:$E$70,MATCH(INDEX('State Codes'!$C$7:$C$70,MATCH('County Climates'!B2524,'State Codes'!$D$7:$D$70,0),1),'State Codes'!$C$7:$C$70,0),1)</f>
        <v>South Atlantic Division</v>
      </c>
      <c r="F2524">
        <f>INDEX('CBECS_Table B5'!$C$6:$K$6,1,MATCH('County Climates'!E2524,'CBECS_Table B5'!$C$1:$K$1,0))</f>
        <v>17981</v>
      </c>
    </row>
    <row r="2525" spans="1:6" x14ac:dyDescent="0.25">
      <c r="A2525" t="s">
        <v>1886</v>
      </c>
      <c r="B2525" t="s">
        <v>1887</v>
      </c>
      <c r="C2525" t="s">
        <v>1907</v>
      </c>
      <c r="D2525" t="s">
        <v>247</v>
      </c>
      <c r="E2525" t="str">
        <f>INDEX('State Codes'!$E$7:$E$70,MATCH(INDEX('State Codes'!$C$7:$C$70,MATCH('County Climates'!B2525,'State Codes'!$D$7:$D$70,0),1),'State Codes'!$C$7:$C$70,0),1)</f>
        <v>South Atlantic Division</v>
      </c>
      <c r="F2525">
        <f>INDEX('CBECS_Table B5'!$C$6:$K$6,1,MATCH('County Climates'!E2525,'CBECS_Table B5'!$C$1:$K$1,0))</f>
        <v>17981</v>
      </c>
    </row>
    <row r="2526" spans="1:6" x14ac:dyDescent="0.25">
      <c r="A2526" t="s">
        <v>1886</v>
      </c>
      <c r="B2526" t="s">
        <v>1887</v>
      </c>
      <c r="C2526" t="s">
        <v>1908</v>
      </c>
      <c r="D2526" t="s">
        <v>247</v>
      </c>
      <c r="E2526" t="str">
        <f>INDEX('State Codes'!$E$7:$E$70,MATCH(INDEX('State Codes'!$C$7:$C$70,MATCH('County Climates'!B2526,'State Codes'!$D$7:$D$70,0),1),'State Codes'!$C$7:$C$70,0),1)</f>
        <v>South Atlantic Division</v>
      </c>
      <c r="F2526">
        <f>INDEX('CBECS_Table B5'!$C$6:$K$6,1,MATCH('County Climates'!E2526,'CBECS_Table B5'!$C$1:$K$1,0))</f>
        <v>17981</v>
      </c>
    </row>
    <row r="2527" spans="1:6" x14ac:dyDescent="0.25">
      <c r="A2527" t="s">
        <v>1886</v>
      </c>
      <c r="B2527" t="s">
        <v>1887</v>
      </c>
      <c r="C2527" t="s">
        <v>1909</v>
      </c>
      <c r="D2527" t="s">
        <v>247</v>
      </c>
      <c r="E2527" t="str">
        <f>INDEX('State Codes'!$E$7:$E$70,MATCH(INDEX('State Codes'!$C$7:$C$70,MATCH('County Climates'!B2527,'State Codes'!$D$7:$D$70,0),1),'State Codes'!$C$7:$C$70,0),1)</f>
        <v>South Atlantic Division</v>
      </c>
      <c r="F2527">
        <f>INDEX('CBECS_Table B5'!$C$6:$K$6,1,MATCH('County Climates'!E2527,'CBECS_Table B5'!$C$1:$K$1,0))</f>
        <v>17981</v>
      </c>
    </row>
    <row r="2528" spans="1:6" x14ac:dyDescent="0.25">
      <c r="A2528" t="s">
        <v>1886</v>
      </c>
      <c r="B2528" t="s">
        <v>1887</v>
      </c>
      <c r="C2528" t="s">
        <v>1910</v>
      </c>
      <c r="D2528" t="s">
        <v>247</v>
      </c>
      <c r="E2528" t="str">
        <f>INDEX('State Codes'!$E$7:$E$70,MATCH(INDEX('State Codes'!$C$7:$C$70,MATCH('County Climates'!B2528,'State Codes'!$D$7:$D$70,0),1),'State Codes'!$C$7:$C$70,0),1)</f>
        <v>South Atlantic Division</v>
      </c>
      <c r="F2528">
        <f>INDEX('CBECS_Table B5'!$C$6:$K$6,1,MATCH('County Climates'!E2528,'CBECS_Table B5'!$C$1:$K$1,0))</f>
        <v>17981</v>
      </c>
    </row>
    <row r="2529" spans="1:6" x14ac:dyDescent="0.25">
      <c r="A2529" t="s">
        <v>1886</v>
      </c>
      <c r="B2529" t="s">
        <v>1887</v>
      </c>
      <c r="C2529" t="s">
        <v>1911</v>
      </c>
      <c r="D2529" t="s">
        <v>247</v>
      </c>
      <c r="E2529" t="str">
        <f>INDEX('State Codes'!$E$7:$E$70,MATCH(INDEX('State Codes'!$C$7:$C$70,MATCH('County Climates'!B2529,'State Codes'!$D$7:$D$70,0),1),'State Codes'!$C$7:$C$70,0),1)</f>
        <v>South Atlantic Division</v>
      </c>
      <c r="F2529">
        <f>INDEX('CBECS_Table B5'!$C$6:$K$6,1,MATCH('County Climates'!E2529,'CBECS_Table B5'!$C$1:$K$1,0))</f>
        <v>17981</v>
      </c>
    </row>
    <row r="2530" spans="1:6" x14ac:dyDescent="0.25">
      <c r="A2530" t="s">
        <v>1886</v>
      </c>
      <c r="B2530" t="s">
        <v>1887</v>
      </c>
      <c r="C2530" t="s">
        <v>475</v>
      </c>
      <c r="D2530" t="s">
        <v>247</v>
      </c>
      <c r="E2530" t="str">
        <f>INDEX('State Codes'!$E$7:$E$70,MATCH(INDEX('State Codes'!$C$7:$C$70,MATCH('County Climates'!B2530,'State Codes'!$D$7:$D$70,0),1),'State Codes'!$C$7:$C$70,0),1)</f>
        <v>South Atlantic Division</v>
      </c>
      <c r="F2530">
        <f>INDEX('CBECS_Table B5'!$C$6:$K$6,1,MATCH('County Climates'!E2530,'CBECS_Table B5'!$C$1:$K$1,0))</f>
        <v>17981</v>
      </c>
    </row>
    <row r="2531" spans="1:6" x14ac:dyDescent="0.25">
      <c r="A2531" t="s">
        <v>1886</v>
      </c>
      <c r="B2531" t="s">
        <v>1887</v>
      </c>
      <c r="C2531" t="s">
        <v>273</v>
      </c>
      <c r="D2531" t="s">
        <v>247</v>
      </c>
      <c r="E2531" t="str">
        <f>INDEX('State Codes'!$E$7:$E$70,MATCH(INDEX('State Codes'!$C$7:$C$70,MATCH('County Climates'!B2531,'State Codes'!$D$7:$D$70,0),1),'State Codes'!$C$7:$C$70,0),1)</f>
        <v>South Atlantic Division</v>
      </c>
      <c r="F2531">
        <f>INDEX('CBECS_Table B5'!$C$6:$K$6,1,MATCH('County Climates'!E2531,'CBECS_Table B5'!$C$1:$K$1,0))</f>
        <v>17981</v>
      </c>
    </row>
    <row r="2532" spans="1:6" x14ac:dyDescent="0.25">
      <c r="A2532" t="s">
        <v>1886</v>
      </c>
      <c r="B2532" t="s">
        <v>1887</v>
      </c>
      <c r="C2532" t="s">
        <v>1912</v>
      </c>
      <c r="D2532" t="s">
        <v>247</v>
      </c>
      <c r="E2532" t="str">
        <f>INDEX('State Codes'!$E$7:$E$70,MATCH(INDEX('State Codes'!$C$7:$C$70,MATCH('County Climates'!B2532,'State Codes'!$D$7:$D$70,0),1),'State Codes'!$C$7:$C$70,0),1)</f>
        <v>South Atlantic Division</v>
      </c>
      <c r="F2532">
        <f>INDEX('CBECS_Table B5'!$C$6:$K$6,1,MATCH('County Climates'!E2532,'CBECS_Table B5'!$C$1:$K$1,0))</f>
        <v>17981</v>
      </c>
    </row>
    <row r="2533" spans="1:6" x14ac:dyDescent="0.25">
      <c r="A2533" t="s">
        <v>1886</v>
      </c>
      <c r="B2533" t="s">
        <v>1887</v>
      </c>
      <c r="C2533" t="s">
        <v>1913</v>
      </c>
      <c r="D2533" t="s">
        <v>247</v>
      </c>
      <c r="E2533" t="str">
        <f>INDEX('State Codes'!$E$7:$E$70,MATCH(INDEX('State Codes'!$C$7:$C$70,MATCH('County Climates'!B2533,'State Codes'!$D$7:$D$70,0),1),'State Codes'!$C$7:$C$70,0),1)</f>
        <v>South Atlantic Division</v>
      </c>
      <c r="F2533">
        <f>INDEX('CBECS_Table B5'!$C$6:$K$6,1,MATCH('County Climates'!E2533,'CBECS_Table B5'!$C$1:$K$1,0))</f>
        <v>17981</v>
      </c>
    </row>
    <row r="2534" spans="1:6" x14ac:dyDescent="0.25">
      <c r="A2534" t="s">
        <v>1886</v>
      </c>
      <c r="B2534" t="s">
        <v>1887</v>
      </c>
      <c r="C2534" t="s">
        <v>630</v>
      </c>
      <c r="D2534" t="s">
        <v>247</v>
      </c>
      <c r="E2534" t="str">
        <f>INDEX('State Codes'!$E$7:$E$70,MATCH(INDEX('State Codes'!$C$7:$C$70,MATCH('County Climates'!B2534,'State Codes'!$D$7:$D$70,0),1),'State Codes'!$C$7:$C$70,0),1)</f>
        <v>South Atlantic Division</v>
      </c>
      <c r="F2534">
        <f>INDEX('CBECS_Table B5'!$C$6:$K$6,1,MATCH('County Climates'!E2534,'CBECS_Table B5'!$C$1:$K$1,0))</f>
        <v>17981</v>
      </c>
    </row>
    <row r="2535" spans="1:6" x14ac:dyDescent="0.25">
      <c r="A2535" t="s">
        <v>1886</v>
      </c>
      <c r="B2535" t="s">
        <v>1887</v>
      </c>
      <c r="C2535" t="s">
        <v>1914</v>
      </c>
      <c r="D2535" t="s">
        <v>247</v>
      </c>
      <c r="E2535" t="str">
        <f>INDEX('State Codes'!$E$7:$E$70,MATCH(INDEX('State Codes'!$C$7:$C$70,MATCH('County Climates'!B2535,'State Codes'!$D$7:$D$70,0),1),'State Codes'!$C$7:$C$70,0),1)</f>
        <v>South Atlantic Division</v>
      </c>
      <c r="F2535">
        <f>INDEX('CBECS_Table B5'!$C$6:$K$6,1,MATCH('County Climates'!E2535,'CBECS_Table B5'!$C$1:$K$1,0))</f>
        <v>17981</v>
      </c>
    </row>
    <row r="2536" spans="1:6" x14ac:dyDescent="0.25">
      <c r="A2536" t="s">
        <v>1886</v>
      </c>
      <c r="B2536" t="s">
        <v>1887</v>
      </c>
      <c r="C2536" t="s">
        <v>275</v>
      </c>
      <c r="D2536" t="s">
        <v>247</v>
      </c>
      <c r="E2536" t="str">
        <f>INDEX('State Codes'!$E$7:$E$70,MATCH(INDEX('State Codes'!$C$7:$C$70,MATCH('County Climates'!B2536,'State Codes'!$D$7:$D$70,0),1),'State Codes'!$C$7:$C$70,0),1)</f>
        <v>South Atlantic Division</v>
      </c>
      <c r="F2536">
        <f>INDEX('CBECS_Table B5'!$C$6:$K$6,1,MATCH('County Climates'!E2536,'CBECS_Table B5'!$C$1:$K$1,0))</f>
        <v>17981</v>
      </c>
    </row>
    <row r="2537" spans="1:6" x14ac:dyDescent="0.25">
      <c r="A2537" t="s">
        <v>1886</v>
      </c>
      <c r="B2537" t="s">
        <v>1887</v>
      </c>
      <c r="C2537" t="s">
        <v>1915</v>
      </c>
      <c r="D2537" t="s">
        <v>247</v>
      </c>
      <c r="E2537" t="str">
        <f>INDEX('State Codes'!$E$7:$E$70,MATCH(INDEX('State Codes'!$C$7:$C$70,MATCH('County Climates'!B2537,'State Codes'!$D$7:$D$70,0),1),'State Codes'!$C$7:$C$70,0),1)</f>
        <v>South Atlantic Division</v>
      </c>
      <c r="F2537">
        <f>INDEX('CBECS_Table B5'!$C$6:$K$6,1,MATCH('County Climates'!E2537,'CBECS_Table B5'!$C$1:$K$1,0))</f>
        <v>17981</v>
      </c>
    </row>
    <row r="2538" spans="1:6" x14ac:dyDescent="0.25">
      <c r="A2538" t="s">
        <v>1886</v>
      </c>
      <c r="B2538" t="s">
        <v>1887</v>
      </c>
      <c r="C2538" t="s">
        <v>1291</v>
      </c>
      <c r="D2538" t="s">
        <v>247</v>
      </c>
      <c r="E2538" t="str">
        <f>INDEX('State Codes'!$E$7:$E$70,MATCH(INDEX('State Codes'!$C$7:$C$70,MATCH('County Climates'!B2538,'State Codes'!$D$7:$D$70,0),1),'State Codes'!$C$7:$C$70,0),1)</f>
        <v>South Atlantic Division</v>
      </c>
      <c r="F2538">
        <f>INDEX('CBECS_Table B5'!$C$6:$K$6,1,MATCH('County Climates'!E2538,'CBECS_Table B5'!$C$1:$K$1,0))</f>
        <v>17981</v>
      </c>
    </row>
    <row r="2539" spans="1:6" x14ac:dyDescent="0.25">
      <c r="A2539" t="s">
        <v>1886</v>
      </c>
      <c r="B2539" t="s">
        <v>1887</v>
      </c>
      <c r="C2539" t="s">
        <v>1916</v>
      </c>
      <c r="D2539" t="s">
        <v>247</v>
      </c>
      <c r="E2539" t="str">
        <f>INDEX('State Codes'!$E$7:$E$70,MATCH(INDEX('State Codes'!$C$7:$C$70,MATCH('County Climates'!B2539,'State Codes'!$D$7:$D$70,0),1),'State Codes'!$C$7:$C$70,0),1)</f>
        <v>South Atlantic Division</v>
      </c>
      <c r="F2539">
        <f>INDEX('CBECS_Table B5'!$C$6:$K$6,1,MATCH('County Climates'!E2539,'CBECS_Table B5'!$C$1:$K$1,0))</f>
        <v>17981</v>
      </c>
    </row>
    <row r="2540" spans="1:6" x14ac:dyDescent="0.25">
      <c r="A2540" t="s">
        <v>1886</v>
      </c>
      <c r="B2540" t="s">
        <v>1887</v>
      </c>
      <c r="C2540" t="s">
        <v>1917</v>
      </c>
      <c r="D2540" t="s">
        <v>247</v>
      </c>
      <c r="E2540" t="str">
        <f>INDEX('State Codes'!$E$7:$E$70,MATCH(INDEX('State Codes'!$C$7:$C$70,MATCH('County Climates'!B2540,'State Codes'!$D$7:$D$70,0),1),'State Codes'!$C$7:$C$70,0),1)</f>
        <v>South Atlantic Division</v>
      </c>
      <c r="F2540">
        <f>INDEX('CBECS_Table B5'!$C$6:$K$6,1,MATCH('County Climates'!E2540,'CBECS_Table B5'!$C$1:$K$1,0))</f>
        <v>17981</v>
      </c>
    </row>
    <row r="2541" spans="1:6" x14ac:dyDescent="0.25">
      <c r="A2541" t="s">
        <v>1886</v>
      </c>
      <c r="B2541" t="s">
        <v>1887</v>
      </c>
      <c r="C2541" t="s">
        <v>673</v>
      </c>
      <c r="D2541" t="s">
        <v>247</v>
      </c>
      <c r="E2541" t="str">
        <f>INDEX('State Codes'!$E$7:$E$70,MATCH(INDEX('State Codes'!$C$7:$C$70,MATCH('County Climates'!B2541,'State Codes'!$D$7:$D$70,0),1),'State Codes'!$C$7:$C$70,0),1)</f>
        <v>South Atlantic Division</v>
      </c>
      <c r="F2541">
        <f>INDEX('CBECS_Table B5'!$C$6:$K$6,1,MATCH('County Climates'!E2541,'CBECS_Table B5'!$C$1:$K$1,0))</f>
        <v>17981</v>
      </c>
    </row>
    <row r="2542" spans="1:6" x14ac:dyDescent="0.25">
      <c r="A2542" t="s">
        <v>1886</v>
      </c>
      <c r="B2542" t="s">
        <v>1887</v>
      </c>
      <c r="C2542" t="s">
        <v>1918</v>
      </c>
      <c r="D2542" t="s">
        <v>247</v>
      </c>
      <c r="E2542" t="str">
        <f>INDEX('State Codes'!$E$7:$E$70,MATCH(INDEX('State Codes'!$C$7:$C$70,MATCH('County Climates'!B2542,'State Codes'!$D$7:$D$70,0),1),'State Codes'!$C$7:$C$70,0),1)</f>
        <v>South Atlantic Division</v>
      </c>
      <c r="F2542">
        <f>INDEX('CBECS_Table B5'!$C$6:$K$6,1,MATCH('County Climates'!E2542,'CBECS_Table B5'!$C$1:$K$1,0))</f>
        <v>17981</v>
      </c>
    </row>
    <row r="2543" spans="1:6" x14ac:dyDescent="0.25">
      <c r="A2543" t="s">
        <v>1886</v>
      </c>
      <c r="B2543" t="s">
        <v>1887</v>
      </c>
      <c r="C2543" t="s">
        <v>1919</v>
      </c>
      <c r="D2543" t="s">
        <v>247</v>
      </c>
      <c r="E2543" t="str">
        <f>INDEX('State Codes'!$E$7:$E$70,MATCH(INDEX('State Codes'!$C$7:$C$70,MATCH('County Climates'!B2543,'State Codes'!$D$7:$D$70,0),1),'State Codes'!$C$7:$C$70,0),1)</f>
        <v>South Atlantic Division</v>
      </c>
      <c r="F2543">
        <f>INDEX('CBECS_Table B5'!$C$6:$K$6,1,MATCH('County Climates'!E2543,'CBECS_Table B5'!$C$1:$K$1,0))</f>
        <v>17981</v>
      </c>
    </row>
    <row r="2544" spans="1:6" x14ac:dyDescent="0.25">
      <c r="A2544" t="s">
        <v>1886</v>
      </c>
      <c r="B2544" t="s">
        <v>1887</v>
      </c>
      <c r="C2544" t="s">
        <v>1149</v>
      </c>
      <c r="D2544" t="s">
        <v>247</v>
      </c>
      <c r="E2544" t="str">
        <f>INDEX('State Codes'!$E$7:$E$70,MATCH(INDEX('State Codes'!$C$7:$C$70,MATCH('County Climates'!B2544,'State Codes'!$D$7:$D$70,0),1),'State Codes'!$C$7:$C$70,0),1)</f>
        <v>South Atlantic Division</v>
      </c>
      <c r="F2544">
        <f>INDEX('CBECS_Table B5'!$C$6:$K$6,1,MATCH('County Climates'!E2544,'CBECS_Table B5'!$C$1:$K$1,0))</f>
        <v>17981</v>
      </c>
    </row>
    <row r="2545" spans="1:6" x14ac:dyDescent="0.25">
      <c r="A2545" t="s">
        <v>1886</v>
      </c>
      <c r="B2545" t="s">
        <v>1887</v>
      </c>
      <c r="C2545" t="s">
        <v>1920</v>
      </c>
      <c r="D2545" t="s">
        <v>247</v>
      </c>
      <c r="E2545" t="str">
        <f>INDEX('State Codes'!$E$7:$E$70,MATCH(INDEX('State Codes'!$C$7:$C$70,MATCH('County Climates'!B2545,'State Codes'!$D$7:$D$70,0),1),'State Codes'!$C$7:$C$70,0),1)</f>
        <v>South Atlantic Division</v>
      </c>
      <c r="F2545">
        <f>INDEX('CBECS_Table B5'!$C$6:$K$6,1,MATCH('County Climates'!E2545,'CBECS_Table B5'!$C$1:$K$1,0))</f>
        <v>17981</v>
      </c>
    </row>
    <row r="2546" spans="1:6" x14ac:dyDescent="0.25">
      <c r="A2546" t="s">
        <v>1886</v>
      </c>
      <c r="B2546" t="s">
        <v>1887</v>
      </c>
      <c r="C2546" t="s">
        <v>279</v>
      </c>
      <c r="D2546" t="s">
        <v>247</v>
      </c>
      <c r="E2546" t="str">
        <f>INDEX('State Codes'!$E$7:$E$70,MATCH(INDEX('State Codes'!$C$7:$C$70,MATCH('County Climates'!B2546,'State Codes'!$D$7:$D$70,0),1),'State Codes'!$C$7:$C$70,0),1)</f>
        <v>South Atlantic Division</v>
      </c>
      <c r="F2546">
        <f>INDEX('CBECS_Table B5'!$C$6:$K$6,1,MATCH('County Climates'!E2546,'CBECS_Table B5'!$C$1:$K$1,0))</f>
        <v>17981</v>
      </c>
    </row>
    <row r="2547" spans="1:6" x14ac:dyDescent="0.25">
      <c r="A2547" t="s">
        <v>1886</v>
      </c>
      <c r="B2547" t="s">
        <v>1887</v>
      </c>
      <c r="C2547" t="s">
        <v>1921</v>
      </c>
      <c r="D2547" t="s">
        <v>247</v>
      </c>
      <c r="E2547" t="str">
        <f>INDEX('State Codes'!$E$7:$E$70,MATCH(INDEX('State Codes'!$C$7:$C$70,MATCH('County Climates'!B2547,'State Codes'!$D$7:$D$70,0),1),'State Codes'!$C$7:$C$70,0),1)</f>
        <v>South Atlantic Division</v>
      </c>
      <c r="F2547">
        <f>INDEX('CBECS_Table B5'!$C$6:$K$6,1,MATCH('County Climates'!E2547,'CBECS_Table B5'!$C$1:$K$1,0))</f>
        <v>17981</v>
      </c>
    </row>
    <row r="2548" spans="1:6" x14ac:dyDescent="0.25">
      <c r="A2548" t="s">
        <v>1886</v>
      </c>
      <c r="B2548" t="s">
        <v>1887</v>
      </c>
      <c r="C2548" t="s">
        <v>617</v>
      </c>
      <c r="D2548" t="s">
        <v>247</v>
      </c>
      <c r="E2548" t="str">
        <f>INDEX('State Codes'!$E$7:$E$70,MATCH(INDEX('State Codes'!$C$7:$C$70,MATCH('County Climates'!B2548,'State Codes'!$D$7:$D$70,0),1),'State Codes'!$C$7:$C$70,0),1)</f>
        <v>South Atlantic Division</v>
      </c>
      <c r="F2548">
        <f>INDEX('CBECS_Table B5'!$C$6:$K$6,1,MATCH('County Climates'!E2548,'CBECS_Table B5'!$C$1:$K$1,0))</f>
        <v>17981</v>
      </c>
    </row>
    <row r="2549" spans="1:6" x14ac:dyDescent="0.25">
      <c r="A2549" t="s">
        <v>1886</v>
      </c>
      <c r="B2549" t="s">
        <v>1887</v>
      </c>
      <c r="C2549" t="s">
        <v>284</v>
      </c>
      <c r="D2549" t="s">
        <v>247</v>
      </c>
      <c r="E2549" t="str">
        <f>INDEX('State Codes'!$E$7:$E$70,MATCH(INDEX('State Codes'!$C$7:$C$70,MATCH('County Climates'!B2549,'State Codes'!$D$7:$D$70,0),1),'State Codes'!$C$7:$C$70,0),1)</f>
        <v>South Atlantic Division</v>
      </c>
      <c r="F2549">
        <f>INDEX('CBECS_Table B5'!$C$6:$K$6,1,MATCH('County Climates'!E2549,'CBECS_Table B5'!$C$1:$K$1,0))</f>
        <v>17981</v>
      </c>
    </row>
    <row r="2550" spans="1:6" x14ac:dyDescent="0.25">
      <c r="A2550" t="s">
        <v>1886</v>
      </c>
      <c r="B2550" t="s">
        <v>1887</v>
      </c>
      <c r="C2550" t="s">
        <v>1922</v>
      </c>
      <c r="D2550" t="s">
        <v>247</v>
      </c>
      <c r="E2550" t="str">
        <f>INDEX('State Codes'!$E$7:$E$70,MATCH(INDEX('State Codes'!$C$7:$C$70,MATCH('County Climates'!B2550,'State Codes'!$D$7:$D$70,0),1),'State Codes'!$C$7:$C$70,0),1)</f>
        <v>South Atlantic Division</v>
      </c>
      <c r="F2550">
        <f>INDEX('CBECS_Table B5'!$C$6:$K$6,1,MATCH('County Climates'!E2550,'CBECS_Table B5'!$C$1:$K$1,0))</f>
        <v>17981</v>
      </c>
    </row>
    <row r="2551" spans="1:6" x14ac:dyDescent="0.25">
      <c r="A2551" t="s">
        <v>1886</v>
      </c>
      <c r="B2551" t="s">
        <v>1887</v>
      </c>
      <c r="C2551" t="s">
        <v>324</v>
      </c>
      <c r="D2551" t="s">
        <v>247</v>
      </c>
      <c r="E2551" t="str">
        <f>INDEX('State Codes'!$E$7:$E$70,MATCH(INDEX('State Codes'!$C$7:$C$70,MATCH('County Climates'!B2551,'State Codes'!$D$7:$D$70,0),1),'State Codes'!$C$7:$C$70,0),1)</f>
        <v>South Atlantic Division</v>
      </c>
      <c r="F2551">
        <f>INDEX('CBECS_Table B5'!$C$6:$K$6,1,MATCH('County Climates'!E2551,'CBECS_Table B5'!$C$1:$K$1,0))</f>
        <v>17981</v>
      </c>
    </row>
    <row r="2552" spans="1:6" x14ac:dyDescent="0.25">
      <c r="A2552" t="s">
        <v>1886</v>
      </c>
      <c r="B2552" t="s">
        <v>1887</v>
      </c>
      <c r="C2552" t="s">
        <v>287</v>
      </c>
      <c r="D2552" t="s">
        <v>247</v>
      </c>
      <c r="E2552" t="str">
        <f>INDEX('State Codes'!$E$7:$E$70,MATCH(INDEX('State Codes'!$C$7:$C$70,MATCH('County Climates'!B2552,'State Codes'!$D$7:$D$70,0),1),'State Codes'!$C$7:$C$70,0),1)</f>
        <v>South Atlantic Division</v>
      </c>
      <c r="F2552">
        <f>INDEX('CBECS_Table B5'!$C$6:$K$6,1,MATCH('County Climates'!E2552,'CBECS_Table B5'!$C$1:$K$1,0))</f>
        <v>17981</v>
      </c>
    </row>
    <row r="2553" spans="1:6" x14ac:dyDescent="0.25">
      <c r="A2553" t="s">
        <v>1886</v>
      </c>
      <c r="B2553" t="s">
        <v>1887</v>
      </c>
      <c r="C2553" t="s">
        <v>288</v>
      </c>
      <c r="D2553" t="s">
        <v>247</v>
      </c>
      <c r="E2553" t="str">
        <f>INDEX('State Codes'!$E$7:$E$70,MATCH(INDEX('State Codes'!$C$7:$C$70,MATCH('County Climates'!B2553,'State Codes'!$D$7:$D$70,0),1),'State Codes'!$C$7:$C$70,0),1)</f>
        <v>South Atlantic Division</v>
      </c>
      <c r="F2553">
        <f>INDEX('CBECS_Table B5'!$C$6:$K$6,1,MATCH('County Climates'!E2553,'CBECS_Table B5'!$C$1:$K$1,0))</f>
        <v>17981</v>
      </c>
    </row>
    <row r="2554" spans="1:6" x14ac:dyDescent="0.25">
      <c r="A2554" t="s">
        <v>1886</v>
      </c>
      <c r="B2554" t="s">
        <v>1887</v>
      </c>
      <c r="C2554" t="s">
        <v>686</v>
      </c>
      <c r="D2554" t="s">
        <v>247</v>
      </c>
      <c r="E2554" t="str">
        <f>INDEX('State Codes'!$E$7:$E$70,MATCH(INDEX('State Codes'!$C$7:$C$70,MATCH('County Climates'!B2554,'State Codes'!$D$7:$D$70,0),1),'State Codes'!$C$7:$C$70,0),1)</f>
        <v>South Atlantic Division</v>
      </c>
      <c r="F2554">
        <f>INDEX('CBECS_Table B5'!$C$6:$K$6,1,MATCH('County Climates'!E2554,'CBECS_Table B5'!$C$1:$K$1,0))</f>
        <v>17981</v>
      </c>
    </row>
    <row r="2555" spans="1:6" x14ac:dyDescent="0.25">
      <c r="A2555" t="s">
        <v>1886</v>
      </c>
      <c r="B2555" t="s">
        <v>1887</v>
      </c>
      <c r="C2555" t="s">
        <v>1346</v>
      </c>
      <c r="D2555" t="s">
        <v>247</v>
      </c>
      <c r="E2555" t="str">
        <f>INDEX('State Codes'!$E$7:$E$70,MATCH(INDEX('State Codes'!$C$7:$C$70,MATCH('County Climates'!B2555,'State Codes'!$D$7:$D$70,0),1),'State Codes'!$C$7:$C$70,0),1)</f>
        <v>South Atlantic Division</v>
      </c>
      <c r="F2555">
        <f>INDEX('CBECS_Table B5'!$C$6:$K$6,1,MATCH('County Climates'!E2555,'CBECS_Table B5'!$C$1:$K$1,0))</f>
        <v>17981</v>
      </c>
    </row>
    <row r="2556" spans="1:6" x14ac:dyDescent="0.25">
      <c r="A2556" t="s">
        <v>1886</v>
      </c>
      <c r="B2556" t="s">
        <v>1887</v>
      </c>
      <c r="C2556" t="s">
        <v>1312</v>
      </c>
      <c r="D2556" t="s">
        <v>247</v>
      </c>
      <c r="E2556" t="str">
        <f>INDEX('State Codes'!$E$7:$E$70,MATCH(INDEX('State Codes'!$C$7:$C$70,MATCH('County Climates'!B2556,'State Codes'!$D$7:$D$70,0),1),'State Codes'!$C$7:$C$70,0),1)</f>
        <v>South Atlantic Division</v>
      </c>
      <c r="F2556">
        <f>INDEX('CBECS_Table B5'!$C$6:$K$6,1,MATCH('County Climates'!E2556,'CBECS_Table B5'!$C$1:$K$1,0))</f>
        <v>17981</v>
      </c>
    </row>
    <row r="2557" spans="1:6" x14ac:dyDescent="0.25">
      <c r="A2557" t="s">
        <v>1923</v>
      </c>
      <c r="B2557" t="s">
        <v>1924</v>
      </c>
      <c r="C2557" t="s">
        <v>1544</v>
      </c>
      <c r="D2557" t="s">
        <v>228</v>
      </c>
      <c r="E2557" t="str">
        <f>INDEX('State Codes'!$E$7:$E$70,MATCH(INDEX('State Codes'!$C$7:$C$70,MATCH('County Climates'!B2557,'State Codes'!$D$7:$D$70,0),1),'State Codes'!$C$7:$C$70,0),1)</f>
        <v>West North Central Division</v>
      </c>
      <c r="F2557">
        <f>INDEX('CBECS_Table B5'!$C$6:$K$6,1,MATCH('County Climates'!E2557,'CBECS_Table B5'!$C$1:$K$1,0))</f>
        <v>6178</v>
      </c>
    </row>
    <row r="2558" spans="1:6" x14ac:dyDescent="0.25">
      <c r="A2558" t="s">
        <v>1923</v>
      </c>
      <c r="B2558" t="s">
        <v>1924</v>
      </c>
      <c r="C2558" t="s">
        <v>1925</v>
      </c>
      <c r="D2558" t="s">
        <v>228</v>
      </c>
      <c r="E2558" t="str">
        <f>INDEX('State Codes'!$E$7:$E$70,MATCH(INDEX('State Codes'!$C$7:$C$70,MATCH('County Climates'!B2558,'State Codes'!$D$7:$D$70,0),1),'State Codes'!$C$7:$C$70,0),1)</f>
        <v>West North Central Division</v>
      </c>
      <c r="F2558">
        <f>INDEX('CBECS_Table B5'!$C$6:$K$6,1,MATCH('County Climates'!E2558,'CBECS_Table B5'!$C$1:$K$1,0))</f>
        <v>6178</v>
      </c>
    </row>
    <row r="2559" spans="1:6" x14ac:dyDescent="0.25">
      <c r="A2559" t="s">
        <v>1923</v>
      </c>
      <c r="B2559" t="s">
        <v>1924</v>
      </c>
      <c r="C2559" t="s">
        <v>549</v>
      </c>
      <c r="D2559" t="s">
        <v>229</v>
      </c>
      <c r="E2559" t="str">
        <f>INDEX('State Codes'!$E$7:$E$70,MATCH(INDEX('State Codes'!$C$7:$C$70,MATCH('County Climates'!B2559,'State Codes'!$D$7:$D$70,0),1),'State Codes'!$C$7:$C$70,0),1)</f>
        <v>West North Central Division</v>
      </c>
      <c r="F2559">
        <f>INDEX('CBECS_Table B5'!$C$6:$K$6,1,MATCH('County Climates'!E2559,'CBECS_Table B5'!$C$1:$K$1,0))</f>
        <v>6178</v>
      </c>
    </row>
    <row r="2560" spans="1:6" x14ac:dyDescent="0.25">
      <c r="A2560" t="s">
        <v>1923</v>
      </c>
      <c r="B2560" t="s">
        <v>1924</v>
      </c>
      <c r="C2560" t="s">
        <v>551</v>
      </c>
      <c r="D2560" t="s">
        <v>228</v>
      </c>
      <c r="E2560" t="str">
        <f>INDEX('State Codes'!$E$7:$E$70,MATCH(INDEX('State Codes'!$C$7:$C$70,MATCH('County Climates'!B2560,'State Codes'!$D$7:$D$70,0),1),'State Codes'!$C$7:$C$70,0),1)</f>
        <v>West North Central Division</v>
      </c>
      <c r="F2560">
        <f>INDEX('CBECS_Table B5'!$C$6:$K$6,1,MATCH('County Climates'!E2560,'CBECS_Table B5'!$C$1:$K$1,0))</f>
        <v>6178</v>
      </c>
    </row>
    <row r="2561" spans="1:6" x14ac:dyDescent="0.25">
      <c r="A2561" t="s">
        <v>1923</v>
      </c>
      <c r="B2561" t="s">
        <v>1924</v>
      </c>
      <c r="C2561" t="s">
        <v>651</v>
      </c>
      <c r="D2561" t="s">
        <v>228</v>
      </c>
      <c r="E2561" t="str">
        <f>INDEX('State Codes'!$E$7:$E$70,MATCH(INDEX('State Codes'!$C$7:$C$70,MATCH('County Climates'!B2561,'State Codes'!$D$7:$D$70,0),1),'State Codes'!$C$7:$C$70,0),1)</f>
        <v>West North Central Division</v>
      </c>
      <c r="F2561">
        <f>INDEX('CBECS_Table B5'!$C$6:$K$6,1,MATCH('County Climates'!E2561,'CBECS_Table B5'!$C$1:$K$1,0))</f>
        <v>6178</v>
      </c>
    </row>
    <row r="2562" spans="1:6" x14ac:dyDescent="0.25">
      <c r="A2562" t="s">
        <v>1923</v>
      </c>
      <c r="B2562" t="s">
        <v>1924</v>
      </c>
      <c r="C2562" t="s">
        <v>1926</v>
      </c>
      <c r="D2562" t="s">
        <v>229</v>
      </c>
      <c r="E2562" t="str">
        <f>INDEX('State Codes'!$E$7:$E$70,MATCH(INDEX('State Codes'!$C$7:$C$70,MATCH('County Climates'!B2562,'State Codes'!$D$7:$D$70,0),1),'State Codes'!$C$7:$C$70,0),1)</f>
        <v>West North Central Division</v>
      </c>
      <c r="F2562">
        <f>INDEX('CBECS_Table B5'!$C$6:$K$6,1,MATCH('County Climates'!E2562,'CBECS_Table B5'!$C$1:$K$1,0))</f>
        <v>6178</v>
      </c>
    </row>
    <row r="2563" spans="1:6" x14ac:dyDescent="0.25">
      <c r="A2563" t="s">
        <v>1923</v>
      </c>
      <c r="B2563" t="s">
        <v>1924</v>
      </c>
      <c r="C2563" t="s">
        <v>692</v>
      </c>
      <c r="D2563" t="s">
        <v>229</v>
      </c>
      <c r="E2563" t="str">
        <f>INDEX('State Codes'!$E$7:$E$70,MATCH(INDEX('State Codes'!$C$7:$C$70,MATCH('County Climates'!B2563,'State Codes'!$D$7:$D$70,0),1),'State Codes'!$C$7:$C$70,0),1)</f>
        <v>West North Central Division</v>
      </c>
      <c r="F2563">
        <f>INDEX('CBECS_Table B5'!$C$6:$K$6,1,MATCH('County Climates'!E2563,'CBECS_Table B5'!$C$1:$K$1,0))</f>
        <v>6178</v>
      </c>
    </row>
    <row r="2564" spans="1:6" x14ac:dyDescent="0.25">
      <c r="A2564" t="s">
        <v>1923</v>
      </c>
      <c r="B2564" t="s">
        <v>1924</v>
      </c>
      <c r="C2564" t="s">
        <v>1927</v>
      </c>
      <c r="D2564" t="s">
        <v>228</v>
      </c>
      <c r="E2564" t="str">
        <f>INDEX('State Codes'!$E$7:$E$70,MATCH(INDEX('State Codes'!$C$7:$C$70,MATCH('County Climates'!B2564,'State Codes'!$D$7:$D$70,0),1),'State Codes'!$C$7:$C$70,0),1)</f>
        <v>West North Central Division</v>
      </c>
      <c r="F2564">
        <f>INDEX('CBECS_Table B5'!$C$6:$K$6,1,MATCH('County Climates'!E2564,'CBECS_Table B5'!$C$1:$K$1,0))</f>
        <v>6178</v>
      </c>
    </row>
    <row r="2565" spans="1:6" x14ac:dyDescent="0.25">
      <c r="A2565" t="s">
        <v>1923</v>
      </c>
      <c r="B2565" t="s">
        <v>1924</v>
      </c>
      <c r="C2565" t="s">
        <v>1928</v>
      </c>
      <c r="D2565" t="s">
        <v>229</v>
      </c>
      <c r="E2565" t="str">
        <f>INDEX('State Codes'!$E$7:$E$70,MATCH(INDEX('State Codes'!$C$7:$C$70,MATCH('County Climates'!B2565,'State Codes'!$D$7:$D$70,0),1),'State Codes'!$C$7:$C$70,0),1)</f>
        <v>West North Central Division</v>
      </c>
      <c r="F2565">
        <f>INDEX('CBECS_Table B5'!$C$6:$K$6,1,MATCH('County Climates'!E2565,'CBECS_Table B5'!$C$1:$K$1,0))</f>
        <v>6178</v>
      </c>
    </row>
    <row r="2566" spans="1:6" x14ac:dyDescent="0.25">
      <c r="A2566" t="s">
        <v>1923</v>
      </c>
      <c r="B2566" t="s">
        <v>1924</v>
      </c>
      <c r="C2566" t="s">
        <v>913</v>
      </c>
      <c r="D2566" t="s">
        <v>229</v>
      </c>
      <c r="E2566" t="str">
        <f>INDEX('State Codes'!$E$7:$E$70,MATCH(INDEX('State Codes'!$C$7:$C$70,MATCH('County Climates'!B2566,'State Codes'!$D$7:$D$70,0),1),'State Codes'!$C$7:$C$70,0),1)</f>
        <v>West North Central Division</v>
      </c>
      <c r="F2566">
        <f>INDEX('CBECS_Table B5'!$C$6:$K$6,1,MATCH('County Climates'!E2566,'CBECS_Table B5'!$C$1:$K$1,0))</f>
        <v>6178</v>
      </c>
    </row>
    <row r="2567" spans="1:6" x14ac:dyDescent="0.25">
      <c r="A2567" t="s">
        <v>1923</v>
      </c>
      <c r="B2567" t="s">
        <v>1924</v>
      </c>
      <c r="C2567" t="s">
        <v>1752</v>
      </c>
      <c r="D2567" t="s">
        <v>229</v>
      </c>
      <c r="E2567" t="str">
        <f>INDEX('State Codes'!$E$7:$E$70,MATCH(INDEX('State Codes'!$C$7:$C$70,MATCH('County Climates'!B2567,'State Codes'!$D$7:$D$70,0),1),'State Codes'!$C$7:$C$70,0),1)</f>
        <v>West North Central Division</v>
      </c>
      <c r="F2567">
        <f>INDEX('CBECS_Table B5'!$C$6:$K$6,1,MATCH('County Climates'!E2567,'CBECS_Table B5'!$C$1:$K$1,0))</f>
        <v>6178</v>
      </c>
    </row>
    <row r="2568" spans="1:6" x14ac:dyDescent="0.25">
      <c r="A2568" t="s">
        <v>1923</v>
      </c>
      <c r="B2568" t="s">
        <v>1924</v>
      </c>
      <c r="C2568" t="s">
        <v>1929</v>
      </c>
      <c r="D2568" t="s">
        <v>228</v>
      </c>
      <c r="E2568" t="str">
        <f>INDEX('State Codes'!$E$7:$E$70,MATCH(INDEX('State Codes'!$C$7:$C$70,MATCH('County Climates'!B2568,'State Codes'!$D$7:$D$70,0),1),'State Codes'!$C$7:$C$70,0),1)</f>
        <v>West North Central Division</v>
      </c>
      <c r="F2568">
        <f>INDEX('CBECS_Table B5'!$C$6:$K$6,1,MATCH('County Climates'!E2568,'CBECS_Table B5'!$C$1:$K$1,0))</f>
        <v>6178</v>
      </c>
    </row>
    <row r="2569" spans="1:6" x14ac:dyDescent="0.25">
      <c r="A2569" t="s">
        <v>1923</v>
      </c>
      <c r="B2569" t="s">
        <v>1924</v>
      </c>
      <c r="C2569" t="s">
        <v>1755</v>
      </c>
      <c r="D2569" t="s">
        <v>229</v>
      </c>
      <c r="E2569" t="str">
        <f>INDEX('State Codes'!$E$7:$E$70,MATCH(INDEX('State Codes'!$C$7:$C$70,MATCH('County Climates'!B2569,'State Codes'!$D$7:$D$70,0),1),'State Codes'!$C$7:$C$70,0),1)</f>
        <v>West North Central Division</v>
      </c>
      <c r="F2569">
        <f>INDEX('CBECS_Table B5'!$C$6:$K$6,1,MATCH('County Climates'!E2569,'CBECS_Table B5'!$C$1:$K$1,0))</f>
        <v>6178</v>
      </c>
    </row>
    <row r="2570" spans="1:6" x14ac:dyDescent="0.25">
      <c r="A2570" t="s">
        <v>1923</v>
      </c>
      <c r="B2570" t="s">
        <v>1924</v>
      </c>
      <c r="C2570" t="s">
        <v>557</v>
      </c>
      <c r="D2570" t="s">
        <v>228</v>
      </c>
      <c r="E2570" t="str">
        <f>INDEX('State Codes'!$E$7:$E$70,MATCH(INDEX('State Codes'!$C$7:$C$70,MATCH('County Climates'!B2570,'State Codes'!$D$7:$D$70,0),1),'State Codes'!$C$7:$C$70,0),1)</f>
        <v>West North Central Division</v>
      </c>
      <c r="F2570">
        <f>INDEX('CBECS_Table B5'!$C$6:$K$6,1,MATCH('County Climates'!E2570,'CBECS_Table B5'!$C$1:$K$1,0))</f>
        <v>6178</v>
      </c>
    </row>
    <row r="2571" spans="1:6" x14ac:dyDescent="0.25">
      <c r="A2571" t="s">
        <v>1923</v>
      </c>
      <c r="B2571" t="s">
        <v>1924</v>
      </c>
      <c r="C2571" t="s">
        <v>1930</v>
      </c>
      <c r="D2571" t="s">
        <v>229</v>
      </c>
      <c r="E2571" t="str">
        <f>INDEX('State Codes'!$E$7:$E$70,MATCH(INDEX('State Codes'!$C$7:$C$70,MATCH('County Climates'!B2571,'State Codes'!$D$7:$D$70,0),1),'State Codes'!$C$7:$C$70,0),1)</f>
        <v>West North Central Division</v>
      </c>
      <c r="F2571">
        <f>INDEX('CBECS_Table B5'!$C$6:$K$6,1,MATCH('County Climates'!E2571,'CBECS_Table B5'!$C$1:$K$1,0))</f>
        <v>6178</v>
      </c>
    </row>
    <row r="2572" spans="1:6" x14ac:dyDescent="0.25">
      <c r="A2572" t="s">
        <v>1923</v>
      </c>
      <c r="B2572" t="s">
        <v>1924</v>
      </c>
      <c r="C2572" t="s">
        <v>1931</v>
      </c>
      <c r="D2572" t="s">
        <v>228</v>
      </c>
      <c r="E2572" t="str">
        <f>INDEX('State Codes'!$E$7:$E$70,MATCH(INDEX('State Codes'!$C$7:$C$70,MATCH('County Climates'!B2572,'State Codes'!$D$7:$D$70,0),1),'State Codes'!$C$7:$C$70,0),1)</f>
        <v>West North Central Division</v>
      </c>
      <c r="F2572">
        <f>INDEX('CBECS_Table B5'!$C$6:$K$6,1,MATCH('County Climates'!E2572,'CBECS_Table B5'!$C$1:$K$1,0))</f>
        <v>6178</v>
      </c>
    </row>
    <row r="2573" spans="1:6" x14ac:dyDescent="0.25">
      <c r="A2573" t="s">
        <v>1923</v>
      </c>
      <c r="B2573" t="s">
        <v>1924</v>
      </c>
      <c r="C2573" t="s">
        <v>921</v>
      </c>
      <c r="D2573" t="s">
        <v>229</v>
      </c>
      <c r="E2573" t="str">
        <f>INDEX('State Codes'!$E$7:$E$70,MATCH(INDEX('State Codes'!$C$7:$C$70,MATCH('County Climates'!B2573,'State Codes'!$D$7:$D$70,0),1),'State Codes'!$C$7:$C$70,0),1)</f>
        <v>West North Central Division</v>
      </c>
      <c r="F2573">
        <f>INDEX('CBECS_Table B5'!$C$6:$K$6,1,MATCH('County Climates'!E2573,'CBECS_Table B5'!$C$1:$K$1,0))</f>
        <v>6178</v>
      </c>
    </row>
    <row r="2574" spans="1:6" x14ac:dyDescent="0.25">
      <c r="A2574" t="s">
        <v>1923</v>
      </c>
      <c r="B2574" t="s">
        <v>1924</v>
      </c>
      <c r="C2574" t="s">
        <v>923</v>
      </c>
      <c r="D2574" t="s">
        <v>228</v>
      </c>
      <c r="E2574" t="str">
        <f>INDEX('State Codes'!$E$7:$E$70,MATCH(INDEX('State Codes'!$C$7:$C$70,MATCH('County Climates'!B2574,'State Codes'!$D$7:$D$70,0),1),'State Codes'!$C$7:$C$70,0),1)</f>
        <v>West North Central Division</v>
      </c>
      <c r="F2574">
        <f>INDEX('CBECS_Table B5'!$C$6:$K$6,1,MATCH('County Climates'!E2574,'CBECS_Table B5'!$C$1:$K$1,0))</f>
        <v>6178</v>
      </c>
    </row>
    <row r="2575" spans="1:6" x14ac:dyDescent="0.25">
      <c r="A2575" t="s">
        <v>1923</v>
      </c>
      <c r="B2575" t="s">
        <v>1924</v>
      </c>
      <c r="C2575" t="s">
        <v>1932</v>
      </c>
      <c r="D2575" t="s">
        <v>228</v>
      </c>
      <c r="E2575" t="str">
        <f>INDEX('State Codes'!$E$7:$E$70,MATCH(INDEX('State Codes'!$C$7:$C$70,MATCH('County Climates'!B2575,'State Codes'!$D$7:$D$70,0),1),'State Codes'!$C$7:$C$70,0),1)</f>
        <v>West North Central Division</v>
      </c>
      <c r="F2575">
        <f>INDEX('CBECS_Table B5'!$C$6:$K$6,1,MATCH('County Climates'!E2575,'CBECS_Table B5'!$C$1:$K$1,0))</f>
        <v>6178</v>
      </c>
    </row>
    <row r="2576" spans="1:6" x14ac:dyDescent="0.25">
      <c r="A2576" t="s">
        <v>1923</v>
      </c>
      <c r="B2576" t="s">
        <v>1924</v>
      </c>
      <c r="C2576" t="s">
        <v>561</v>
      </c>
      <c r="D2576" t="s">
        <v>228</v>
      </c>
      <c r="E2576" t="str">
        <f>INDEX('State Codes'!$E$7:$E$70,MATCH(INDEX('State Codes'!$C$7:$C$70,MATCH('County Climates'!B2576,'State Codes'!$D$7:$D$70,0),1),'State Codes'!$C$7:$C$70,0),1)</f>
        <v>West North Central Division</v>
      </c>
      <c r="F2576">
        <f>INDEX('CBECS_Table B5'!$C$6:$K$6,1,MATCH('County Climates'!E2576,'CBECS_Table B5'!$C$1:$K$1,0))</f>
        <v>6178</v>
      </c>
    </row>
    <row r="2577" spans="1:6" x14ac:dyDescent="0.25">
      <c r="A2577" t="s">
        <v>1923</v>
      </c>
      <c r="B2577" t="s">
        <v>1924</v>
      </c>
      <c r="C2577" t="s">
        <v>1760</v>
      </c>
      <c r="D2577" t="s">
        <v>229</v>
      </c>
      <c r="E2577" t="str">
        <f>INDEX('State Codes'!$E$7:$E$70,MATCH(INDEX('State Codes'!$C$7:$C$70,MATCH('County Climates'!B2577,'State Codes'!$D$7:$D$70,0),1),'State Codes'!$C$7:$C$70,0),1)</f>
        <v>West North Central Division</v>
      </c>
      <c r="F2577">
        <f>INDEX('CBECS_Table B5'!$C$6:$K$6,1,MATCH('County Climates'!E2577,'CBECS_Table B5'!$C$1:$K$1,0))</f>
        <v>6178</v>
      </c>
    </row>
    <row r="2578" spans="1:6" x14ac:dyDescent="0.25">
      <c r="A2578" t="s">
        <v>1923</v>
      </c>
      <c r="B2578" t="s">
        <v>1924</v>
      </c>
      <c r="C2578" t="s">
        <v>1933</v>
      </c>
      <c r="D2578" t="s">
        <v>229</v>
      </c>
      <c r="E2578" t="str">
        <f>INDEX('State Codes'!$E$7:$E$70,MATCH(INDEX('State Codes'!$C$7:$C$70,MATCH('County Climates'!B2578,'State Codes'!$D$7:$D$70,0),1),'State Codes'!$C$7:$C$70,0),1)</f>
        <v>West North Central Division</v>
      </c>
      <c r="F2578">
        <f>INDEX('CBECS_Table B5'!$C$6:$K$6,1,MATCH('County Climates'!E2578,'CBECS_Table B5'!$C$1:$K$1,0))</f>
        <v>6178</v>
      </c>
    </row>
    <row r="2579" spans="1:6" x14ac:dyDescent="0.25">
      <c r="A2579" t="s">
        <v>1923</v>
      </c>
      <c r="B2579" t="s">
        <v>1924</v>
      </c>
      <c r="C2579" t="s">
        <v>1934</v>
      </c>
      <c r="D2579" t="s">
        <v>229</v>
      </c>
      <c r="E2579" t="str">
        <f>INDEX('State Codes'!$E$7:$E$70,MATCH(INDEX('State Codes'!$C$7:$C$70,MATCH('County Climates'!B2579,'State Codes'!$D$7:$D$70,0),1),'State Codes'!$C$7:$C$70,0),1)</f>
        <v>West North Central Division</v>
      </c>
      <c r="F2579">
        <f>INDEX('CBECS_Table B5'!$C$6:$K$6,1,MATCH('County Climates'!E2579,'CBECS_Table B5'!$C$1:$K$1,0))</f>
        <v>6178</v>
      </c>
    </row>
    <row r="2580" spans="1:6" x14ac:dyDescent="0.25">
      <c r="A2580" t="s">
        <v>1923</v>
      </c>
      <c r="B2580" t="s">
        <v>1924</v>
      </c>
      <c r="C2580" t="s">
        <v>1935</v>
      </c>
      <c r="D2580" t="s">
        <v>229</v>
      </c>
      <c r="E2580" t="str">
        <f>INDEX('State Codes'!$E$7:$E$70,MATCH(INDEX('State Codes'!$C$7:$C$70,MATCH('County Climates'!B2580,'State Codes'!$D$7:$D$70,0),1),'State Codes'!$C$7:$C$70,0),1)</f>
        <v>West North Central Division</v>
      </c>
      <c r="F2580">
        <f>INDEX('CBECS_Table B5'!$C$6:$K$6,1,MATCH('County Climates'!E2580,'CBECS_Table B5'!$C$1:$K$1,0))</f>
        <v>6178</v>
      </c>
    </row>
    <row r="2581" spans="1:6" x14ac:dyDescent="0.25">
      <c r="A2581" t="s">
        <v>1923</v>
      </c>
      <c r="B2581" t="s">
        <v>1924</v>
      </c>
      <c r="C2581" t="s">
        <v>1936</v>
      </c>
      <c r="D2581" t="s">
        <v>229</v>
      </c>
      <c r="E2581" t="str">
        <f>INDEX('State Codes'!$E$7:$E$70,MATCH(INDEX('State Codes'!$C$7:$C$70,MATCH('County Climates'!B2581,'State Codes'!$D$7:$D$70,0),1),'State Codes'!$C$7:$C$70,0),1)</f>
        <v>West North Central Division</v>
      </c>
      <c r="F2581">
        <f>INDEX('CBECS_Table B5'!$C$6:$K$6,1,MATCH('County Climates'!E2581,'CBECS_Table B5'!$C$1:$K$1,0))</f>
        <v>6178</v>
      </c>
    </row>
    <row r="2582" spans="1:6" x14ac:dyDescent="0.25">
      <c r="A2582" t="s">
        <v>1923</v>
      </c>
      <c r="B2582" t="s">
        <v>1924</v>
      </c>
      <c r="C2582" t="s">
        <v>1252</v>
      </c>
      <c r="D2582" t="s">
        <v>229</v>
      </c>
      <c r="E2582" t="str">
        <f>INDEX('State Codes'!$E$7:$E$70,MATCH(INDEX('State Codes'!$C$7:$C$70,MATCH('County Climates'!B2582,'State Codes'!$D$7:$D$70,0),1),'State Codes'!$C$7:$C$70,0),1)</f>
        <v>West North Central Division</v>
      </c>
      <c r="F2582">
        <f>INDEX('CBECS_Table B5'!$C$6:$K$6,1,MATCH('County Climates'!E2582,'CBECS_Table B5'!$C$1:$K$1,0))</f>
        <v>6178</v>
      </c>
    </row>
    <row r="2583" spans="1:6" x14ac:dyDescent="0.25">
      <c r="A2583" t="s">
        <v>1923</v>
      </c>
      <c r="B2583" t="s">
        <v>1924</v>
      </c>
      <c r="C2583" t="s">
        <v>587</v>
      </c>
      <c r="D2583" t="s">
        <v>229</v>
      </c>
      <c r="E2583" t="str">
        <f>INDEX('State Codes'!$E$7:$E$70,MATCH(INDEX('State Codes'!$C$7:$C$70,MATCH('County Climates'!B2583,'State Codes'!$D$7:$D$70,0),1),'State Codes'!$C$7:$C$70,0),1)</f>
        <v>West North Central Division</v>
      </c>
      <c r="F2583">
        <f>INDEX('CBECS_Table B5'!$C$6:$K$6,1,MATCH('County Climates'!E2583,'CBECS_Table B5'!$C$1:$K$1,0))</f>
        <v>6178</v>
      </c>
    </row>
    <row r="2584" spans="1:6" x14ac:dyDescent="0.25">
      <c r="A2584" t="s">
        <v>1923</v>
      </c>
      <c r="B2584" t="s">
        <v>1924</v>
      </c>
      <c r="C2584" t="s">
        <v>1056</v>
      </c>
      <c r="D2584" t="s">
        <v>229</v>
      </c>
      <c r="E2584" t="str">
        <f>INDEX('State Codes'!$E$7:$E$70,MATCH(INDEX('State Codes'!$C$7:$C$70,MATCH('County Climates'!B2584,'State Codes'!$D$7:$D$70,0),1),'State Codes'!$C$7:$C$70,0),1)</f>
        <v>West North Central Division</v>
      </c>
      <c r="F2584">
        <f>INDEX('CBECS_Table B5'!$C$6:$K$6,1,MATCH('County Climates'!E2584,'CBECS_Table B5'!$C$1:$K$1,0))</f>
        <v>6178</v>
      </c>
    </row>
    <row r="2585" spans="1:6" x14ac:dyDescent="0.25">
      <c r="A2585" t="s">
        <v>1937</v>
      </c>
      <c r="B2585" t="s">
        <v>694</v>
      </c>
      <c r="C2585" t="s">
        <v>516</v>
      </c>
      <c r="D2585" t="s">
        <v>247</v>
      </c>
      <c r="E2585" t="str">
        <f>INDEX('State Codes'!$E$7:$E$70,MATCH(INDEX('State Codes'!$C$7:$C$70,MATCH('County Climates'!B2585,'State Codes'!$D$7:$D$70,0),1),'State Codes'!$C$7:$C$70,0),1)</f>
        <v>East North Central Division</v>
      </c>
      <c r="F2585">
        <f>INDEX('CBECS_Table B5'!$C$6:$K$6,1,MATCH('County Climates'!E2585,'CBECS_Table B5'!$C$1:$K$1,0))</f>
        <v>12742</v>
      </c>
    </row>
    <row r="2586" spans="1:6" x14ac:dyDescent="0.25">
      <c r="A2586" t="s">
        <v>1937</v>
      </c>
      <c r="B2586" t="s">
        <v>694</v>
      </c>
      <c r="C2586" t="s">
        <v>573</v>
      </c>
      <c r="D2586" t="s">
        <v>228</v>
      </c>
      <c r="E2586" t="str">
        <f>INDEX('State Codes'!$E$7:$E$70,MATCH(INDEX('State Codes'!$C$7:$C$70,MATCH('County Climates'!B2586,'State Codes'!$D$7:$D$70,0),1),'State Codes'!$C$7:$C$70,0),1)</f>
        <v>East North Central Division</v>
      </c>
      <c r="F2586">
        <f>INDEX('CBECS_Table B5'!$C$6:$K$6,1,MATCH('County Climates'!E2586,'CBECS_Table B5'!$C$1:$K$1,0))</f>
        <v>12742</v>
      </c>
    </row>
    <row r="2587" spans="1:6" x14ac:dyDescent="0.25">
      <c r="A2587" t="s">
        <v>1937</v>
      </c>
      <c r="B2587" t="s">
        <v>694</v>
      </c>
      <c r="C2587" t="s">
        <v>1361</v>
      </c>
      <c r="D2587" t="s">
        <v>228</v>
      </c>
      <c r="E2587" t="str">
        <f>INDEX('State Codes'!$E$7:$E$70,MATCH(INDEX('State Codes'!$C$7:$C$70,MATCH('County Climates'!B2587,'State Codes'!$D$7:$D$70,0),1),'State Codes'!$C$7:$C$70,0),1)</f>
        <v>East North Central Division</v>
      </c>
      <c r="F2587">
        <f>INDEX('CBECS_Table B5'!$C$6:$K$6,1,MATCH('County Climates'!E2587,'CBECS_Table B5'!$C$1:$K$1,0))</f>
        <v>12742</v>
      </c>
    </row>
    <row r="2588" spans="1:6" x14ac:dyDescent="0.25">
      <c r="A2588" t="s">
        <v>1937</v>
      </c>
      <c r="B2588" t="s">
        <v>694</v>
      </c>
      <c r="C2588" t="s">
        <v>1938</v>
      </c>
      <c r="D2588" t="s">
        <v>228</v>
      </c>
      <c r="E2588" t="str">
        <f>INDEX('State Codes'!$E$7:$E$70,MATCH(INDEX('State Codes'!$C$7:$C$70,MATCH('County Climates'!B2588,'State Codes'!$D$7:$D$70,0),1),'State Codes'!$C$7:$C$70,0),1)</f>
        <v>East North Central Division</v>
      </c>
      <c r="F2588">
        <f>INDEX('CBECS_Table B5'!$C$6:$K$6,1,MATCH('County Climates'!E2588,'CBECS_Table B5'!$C$1:$K$1,0))</f>
        <v>12742</v>
      </c>
    </row>
    <row r="2589" spans="1:6" x14ac:dyDescent="0.25">
      <c r="A2589" t="s">
        <v>1937</v>
      </c>
      <c r="B2589" t="s">
        <v>694</v>
      </c>
      <c r="C2589" t="s">
        <v>1939</v>
      </c>
      <c r="D2589" t="s">
        <v>228</v>
      </c>
      <c r="E2589" t="str">
        <f>INDEX('State Codes'!$E$7:$E$70,MATCH(INDEX('State Codes'!$C$7:$C$70,MATCH('County Climates'!B2589,'State Codes'!$D$7:$D$70,0),1),'State Codes'!$C$7:$C$70,0),1)</f>
        <v>East North Central Division</v>
      </c>
      <c r="F2589">
        <f>INDEX('CBECS_Table B5'!$C$6:$K$6,1,MATCH('County Climates'!E2589,'CBECS_Table B5'!$C$1:$K$1,0))</f>
        <v>12742</v>
      </c>
    </row>
    <row r="2590" spans="1:6" x14ac:dyDescent="0.25">
      <c r="A2590" t="s">
        <v>1937</v>
      </c>
      <c r="B2590" t="s">
        <v>694</v>
      </c>
      <c r="C2590" t="s">
        <v>1940</v>
      </c>
      <c r="D2590" t="s">
        <v>228</v>
      </c>
      <c r="E2590" t="str">
        <f>INDEX('State Codes'!$E$7:$E$70,MATCH(INDEX('State Codes'!$C$7:$C$70,MATCH('County Climates'!B2590,'State Codes'!$D$7:$D$70,0),1),'State Codes'!$C$7:$C$70,0),1)</f>
        <v>East North Central Division</v>
      </c>
      <c r="F2590">
        <f>INDEX('CBECS_Table B5'!$C$6:$K$6,1,MATCH('County Climates'!E2590,'CBECS_Table B5'!$C$1:$K$1,0))</f>
        <v>12742</v>
      </c>
    </row>
    <row r="2591" spans="1:6" x14ac:dyDescent="0.25">
      <c r="A2591" t="s">
        <v>1937</v>
      </c>
      <c r="B2591" t="s">
        <v>694</v>
      </c>
      <c r="C2591" t="s">
        <v>1941</v>
      </c>
      <c r="D2591" t="s">
        <v>228</v>
      </c>
      <c r="E2591" t="str">
        <f>INDEX('State Codes'!$E$7:$E$70,MATCH(INDEX('State Codes'!$C$7:$C$70,MATCH('County Climates'!B2591,'State Codes'!$D$7:$D$70,0),1),'State Codes'!$C$7:$C$70,0),1)</f>
        <v>East North Central Division</v>
      </c>
      <c r="F2591">
        <f>INDEX('CBECS_Table B5'!$C$6:$K$6,1,MATCH('County Climates'!E2591,'CBECS_Table B5'!$C$1:$K$1,0))</f>
        <v>12742</v>
      </c>
    </row>
    <row r="2592" spans="1:6" x14ac:dyDescent="0.25">
      <c r="A2592" t="s">
        <v>1937</v>
      </c>
      <c r="B2592" t="s">
        <v>694</v>
      </c>
      <c r="C2592" t="s">
        <v>578</v>
      </c>
      <c r="D2592" t="s">
        <v>247</v>
      </c>
      <c r="E2592" t="str">
        <f>INDEX('State Codes'!$E$7:$E$70,MATCH(INDEX('State Codes'!$C$7:$C$70,MATCH('County Climates'!B2592,'State Codes'!$D$7:$D$70,0),1),'State Codes'!$C$7:$C$70,0),1)</f>
        <v>East North Central Division</v>
      </c>
      <c r="F2592">
        <f>INDEX('CBECS_Table B5'!$C$6:$K$6,1,MATCH('County Climates'!E2592,'CBECS_Table B5'!$C$1:$K$1,0))</f>
        <v>12742</v>
      </c>
    </row>
    <row r="2593" spans="1:6" x14ac:dyDescent="0.25">
      <c r="A2593" t="s">
        <v>1937</v>
      </c>
      <c r="B2593" t="s">
        <v>694</v>
      </c>
      <c r="C2593" t="s">
        <v>250</v>
      </c>
      <c r="D2593" t="s">
        <v>228</v>
      </c>
      <c r="E2593" t="str">
        <f>INDEX('State Codes'!$E$7:$E$70,MATCH(INDEX('State Codes'!$C$7:$C$70,MATCH('County Climates'!B2593,'State Codes'!$D$7:$D$70,0),1),'State Codes'!$C$7:$C$70,0),1)</f>
        <v>East North Central Division</v>
      </c>
      <c r="F2593">
        <f>INDEX('CBECS_Table B5'!$C$6:$K$6,1,MATCH('County Climates'!E2593,'CBECS_Table B5'!$C$1:$K$1,0))</f>
        <v>12742</v>
      </c>
    </row>
    <row r="2594" spans="1:6" x14ac:dyDescent="0.25">
      <c r="A2594" t="s">
        <v>1937</v>
      </c>
      <c r="B2594" t="s">
        <v>694</v>
      </c>
      <c r="C2594" t="s">
        <v>447</v>
      </c>
      <c r="D2594" t="s">
        <v>228</v>
      </c>
      <c r="E2594" t="str">
        <f>INDEX('State Codes'!$E$7:$E$70,MATCH(INDEX('State Codes'!$C$7:$C$70,MATCH('County Climates'!B2594,'State Codes'!$D$7:$D$70,0),1),'State Codes'!$C$7:$C$70,0),1)</f>
        <v>East North Central Division</v>
      </c>
      <c r="F2594">
        <f>INDEX('CBECS_Table B5'!$C$6:$K$6,1,MATCH('County Climates'!E2594,'CBECS_Table B5'!$C$1:$K$1,0))</f>
        <v>12742</v>
      </c>
    </row>
    <row r="2595" spans="1:6" x14ac:dyDescent="0.25">
      <c r="A2595" t="s">
        <v>1937</v>
      </c>
      <c r="B2595" t="s">
        <v>694</v>
      </c>
      <c r="C2595" t="s">
        <v>1568</v>
      </c>
      <c r="D2595" t="s">
        <v>228</v>
      </c>
      <c r="E2595" t="str">
        <f>INDEX('State Codes'!$E$7:$E$70,MATCH(INDEX('State Codes'!$C$7:$C$70,MATCH('County Climates'!B2595,'State Codes'!$D$7:$D$70,0),1),'State Codes'!$C$7:$C$70,0),1)</f>
        <v>East North Central Division</v>
      </c>
      <c r="F2595">
        <f>INDEX('CBECS_Table B5'!$C$6:$K$6,1,MATCH('County Climates'!E2595,'CBECS_Table B5'!$C$1:$K$1,0))</f>
        <v>12742</v>
      </c>
    </row>
    <row r="2596" spans="1:6" x14ac:dyDescent="0.25">
      <c r="A2596" t="s">
        <v>1937</v>
      </c>
      <c r="B2596" t="s">
        <v>694</v>
      </c>
      <c r="C2596" t="s">
        <v>530</v>
      </c>
      <c r="D2596" t="s">
        <v>228</v>
      </c>
      <c r="E2596" t="str">
        <f>INDEX('State Codes'!$E$7:$E$70,MATCH(INDEX('State Codes'!$C$7:$C$70,MATCH('County Climates'!B2596,'State Codes'!$D$7:$D$70,0),1),'State Codes'!$C$7:$C$70,0),1)</f>
        <v>East North Central Division</v>
      </c>
      <c r="F2596">
        <f>INDEX('CBECS_Table B5'!$C$6:$K$6,1,MATCH('County Climates'!E2596,'CBECS_Table B5'!$C$1:$K$1,0))</f>
        <v>12742</v>
      </c>
    </row>
    <row r="2597" spans="1:6" x14ac:dyDescent="0.25">
      <c r="A2597" t="s">
        <v>1937</v>
      </c>
      <c r="B2597" t="s">
        <v>694</v>
      </c>
      <c r="C2597" t="s">
        <v>1942</v>
      </c>
      <c r="D2597" t="s">
        <v>247</v>
      </c>
      <c r="E2597" t="str">
        <f>INDEX('State Codes'!$E$7:$E$70,MATCH(INDEX('State Codes'!$C$7:$C$70,MATCH('County Climates'!B2597,'State Codes'!$D$7:$D$70,0),1),'State Codes'!$C$7:$C$70,0),1)</f>
        <v>East North Central Division</v>
      </c>
      <c r="F2597">
        <f>INDEX('CBECS_Table B5'!$C$6:$K$6,1,MATCH('County Climates'!E2597,'CBECS_Table B5'!$C$1:$K$1,0))</f>
        <v>12742</v>
      </c>
    </row>
    <row r="2598" spans="1:6" x14ac:dyDescent="0.25">
      <c r="A2598" t="s">
        <v>1937</v>
      </c>
      <c r="B2598" t="s">
        <v>694</v>
      </c>
      <c r="C2598" t="s">
        <v>580</v>
      </c>
      <c r="D2598" t="s">
        <v>228</v>
      </c>
      <c r="E2598" t="str">
        <f>INDEX('State Codes'!$E$7:$E$70,MATCH(INDEX('State Codes'!$C$7:$C$70,MATCH('County Climates'!B2598,'State Codes'!$D$7:$D$70,0),1),'State Codes'!$C$7:$C$70,0),1)</f>
        <v>East North Central Division</v>
      </c>
      <c r="F2598">
        <f>INDEX('CBECS_Table B5'!$C$6:$K$6,1,MATCH('County Climates'!E2598,'CBECS_Table B5'!$C$1:$K$1,0))</f>
        <v>12742</v>
      </c>
    </row>
    <row r="2599" spans="1:6" x14ac:dyDescent="0.25">
      <c r="A2599" t="s">
        <v>1937</v>
      </c>
      <c r="B2599" t="s">
        <v>694</v>
      </c>
      <c r="C2599" t="s">
        <v>1943</v>
      </c>
      <c r="D2599" t="s">
        <v>228</v>
      </c>
      <c r="E2599" t="str">
        <f>INDEX('State Codes'!$E$7:$E$70,MATCH(INDEX('State Codes'!$C$7:$C$70,MATCH('County Climates'!B2599,'State Codes'!$D$7:$D$70,0),1),'State Codes'!$C$7:$C$70,0),1)</f>
        <v>East North Central Division</v>
      </c>
      <c r="F2599">
        <f>INDEX('CBECS_Table B5'!$C$6:$K$6,1,MATCH('County Climates'!E2599,'CBECS_Table B5'!$C$1:$K$1,0))</f>
        <v>12742</v>
      </c>
    </row>
    <row r="2600" spans="1:6" x14ac:dyDescent="0.25">
      <c r="A2600" t="s">
        <v>1937</v>
      </c>
      <c r="B2600" t="s">
        <v>694</v>
      </c>
      <c r="C2600" t="s">
        <v>1944</v>
      </c>
      <c r="D2600" t="s">
        <v>228</v>
      </c>
      <c r="E2600" t="str">
        <f>INDEX('State Codes'!$E$7:$E$70,MATCH(INDEX('State Codes'!$C$7:$C$70,MATCH('County Climates'!B2600,'State Codes'!$D$7:$D$70,0),1),'State Codes'!$C$7:$C$70,0),1)</f>
        <v>East North Central Division</v>
      </c>
      <c r="F2600">
        <f>INDEX('CBECS_Table B5'!$C$6:$K$6,1,MATCH('County Climates'!E2600,'CBECS_Table B5'!$C$1:$K$1,0))</f>
        <v>12742</v>
      </c>
    </row>
    <row r="2601" spans="1:6" x14ac:dyDescent="0.25">
      <c r="A2601" t="s">
        <v>1937</v>
      </c>
      <c r="B2601" t="s">
        <v>694</v>
      </c>
      <c r="C2601" t="s">
        <v>460</v>
      </c>
      <c r="D2601" t="s">
        <v>228</v>
      </c>
      <c r="E2601" t="str">
        <f>INDEX('State Codes'!$E$7:$E$70,MATCH(INDEX('State Codes'!$C$7:$C$70,MATCH('County Climates'!B2601,'State Codes'!$D$7:$D$70,0),1),'State Codes'!$C$7:$C$70,0),1)</f>
        <v>East North Central Division</v>
      </c>
      <c r="F2601">
        <f>INDEX('CBECS_Table B5'!$C$6:$K$6,1,MATCH('County Climates'!E2601,'CBECS_Table B5'!$C$1:$K$1,0))</f>
        <v>12742</v>
      </c>
    </row>
    <row r="2602" spans="1:6" x14ac:dyDescent="0.25">
      <c r="A2602" t="s">
        <v>1937</v>
      </c>
      <c r="B2602" t="s">
        <v>694</v>
      </c>
      <c r="C2602" t="s">
        <v>1945</v>
      </c>
      <c r="D2602" t="s">
        <v>228</v>
      </c>
      <c r="E2602" t="str">
        <f>INDEX('State Codes'!$E$7:$E$70,MATCH(INDEX('State Codes'!$C$7:$C$70,MATCH('County Climates'!B2602,'State Codes'!$D$7:$D$70,0),1),'State Codes'!$C$7:$C$70,0),1)</f>
        <v>East North Central Division</v>
      </c>
      <c r="F2602">
        <f>INDEX('CBECS_Table B5'!$C$6:$K$6,1,MATCH('County Climates'!E2602,'CBECS_Table B5'!$C$1:$K$1,0))</f>
        <v>12742</v>
      </c>
    </row>
    <row r="2603" spans="1:6" x14ac:dyDescent="0.25">
      <c r="A2603" t="s">
        <v>1937</v>
      </c>
      <c r="B2603" t="s">
        <v>694</v>
      </c>
      <c r="C2603" t="s">
        <v>1946</v>
      </c>
      <c r="D2603" t="s">
        <v>228</v>
      </c>
      <c r="E2603" t="str">
        <f>INDEX('State Codes'!$E$7:$E$70,MATCH(INDEX('State Codes'!$C$7:$C$70,MATCH('County Climates'!B2603,'State Codes'!$D$7:$D$70,0),1),'State Codes'!$C$7:$C$70,0),1)</f>
        <v>East North Central Division</v>
      </c>
      <c r="F2603">
        <f>INDEX('CBECS_Table B5'!$C$6:$K$6,1,MATCH('County Climates'!E2603,'CBECS_Table B5'!$C$1:$K$1,0))</f>
        <v>12742</v>
      </c>
    </row>
    <row r="2604" spans="1:6" x14ac:dyDescent="0.25">
      <c r="A2604" t="s">
        <v>1937</v>
      </c>
      <c r="B2604" t="s">
        <v>694</v>
      </c>
      <c r="C2604" t="s">
        <v>1947</v>
      </c>
      <c r="D2604" t="s">
        <v>228</v>
      </c>
      <c r="E2604" t="str">
        <f>INDEX('State Codes'!$E$7:$E$70,MATCH(INDEX('State Codes'!$C$7:$C$70,MATCH('County Climates'!B2604,'State Codes'!$D$7:$D$70,0),1),'State Codes'!$C$7:$C$70,0),1)</f>
        <v>East North Central Division</v>
      </c>
      <c r="F2604">
        <f>INDEX('CBECS_Table B5'!$C$6:$K$6,1,MATCH('County Climates'!E2604,'CBECS_Table B5'!$C$1:$K$1,0))</f>
        <v>12742</v>
      </c>
    </row>
    <row r="2605" spans="1:6" x14ac:dyDescent="0.25">
      <c r="A2605" t="s">
        <v>1937</v>
      </c>
      <c r="B2605" t="s">
        <v>694</v>
      </c>
      <c r="C2605" t="s">
        <v>584</v>
      </c>
      <c r="D2605" t="s">
        <v>228</v>
      </c>
      <c r="E2605" t="str">
        <f>INDEX('State Codes'!$E$7:$E$70,MATCH(INDEX('State Codes'!$C$7:$C$70,MATCH('County Climates'!B2605,'State Codes'!$D$7:$D$70,0),1),'State Codes'!$C$7:$C$70,0),1)</f>
        <v>East North Central Division</v>
      </c>
      <c r="F2605">
        <f>INDEX('CBECS_Table B5'!$C$6:$K$6,1,MATCH('County Climates'!E2605,'CBECS_Table B5'!$C$1:$K$1,0))</f>
        <v>12742</v>
      </c>
    </row>
    <row r="2606" spans="1:6" x14ac:dyDescent="0.25">
      <c r="A2606" t="s">
        <v>1937</v>
      </c>
      <c r="B2606" t="s">
        <v>694</v>
      </c>
      <c r="C2606" t="s">
        <v>956</v>
      </c>
      <c r="D2606" t="s">
        <v>228</v>
      </c>
      <c r="E2606" t="str">
        <f>INDEX('State Codes'!$E$7:$E$70,MATCH(INDEX('State Codes'!$C$7:$C$70,MATCH('County Climates'!B2606,'State Codes'!$D$7:$D$70,0),1),'State Codes'!$C$7:$C$70,0),1)</f>
        <v>East North Central Division</v>
      </c>
      <c r="F2606">
        <f>INDEX('CBECS_Table B5'!$C$6:$K$6,1,MATCH('County Climates'!E2606,'CBECS_Table B5'!$C$1:$K$1,0))</f>
        <v>12742</v>
      </c>
    </row>
    <row r="2607" spans="1:6" x14ac:dyDescent="0.25">
      <c r="A2607" t="s">
        <v>1937</v>
      </c>
      <c r="B2607" t="s">
        <v>694</v>
      </c>
      <c r="C2607" t="s">
        <v>410</v>
      </c>
      <c r="D2607" t="s">
        <v>228</v>
      </c>
      <c r="E2607" t="str">
        <f>INDEX('State Codes'!$E$7:$E$70,MATCH(INDEX('State Codes'!$C$7:$C$70,MATCH('County Climates'!B2607,'State Codes'!$D$7:$D$70,0),1),'State Codes'!$C$7:$C$70,0),1)</f>
        <v>East North Central Division</v>
      </c>
      <c r="F2607">
        <f>INDEX('CBECS_Table B5'!$C$6:$K$6,1,MATCH('County Climates'!E2607,'CBECS_Table B5'!$C$1:$K$1,0))</f>
        <v>12742</v>
      </c>
    </row>
    <row r="2608" spans="1:6" x14ac:dyDescent="0.25">
      <c r="A2608" t="s">
        <v>1937</v>
      </c>
      <c r="B2608" t="s">
        <v>694</v>
      </c>
      <c r="C2608" t="s">
        <v>272</v>
      </c>
      <c r="D2608" t="s">
        <v>228</v>
      </c>
      <c r="E2608" t="str">
        <f>INDEX('State Codes'!$E$7:$E$70,MATCH(INDEX('State Codes'!$C$7:$C$70,MATCH('County Climates'!B2608,'State Codes'!$D$7:$D$70,0),1),'State Codes'!$C$7:$C$70,0),1)</f>
        <v>East North Central Division</v>
      </c>
      <c r="F2608">
        <f>INDEX('CBECS_Table B5'!$C$6:$K$6,1,MATCH('County Climates'!E2608,'CBECS_Table B5'!$C$1:$K$1,0))</f>
        <v>12742</v>
      </c>
    </row>
    <row r="2609" spans="1:6" x14ac:dyDescent="0.25">
      <c r="A2609" t="s">
        <v>1937</v>
      </c>
      <c r="B2609" t="s">
        <v>694</v>
      </c>
      <c r="C2609" t="s">
        <v>273</v>
      </c>
      <c r="D2609" t="s">
        <v>228</v>
      </c>
      <c r="E2609" t="str">
        <f>INDEX('State Codes'!$E$7:$E$70,MATCH(INDEX('State Codes'!$C$7:$C$70,MATCH('County Climates'!B2609,'State Codes'!$D$7:$D$70,0),1),'State Codes'!$C$7:$C$70,0),1)</f>
        <v>East North Central Division</v>
      </c>
      <c r="F2609">
        <f>INDEX('CBECS_Table B5'!$C$6:$K$6,1,MATCH('County Climates'!E2609,'CBECS_Table B5'!$C$1:$K$1,0))</f>
        <v>12742</v>
      </c>
    </row>
    <row r="2610" spans="1:6" x14ac:dyDescent="0.25">
      <c r="A2610" t="s">
        <v>1937</v>
      </c>
      <c r="B2610" t="s">
        <v>694</v>
      </c>
      <c r="C2610" t="s">
        <v>314</v>
      </c>
      <c r="D2610" t="s">
        <v>228</v>
      </c>
      <c r="E2610" t="str">
        <f>INDEX('State Codes'!$E$7:$E$70,MATCH(INDEX('State Codes'!$C$7:$C$70,MATCH('County Climates'!B2610,'State Codes'!$D$7:$D$70,0),1),'State Codes'!$C$7:$C$70,0),1)</f>
        <v>East North Central Division</v>
      </c>
      <c r="F2610">
        <f>INDEX('CBECS_Table B5'!$C$6:$K$6,1,MATCH('County Climates'!E2610,'CBECS_Table B5'!$C$1:$K$1,0))</f>
        <v>12742</v>
      </c>
    </row>
    <row r="2611" spans="1:6" x14ac:dyDescent="0.25">
      <c r="A2611" t="s">
        <v>1937</v>
      </c>
      <c r="B2611" t="s">
        <v>694</v>
      </c>
      <c r="C2611" t="s">
        <v>1948</v>
      </c>
      <c r="D2611" t="s">
        <v>247</v>
      </c>
      <c r="E2611" t="str">
        <f>INDEX('State Codes'!$E$7:$E$70,MATCH(INDEX('State Codes'!$C$7:$C$70,MATCH('County Climates'!B2611,'State Codes'!$D$7:$D$70,0),1),'State Codes'!$C$7:$C$70,0),1)</f>
        <v>East North Central Division</v>
      </c>
      <c r="F2611">
        <f>INDEX('CBECS_Table B5'!$C$6:$K$6,1,MATCH('County Climates'!E2611,'CBECS_Table B5'!$C$1:$K$1,0))</f>
        <v>12742</v>
      </c>
    </row>
    <row r="2612" spans="1:6" x14ac:dyDescent="0.25">
      <c r="A2612" t="s">
        <v>1937</v>
      </c>
      <c r="B2612" t="s">
        <v>694</v>
      </c>
      <c r="C2612" t="s">
        <v>1949</v>
      </c>
      <c r="D2612" t="s">
        <v>228</v>
      </c>
      <c r="E2612" t="str">
        <f>INDEX('State Codes'!$E$7:$E$70,MATCH(INDEX('State Codes'!$C$7:$C$70,MATCH('County Climates'!B2612,'State Codes'!$D$7:$D$70,0),1),'State Codes'!$C$7:$C$70,0),1)</f>
        <v>East North Central Division</v>
      </c>
      <c r="F2612">
        <f>INDEX('CBECS_Table B5'!$C$6:$K$6,1,MATCH('County Climates'!E2612,'CBECS_Table B5'!$C$1:$K$1,0))</f>
        <v>12742</v>
      </c>
    </row>
    <row r="2613" spans="1:6" x14ac:dyDescent="0.25">
      <c r="A2613" t="s">
        <v>1937</v>
      </c>
      <c r="B2613" t="s">
        <v>694</v>
      </c>
      <c r="C2613" t="s">
        <v>275</v>
      </c>
      <c r="D2613" t="s">
        <v>228</v>
      </c>
      <c r="E2613" t="str">
        <f>INDEX('State Codes'!$E$7:$E$70,MATCH(INDEX('State Codes'!$C$7:$C$70,MATCH('County Climates'!B2613,'State Codes'!$D$7:$D$70,0),1),'State Codes'!$C$7:$C$70,0),1)</f>
        <v>East North Central Division</v>
      </c>
      <c r="F2613">
        <f>INDEX('CBECS_Table B5'!$C$6:$K$6,1,MATCH('County Climates'!E2613,'CBECS_Table B5'!$C$1:$K$1,0))</f>
        <v>12742</v>
      </c>
    </row>
    <row r="2614" spans="1:6" x14ac:dyDescent="0.25">
      <c r="A2614" t="s">
        <v>1937</v>
      </c>
      <c r="B2614" t="s">
        <v>694</v>
      </c>
      <c r="C2614" t="s">
        <v>1950</v>
      </c>
      <c r="D2614" t="s">
        <v>228</v>
      </c>
      <c r="E2614" t="str">
        <f>INDEX('State Codes'!$E$7:$E$70,MATCH(INDEX('State Codes'!$C$7:$C$70,MATCH('County Climates'!B2614,'State Codes'!$D$7:$D$70,0),1),'State Codes'!$C$7:$C$70,0),1)</f>
        <v>East North Central Division</v>
      </c>
      <c r="F2614">
        <f>INDEX('CBECS_Table B5'!$C$6:$K$6,1,MATCH('County Climates'!E2614,'CBECS_Table B5'!$C$1:$K$1,0))</f>
        <v>12742</v>
      </c>
    </row>
    <row r="2615" spans="1:6" x14ac:dyDescent="0.25">
      <c r="A2615" t="s">
        <v>1937</v>
      </c>
      <c r="B2615" t="s">
        <v>694</v>
      </c>
      <c r="C2615" t="s">
        <v>609</v>
      </c>
      <c r="D2615" t="s">
        <v>247</v>
      </c>
      <c r="E2615" t="str">
        <f>INDEX('State Codes'!$E$7:$E$70,MATCH(INDEX('State Codes'!$C$7:$C$70,MATCH('County Climates'!B2615,'State Codes'!$D$7:$D$70,0),1),'State Codes'!$C$7:$C$70,0),1)</f>
        <v>East North Central Division</v>
      </c>
      <c r="F2615">
        <f>INDEX('CBECS_Table B5'!$C$6:$K$6,1,MATCH('County Climates'!E2615,'CBECS_Table B5'!$C$1:$K$1,0))</f>
        <v>12742</v>
      </c>
    </row>
    <row r="2616" spans="1:6" x14ac:dyDescent="0.25">
      <c r="A2616" t="s">
        <v>1937</v>
      </c>
      <c r="B2616" t="s">
        <v>694</v>
      </c>
      <c r="C2616" t="s">
        <v>610</v>
      </c>
      <c r="D2616" t="s">
        <v>228</v>
      </c>
      <c r="E2616" t="str">
        <f>INDEX('State Codes'!$E$7:$E$70,MATCH(INDEX('State Codes'!$C$7:$C$70,MATCH('County Climates'!B2616,'State Codes'!$D$7:$D$70,0),1),'State Codes'!$C$7:$C$70,0),1)</f>
        <v>East North Central Division</v>
      </c>
      <c r="F2616">
        <f>INDEX('CBECS_Table B5'!$C$6:$K$6,1,MATCH('County Climates'!E2616,'CBECS_Table B5'!$C$1:$K$1,0))</f>
        <v>12742</v>
      </c>
    </row>
    <row r="2617" spans="1:6" x14ac:dyDescent="0.25">
      <c r="A2617" t="s">
        <v>1937</v>
      </c>
      <c r="B2617" t="s">
        <v>694</v>
      </c>
      <c r="C2617" t="s">
        <v>611</v>
      </c>
      <c r="D2617" t="s">
        <v>228</v>
      </c>
      <c r="E2617" t="str">
        <f>INDEX('State Codes'!$E$7:$E$70,MATCH(INDEX('State Codes'!$C$7:$C$70,MATCH('County Climates'!B2617,'State Codes'!$D$7:$D$70,0),1),'State Codes'!$C$7:$C$70,0),1)</f>
        <v>East North Central Division</v>
      </c>
      <c r="F2617">
        <f>INDEX('CBECS_Table B5'!$C$6:$K$6,1,MATCH('County Climates'!E2617,'CBECS_Table B5'!$C$1:$K$1,0))</f>
        <v>12742</v>
      </c>
    </row>
    <row r="2618" spans="1:6" x14ac:dyDescent="0.25">
      <c r="A2618" t="s">
        <v>1937</v>
      </c>
      <c r="B2618" t="s">
        <v>694</v>
      </c>
      <c r="C2618" t="s">
        <v>612</v>
      </c>
      <c r="D2618" t="s">
        <v>228</v>
      </c>
      <c r="E2618" t="str">
        <f>INDEX('State Codes'!$E$7:$E$70,MATCH(INDEX('State Codes'!$C$7:$C$70,MATCH('County Climates'!B2618,'State Codes'!$D$7:$D$70,0),1),'State Codes'!$C$7:$C$70,0),1)</f>
        <v>East North Central Division</v>
      </c>
      <c r="F2618">
        <f>INDEX('CBECS_Table B5'!$C$6:$K$6,1,MATCH('County Climates'!E2618,'CBECS_Table B5'!$C$1:$K$1,0))</f>
        <v>12742</v>
      </c>
    </row>
    <row r="2619" spans="1:6" x14ac:dyDescent="0.25">
      <c r="A2619" t="s">
        <v>1937</v>
      </c>
      <c r="B2619" t="s">
        <v>694</v>
      </c>
      <c r="C2619" t="s">
        <v>277</v>
      </c>
      <c r="D2619" t="s">
        <v>228</v>
      </c>
      <c r="E2619" t="str">
        <f>INDEX('State Codes'!$E$7:$E$70,MATCH(INDEX('State Codes'!$C$7:$C$70,MATCH('County Climates'!B2619,'State Codes'!$D$7:$D$70,0),1),'State Codes'!$C$7:$C$70,0),1)</f>
        <v>East North Central Division</v>
      </c>
      <c r="F2619">
        <f>INDEX('CBECS_Table B5'!$C$6:$K$6,1,MATCH('County Climates'!E2619,'CBECS_Table B5'!$C$1:$K$1,0))</f>
        <v>12742</v>
      </c>
    </row>
    <row r="2620" spans="1:6" x14ac:dyDescent="0.25">
      <c r="A2620" t="s">
        <v>1937</v>
      </c>
      <c r="B2620" t="s">
        <v>694</v>
      </c>
      <c r="C2620" t="s">
        <v>1296</v>
      </c>
      <c r="D2620" t="s">
        <v>228</v>
      </c>
      <c r="E2620" t="str">
        <f>INDEX('State Codes'!$E$7:$E$70,MATCH(INDEX('State Codes'!$C$7:$C$70,MATCH('County Climates'!B2620,'State Codes'!$D$7:$D$70,0),1),'State Codes'!$C$7:$C$70,0),1)</f>
        <v>East North Central Division</v>
      </c>
      <c r="F2620">
        <f>INDEX('CBECS_Table B5'!$C$6:$K$6,1,MATCH('County Climates'!E2620,'CBECS_Table B5'!$C$1:$K$1,0))</f>
        <v>12742</v>
      </c>
    </row>
    <row r="2621" spans="1:6" x14ac:dyDescent="0.25">
      <c r="A2621" t="s">
        <v>1937</v>
      </c>
      <c r="B2621" t="s">
        <v>694</v>
      </c>
      <c r="C2621" t="s">
        <v>1951</v>
      </c>
      <c r="D2621" t="s">
        <v>228</v>
      </c>
      <c r="E2621" t="str">
        <f>INDEX('State Codes'!$E$7:$E$70,MATCH(INDEX('State Codes'!$C$7:$C$70,MATCH('County Climates'!B2621,'State Codes'!$D$7:$D$70,0),1),'State Codes'!$C$7:$C$70,0),1)</f>
        <v>East North Central Division</v>
      </c>
      <c r="F2621">
        <f>INDEX('CBECS_Table B5'!$C$6:$K$6,1,MATCH('County Climates'!E2621,'CBECS_Table B5'!$C$1:$K$1,0))</f>
        <v>12742</v>
      </c>
    </row>
    <row r="2622" spans="1:6" x14ac:dyDescent="0.25">
      <c r="A2622" t="s">
        <v>1952</v>
      </c>
      <c r="B2622" t="s">
        <v>1953</v>
      </c>
      <c r="C2622" t="s">
        <v>1954</v>
      </c>
      <c r="D2622" t="s">
        <v>247</v>
      </c>
      <c r="E2622" t="str">
        <f>INDEX('State Codes'!$E$7:$E$70,MATCH(INDEX('State Codes'!$C$7:$C$70,MATCH('County Climates'!B2622,'State Codes'!$D$7:$D$70,0),1),'State Codes'!$C$7:$C$70,0),1)</f>
        <v>West South Central Division</v>
      </c>
      <c r="F2622">
        <f>INDEX('CBECS_Table B5'!$C$6:$K$6,1,MATCH('County Climates'!E2622,'CBECS_Table B5'!$C$1:$K$1,0))</f>
        <v>11394</v>
      </c>
    </row>
    <row r="2623" spans="1:6" x14ac:dyDescent="0.25">
      <c r="A2623" t="s">
        <v>1952</v>
      </c>
      <c r="B2623" t="s">
        <v>1953</v>
      </c>
      <c r="C2623" t="s">
        <v>1622</v>
      </c>
      <c r="D2623" t="s">
        <v>247</v>
      </c>
      <c r="E2623" t="str">
        <f>INDEX('State Codes'!$E$7:$E$70,MATCH(INDEX('State Codes'!$C$7:$C$70,MATCH('County Climates'!B2623,'State Codes'!$D$7:$D$70,0),1),'State Codes'!$C$7:$C$70,0),1)</f>
        <v>West South Central Division</v>
      </c>
      <c r="F2623">
        <f>INDEX('CBECS_Table B5'!$C$6:$K$6,1,MATCH('County Climates'!E2623,'CBECS_Table B5'!$C$1:$K$1,0))</f>
        <v>11394</v>
      </c>
    </row>
    <row r="2624" spans="1:6" x14ac:dyDescent="0.25">
      <c r="A2624" t="s">
        <v>1952</v>
      </c>
      <c r="B2624" t="s">
        <v>1953</v>
      </c>
      <c r="C2624" t="s">
        <v>1955</v>
      </c>
      <c r="D2624" t="s">
        <v>247</v>
      </c>
      <c r="E2624" t="str">
        <f>INDEX('State Codes'!$E$7:$E$70,MATCH(INDEX('State Codes'!$C$7:$C$70,MATCH('County Climates'!B2624,'State Codes'!$D$7:$D$70,0),1),'State Codes'!$C$7:$C$70,0),1)</f>
        <v>West South Central Division</v>
      </c>
      <c r="F2624">
        <f>INDEX('CBECS_Table B5'!$C$6:$K$6,1,MATCH('County Climates'!E2624,'CBECS_Table B5'!$C$1:$K$1,0))</f>
        <v>11394</v>
      </c>
    </row>
    <row r="2625" spans="1:6" x14ac:dyDescent="0.25">
      <c r="A2625" t="s">
        <v>1952</v>
      </c>
      <c r="B2625" t="s">
        <v>1953</v>
      </c>
      <c r="C2625" t="s">
        <v>1956</v>
      </c>
      <c r="D2625" t="s">
        <v>247</v>
      </c>
      <c r="E2625" t="str">
        <f>INDEX('State Codes'!$E$7:$E$70,MATCH(INDEX('State Codes'!$C$7:$C$70,MATCH('County Climates'!B2625,'State Codes'!$D$7:$D$70,0),1),'State Codes'!$C$7:$C$70,0),1)</f>
        <v>West South Central Division</v>
      </c>
      <c r="F2625">
        <f>INDEX('CBECS_Table B5'!$C$6:$K$6,1,MATCH('County Climates'!E2625,'CBECS_Table B5'!$C$1:$K$1,0))</f>
        <v>11394</v>
      </c>
    </row>
    <row r="2626" spans="1:6" x14ac:dyDescent="0.25">
      <c r="A2626" t="s">
        <v>1952</v>
      </c>
      <c r="B2626" t="s">
        <v>1953</v>
      </c>
      <c r="C2626" t="s">
        <v>1957</v>
      </c>
      <c r="D2626" t="s">
        <v>247</v>
      </c>
      <c r="E2626" t="str">
        <f>INDEX('State Codes'!$E$7:$E$70,MATCH(INDEX('State Codes'!$C$7:$C$70,MATCH('County Climates'!B2626,'State Codes'!$D$7:$D$70,0),1),'State Codes'!$C$7:$C$70,0),1)</f>
        <v>West South Central Division</v>
      </c>
      <c r="F2626">
        <f>INDEX('CBECS_Table B5'!$C$6:$K$6,1,MATCH('County Climates'!E2626,'CBECS_Table B5'!$C$1:$K$1,0))</f>
        <v>11394</v>
      </c>
    </row>
    <row r="2627" spans="1:6" x14ac:dyDescent="0.25">
      <c r="A2627" t="s">
        <v>1952</v>
      </c>
      <c r="B2627" t="s">
        <v>1953</v>
      </c>
      <c r="C2627" t="s">
        <v>532</v>
      </c>
      <c r="D2627" t="s">
        <v>247</v>
      </c>
      <c r="E2627" t="str">
        <f>INDEX('State Codes'!$E$7:$E$70,MATCH(INDEX('State Codes'!$C$7:$C$70,MATCH('County Climates'!B2627,'State Codes'!$D$7:$D$70,0),1),'State Codes'!$C$7:$C$70,0),1)</f>
        <v>West South Central Division</v>
      </c>
      <c r="F2627">
        <f>INDEX('CBECS_Table B5'!$C$6:$K$6,1,MATCH('County Climates'!E2627,'CBECS_Table B5'!$C$1:$K$1,0))</f>
        <v>11394</v>
      </c>
    </row>
    <row r="2628" spans="1:6" x14ac:dyDescent="0.25">
      <c r="A2628" t="s">
        <v>1952</v>
      </c>
      <c r="B2628" t="s">
        <v>1953</v>
      </c>
      <c r="C2628" t="s">
        <v>584</v>
      </c>
      <c r="D2628" t="s">
        <v>247</v>
      </c>
      <c r="E2628" t="str">
        <f>INDEX('State Codes'!$E$7:$E$70,MATCH(INDEX('State Codes'!$C$7:$C$70,MATCH('County Climates'!B2628,'State Codes'!$D$7:$D$70,0),1),'State Codes'!$C$7:$C$70,0),1)</f>
        <v>West South Central Division</v>
      </c>
      <c r="F2628">
        <f>INDEX('CBECS_Table B5'!$C$6:$K$6,1,MATCH('County Climates'!E2628,'CBECS_Table B5'!$C$1:$K$1,0))</f>
        <v>11394</v>
      </c>
    </row>
    <row r="2629" spans="1:6" x14ac:dyDescent="0.25">
      <c r="A2629" t="s">
        <v>1952</v>
      </c>
      <c r="B2629" t="s">
        <v>1953</v>
      </c>
      <c r="C2629" t="s">
        <v>1137</v>
      </c>
      <c r="D2629" t="s">
        <v>247</v>
      </c>
      <c r="E2629" t="str">
        <f>INDEX('State Codes'!$E$7:$E$70,MATCH(INDEX('State Codes'!$C$7:$C$70,MATCH('County Climates'!B2629,'State Codes'!$D$7:$D$70,0),1),'State Codes'!$C$7:$C$70,0),1)</f>
        <v>West South Central Division</v>
      </c>
      <c r="F2629">
        <f>INDEX('CBECS_Table B5'!$C$6:$K$6,1,MATCH('County Climates'!E2629,'CBECS_Table B5'!$C$1:$K$1,0))</f>
        <v>11394</v>
      </c>
    </row>
    <row r="2630" spans="1:6" x14ac:dyDescent="0.25">
      <c r="A2630" t="s">
        <v>1952</v>
      </c>
      <c r="B2630" t="s">
        <v>1953</v>
      </c>
      <c r="C2630" t="s">
        <v>624</v>
      </c>
      <c r="D2630" t="s">
        <v>247</v>
      </c>
      <c r="E2630" t="str">
        <f>INDEX('State Codes'!$E$7:$E$70,MATCH(INDEX('State Codes'!$C$7:$C$70,MATCH('County Climates'!B2630,'State Codes'!$D$7:$D$70,0),1),'State Codes'!$C$7:$C$70,0),1)</f>
        <v>West South Central Division</v>
      </c>
      <c r="F2630">
        <f>INDEX('CBECS_Table B5'!$C$6:$K$6,1,MATCH('County Climates'!E2630,'CBECS_Table B5'!$C$1:$K$1,0))</f>
        <v>11394</v>
      </c>
    </row>
    <row r="2631" spans="1:6" x14ac:dyDescent="0.25">
      <c r="A2631" t="s">
        <v>1952</v>
      </c>
      <c r="B2631" t="s">
        <v>1953</v>
      </c>
      <c r="C2631" t="s">
        <v>374</v>
      </c>
      <c r="D2631" t="s">
        <v>247</v>
      </c>
      <c r="E2631" t="str">
        <f>INDEX('State Codes'!$E$7:$E$70,MATCH(INDEX('State Codes'!$C$7:$C$70,MATCH('County Climates'!B2631,'State Codes'!$D$7:$D$70,0),1),'State Codes'!$C$7:$C$70,0),1)</f>
        <v>West South Central Division</v>
      </c>
      <c r="F2631">
        <f>INDEX('CBECS_Table B5'!$C$6:$K$6,1,MATCH('County Climates'!E2631,'CBECS_Table B5'!$C$1:$K$1,0))</f>
        <v>11394</v>
      </c>
    </row>
    <row r="2632" spans="1:6" x14ac:dyDescent="0.25">
      <c r="A2632" t="s">
        <v>1952</v>
      </c>
      <c r="B2632" t="s">
        <v>1953</v>
      </c>
      <c r="C2632" t="s">
        <v>1958</v>
      </c>
      <c r="D2632" t="s">
        <v>247</v>
      </c>
      <c r="E2632" t="str">
        <f>INDEX('State Codes'!$E$7:$E$70,MATCH(INDEX('State Codes'!$C$7:$C$70,MATCH('County Climates'!B2632,'State Codes'!$D$7:$D$70,0),1),'State Codes'!$C$7:$C$70,0),1)</f>
        <v>West South Central Division</v>
      </c>
      <c r="F2632">
        <f>INDEX('CBECS_Table B5'!$C$6:$K$6,1,MATCH('County Climates'!E2632,'CBECS_Table B5'!$C$1:$K$1,0))</f>
        <v>11394</v>
      </c>
    </row>
    <row r="2633" spans="1:6" x14ac:dyDescent="0.25">
      <c r="A2633" t="s">
        <v>1952</v>
      </c>
      <c r="B2633" t="s">
        <v>1953</v>
      </c>
      <c r="C2633" t="s">
        <v>480</v>
      </c>
      <c r="D2633" t="s">
        <v>247</v>
      </c>
      <c r="E2633" t="str">
        <f>INDEX('State Codes'!$E$7:$E$70,MATCH(INDEX('State Codes'!$C$7:$C$70,MATCH('County Climates'!B2633,'State Codes'!$D$7:$D$70,0),1),'State Codes'!$C$7:$C$70,0),1)</f>
        <v>West South Central Division</v>
      </c>
      <c r="F2633">
        <f>INDEX('CBECS_Table B5'!$C$6:$K$6,1,MATCH('County Climates'!E2633,'CBECS_Table B5'!$C$1:$K$1,0))</f>
        <v>11394</v>
      </c>
    </row>
    <row r="2634" spans="1:6" x14ac:dyDescent="0.25">
      <c r="A2634" t="s">
        <v>1952</v>
      </c>
      <c r="B2634" t="s">
        <v>1953</v>
      </c>
      <c r="C2634" t="s">
        <v>316</v>
      </c>
      <c r="D2634" t="s">
        <v>247</v>
      </c>
      <c r="E2634" t="str">
        <f>INDEX('State Codes'!$E$7:$E$70,MATCH(INDEX('State Codes'!$C$7:$C$70,MATCH('County Climates'!B2634,'State Codes'!$D$7:$D$70,0),1),'State Codes'!$C$7:$C$70,0),1)</f>
        <v>West South Central Division</v>
      </c>
      <c r="F2634">
        <f>INDEX('CBECS_Table B5'!$C$6:$K$6,1,MATCH('County Climates'!E2634,'CBECS_Table B5'!$C$1:$K$1,0))</f>
        <v>11394</v>
      </c>
    </row>
    <row r="2635" spans="1:6" x14ac:dyDescent="0.25">
      <c r="A2635" t="s">
        <v>1952</v>
      </c>
      <c r="B2635" t="s">
        <v>1953</v>
      </c>
      <c r="C2635" t="s">
        <v>1959</v>
      </c>
      <c r="D2635" t="s">
        <v>247</v>
      </c>
      <c r="E2635" t="str">
        <f>INDEX('State Codes'!$E$7:$E$70,MATCH(INDEX('State Codes'!$C$7:$C$70,MATCH('County Climates'!B2635,'State Codes'!$D$7:$D$70,0),1),'State Codes'!$C$7:$C$70,0),1)</f>
        <v>West South Central Division</v>
      </c>
      <c r="F2635">
        <f>INDEX('CBECS_Table B5'!$C$6:$K$6,1,MATCH('County Climates'!E2635,'CBECS_Table B5'!$C$1:$K$1,0))</f>
        <v>11394</v>
      </c>
    </row>
    <row r="2636" spans="1:6" x14ac:dyDescent="0.25">
      <c r="A2636" t="s">
        <v>1952</v>
      </c>
      <c r="B2636" t="s">
        <v>1953</v>
      </c>
      <c r="C2636" t="s">
        <v>1960</v>
      </c>
      <c r="D2636" t="s">
        <v>247</v>
      </c>
      <c r="E2636" t="str">
        <f>INDEX('State Codes'!$E$7:$E$70,MATCH(INDEX('State Codes'!$C$7:$C$70,MATCH('County Climates'!B2636,'State Codes'!$D$7:$D$70,0),1),'State Codes'!$C$7:$C$70,0),1)</f>
        <v>West South Central Division</v>
      </c>
      <c r="F2636">
        <f>INDEX('CBECS_Table B5'!$C$6:$K$6,1,MATCH('County Climates'!E2636,'CBECS_Table B5'!$C$1:$K$1,0))</f>
        <v>11394</v>
      </c>
    </row>
    <row r="2637" spans="1:6" x14ac:dyDescent="0.25">
      <c r="A2637" t="s">
        <v>1952</v>
      </c>
      <c r="B2637" t="s">
        <v>1953</v>
      </c>
      <c r="C2637" t="s">
        <v>634</v>
      </c>
      <c r="D2637" t="s">
        <v>247</v>
      </c>
      <c r="E2637" t="str">
        <f>INDEX('State Codes'!$E$7:$E$70,MATCH(INDEX('State Codes'!$C$7:$C$70,MATCH('County Climates'!B2637,'State Codes'!$D$7:$D$70,0),1),'State Codes'!$C$7:$C$70,0),1)</f>
        <v>West South Central Division</v>
      </c>
      <c r="F2637">
        <f>INDEX('CBECS_Table B5'!$C$6:$K$6,1,MATCH('County Climates'!E2637,'CBECS_Table B5'!$C$1:$K$1,0))</f>
        <v>11394</v>
      </c>
    </row>
    <row r="2638" spans="1:6" x14ac:dyDescent="0.25">
      <c r="A2638" t="s">
        <v>1952</v>
      </c>
      <c r="B2638" t="s">
        <v>1953</v>
      </c>
      <c r="C2638" t="s">
        <v>636</v>
      </c>
      <c r="D2638" t="s">
        <v>247</v>
      </c>
      <c r="E2638" t="str">
        <f>INDEX('State Codes'!$E$7:$E$70,MATCH(INDEX('State Codes'!$C$7:$C$70,MATCH('County Climates'!B2638,'State Codes'!$D$7:$D$70,0),1),'State Codes'!$C$7:$C$70,0),1)</f>
        <v>West South Central Division</v>
      </c>
      <c r="F2638">
        <f>INDEX('CBECS_Table B5'!$C$6:$K$6,1,MATCH('County Climates'!E2638,'CBECS_Table B5'!$C$1:$K$1,0))</f>
        <v>11394</v>
      </c>
    </row>
    <row r="2639" spans="1:6" x14ac:dyDescent="0.25">
      <c r="A2639" t="s">
        <v>1952</v>
      </c>
      <c r="B2639" t="s">
        <v>1953</v>
      </c>
      <c r="C2639" t="s">
        <v>1147</v>
      </c>
      <c r="D2639" t="s">
        <v>247</v>
      </c>
      <c r="E2639" t="str">
        <f>INDEX('State Codes'!$E$7:$E$70,MATCH(INDEX('State Codes'!$C$7:$C$70,MATCH('County Climates'!B2639,'State Codes'!$D$7:$D$70,0),1),'State Codes'!$C$7:$C$70,0),1)</f>
        <v>West South Central Division</v>
      </c>
      <c r="F2639">
        <f>INDEX('CBECS_Table B5'!$C$6:$K$6,1,MATCH('County Climates'!E2639,'CBECS_Table B5'!$C$1:$K$1,0))</f>
        <v>11394</v>
      </c>
    </row>
    <row r="2640" spans="1:6" x14ac:dyDescent="0.25">
      <c r="A2640" t="s">
        <v>1952</v>
      </c>
      <c r="B2640" t="s">
        <v>1953</v>
      </c>
      <c r="C2640" t="s">
        <v>279</v>
      </c>
      <c r="D2640" t="s">
        <v>247</v>
      </c>
      <c r="E2640" t="str">
        <f>INDEX('State Codes'!$E$7:$E$70,MATCH(INDEX('State Codes'!$C$7:$C$70,MATCH('County Climates'!B2640,'State Codes'!$D$7:$D$70,0),1),'State Codes'!$C$7:$C$70,0),1)</f>
        <v>West South Central Division</v>
      </c>
      <c r="F2640">
        <f>INDEX('CBECS_Table B5'!$C$6:$K$6,1,MATCH('County Climates'!E2640,'CBECS_Table B5'!$C$1:$K$1,0))</f>
        <v>11394</v>
      </c>
    </row>
    <row r="2641" spans="1:6" x14ac:dyDescent="0.25">
      <c r="A2641" t="s">
        <v>1952</v>
      </c>
      <c r="B2641" t="s">
        <v>1953</v>
      </c>
      <c r="C2641" t="s">
        <v>280</v>
      </c>
      <c r="D2641" t="s">
        <v>247</v>
      </c>
      <c r="E2641" t="str">
        <f>INDEX('State Codes'!$E$7:$E$70,MATCH(INDEX('State Codes'!$C$7:$C$70,MATCH('County Climates'!B2641,'State Codes'!$D$7:$D$70,0),1),'State Codes'!$C$7:$C$70,0),1)</f>
        <v>West South Central Division</v>
      </c>
      <c r="F2641">
        <f>INDEX('CBECS_Table B5'!$C$6:$K$6,1,MATCH('County Climates'!E2641,'CBECS_Table B5'!$C$1:$K$1,0))</f>
        <v>11394</v>
      </c>
    </row>
    <row r="2642" spans="1:6" x14ac:dyDescent="0.25">
      <c r="A2642" t="s">
        <v>1952</v>
      </c>
      <c r="B2642" t="s">
        <v>1953</v>
      </c>
      <c r="C2642" t="s">
        <v>1921</v>
      </c>
      <c r="D2642" t="s">
        <v>247</v>
      </c>
      <c r="E2642" t="str">
        <f>INDEX('State Codes'!$E$7:$E$70,MATCH(INDEX('State Codes'!$C$7:$C$70,MATCH('County Climates'!B2642,'State Codes'!$D$7:$D$70,0),1),'State Codes'!$C$7:$C$70,0),1)</f>
        <v>West South Central Division</v>
      </c>
      <c r="F2642">
        <f>INDEX('CBECS_Table B5'!$C$6:$K$6,1,MATCH('County Climates'!E2642,'CBECS_Table B5'!$C$1:$K$1,0))</f>
        <v>11394</v>
      </c>
    </row>
    <row r="2643" spans="1:6" x14ac:dyDescent="0.25">
      <c r="A2643" t="s">
        <v>1952</v>
      </c>
      <c r="B2643" t="s">
        <v>1953</v>
      </c>
      <c r="C2643" t="s">
        <v>1961</v>
      </c>
      <c r="D2643" t="s">
        <v>247</v>
      </c>
      <c r="E2643" t="str">
        <f>INDEX('State Codes'!$E$7:$E$70,MATCH(INDEX('State Codes'!$C$7:$C$70,MATCH('County Climates'!B2643,'State Codes'!$D$7:$D$70,0),1),'State Codes'!$C$7:$C$70,0),1)</f>
        <v>West South Central Division</v>
      </c>
      <c r="F2643">
        <f>INDEX('CBECS_Table B5'!$C$6:$K$6,1,MATCH('County Climates'!E2643,'CBECS_Table B5'!$C$1:$K$1,0))</f>
        <v>11394</v>
      </c>
    </row>
    <row r="2644" spans="1:6" x14ac:dyDescent="0.25">
      <c r="A2644" t="s">
        <v>1952</v>
      </c>
      <c r="B2644" t="s">
        <v>1953</v>
      </c>
      <c r="C2644" t="s">
        <v>1962</v>
      </c>
      <c r="D2644" t="s">
        <v>247</v>
      </c>
      <c r="E2644" t="str">
        <f>INDEX('State Codes'!$E$7:$E$70,MATCH(INDEX('State Codes'!$C$7:$C$70,MATCH('County Climates'!B2644,'State Codes'!$D$7:$D$70,0),1),'State Codes'!$C$7:$C$70,0),1)</f>
        <v>West South Central Division</v>
      </c>
      <c r="F2644">
        <f>INDEX('CBECS_Table B5'!$C$6:$K$6,1,MATCH('County Climates'!E2644,'CBECS_Table B5'!$C$1:$K$1,0))</f>
        <v>11394</v>
      </c>
    </row>
    <row r="2645" spans="1:6" x14ac:dyDescent="0.25">
      <c r="A2645" t="s">
        <v>1952</v>
      </c>
      <c r="B2645" t="s">
        <v>1953</v>
      </c>
      <c r="C2645" t="s">
        <v>380</v>
      </c>
      <c r="D2645" t="s">
        <v>247</v>
      </c>
      <c r="E2645" t="str">
        <f>INDEX('State Codes'!$E$7:$E$70,MATCH(INDEX('State Codes'!$C$7:$C$70,MATCH('County Climates'!B2645,'State Codes'!$D$7:$D$70,0),1),'State Codes'!$C$7:$C$70,0),1)</f>
        <v>West South Central Division</v>
      </c>
      <c r="F2645">
        <f>INDEX('CBECS_Table B5'!$C$6:$K$6,1,MATCH('County Climates'!E2645,'CBECS_Table B5'!$C$1:$K$1,0))</f>
        <v>11394</v>
      </c>
    </row>
    <row r="2646" spans="1:6" x14ac:dyDescent="0.25">
      <c r="A2646" t="s">
        <v>1952</v>
      </c>
      <c r="B2646" t="s">
        <v>1953</v>
      </c>
      <c r="C2646" t="s">
        <v>1963</v>
      </c>
      <c r="D2646" t="s">
        <v>247</v>
      </c>
      <c r="E2646" t="str">
        <f>INDEX('State Codes'!$E$7:$E$70,MATCH(INDEX('State Codes'!$C$7:$C$70,MATCH('County Climates'!B2646,'State Codes'!$D$7:$D$70,0),1),'State Codes'!$C$7:$C$70,0),1)</f>
        <v>West South Central Division</v>
      </c>
      <c r="F2646">
        <f>INDEX('CBECS_Table B5'!$C$6:$K$6,1,MATCH('County Climates'!E2646,'CBECS_Table B5'!$C$1:$K$1,0))</f>
        <v>11394</v>
      </c>
    </row>
    <row r="2647" spans="1:6" x14ac:dyDescent="0.25">
      <c r="A2647" t="s">
        <v>1952</v>
      </c>
      <c r="B2647" t="s">
        <v>1953</v>
      </c>
      <c r="C2647" t="s">
        <v>1964</v>
      </c>
      <c r="D2647" t="s">
        <v>247</v>
      </c>
      <c r="E2647" t="str">
        <f>INDEX('State Codes'!$E$7:$E$70,MATCH(INDEX('State Codes'!$C$7:$C$70,MATCH('County Climates'!B2647,'State Codes'!$D$7:$D$70,0),1),'State Codes'!$C$7:$C$70,0),1)</f>
        <v>West South Central Division</v>
      </c>
      <c r="F2647">
        <f>INDEX('CBECS_Table B5'!$C$6:$K$6,1,MATCH('County Climates'!E2647,'CBECS_Table B5'!$C$1:$K$1,0))</f>
        <v>11394</v>
      </c>
    </row>
    <row r="2648" spans="1:6" x14ac:dyDescent="0.25">
      <c r="A2648" t="s">
        <v>1952</v>
      </c>
      <c r="B2648" t="s">
        <v>1953</v>
      </c>
      <c r="C2648" t="s">
        <v>324</v>
      </c>
      <c r="D2648" t="s">
        <v>247</v>
      </c>
      <c r="E2648" t="str">
        <f>INDEX('State Codes'!$E$7:$E$70,MATCH(INDEX('State Codes'!$C$7:$C$70,MATCH('County Climates'!B2648,'State Codes'!$D$7:$D$70,0),1),'State Codes'!$C$7:$C$70,0),1)</f>
        <v>West South Central Division</v>
      </c>
      <c r="F2648">
        <f>INDEX('CBECS_Table B5'!$C$6:$K$6,1,MATCH('County Climates'!E2648,'CBECS_Table B5'!$C$1:$K$1,0))</f>
        <v>11394</v>
      </c>
    </row>
    <row r="2649" spans="1:6" x14ac:dyDescent="0.25">
      <c r="A2649" t="s">
        <v>1952</v>
      </c>
      <c r="B2649" t="s">
        <v>1953</v>
      </c>
      <c r="C2649" t="s">
        <v>326</v>
      </c>
      <c r="D2649" t="s">
        <v>247</v>
      </c>
      <c r="E2649" t="str">
        <f>INDEX('State Codes'!$E$7:$E$70,MATCH(INDEX('State Codes'!$C$7:$C$70,MATCH('County Climates'!B2649,'State Codes'!$D$7:$D$70,0),1),'State Codes'!$C$7:$C$70,0),1)</f>
        <v>West South Central Division</v>
      </c>
      <c r="F2649">
        <f>INDEX('CBECS_Table B5'!$C$6:$K$6,1,MATCH('County Climates'!E2649,'CBECS_Table B5'!$C$1:$K$1,0))</f>
        <v>11394</v>
      </c>
    </row>
    <row r="2650" spans="1:6" x14ac:dyDescent="0.25">
      <c r="A2650" t="s">
        <v>1952</v>
      </c>
      <c r="B2650" t="s">
        <v>1953</v>
      </c>
      <c r="C2650" t="s">
        <v>1965</v>
      </c>
      <c r="D2650" t="s">
        <v>247</v>
      </c>
      <c r="E2650" t="str">
        <f>INDEX('State Codes'!$E$7:$E$70,MATCH(INDEX('State Codes'!$C$7:$C$70,MATCH('County Climates'!B2650,'State Codes'!$D$7:$D$70,0),1),'State Codes'!$C$7:$C$70,0),1)</f>
        <v>West South Central Division</v>
      </c>
      <c r="F2650">
        <f>INDEX('CBECS_Table B5'!$C$6:$K$6,1,MATCH('County Climates'!E2650,'CBECS_Table B5'!$C$1:$K$1,0))</f>
        <v>11394</v>
      </c>
    </row>
    <row r="2651" spans="1:6" x14ac:dyDescent="0.25">
      <c r="A2651" t="s">
        <v>1952</v>
      </c>
      <c r="B2651" t="s">
        <v>1953</v>
      </c>
      <c r="C2651" t="s">
        <v>1966</v>
      </c>
      <c r="D2651" t="s">
        <v>247</v>
      </c>
      <c r="E2651" t="str">
        <f>INDEX('State Codes'!$E$7:$E$70,MATCH(INDEX('State Codes'!$C$7:$C$70,MATCH('County Climates'!B2651,'State Codes'!$D$7:$D$70,0),1),'State Codes'!$C$7:$C$70,0),1)</f>
        <v>West South Central Division</v>
      </c>
      <c r="F2651">
        <f>INDEX('CBECS_Table B5'!$C$6:$K$6,1,MATCH('County Climates'!E2651,'CBECS_Table B5'!$C$1:$K$1,0))</f>
        <v>11394</v>
      </c>
    </row>
    <row r="2652" spans="1:6" x14ac:dyDescent="0.25">
      <c r="A2652" t="s">
        <v>1952</v>
      </c>
      <c r="B2652" t="s">
        <v>1953</v>
      </c>
      <c r="C2652" t="s">
        <v>291</v>
      </c>
      <c r="D2652" t="s">
        <v>247</v>
      </c>
      <c r="E2652" t="str">
        <f>INDEX('State Codes'!$E$7:$E$70,MATCH(INDEX('State Codes'!$C$7:$C$70,MATCH('County Climates'!B2652,'State Codes'!$D$7:$D$70,0),1),'State Codes'!$C$7:$C$70,0),1)</f>
        <v>West South Central Division</v>
      </c>
      <c r="F2652">
        <f>INDEX('CBECS_Table B5'!$C$6:$K$6,1,MATCH('County Climates'!E2652,'CBECS_Table B5'!$C$1:$K$1,0))</f>
        <v>11394</v>
      </c>
    </row>
    <row r="2653" spans="1:6" x14ac:dyDescent="0.25">
      <c r="A2653" t="s">
        <v>1952</v>
      </c>
      <c r="B2653" t="s">
        <v>1953</v>
      </c>
      <c r="C2653" t="s">
        <v>1967</v>
      </c>
      <c r="D2653" t="s">
        <v>247</v>
      </c>
      <c r="E2653" t="str">
        <f>INDEX('State Codes'!$E$7:$E$70,MATCH(INDEX('State Codes'!$C$7:$C$70,MATCH('County Climates'!B2653,'State Codes'!$D$7:$D$70,0),1),'State Codes'!$C$7:$C$70,0),1)</f>
        <v>West South Central Division</v>
      </c>
      <c r="F2653">
        <f>INDEX('CBECS_Table B5'!$C$6:$K$6,1,MATCH('County Climates'!E2653,'CBECS_Table B5'!$C$1:$K$1,0))</f>
        <v>11394</v>
      </c>
    </row>
    <row r="2654" spans="1:6" x14ac:dyDescent="0.25">
      <c r="A2654" t="s">
        <v>1952</v>
      </c>
      <c r="B2654" t="s">
        <v>1953</v>
      </c>
      <c r="C2654" t="s">
        <v>1968</v>
      </c>
      <c r="D2654" t="s">
        <v>247</v>
      </c>
      <c r="E2654" t="str">
        <f>INDEX('State Codes'!$E$7:$E$70,MATCH(INDEX('State Codes'!$C$7:$C$70,MATCH('County Climates'!B2654,'State Codes'!$D$7:$D$70,0),1),'State Codes'!$C$7:$C$70,0),1)</f>
        <v>West South Central Division</v>
      </c>
      <c r="F2654">
        <f>INDEX('CBECS_Table B5'!$C$6:$K$6,1,MATCH('County Climates'!E2654,'CBECS_Table B5'!$C$1:$K$1,0))</f>
        <v>11394</v>
      </c>
    </row>
    <row r="2655" spans="1:6" x14ac:dyDescent="0.25">
      <c r="A2655" t="s">
        <v>1952</v>
      </c>
      <c r="B2655" t="s">
        <v>1953</v>
      </c>
      <c r="C2655" t="s">
        <v>1969</v>
      </c>
      <c r="D2655" t="s">
        <v>247</v>
      </c>
      <c r="E2655" t="str">
        <f>INDEX('State Codes'!$E$7:$E$70,MATCH(INDEX('State Codes'!$C$7:$C$70,MATCH('County Climates'!B2655,'State Codes'!$D$7:$D$70,0),1),'State Codes'!$C$7:$C$70,0),1)</f>
        <v>West South Central Division</v>
      </c>
      <c r="F2655">
        <f>INDEX('CBECS_Table B5'!$C$6:$K$6,1,MATCH('County Climates'!E2655,'CBECS_Table B5'!$C$1:$K$1,0))</f>
        <v>11394</v>
      </c>
    </row>
    <row r="2656" spans="1:6" x14ac:dyDescent="0.25">
      <c r="A2656" t="s">
        <v>1952</v>
      </c>
      <c r="B2656" t="s">
        <v>1953</v>
      </c>
      <c r="C2656" t="s">
        <v>1544</v>
      </c>
      <c r="D2656" t="s">
        <v>247</v>
      </c>
      <c r="E2656" t="str">
        <f>INDEX('State Codes'!$E$7:$E$70,MATCH(INDEX('State Codes'!$C$7:$C$70,MATCH('County Climates'!B2656,'State Codes'!$D$7:$D$70,0),1),'State Codes'!$C$7:$C$70,0),1)</f>
        <v>West South Central Division</v>
      </c>
      <c r="F2656">
        <f>INDEX('CBECS_Table B5'!$C$6:$K$6,1,MATCH('County Climates'!E2656,'CBECS_Table B5'!$C$1:$K$1,0))</f>
        <v>11394</v>
      </c>
    </row>
    <row r="2657" spans="1:6" x14ac:dyDescent="0.25">
      <c r="A2657" t="s">
        <v>1952</v>
      </c>
      <c r="B2657" t="s">
        <v>1953</v>
      </c>
      <c r="C2657" t="s">
        <v>814</v>
      </c>
      <c r="D2657" t="s">
        <v>247</v>
      </c>
      <c r="E2657" t="str">
        <f>INDEX('State Codes'!$E$7:$E$70,MATCH(INDEX('State Codes'!$C$7:$C$70,MATCH('County Climates'!B2657,'State Codes'!$D$7:$D$70,0),1),'State Codes'!$C$7:$C$70,0),1)</f>
        <v>West South Central Division</v>
      </c>
      <c r="F2657">
        <f>INDEX('CBECS_Table B5'!$C$6:$K$6,1,MATCH('County Climates'!E2657,'CBECS_Table B5'!$C$1:$K$1,0))</f>
        <v>11394</v>
      </c>
    </row>
    <row r="2658" spans="1:6" x14ac:dyDescent="0.25">
      <c r="A2658" t="s">
        <v>1952</v>
      </c>
      <c r="B2658" t="s">
        <v>1953</v>
      </c>
      <c r="C2658" t="s">
        <v>1970</v>
      </c>
      <c r="D2658" t="s">
        <v>247</v>
      </c>
      <c r="E2658" t="str">
        <f>INDEX('State Codes'!$E$7:$E$70,MATCH(INDEX('State Codes'!$C$7:$C$70,MATCH('County Climates'!B2658,'State Codes'!$D$7:$D$70,0),1),'State Codes'!$C$7:$C$70,0),1)</f>
        <v>West South Central Division</v>
      </c>
      <c r="F2658">
        <f>INDEX('CBECS_Table B5'!$C$6:$K$6,1,MATCH('County Climates'!E2658,'CBECS_Table B5'!$C$1:$K$1,0))</f>
        <v>11394</v>
      </c>
    </row>
    <row r="2659" spans="1:6" x14ac:dyDescent="0.25">
      <c r="A2659" t="s">
        <v>1952</v>
      </c>
      <c r="B2659" t="s">
        <v>1953</v>
      </c>
      <c r="C2659" t="s">
        <v>1044</v>
      </c>
      <c r="D2659" t="s">
        <v>247</v>
      </c>
      <c r="E2659" t="str">
        <f>INDEX('State Codes'!$E$7:$E$70,MATCH(INDEX('State Codes'!$C$7:$C$70,MATCH('County Climates'!B2659,'State Codes'!$D$7:$D$70,0),1),'State Codes'!$C$7:$C$70,0),1)</f>
        <v>West South Central Division</v>
      </c>
      <c r="F2659">
        <f>INDEX('CBECS_Table B5'!$C$6:$K$6,1,MATCH('County Climates'!E2659,'CBECS_Table B5'!$C$1:$K$1,0))</f>
        <v>11394</v>
      </c>
    </row>
    <row r="2660" spans="1:6" x14ac:dyDescent="0.25">
      <c r="A2660" t="s">
        <v>1952</v>
      </c>
      <c r="B2660" t="s">
        <v>1953</v>
      </c>
      <c r="C2660" t="s">
        <v>1971</v>
      </c>
      <c r="D2660" t="s">
        <v>247</v>
      </c>
      <c r="E2660" t="str">
        <f>INDEX('State Codes'!$E$7:$E$70,MATCH(INDEX('State Codes'!$C$7:$C$70,MATCH('County Climates'!B2660,'State Codes'!$D$7:$D$70,0),1),'State Codes'!$C$7:$C$70,0),1)</f>
        <v>West South Central Division</v>
      </c>
      <c r="F2660">
        <f>INDEX('CBECS_Table B5'!$C$6:$K$6,1,MATCH('County Climates'!E2660,'CBECS_Table B5'!$C$1:$K$1,0))</f>
        <v>11394</v>
      </c>
    </row>
    <row r="2661" spans="1:6" x14ac:dyDescent="0.25">
      <c r="A2661" t="s">
        <v>1952</v>
      </c>
      <c r="B2661" t="s">
        <v>1953</v>
      </c>
      <c r="C2661" t="s">
        <v>1972</v>
      </c>
      <c r="D2661" t="s">
        <v>247</v>
      </c>
      <c r="E2661" t="str">
        <f>INDEX('State Codes'!$E$7:$E$70,MATCH(INDEX('State Codes'!$C$7:$C$70,MATCH('County Climates'!B2661,'State Codes'!$D$7:$D$70,0),1),'State Codes'!$C$7:$C$70,0),1)</f>
        <v>West South Central Division</v>
      </c>
      <c r="F2661">
        <f>INDEX('CBECS_Table B5'!$C$6:$K$6,1,MATCH('County Climates'!E2661,'CBECS_Table B5'!$C$1:$K$1,0))</f>
        <v>11394</v>
      </c>
    </row>
    <row r="2662" spans="1:6" x14ac:dyDescent="0.25">
      <c r="A2662" t="s">
        <v>1952</v>
      </c>
      <c r="B2662" t="s">
        <v>1953</v>
      </c>
      <c r="C2662" t="s">
        <v>1953</v>
      </c>
      <c r="D2662" t="s">
        <v>247</v>
      </c>
      <c r="E2662" t="str">
        <f>INDEX('State Codes'!$E$7:$E$70,MATCH(INDEX('State Codes'!$C$7:$C$70,MATCH('County Climates'!B2662,'State Codes'!$D$7:$D$70,0),1),'State Codes'!$C$7:$C$70,0),1)</f>
        <v>West South Central Division</v>
      </c>
      <c r="F2662">
        <f>INDEX('CBECS_Table B5'!$C$6:$K$6,1,MATCH('County Climates'!E2662,'CBECS_Table B5'!$C$1:$K$1,0))</f>
        <v>11394</v>
      </c>
    </row>
    <row r="2663" spans="1:6" x14ac:dyDescent="0.25">
      <c r="A2663" t="s">
        <v>1952</v>
      </c>
      <c r="B2663" t="s">
        <v>1953</v>
      </c>
      <c r="C2663" t="s">
        <v>1973</v>
      </c>
      <c r="D2663" t="s">
        <v>247</v>
      </c>
      <c r="E2663" t="str">
        <f>INDEX('State Codes'!$E$7:$E$70,MATCH(INDEX('State Codes'!$C$7:$C$70,MATCH('County Climates'!B2663,'State Codes'!$D$7:$D$70,0),1),'State Codes'!$C$7:$C$70,0),1)</f>
        <v>West South Central Division</v>
      </c>
      <c r="F2663">
        <f>INDEX('CBECS_Table B5'!$C$6:$K$6,1,MATCH('County Climates'!E2663,'CBECS_Table B5'!$C$1:$K$1,0))</f>
        <v>11394</v>
      </c>
    </row>
    <row r="2664" spans="1:6" x14ac:dyDescent="0.25">
      <c r="A2664" t="s">
        <v>1952</v>
      </c>
      <c r="B2664" t="s">
        <v>1953</v>
      </c>
      <c r="C2664" t="s">
        <v>656</v>
      </c>
      <c r="D2664" t="s">
        <v>247</v>
      </c>
      <c r="E2664" t="str">
        <f>INDEX('State Codes'!$E$7:$E$70,MATCH(INDEX('State Codes'!$C$7:$C$70,MATCH('County Climates'!B2664,'State Codes'!$D$7:$D$70,0),1),'State Codes'!$C$7:$C$70,0),1)</f>
        <v>West South Central Division</v>
      </c>
      <c r="F2664">
        <f>INDEX('CBECS_Table B5'!$C$6:$K$6,1,MATCH('County Climates'!E2664,'CBECS_Table B5'!$C$1:$K$1,0))</f>
        <v>11394</v>
      </c>
    </row>
    <row r="2665" spans="1:6" x14ac:dyDescent="0.25">
      <c r="A2665" t="s">
        <v>1952</v>
      </c>
      <c r="B2665" t="s">
        <v>1953</v>
      </c>
      <c r="C2665" t="s">
        <v>658</v>
      </c>
      <c r="D2665" t="s">
        <v>247</v>
      </c>
      <c r="E2665" t="str">
        <f>INDEX('State Codes'!$E$7:$E$70,MATCH(INDEX('State Codes'!$C$7:$C$70,MATCH('County Climates'!B2665,'State Codes'!$D$7:$D$70,0),1),'State Codes'!$C$7:$C$70,0),1)</f>
        <v>West South Central Division</v>
      </c>
      <c r="F2665">
        <f>INDEX('CBECS_Table B5'!$C$6:$K$6,1,MATCH('County Climates'!E2665,'CBECS_Table B5'!$C$1:$K$1,0))</f>
        <v>11394</v>
      </c>
    </row>
    <row r="2666" spans="1:6" x14ac:dyDescent="0.25">
      <c r="A2666" t="s">
        <v>1952</v>
      </c>
      <c r="B2666" t="s">
        <v>1953</v>
      </c>
      <c r="C2666" t="s">
        <v>659</v>
      </c>
      <c r="D2666" t="s">
        <v>247</v>
      </c>
      <c r="E2666" t="str">
        <f>INDEX('State Codes'!$E$7:$E$70,MATCH(INDEX('State Codes'!$C$7:$C$70,MATCH('County Climates'!B2666,'State Codes'!$D$7:$D$70,0),1),'State Codes'!$C$7:$C$70,0),1)</f>
        <v>West South Central Division</v>
      </c>
      <c r="F2666">
        <f>INDEX('CBECS_Table B5'!$C$6:$K$6,1,MATCH('County Climates'!E2666,'CBECS_Table B5'!$C$1:$K$1,0))</f>
        <v>11394</v>
      </c>
    </row>
    <row r="2667" spans="1:6" x14ac:dyDescent="0.25">
      <c r="A2667" t="s">
        <v>1952</v>
      </c>
      <c r="B2667" t="s">
        <v>1953</v>
      </c>
      <c r="C2667" t="s">
        <v>1974</v>
      </c>
      <c r="D2667" t="s">
        <v>247</v>
      </c>
      <c r="E2667" t="str">
        <f>INDEX('State Codes'!$E$7:$E$70,MATCH(INDEX('State Codes'!$C$7:$C$70,MATCH('County Climates'!B2667,'State Codes'!$D$7:$D$70,0),1),'State Codes'!$C$7:$C$70,0),1)</f>
        <v>West South Central Division</v>
      </c>
      <c r="F2667">
        <f>INDEX('CBECS_Table B5'!$C$6:$K$6,1,MATCH('County Climates'!E2667,'CBECS_Table B5'!$C$1:$K$1,0))</f>
        <v>11394</v>
      </c>
    </row>
    <row r="2668" spans="1:6" x14ac:dyDescent="0.25">
      <c r="A2668" t="s">
        <v>1952</v>
      </c>
      <c r="B2668" t="s">
        <v>1953</v>
      </c>
      <c r="C2668" t="s">
        <v>1975</v>
      </c>
      <c r="D2668" t="s">
        <v>247</v>
      </c>
      <c r="E2668" t="str">
        <f>INDEX('State Codes'!$E$7:$E$70,MATCH(INDEX('State Codes'!$C$7:$C$70,MATCH('County Climates'!B2668,'State Codes'!$D$7:$D$70,0),1),'State Codes'!$C$7:$C$70,0),1)</f>
        <v>West South Central Division</v>
      </c>
      <c r="F2668">
        <f>INDEX('CBECS_Table B5'!$C$6:$K$6,1,MATCH('County Climates'!E2668,'CBECS_Table B5'!$C$1:$K$1,0))</f>
        <v>11394</v>
      </c>
    </row>
    <row r="2669" spans="1:6" x14ac:dyDescent="0.25">
      <c r="A2669" t="s">
        <v>1952</v>
      </c>
      <c r="B2669" t="s">
        <v>1953</v>
      </c>
      <c r="C2669" t="s">
        <v>826</v>
      </c>
      <c r="D2669" t="s">
        <v>247</v>
      </c>
      <c r="E2669" t="str">
        <f>INDEX('State Codes'!$E$7:$E$70,MATCH(INDEX('State Codes'!$C$7:$C$70,MATCH('County Climates'!B2669,'State Codes'!$D$7:$D$70,0),1),'State Codes'!$C$7:$C$70,0),1)</f>
        <v>West South Central Division</v>
      </c>
      <c r="F2669">
        <f>INDEX('CBECS_Table B5'!$C$6:$K$6,1,MATCH('County Climates'!E2669,'CBECS_Table B5'!$C$1:$K$1,0))</f>
        <v>11394</v>
      </c>
    </row>
    <row r="2670" spans="1:6" x14ac:dyDescent="0.25">
      <c r="A2670" t="s">
        <v>1952</v>
      </c>
      <c r="B2670" t="s">
        <v>1953</v>
      </c>
      <c r="C2670" t="s">
        <v>660</v>
      </c>
      <c r="D2670" t="s">
        <v>247</v>
      </c>
      <c r="E2670" t="str">
        <f>INDEX('State Codes'!$E$7:$E$70,MATCH(INDEX('State Codes'!$C$7:$C$70,MATCH('County Climates'!B2670,'State Codes'!$D$7:$D$70,0),1),'State Codes'!$C$7:$C$70,0),1)</f>
        <v>West South Central Division</v>
      </c>
      <c r="F2670">
        <f>INDEX('CBECS_Table B5'!$C$6:$K$6,1,MATCH('County Climates'!E2670,'CBECS_Table B5'!$C$1:$K$1,0))</f>
        <v>11394</v>
      </c>
    </row>
    <row r="2671" spans="1:6" x14ac:dyDescent="0.25">
      <c r="A2671" t="s">
        <v>1952</v>
      </c>
      <c r="B2671" t="s">
        <v>1953</v>
      </c>
      <c r="C2671" t="s">
        <v>1976</v>
      </c>
      <c r="D2671" t="s">
        <v>247</v>
      </c>
      <c r="E2671" t="str">
        <f>INDEX('State Codes'!$E$7:$E$70,MATCH(INDEX('State Codes'!$C$7:$C$70,MATCH('County Climates'!B2671,'State Codes'!$D$7:$D$70,0),1),'State Codes'!$C$7:$C$70,0),1)</f>
        <v>West South Central Division</v>
      </c>
      <c r="F2671">
        <f>INDEX('CBECS_Table B5'!$C$6:$K$6,1,MATCH('County Climates'!E2671,'CBECS_Table B5'!$C$1:$K$1,0))</f>
        <v>11394</v>
      </c>
    </row>
    <row r="2672" spans="1:6" x14ac:dyDescent="0.25">
      <c r="A2672" t="s">
        <v>1952</v>
      </c>
      <c r="B2672" t="s">
        <v>1953</v>
      </c>
      <c r="C2672" t="s">
        <v>1977</v>
      </c>
      <c r="D2672" t="s">
        <v>247</v>
      </c>
      <c r="E2672" t="str">
        <f>INDEX('State Codes'!$E$7:$E$70,MATCH(INDEX('State Codes'!$C$7:$C$70,MATCH('County Climates'!B2672,'State Codes'!$D$7:$D$70,0),1),'State Codes'!$C$7:$C$70,0),1)</f>
        <v>West South Central Division</v>
      </c>
      <c r="F2672">
        <f>INDEX('CBECS_Table B5'!$C$6:$K$6,1,MATCH('County Climates'!E2672,'CBECS_Table B5'!$C$1:$K$1,0))</f>
        <v>11394</v>
      </c>
    </row>
    <row r="2673" spans="1:6" x14ac:dyDescent="0.25">
      <c r="A2673" t="s">
        <v>1952</v>
      </c>
      <c r="B2673" t="s">
        <v>1953</v>
      </c>
      <c r="C2673" t="s">
        <v>1978</v>
      </c>
      <c r="D2673" t="s">
        <v>247</v>
      </c>
      <c r="E2673" t="str">
        <f>INDEX('State Codes'!$E$7:$E$70,MATCH(INDEX('State Codes'!$C$7:$C$70,MATCH('County Climates'!B2673,'State Codes'!$D$7:$D$70,0),1),'State Codes'!$C$7:$C$70,0),1)</f>
        <v>West South Central Division</v>
      </c>
      <c r="F2673">
        <f>INDEX('CBECS_Table B5'!$C$6:$K$6,1,MATCH('County Climates'!E2673,'CBECS_Table B5'!$C$1:$K$1,0))</f>
        <v>11394</v>
      </c>
    </row>
    <row r="2674" spans="1:6" x14ac:dyDescent="0.25">
      <c r="A2674" t="s">
        <v>1952</v>
      </c>
      <c r="B2674" t="s">
        <v>1953</v>
      </c>
      <c r="C2674" t="s">
        <v>1525</v>
      </c>
      <c r="D2674" t="s">
        <v>247</v>
      </c>
      <c r="E2674" t="str">
        <f>INDEX('State Codes'!$E$7:$E$70,MATCH(INDEX('State Codes'!$C$7:$C$70,MATCH('County Climates'!B2674,'State Codes'!$D$7:$D$70,0),1),'State Codes'!$C$7:$C$70,0),1)</f>
        <v>West South Central Division</v>
      </c>
      <c r="F2674">
        <f>INDEX('CBECS_Table B5'!$C$6:$K$6,1,MATCH('County Climates'!E2674,'CBECS_Table B5'!$C$1:$K$1,0))</f>
        <v>11394</v>
      </c>
    </row>
    <row r="2675" spans="1:6" x14ac:dyDescent="0.25">
      <c r="A2675" t="s">
        <v>1952</v>
      </c>
      <c r="B2675" t="s">
        <v>1953</v>
      </c>
      <c r="C2675" t="s">
        <v>1979</v>
      </c>
      <c r="D2675" t="s">
        <v>247</v>
      </c>
      <c r="E2675" t="str">
        <f>INDEX('State Codes'!$E$7:$E$70,MATCH(INDEX('State Codes'!$C$7:$C$70,MATCH('County Climates'!B2675,'State Codes'!$D$7:$D$70,0),1),'State Codes'!$C$7:$C$70,0),1)</f>
        <v>West South Central Division</v>
      </c>
      <c r="F2675">
        <f>INDEX('CBECS_Table B5'!$C$6:$K$6,1,MATCH('County Climates'!E2675,'CBECS_Table B5'!$C$1:$K$1,0))</f>
        <v>11394</v>
      </c>
    </row>
    <row r="2676" spans="1:6" x14ac:dyDescent="0.25">
      <c r="A2676" t="s">
        <v>1952</v>
      </c>
      <c r="B2676" t="s">
        <v>1953</v>
      </c>
      <c r="C2676" t="s">
        <v>1232</v>
      </c>
      <c r="D2676" t="s">
        <v>247</v>
      </c>
      <c r="E2676" t="str">
        <f>INDEX('State Codes'!$E$7:$E$70,MATCH(INDEX('State Codes'!$C$7:$C$70,MATCH('County Climates'!B2676,'State Codes'!$D$7:$D$70,0),1),'State Codes'!$C$7:$C$70,0),1)</f>
        <v>West South Central Division</v>
      </c>
      <c r="F2676">
        <f>INDEX('CBECS_Table B5'!$C$6:$K$6,1,MATCH('County Climates'!E2676,'CBECS_Table B5'!$C$1:$K$1,0))</f>
        <v>11394</v>
      </c>
    </row>
    <row r="2677" spans="1:6" x14ac:dyDescent="0.25">
      <c r="A2677" t="s">
        <v>1952</v>
      </c>
      <c r="B2677" t="s">
        <v>1953</v>
      </c>
      <c r="C2677" t="s">
        <v>869</v>
      </c>
      <c r="D2677" t="s">
        <v>357</v>
      </c>
      <c r="E2677" t="str">
        <f>INDEX('State Codes'!$E$7:$E$70,MATCH(INDEX('State Codes'!$C$7:$C$70,MATCH('County Climates'!B2677,'State Codes'!$D$7:$D$70,0),1),'State Codes'!$C$7:$C$70,0),1)</f>
        <v>West South Central Division</v>
      </c>
      <c r="F2677">
        <f>INDEX('CBECS_Table B5'!$C$6:$K$6,1,MATCH('County Climates'!E2677,'CBECS_Table B5'!$C$1:$K$1,0))</f>
        <v>11394</v>
      </c>
    </row>
    <row r="2678" spans="1:6" x14ac:dyDescent="0.25">
      <c r="A2678" t="s">
        <v>1952</v>
      </c>
      <c r="B2678" t="s">
        <v>1953</v>
      </c>
      <c r="C2678" t="s">
        <v>1980</v>
      </c>
      <c r="D2678" t="s">
        <v>247</v>
      </c>
      <c r="E2678" t="str">
        <f>INDEX('State Codes'!$E$7:$E$70,MATCH(INDEX('State Codes'!$C$7:$C$70,MATCH('County Climates'!B2678,'State Codes'!$D$7:$D$70,0),1),'State Codes'!$C$7:$C$70,0),1)</f>
        <v>West South Central Division</v>
      </c>
      <c r="F2678">
        <f>INDEX('CBECS_Table B5'!$C$6:$K$6,1,MATCH('County Climates'!E2678,'CBECS_Table B5'!$C$1:$K$1,0))</f>
        <v>11394</v>
      </c>
    </row>
    <row r="2679" spans="1:6" x14ac:dyDescent="0.25">
      <c r="A2679" t="s">
        <v>1952</v>
      </c>
      <c r="B2679" t="s">
        <v>1953</v>
      </c>
      <c r="C2679" t="s">
        <v>1981</v>
      </c>
      <c r="D2679" t="s">
        <v>247</v>
      </c>
      <c r="E2679" t="str">
        <f>INDEX('State Codes'!$E$7:$E$70,MATCH(INDEX('State Codes'!$C$7:$C$70,MATCH('County Climates'!B2679,'State Codes'!$D$7:$D$70,0),1),'State Codes'!$C$7:$C$70,0),1)</f>
        <v>West South Central Division</v>
      </c>
      <c r="F2679">
        <f>INDEX('CBECS_Table B5'!$C$6:$K$6,1,MATCH('County Climates'!E2679,'CBECS_Table B5'!$C$1:$K$1,0))</f>
        <v>11394</v>
      </c>
    </row>
    <row r="2680" spans="1:6" x14ac:dyDescent="0.25">
      <c r="A2680" t="s">
        <v>1952</v>
      </c>
      <c r="B2680" t="s">
        <v>1953</v>
      </c>
      <c r="C2680" t="s">
        <v>1982</v>
      </c>
      <c r="D2680" t="s">
        <v>247</v>
      </c>
      <c r="E2680" t="str">
        <f>INDEX('State Codes'!$E$7:$E$70,MATCH(INDEX('State Codes'!$C$7:$C$70,MATCH('County Climates'!B2680,'State Codes'!$D$7:$D$70,0),1),'State Codes'!$C$7:$C$70,0),1)</f>
        <v>West South Central Division</v>
      </c>
      <c r="F2680">
        <f>INDEX('CBECS_Table B5'!$C$6:$K$6,1,MATCH('County Climates'!E2680,'CBECS_Table B5'!$C$1:$K$1,0))</f>
        <v>11394</v>
      </c>
    </row>
    <row r="2681" spans="1:6" x14ac:dyDescent="0.25">
      <c r="A2681" t="s">
        <v>1952</v>
      </c>
      <c r="B2681" t="s">
        <v>1953</v>
      </c>
      <c r="C2681" t="s">
        <v>308</v>
      </c>
      <c r="D2681" t="s">
        <v>247</v>
      </c>
      <c r="E2681" t="str">
        <f>INDEX('State Codes'!$E$7:$E$70,MATCH(INDEX('State Codes'!$C$7:$C$70,MATCH('County Climates'!B2681,'State Codes'!$D$7:$D$70,0),1),'State Codes'!$C$7:$C$70,0),1)</f>
        <v>West South Central Division</v>
      </c>
      <c r="F2681">
        <f>INDEX('CBECS_Table B5'!$C$6:$K$6,1,MATCH('County Climates'!E2681,'CBECS_Table B5'!$C$1:$K$1,0))</f>
        <v>11394</v>
      </c>
    </row>
    <row r="2682" spans="1:6" x14ac:dyDescent="0.25">
      <c r="A2682" t="s">
        <v>1952</v>
      </c>
      <c r="B2682" t="s">
        <v>1953</v>
      </c>
      <c r="C2682" t="s">
        <v>1983</v>
      </c>
      <c r="D2682" t="s">
        <v>247</v>
      </c>
      <c r="E2682" t="str">
        <f>INDEX('State Codes'!$E$7:$E$70,MATCH(INDEX('State Codes'!$C$7:$C$70,MATCH('County Climates'!B2682,'State Codes'!$D$7:$D$70,0),1),'State Codes'!$C$7:$C$70,0),1)</f>
        <v>West South Central Division</v>
      </c>
      <c r="F2682">
        <f>INDEX('CBECS_Table B5'!$C$6:$K$6,1,MATCH('County Climates'!E2682,'CBECS_Table B5'!$C$1:$K$1,0))</f>
        <v>11394</v>
      </c>
    </row>
    <row r="2683" spans="1:6" x14ac:dyDescent="0.25">
      <c r="A2683" t="s">
        <v>1952</v>
      </c>
      <c r="B2683" t="s">
        <v>1953</v>
      </c>
      <c r="C2683" t="s">
        <v>1984</v>
      </c>
      <c r="D2683" t="s">
        <v>247</v>
      </c>
      <c r="E2683" t="str">
        <f>INDEX('State Codes'!$E$7:$E$70,MATCH(INDEX('State Codes'!$C$7:$C$70,MATCH('County Climates'!B2683,'State Codes'!$D$7:$D$70,0),1),'State Codes'!$C$7:$C$70,0),1)</f>
        <v>West South Central Division</v>
      </c>
      <c r="F2683">
        <f>INDEX('CBECS_Table B5'!$C$6:$K$6,1,MATCH('County Climates'!E2683,'CBECS_Table B5'!$C$1:$K$1,0))</f>
        <v>11394</v>
      </c>
    </row>
    <row r="2684" spans="1:6" x14ac:dyDescent="0.25">
      <c r="A2684" t="s">
        <v>1952</v>
      </c>
      <c r="B2684" t="s">
        <v>1953</v>
      </c>
      <c r="C2684" t="s">
        <v>1985</v>
      </c>
      <c r="D2684" t="s">
        <v>247</v>
      </c>
      <c r="E2684" t="str">
        <f>INDEX('State Codes'!$E$7:$E$70,MATCH(INDEX('State Codes'!$C$7:$C$70,MATCH('County Climates'!B2684,'State Codes'!$D$7:$D$70,0),1),'State Codes'!$C$7:$C$70,0),1)</f>
        <v>West South Central Division</v>
      </c>
      <c r="F2684">
        <f>INDEX('CBECS_Table B5'!$C$6:$K$6,1,MATCH('County Climates'!E2684,'CBECS_Table B5'!$C$1:$K$1,0))</f>
        <v>11394</v>
      </c>
    </row>
    <row r="2685" spans="1:6" x14ac:dyDescent="0.25">
      <c r="A2685" t="s">
        <v>1986</v>
      </c>
      <c r="B2685" t="s">
        <v>1802</v>
      </c>
      <c r="C2685" t="s">
        <v>427</v>
      </c>
      <c r="D2685" t="s">
        <v>228</v>
      </c>
      <c r="E2685" t="str">
        <f>INDEX('State Codes'!$E$7:$E$70,MATCH(INDEX('State Codes'!$C$7:$C$70,MATCH('County Climates'!B2685,'State Codes'!$D$7:$D$70,0),1),'State Codes'!$C$7:$C$70,0),1)</f>
        <v>Pacific Division</v>
      </c>
      <c r="F2685">
        <f>INDEX('CBECS_Table B5'!$C$6:$K$6,1,MATCH('County Climates'!E2685,'CBECS_Table B5'!$C$1:$K$1,0))</f>
        <v>13379</v>
      </c>
    </row>
    <row r="2686" spans="1:6" x14ac:dyDescent="0.25">
      <c r="A2686" t="s">
        <v>1986</v>
      </c>
      <c r="B2686" t="s">
        <v>1802</v>
      </c>
      <c r="C2686" t="s">
        <v>575</v>
      </c>
      <c r="D2686" t="s">
        <v>227</v>
      </c>
      <c r="E2686" t="str">
        <f>INDEX('State Codes'!$E$7:$E$70,MATCH(INDEX('State Codes'!$C$7:$C$70,MATCH('County Climates'!B2686,'State Codes'!$D$7:$D$70,0),1),'State Codes'!$C$7:$C$70,0),1)</f>
        <v>Pacific Division</v>
      </c>
      <c r="F2686">
        <f>INDEX('CBECS_Table B5'!$C$6:$K$6,1,MATCH('County Climates'!E2686,'CBECS_Table B5'!$C$1:$K$1,0))</f>
        <v>13379</v>
      </c>
    </row>
    <row r="2687" spans="1:6" x14ac:dyDescent="0.25">
      <c r="A2687" t="s">
        <v>1987</v>
      </c>
      <c r="B2687" t="s">
        <v>1988</v>
      </c>
      <c r="C2687" t="s">
        <v>1579</v>
      </c>
      <c r="D2687" t="s">
        <v>228</v>
      </c>
      <c r="E2687" t="str">
        <f>INDEX('State Codes'!$E$7:$E$70,MATCH(INDEX('State Codes'!$C$7:$C$70,MATCH('County Climates'!B2687,'State Codes'!$D$7:$D$70,0),1),'State Codes'!$C$7:$C$70,0),1)</f>
        <v>Middle Atlantic Division</v>
      </c>
      <c r="F2687">
        <f>INDEX('CBECS_Table B5'!$C$6:$K$6,1,MATCH('County Climates'!E2687,'CBECS_Table B5'!$C$1:$K$1,0))</f>
        <v>11232</v>
      </c>
    </row>
    <row r="2688" spans="1:6" x14ac:dyDescent="0.25">
      <c r="A2688" t="s">
        <v>1987</v>
      </c>
      <c r="B2688" t="s">
        <v>1988</v>
      </c>
      <c r="C2688" t="s">
        <v>280</v>
      </c>
      <c r="D2688" t="s">
        <v>228</v>
      </c>
      <c r="E2688" t="str">
        <f>INDEX('State Codes'!$E$7:$E$70,MATCH(INDEX('State Codes'!$C$7:$C$70,MATCH('County Climates'!B2688,'State Codes'!$D$7:$D$70,0),1),'State Codes'!$C$7:$C$70,0),1)</f>
        <v>Middle Atlantic Division</v>
      </c>
      <c r="F2688">
        <f>INDEX('CBECS_Table B5'!$C$6:$K$6,1,MATCH('County Climates'!E2688,'CBECS_Table B5'!$C$1:$K$1,0))</f>
        <v>11232</v>
      </c>
    </row>
    <row r="2689" spans="1:6" x14ac:dyDescent="0.25">
      <c r="A2689" t="s">
        <v>1987</v>
      </c>
      <c r="B2689" t="s">
        <v>1988</v>
      </c>
      <c r="C2689" t="s">
        <v>1989</v>
      </c>
      <c r="D2689" t="s">
        <v>228</v>
      </c>
      <c r="E2689" t="str">
        <f>INDEX('State Codes'!$E$7:$E$70,MATCH(INDEX('State Codes'!$C$7:$C$70,MATCH('County Climates'!B2689,'State Codes'!$D$7:$D$70,0),1),'State Codes'!$C$7:$C$70,0),1)</f>
        <v>Middle Atlantic Division</v>
      </c>
      <c r="F2689">
        <f>INDEX('CBECS_Table B5'!$C$6:$K$6,1,MATCH('County Climates'!E2689,'CBECS_Table B5'!$C$1:$K$1,0))</f>
        <v>11232</v>
      </c>
    </row>
    <row r="2690" spans="1:6" x14ac:dyDescent="0.25">
      <c r="A2690" t="s">
        <v>1987</v>
      </c>
      <c r="B2690" t="s">
        <v>1988</v>
      </c>
      <c r="C2690" t="s">
        <v>1990</v>
      </c>
      <c r="D2690" t="s">
        <v>228</v>
      </c>
      <c r="E2690" t="str">
        <f>INDEX('State Codes'!$E$7:$E$70,MATCH(INDEX('State Codes'!$C$7:$C$70,MATCH('County Climates'!B2690,'State Codes'!$D$7:$D$70,0),1),'State Codes'!$C$7:$C$70,0),1)</f>
        <v>Middle Atlantic Division</v>
      </c>
      <c r="F2690">
        <f>INDEX('CBECS_Table B5'!$C$6:$K$6,1,MATCH('County Climates'!E2690,'CBECS_Table B5'!$C$1:$K$1,0))</f>
        <v>11232</v>
      </c>
    </row>
    <row r="2691" spans="1:6" x14ac:dyDescent="0.25">
      <c r="A2691" t="s">
        <v>1987</v>
      </c>
      <c r="B2691" t="s">
        <v>1988</v>
      </c>
      <c r="C2691" t="s">
        <v>905</v>
      </c>
      <c r="D2691" t="s">
        <v>228</v>
      </c>
      <c r="E2691" t="str">
        <f>INDEX('State Codes'!$E$7:$E$70,MATCH(INDEX('State Codes'!$C$7:$C$70,MATCH('County Climates'!B2691,'State Codes'!$D$7:$D$70,0),1),'State Codes'!$C$7:$C$70,0),1)</f>
        <v>Middle Atlantic Division</v>
      </c>
      <c r="F2691">
        <f>INDEX('CBECS_Table B5'!$C$6:$K$6,1,MATCH('County Climates'!E2691,'CBECS_Table B5'!$C$1:$K$1,0))</f>
        <v>11232</v>
      </c>
    </row>
    <row r="2692" spans="1:6" x14ac:dyDescent="0.25">
      <c r="A2692" t="s">
        <v>1987</v>
      </c>
      <c r="B2692" t="s">
        <v>1988</v>
      </c>
      <c r="C2692" t="s">
        <v>283</v>
      </c>
      <c r="D2692" t="s">
        <v>228</v>
      </c>
      <c r="E2692" t="str">
        <f>INDEX('State Codes'!$E$7:$E$70,MATCH(INDEX('State Codes'!$C$7:$C$70,MATCH('County Climates'!B2692,'State Codes'!$D$7:$D$70,0),1),'State Codes'!$C$7:$C$70,0),1)</f>
        <v>Middle Atlantic Division</v>
      </c>
      <c r="F2692">
        <f>INDEX('CBECS_Table B5'!$C$6:$K$6,1,MATCH('County Climates'!E2692,'CBECS_Table B5'!$C$1:$K$1,0))</f>
        <v>11232</v>
      </c>
    </row>
    <row r="2693" spans="1:6" x14ac:dyDescent="0.25">
      <c r="A2693" t="s">
        <v>1987</v>
      </c>
      <c r="B2693" t="s">
        <v>1988</v>
      </c>
      <c r="C2693" t="s">
        <v>1991</v>
      </c>
      <c r="D2693" t="s">
        <v>228</v>
      </c>
      <c r="E2693" t="str">
        <f>INDEX('State Codes'!$E$7:$E$70,MATCH(INDEX('State Codes'!$C$7:$C$70,MATCH('County Climates'!B2693,'State Codes'!$D$7:$D$70,0),1),'State Codes'!$C$7:$C$70,0),1)</f>
        <v>Middle Atlantic Division</v>
      </c>
      <c r="F2693">
        <f>INDEX('CBECS_Table B5'!$C$6:$K$6,1,MATCH('County Climates'!E2693,'CBECS_Table B5'!$C$1:$K$1,0))</f>
        <v>11232</v>
      </c>
    </row>
    <row r="2694" spans="1:6" x14ac:dyDescent="0.25">
      <c r="A2694" t="s">
        <v>1987</v>
      </c>
      <c r="B2694" t="s">
        <v>1988</v>
      </c>
      <c r="C2694" t="s">
        <v>1992</v>
      </c>
      <c r="D2694" t="s">
        <v>228</v>
      </c>
      <c r="E2694" t="str">
        <f>INDEX('State Codes'!$E$7:$E$70,MATCH(INDEX('State Codes'!$C$7:$C$70,MATCH('County Climates'!B2694,'State Codes'!$D$7:$D$70,0),1),'State Codes'!$C$7:$C$70,0),1)</f>
        <v>Middle Atlantic Division</v>
      </c>
      <c r="F2694">
        <f>INDEX('CBECS_Table B5'!$C$6:$K$6,1,MATCH('County Climates'!E2694,'CBECS_Table B5'!$C$1:$K$1,0))</f>
        <v>11232</v>
      </c>
    </row>
    <row r="2695" spans="1:6" x14ac:dyDescent="0.25">
      <c r="A2695" t="s">
        <v>1987</v>
      </c>
      <c r="B2695" t="s">
        <v>1988</v>
      </c>
      <c r="C2695" t="s">
        <v>1993</v>
      </c>
      <c r="D2695" t="s">
        <v>228</v>
      </c>
      <c r="E2695" t="str">
        <f>INDEX('State Codes'!$E$7:$E$70,MATCH(INDEX('State Codes'!$C$7:$C$70,MATCH('County Climates'!B2695,'State Codes'!$D$7:$D$70,0),1),'State Codes'!$C$7:$C$70,0),1)</f>
        <v>Middle Atlantic Division</v>
      </c>
      <c r="F2695">
        <f>INDEX('CBECS_Table B5'!$C$6:$K$6,1,MATCH('County Climates'!E2695,'CBECS_Table B5'!$C$1:$K$1,0))</f>
        <v>11232</v>
      </c>
    </row>
    <row r="2696" spans="1:6" x14ac:dyDescent="0.25">
      <c r="A2696" t="s">
        <v>1987</v>
      </c>
      <c r="B2696" t="s">
        <v>1988</v>
      </c>
      <c r="C2696" t="s">
        <v>1994</v>
      </c>
      <c r="D2696" t="s">
        <v>228</v>
      </c>
      <c r="E2696" t="str">
        <f>INDEX('State Codes'!$E$7:$E$70,MATCH(INDEX('State Codes'!$C$7:$C$70,MATCH('County Climates'!B2696,'State Codes'!$D$7:$D$70,0),1),'State Codes'!$C$7:$C$70,0),1)</f>
        <v>Middle Atlantic Division</v>
      </c>
      <c r="F2696">
        <f>INDEX('CBECS_Table B5'!$C$6:$K$6,1,MATCH('County Climates'!E2696,'CBECS_Table B5'!$C$1:$K$1,0))</f>
        <v>11232</v>
      </c>
    </row>
    <row r="2697" spans="1:6" x14ac:dyDescent="0.25">
      <c r="A2697" t="s">
        <v>1987</v>
      </c>
      <c r="B2697" t="s">
        <v>1988</v>
      </c>
      <c r="C2697" t="s">
        <v>1995</v>
      </c>
      <c r="D2697" t="s">
        <v>228</v>
      </c>
      <c r="E2697" t="str">
        <f>INDEX('State Codes'!$E$7:$E$70,MATCH(INDEX('State Codes'!$C$7:$C$70,MATCH('County Climates'!B2697,'State Codes'!$D$7:$D$70,0),1),'State Codes'!$C$7:$C$70,0),1)</f>
        <v>Middle Atlantic Division</v>
      </c>
      <c r="F2697">
        <f>INDEX('CBECS_Table B5'!$C$6:$K$6,1,MATCH('County Climates'!E2697,'CBECS_Table B5'!$C$1:$K$1,0))</f>
        <v>11232</v>
      </c>
    </row>
    <row r="2698" spans="1:6" x14ac:dyDescent="0.25">
      <c r="A2698" t="s">
        <v>1987</v>
      </c>
      <c r="B2698" t="s">
        <v>1988</v>
      </c>
      <c r="C2698" t="s">
        <v>551</v>
      </c>
      <c r="D2698" t="s">
        <v>228</v>
      </c>
      <c r="E2698" t="str">
        <f>INDEX('State Codes'!$E$7:$E$70,MATCH(INDEX('State Codes'!$C$7:$C$70,MATCH('County Climates'!B2698,'State Codes'!$D$7:$D$70,0),1),'State Codes'!$C$7:$C$70,0),1)</f>
        <v>Middle Atlantic Division</v>
      </c>
      <c r="F2698">
        <f>INDEX('CBECS_Table B5'!$C$6:$K$6,1,MATCH('County Climates'!E2698,'CBECS_Table B5'!$C$1:$K$1,0))</f>
        <v>11232</v>
      </c>
    </row>
    <row r="2699" spans="1:6" x14ac:dyDescent="0.25">
      <c r="A2699" t="s">
        <v>1987</v>
      </c>
      <c r="B2699" t="s">
        <v>1988</v>
      </c>
      <c r="C2699" t="s">
        <v>1996</v>
      </c>
      <c r="D2699" t="s">
        <v>228</v>
      </c>
      <c r="E2699" t="str">
        <f>INDEX('State Codes'!$E$7:$E$70,MATCH(INDEX('State Codes'!$C$7:$C$70,MATCH('County Climates'!B2699,'State Codes'!$D$7:$D$70,0),1),'State Codes'!$C$7:$C$70,0),1)</f>
        <v>Middle Atlantic Division</v>
      </c>
      <c r="F2699">
        <f>INDEX('CBECS_Table B5'!$C$6:$K$6,1,MATCH('County Climates'!E2699,'CBECS_Table B5'!$C$1:$K$1,0))</f>
        <v>11232</v>
      </c>
    </row>
    <row r="2700" spans="1:6" x14ac:dyDescent="0.25">
      <c r="A2700" t="s">
        <v>1987</v>
      </c>
      <c r="B2700" t="s">
        <v>1988</v>
      </c>
      <c r="C2700" t="s">
        <v>293</v>
      </c>
      <c r="D2700" t="s">
        <v>228</v>
      </c>
      <c r="E2700" t="str">
        <f>INDEX('State Codes'!$E$7:$E$70,MATCH(INDEX('State Codes'!$C$7:$C$70,MATCH('County Climates'!B2700,'State Codes'!$D$7:$D$70,0),1),'State Codes'!$C$7:$C$70,0),1)</f>
        <v>Middle Atlantic Division</v>
      </c>
      <c r="F2700">
        <f>INDEX('CBECS_Table B5'!$C$6:$K$6,1,MATCH('County Climates'!E2700,'CBECS_Table B5'!$C$1:$K$1,0))</f>
        <v>11232</v>
      </c>
    </row>
    <row r="2701" spans="1:6" x14ac:dyDescent="0.25">
      <c r="A2701" t="s">
        <v>1987</v>
      </c>
      <c r="B2701" t="s">
        <v>1988</v>
      </c>
      <c r="C2701" t="s">
        <v>294</v>
      </c>
      <c r="D2701" t="s">
        <v>247</v>
      </c>
      <c r="E2701" t="str">
        <f>INDEX('State Codes'!$E$7:$E$70,MATCH(INDEX('State Codes'!$C$7:$C$70,MATCH('County Climates'!B2701,'State Codes'!$D$7:$D$70,0),1),'State Codes'!$C$7:$C$70,0),1)</f>
        <v>Middle Atlantic Division</v>
      </c>
      <c r="F2701">
        <f>INDEX('CBECS_Table B5'!$C$6:$K$6,1,MATCH('County Climates'!E2701,'CBECS_Table B5'!$C$1:$K$1,0))</f>
        <v>11232</v>
      </c>
    </row>
    <row r="2702" spans="1:6" x14ac:dyDescent="0.25">
      <c r="A2702" t="s">
        <v>1987</v>
      </c>
      <c r="B2702" t="s">
        <v>1988</v>
      </c>
      <c r="C2702" t="s">
        <v>1997</v>
      </c>
      <c r="D2702" t="s">
        <v>228</v>
      </c>
      <c r="E2702" t="str">
        <f>INDEX('State Codes'!$E$7:$E$70,MATCH(INDEX('State Codes'!$C$7:$C$70,MATCH('County Climates'!B2702,'State Codes'!$D$7:$D$70,0),1),'State Codes'!$C$7:$C$70,0),1)</f>
        <v>Middle Atlantic Division</v>
      </c>
      <c r="F2702">
        <f>INDEX('CBECS_Table B5'!$C$6:$K$6,1,MATCH('County Climates'!E2702,'CBECS_Table B5'!$C$1:$K$1,0))</f>
        <v>11232</v>
      </c>
    </row>
    <row r="2703" spans="1:6" x14ac:dyDescent="0.25">
      <c r="A2703" t="s">
        <v>1987</v>
      </c>
      <c r="B2703" t="s">
        <v>1988</v>
      </c>
      <c r="C2703" t="s">
        <v>988</v>
      </c>
      <c r="D2703" t="s">
        <v>228</v>
      </c>
      <c r="E2703" t="str">
        <f>INDEX('State Codes'!$E$7:$E$70,MATCH(INDEX('State Codes'!$C$7:$C$70,MATCH('County Climates'!B2703,'State Codes'!$D$7:$D$70,0),1),'State Codes'!$C$7:$C$70,0),1)</f>
        <v>Middle Atlantic Division</v>
      </c>
      <c r="F2703">
        <f>INDEX('CBECS_Table B5'!$C$6:$K$6,1,MATCH('County Climates'!E2703,'CBECS_Table B5'!$C$1:$K$1,0))</f>
        <v>11232</v>
      </c>
    </row>
    <row r="2704" spans="1:6" x14ac:dyDescent="0.25">
      <c r="A2704" t="s">
        <v>1987</v>
      </c>
      <c r="B2704" t="s">
        <v>1988</v>
      </c>
      <c r="C2704" t="s">
        <v>1316</v>
      </c>
      <c r="D2704" t="s">
        <v>228</v>
      </c>
      <c r="E2704" t="str">
        <f>INDEX('State Codes'!$E$7:$E$70,MATCH(INDEX('State Codes'!$C$7:$C$70,MATCH('County Climates'!B2704,'State Codes'!$D$7:$D$70,0),1),'State Codes'!$C$7:$C$70,0),1)</f>
        <v>Middle Atlantic Division</v>
      </c>
      <c r="F2704">
        <f>INDEX('CBECS_Table B5'!$C$6:$K$6,1,MATCH('County Climates'!E2704,'CBECS_Table B5'!$C$1:$K$1,0))</f>
        <v>11232</v>
      </c>
    </row>
    <row r="2705" spans="1:6" x14ac:dyDescent="0.25">
      <c r="A2705" t="s">
        <v>1987</v>
      </c>
      <c r="B2705" t="s">
        <v>1988</v>
      </c>
      <c r="C2705" t="s">
        <v>296</v>
      </c>
      <c r="D2705" t="s">
        <v>228</v>
      </c>
      <c r="E2705" t="str">
        <f>INDEX('State Codes'!$E$7:$E$70,MATCH(INDEX('State Codes'!$C$7:$C$70,MATCH('County Climates'!B2705,'State Codes'!$D$7:$D$70,0),1),'State Codes'!$C$7:$C$70,0),1)</f>
        <v>Middle Atlantic Division</v>
      </c>
      <c r="F2705">
        <f>INDEX('CBECS_Table B5'!$C$6:$K$6,1,MATCH('County Climates'!E2705,'CBECS_Table B5'!$C$1:$K$1,0))</f>
        <v>11232</v>
      </c>
    </row>
    <row r="2706" spans="1:6" x14ac:dyDescent="0.25">
      <c r="A2706" t="s">
        <v>1987</v>
      </c>
      <c r="B2706" t="s">
        <v>1988</v>
      </c>
      <c r="C2706" t="s">
        <v>1998</v>
      </c>
      <c r="D2706" t="s">
        <v>247</v>
      </c>
      <c r="E2706" t="str">
        <f>INDEX('State Codes'!$E$7:$E$70,MATCH(INDEX('State Codes'!$C$7:$C$70,MATCH('County Climates'!B2706,'State Codes'!$D$7:$D$70,0),1),'State Codes'!$C$7:$C$70,0),1)</f>
        <v>Middle Atlantic Division</v>
      </c>
      <c r="F2706">
        <f>INDEX('CBECS_Table B5'!$C$6:$K$6,1,MATCH('County Climates'!E2706,'CBECS_Table B5'!$C$1:$K$1,0))</f>
        <v>11232</v>
      </c>
    </row>
    <row r="2707" spans="1:6" x14ac:dyDescent="0.25">
      <c r="A2707" t="s">
        <v>1987</v>
      </c>
      <c r="B2707" t="s">
        <v>1988</v>
      </c>
      <c r="C2707" t="s">
        <v>298</v>
      </c>
      <c r="D2707" t="s">
        <v>228</v>
      </c>
      <c r="E2707" t="str">
        <f>INDEX('State Codes'!$E$7:$E$70,MATCH(INDEX('State Codes'!$C$7:$C$70,MATCH('County Climates'!B2707,'State Codes'!$D$7:$D$70,0),1),'State Codes'!$C$7:$C$70,0),1)</f>
        <v>Middle Atlantic Division</v>
      </c>
      <c r="F2707">
        <f>INDEX('CBECS_Table B5'!$C$6:$K$6,1,MATCH('County Climates'!E2707,'CBECS_Table B5'!$C$1:$K$1,0))</f>
        <v>11232</v>
      </c>
    </row>
    <row r="2708" spans="1:6" x14ac:dyDescent="0.25">
      <c r="A2708" t="s">
        <v>1987</v>
      </c>
      <c r="B2708" t="s">
        <v>1988</v>
      </c>
      <c r="C2708" t="s">
        <v>1999</v>
      </c>
      <c r="D2708" t="s">
        <v>228</v>
      </c>
      <c r="E2708" t="str">
        <f>INDEX('State Codes'!$E$7:$E$70,MATCH(INDEX('State Codes'!$C$7:$C$70,MATCH('County Climates'!B2708,'State Codes'!$D$7:$D$70,0),1),'State Codes'!$C$7:$C$70,0),1)</f>
        <v>Middle Atlantic Division</v>
      </c>
      <c r="F2708">
        <f>INDEX('CBECS_Table B5'!$C$6:$K$6,1,MATCH('County Climates'!E2708,'CBECS_Table B5'!$C$1:$K$1,0))</f>
        <v>11232</v>
      </c>
    </row>
    <row r="2709" spans="1:6" x14ac:dyDescent="0.25">
      <c r="A2709" t="s">
        <v>1987</v>
      </c>
      <c r="B2709" t="s">
        <v>1988</v>
      </c>
      <c r="C2709" t="s">
        <v>2000</v>
      </c>
      <c r="D2709" t="s">
        <v>228</v>
      </c>
      <c r="E2709" t="str">
        <f>INDEX('State Codes'!$E$7:$E$70,MATCH(INDEX('State Codes'!$C$7:$C$70,MATCH('County Climates'!B2709,'State Codes'!$D$7:$D$70,0),1),'State Codes'!$C$7:$C$70,0),1)</f>
        <v>Middle Atlantic Division</v>
      </c>
      <c r="F2709">
        <f>INDEX('CBECS_Table B5'!$C$6:$K$6,1,MATCH('County Climates'!E2709,'CBECS_Table B5'!$C$1:$K$1,0))</f>
        <v>11232</v>
      </c>
    </row>
    <row r="2710" spans="1:6" x14ac:dyDescent="0.25">
      <c r="A2710" t="s">
        <v>1987</v>
      </c>
      <c r="B2710" t="s">
        <v>1988</v>
      </c>
      <c r="C2710" t="s">
        <v>2001</v>
      </c>
      <c r="D2710" t="s">
        <v>228</v>
      </c>
      <c r="E2710" t="str">
        <f>INDEX('State Codes'!$E$7:$E$70,MATCH(INDEX('State Codes'!$C$7:$C$70,MATCH('County Climates'!B2710,'State Codes'!$D$7:$D$70,0),1),'State Codes'!$C$7:$C$70,0),1)</f>
        <v>Middle Atlantic Division</v>
      </c>
      <c r="F2710">
        <f>INDEX('CBECS_Table B5'!$C$6:$K$6,1,MATCH('County Climates'!E2710,'CBECS_Table B5'!$C$1:$K$1,0))</f>
        <v>11232</v>
      </c>
    </row>
    <row r="2711" spans="1:6" x14ac:dyDescent="0.25">
      <c r="A2711" t="s">
        <v>1987</v>
      </c>
      <c r="B2711" t="s">
        <v>1988</v>
      </c>
      <c r="C2711" t="s">
        <v>726</v>
      </c>
      <c r="D2711" t="s">
        <v>228</v>
      </c>
      <c r="E2711" t="str">
        <f>INDEX('State Codes'!$E$7:$E$70,MATCH(INDEX('State Codes'!$C$7:$C$70,MATCH('County Climates'!B2711,'State Codes'!$D$7:$D$70,0),1),'State Codes'!$C$7:$C$70,0),1)</f>
        <v>Middle Atlantic Division</v>
      </c>
      <c r="F2711">
        <f>INDEX('CBECS_Table B5'!$C$6:$K$6,1,MATCH('County Climates'!E2711,'CBECS_Table B5'!$C$1:$K$1,0))</f>
        <v>11232</v>
      </c>
    </row>
    <row r="2712" spans="1:6" x14ac:dyDescent="0.25">
      <c r="A2712" t="s">
        <v>1987</v>
      </c>
      <c r="B2712" t="s">
        <v>1988</v>
      </c>
      <c r="C2712" t="s">
        <v>867</v>
      </c>
      <c r="D2712" t="s">
        <v>228</v>
      </c>
      <c r="E2712" t="str">
        <f>INDEX('State Codes'!$E$7:$E$70,MATCH(INDEX('State Codes'!$C$7:$C$70,MATCH('County Climates'!B2712,'State Codes'!$D$7:$D$70,0),1),'State Codes'!$C$7:$C$70,0),1)</f>
        <v>Middle Atlantic Division</v>
      </c>
      <c r="F2712">
        <f>INDEX('CBECS_Table B5'!$C$6:$K$6,1,MATCH('County Climates'!E2712,'CBECS_Table B5'!$C$1:$K$1,0))</f>
        <v>11232</v>
      </c>
    </row>
    <row r="2713" spans="1:6" x14ac:dyDescent="0.25">
      <c r="A2713" t="s">
        <v>1987</v>
      </c>
      <c r="B2713" t="s">
        <v>1988</v>
      </c>
      <c r="C2713" t="s">
        <v>2002</v>
      </c>
      <c r="D2713" t="s">
        <v>228</v>
      </c>
      <c r="E2713" t="str">
        <f>INDEX('State Codes'!$E$7:$E$70,MATCH(INDEX('State Codes'!$C$7:$C$70,MATCH('County Climates'!B2713,'State Codes'!$D$7:$D$70,0),1),'State Codes'!$C$7:$C$70,0),1)</f>
        <v>Middle Atlantic Division</v>
      </c>
      <c r="F2713">
        <f>INDEX('CBECS_Table B5'!$C$6:$K$6,1,MATCH('County Climates'!E2713,'CBECS_Table B5'!$C$1:$K$1,0))</f>
        <v>11232</v>
      </c>
    </row>
    <row r="2714" spans="1:6" x14ac:dyDescent="0.25">
      <c r="A2714" t="s">
        <v>1987</v>
      </c>
      <c r="B2714" t="s">
        <v>1988</v>
      </c>
      <c r="C2714" t="s">
        <v>980</v>
      </c>
      <c r="D2714" t="s">
        <v>228</v>
      </c>
      <c r="E2714" t="str">
        <f>INDEX('State Codes'!$E$7:$E$70,MATCH(INDEX('State Codes'!$C$7:$C$70,MATCH('County Climates'!B2714,'State Codes'!$D$7:$D$70,0),1),'State Codes'!$C$7:$C$70,0),1)</f>
        <v>Middle Atlantic Division</v>
      </c>
      <c r="F2714">
        <f>INDEX('CBECS_Table B5'!$C$6:$K$6,1,MATCH('County Climates'!E2714,'CBECS_Table B5'!$C$1:$K$1,0))</f>
        <v>11232</v>
      </c>
    </row>
    <row r="2715" spans="1:6" x14ac:dyDescent="0.25">
      <c r="A2715" t="s">
        <v>1987</v>
      </c>
      <c r="B2715" t="s">
        <v>1988</v>
      </c>
      <c r="C2715" t="s">
        <v>347</v>
      </c>
      <c r="D2715" t="s">
        <v>228</v>
      </c>
      <c r="E2715" t="str">
        <f>INDEX('State Codes'!$E$7:$E$70,MATCH(INDEX('State Codes'!$C$7:$C$70,MATCH('County Climates'!B2715,'State Codes'!$D$7:$D$70,0),1),'State Codes'!$C$7:$C$70,0),1)</f>
        <v>Middle Atlantic Division</v>
      </c>
      <c r="F2715">
        <f>INDEX('CBECS_Table B5'!$C$6:$K$6,1,MATCH('County Climates'!E2715,'CBECS_Table B5'!$C$1:$K$1,0))</f>
        <v>11232</v>
      </c>
    </row>
    <row r="2716" spans="1:6" x14ac:dyDescent="0.25">
      <c r="A2716" t="s">
        <v>1987</v>
      </c>
      <c r="B2716" t="s">
        <v>1988</v>
      </c>
      <c r="C2716" t="s">
        <v>2003</v>
      </c>
      <c r="D2716" t="s">
        <v>228</v>
      </c>
      <c r="E2716" t="str">
        <f>INDEX('State Codes'!$E$7:$E$70,MATCH(INDEX('State Codes'!$C$7:$C$70,MATCH('County Climates'!B2716,'State Codes'!$D$7:$D$70,0),1),'State Codes'!$C$7:$C$70,0),1)</f>
        <v>Middle Atlantic Division</v>
      </c>
      <c r="F2716">
        <f>INDEX('CBECS_Table B5'!$C$6:$K$6,1,MATCH('County Climates'!E2716,'CBECS_Table B5'!$C$1:$K$1,0))</f>
        <v>11232</v>
      </c>
    </row>
    <row r="2717" spans="1:6" x14ac:dyDescent="0.25">
      <c r="A2717" t="s">
        <v>1987</v>
      </c>
      <c r="B2717" t="s">
        <v>1988</v>
      </c>
      <c r="C2717" t="s">
        <v>497</v>
      </c>
      <c r="D2717" t="s">
        <v>228</v>
      </c>
      <c r="E2717" t="str">
        <f>INDEX('State Codes'!$E$7:$E$70,MATCH(INDEX('State Codes'!$C$7:$C$70,MATCH('County Climates'!B2717,'State Codes'!$D$7:$D$70,0),1),'State Codes'!$C$7:$C$70,0),1)</f>
        <v>Middle Atlantic Division</v>
      </c>
      <c r="F2717">
        <f>INDEX('CBECS_Table B5'!$C$6:$K$6,1,MATCH('County Climates'!E2717,'CBECS_Table B5'!$C$1:$K$1,0))</f>
        <v>11232</v>
      </c>
    </row>
    <row r="2718" spans="1:6" x14ac:dyDescent="0.25">
      <c r="A2718" t="s">
        <v>1987</v>
      </c>
      <c r="B2718" t="s">
        <v>1988</v>
      </c>
      <c r="C2718" t="s">
        <v>308</v>
      </c>
      <c r="D2718" t="s">
        <v>228</v>
      </c>
      <c r="E2718" t="str">
        <f>INDEX('State Codes'!$E$7:$E$70,MATCH(INDEX('State Codes'!$C$7:$C$70,MATCH('County Climates'!B2718,'State Codes'!$D$7:$D$70,0),1),'State Codes'!$C$7:$C$70,0),1)</f>
        <v>Middle Atlantic Division</v>
      </c>
      <c r="F2718">
        <f>INDEX('CBECS_Table B5'!$C$6:$K$6,1,MATCH('County Climates'!E2718,'CBECS_Table B5'!$C$1:$K$1,0))</f>
        <v>11232</v>
      </c>
    </row>
    <row r="2719" spans="1:6" x14ac:dyDescent="0.25">
      <c r="A2719" t="s">
        <v>1987</v>
      </c>
      <c r="B2719" t="s">
        <v>1988</v>
      </c>
      <c r="C2719" t="s">
        <v>498</v>
      </c>
      <c r="D2719" t="s">
        <v>228</v>
      </c>
      <c r="E2719" t="str">
        <f>INDEX('State Codes'!$E$7:$E$70,MATCH(INDEX('State Codes'!$C$7:$C$70,MATCH('County Climates'!B2719,'State Codes'!$D$7:$D$70,0),1),'State Codes'!$C$7:$C$70,0),1)</f>
        <v>Middle Atlantic Division</v>
      </c>
      <c r="F2719">
        <f>INDEX('CBECS_Table B5'!$C$6:$K$6,1,MATCH('County Climates'!E2719,'CBECS_Table B5'!$C$1:$K$1,0))</f>
        <v>11232</v>
      </c>
    </row>
    <row r="2720" spans="1:6" x14ac:dyDescent="0.25">
      <c r="A2720" t="s">
        <v>1987</v>
      </c>
      <c r="B2720" t="s">
        <v>1988</v>
      </c>
      <c r="C2720" t="s">
        <v>2004</v>
      </c>
      <c r="D2720" t="s">
        <v>228</v>
      </c>
      <c r="E2720" t="str">
        <f>INDEX('State Codes'!$E$7:$E$70,MATCH(INDEX('State Codes'!$C$7:$C$70,MATCH('County Climates'!B2720,'State Codes'!$D$7:$D$70,0),1),'State Codes'!$C$7:$C$70,0),1)</f>
        <v>Middle Atlantic Division</v>
      </c>
      <c r="F2720">
        <f>INDEX('CBECS_Table B5'!$C$6:$K$6,1,MATCH('County Climates'!E2720,'CBECS_Table B5'!$C$1:$K$1,0))</f>
        <v>11232</v>
      </c>
    </row>
    <row r="2721" spans="1:6" x14ac:dyDescent="0.25">
      <c r="A2721" t="s">
        <v>1987</v>
      </c>
      <c r="B2721" t="s">
        <v>1988</v>
      </c>
      <c r="C2721" t="s">
        <v>1358</v>
      </c>
      <c r="D2721" t="s">
        <v>228</v>
      </c>
      <c r="E2721" t="str">
        <f>INDEX('State Codes'!$E$7:$E$70,MATCH(INDEX('State Codes'!$C$7:$C$70,MATCH('County Climates'!B2721,'State Codes'!$D$7:$D$70,0),1),'State Codes'!$C$7:$C$70,0),1)</f>
        <v>Middle Atlantic Division</v>
      </c>
      <c r="F2721">
        <f>INDEX('CBECS_Table B5'!$C$6:$K$6,1,MATCH('County Climates'!E2721,'CBECS_Table B5'!$C$1:$K$1,0))</f>
        <v>11232</v>
      </c>
    </row>
    <row r="2722" spans="1:6" x14ac:dyDescent="0.25">
      <c r="A2722" t="s">
        <v>1987</v>
      </c>
      <c r="B2722" t="s">
        <v>1988</v>
      </c>
      <c r="C2722" t="s">
        <v>728</v>
      </c>
      <c r="D2722" t="s">
        <v>247</v>
      </c>
      <c r="E2722" t="str">
        <f>INDEX('State Codes'!$E$7:$E$70,MATCH(INDEX('State Codes'!$C$7:$C$70,MATCH('County Climates'!B2722,'State Codes'!$D$7:$D$70,0),1),'State Codes'!$C$7:$C$70,0),1)</f>
        <v>Middle Atlantic Division</v>
      </c>
      <c r="F2722">
        <f>INDEX('CBECS_Table B5'!$C$6:$K$6,1,MATCH('County Climates'!E2722,'CBECS_Table B5'!$C$1:$K$1,0))</f>
        <v>11232</v>
      </c>
    </row>
    <row r="2723" spans="1:6" x14ac:dyDescent="0.25">
      <c r="A2723" t="s">
        <v>2005</v>
      </c>
      <c r="B2723" t="s">
        <v>2006</v>
      </c>
      <c r="C2723" t="s">
        <v>753</v>
      </c>
      <c r="D2723" t="s">
        <v>228</v>
      </c>
      <c r="E2723" t="str">
        <f>INDEX('State Codes'!$E$7:$E$70,MATCH(INDEX('State Codes'!$C$7:$C$70,MATCH('County Climates'!B2723,'State Codes'!$D$7:$D$70,0),1),'State Codes'!$C$7:$C$70,0),1)</f>
        <v>New England Division</v>
      </c>
      <c r="F2723">
        <f>INDEX('CBECS_Table B5'!$C$6:$K$6,1,MATCH('County Climates'!E2723,'CBECS_Table B5'!$C$1:$K$1,0))</f>
        <v>4302</v>
      </c>
    </row>
    <row r="2724" spans="1:6" x14ac:dyDescent="0.25">
      <c r="A2724" t="s">
        <v>2005</v>
      </c>
      <c r="B2724" t="s">
        <v>2006</v>
      </c>
      <c r="C2724" t="s">
        <v>420</v>
      </c>
      <c r="D2724" t="s">
        <v>228</v>
      </c>
      <c r="E2724" t="str">
        <f>INDEX('State Codes'!$E$7:$E$70,MATCH(INDEX('State Codes'!$C$7:$C$70,MATCH('County Climates'!B2724,'State Codes'!$D$7:$D$70,0),1),'State Codes'!$C$7:$C$70,0),1)</f>
        <v>New England Division</v>
      </c>
      <c r="F2724">
        <f>INDEX('CBECS_Table B5'!$C$6:$K$6,1,MATCH('County Climates'!E2724,'CBECS_Table B5'!$C$1:$K$1,0))</f>
        <v>4302</v>
      </c>
    </row>
    <row r="2725" spans="1:6" x14ac:dyDescent="0.25">
      <c r="A2725" t="s">
        <v>2005</v>
      </c>
      <c r="B2725" t="s">
        <v>2006</v>
      </c>
      <c r="C2725" t="s">
        <v>2007</v>
      </c>
      <c r="D2725" t="s">
        <v>228</v>
      </c>
      <c r="E2725" t="str">
        <f>INDEX('State Codes'!$E$7:$E$70,MATCH(INDEX('State Codes'!$C$7:$C$70,MATCH('County Climates'!B2725,'State Codes'!$D$7:$D$70,0),1),'State Codes'!$C$7:$C$70,0),1)</f>
        <v>New England Division</v>
      </c>
      <c r="F2725">
        <f>INDEX('CBECS_Table B5'!$C$6:$K$6,1,MATCH('County Climates'!E2725,'CBECS_Table B5'!$C$1:$K$1,0))</f>
        <v>4302</v>
      </c>
    </row>
    <row r="2726" spans="1:6" x14ac:dyDescent="0.25">
      <c r="A2726" t="s">
        <v>2005</v>
      </c>
      <c r="B2726" t="s">
        <v>2006</v>
      </c>
      <c r="C2726" t="s">
        <v>2008</v>
      </c>
      <c r="D2726" t="s">
        <v>228</v>
      </c>
      <c r="E2726" t="str">
        <f>INDEX('State Codes'!$E$7:$E$70,MATCH(INDEX('State Codes'!$C$7:$C$70,MATCH('County Climates'!B2726,'State Codes'!$D$7:$D$70,0),1),'State Codes'!$C$7:$C$70,0),1)</f>
        <v>New England Division</v>
      </c>
      <c r="F2726">
        <f>INDEX('CBECS_Table B5'!$C$6:$K$6,1,MATCH('County Climates'!E2726,'CBECS_Table B5'!$C$1:$K$1,0))</f>
        <v>4302</v>
      </c>
    </row>
    <row r="2727" spans="1:6" x14ac:dyDescent="0.25">
      <c r="A2727" t="s">
        <v>2005</v>
      </c>
      <c r="B2727" t="s">
        <v>2006</v>
      </c>
      <c r="C2727" t="s">
        <v>308</v>
      </c>
      <c r="D2727" t="s">
        <v>228</v>
      </c>
      <c r="E2727" t="str">
        <f>INDEX('State Codes'!$E$7:$E$70,MATCH(INDEX('State Codes'!$C$7:$C$70,MATCH('County Climates'!B2727,'State Codes'!$D$7:$D$70,0),1),'State Codes'!$C$7:$C$70,0),1)</f>
        <v>New England Division</v>
      </c>
      <c r="F2727">
        <f>INDEX('CBECS_Table B5'!$C$6:$K$6,1,MATCH('County Climates'!E2727,'CBECS_Table B5'!$C$1:$K$1,0))</f>
        <v>4302</v>
      </c>
    </row>
    <row r="2728" spans="1:6" x14ac:dyDescent="0.25">
      <c r="A2728" t="s">
        <v>2009</v>
      </c>
      <c r="B2728" t="s">
        <v>2010</v>
      </c>
      <c r="C2728" t="s">
        <v>2011</v>
      </c>
      <c r="D2728" t="s">
        <v>247</v>
      </c>
      <c r="E2728" t="str">
        <f>INDEX('State Codes'!$E$7:$E$70,MATCH(INDEX('State Codes'!$C$7:$C$70,MATCH('County Climates'!B2728,'State Codes'!$D$7:$D$70,0),1),'State Codes'!$C$7:$C$70,0),1)</f>
        <v>South Atlantic Division</v>
      </c>
      <c r="F2728">
        <f>INDEX('CBECS_Table B5'!$C$6:$K$6,1,MATCH('County Climates'!E2728,'CBECS_Table B5'!$C$1:$K$1,0))</f>
        <v>17981</v>
      </c>
    </row>
    <row r="2729" spans="1:6" x14ac:dyDescent="0.25">
      <c r="A2729" t="s">
        <v>2009</v>
      </c>
      <c r="B2729" t="s">
        <v>2010</v>
      </c>
      <c r="C2729" t="s">
        <v>2012</v>
      </c>
      <c r="D2729" t="s">
        <v>247</v>
      </c>
      <c r="E2729" t="str">
        <f>INDEX('State Codes'!$E$7:$E$70,MATCH(INDEX('State Codes'!$C$7:$C$70,MATCH('County Climates'!B2729,'State Codes'!$D$7:$D$70,0),1),'State Codes'!$C$7:$C$70,0),1)</f>
        <v>South Atlantic Division</v>
      </c>
      <c r="F2729">
        <f>INDEX('CBECS_Table B5'!$C$6:$K$6,1,MATCH('County Climates'!E2729,'CBECS_Table B5'!$C$1:$K$1,0))</f>
        <v>17981</v>
      </c>
    </row>
    <row r="2730" spans="1:6" x14ac:dyDescent="0.25">
      <c r="A2730" t="s">
        <v>2009</v>
      </c>
      <c r="B2730" t="s">
        <v>2010</v>
      </c>
      <c r="C2730" t="s">
        <v>2013</v>
      </c>
      <c r="D2730" t="s">
        <v>243</v>
      </c>
      <c r="E2730" t="str">
        <f>INDEX('State Codes'!$E$7:$E$70,MATCH(INDEX('State Codes'!$C$7:$C$70,MATCH('County Climates'!B2730,'State Codes'!$D$7:$D$70,0),1),'State Codes'!$C$7:$C$70,0),1)</f>
        <v>South Atlantic Division</v>
      </c>
      <c r="F2730">
        <f>INDEX('CBECS_Table B5'!$C$6:$K$6,1,MATCH('County Climates'!E2730,'CBECS_Table B5'!$C$1:$K$1,0))</f>
        <v>17981</v>
      </c>
    </row>
    <row r="2731" spans="1:6" x14ac:dyDescent="0.25">
      <c r="A2731" t="s">
        <v>2009</v>
      </c>
      <c r="B2731" t="s">
        <v>2010</v>
      </c>
      <c r="C2731" t="s">
        <v>1174</v>
      </c>
      <c r="D2731" t="s">
        <v>247</v>
      </c>
      <c r="E2731" t="str">
        <f>INDEX('State Codes'!$E$7:$E$70,MATCH(INDEX('State Codes'!$C$7:$C$70,MATCH('County Climates'!B2731,'State Codes'!$D$7:$D$70,0),1),'State Codes'!$C$7:$C$70,0),1)</f>
        <v>South Atlantic Division</v>
      </c>
      <c r="F2731">
        <f>INDEX('CBECS_Table B5'!$C$6:$K$6,1,MATCH('County Climates'!E2731,'CBECS_Table B5'!$C$1:$K$1,0))</f>
        <v>17981</v>
      </c>
    </row>
    <row r="2732" spans="1:6" x14ac:dyDescent="0.25">
      <c r="A2732" t="s">
        <v>2009</v>
      </c>
      <c r="B2732" t="s">
        <v>2010</v>
      </c>
      <c r="C2732" t="s">
        <v>2014</v>
      </c>
      <c r="D2732" t="s">
        <v>243</v>
      </c>
      <c r="E2732" t="str">
        <f>INDEX('State Codes'!$E$7:$E$70,MATCH(INDEX('State Codes'!$C$7:$C$70,MATCH('County Climates'!B2732,'State Codes'!$D$7:$D$70,0),1),'State Codes'!$C$7:$C$70,0),1)</f>
        <v>South Atlantic Division</v>
      </c>
      <c r="F2732">
        <f>INDEX('CBECS_Table B5'!$C$6:$K$6,1,MATCH('County Climates'!E2732,'CBECS_Table B5'!$C$1:$K$1,0))</f>
        <v>17981</v>
      </c>
    </row>
    <row r="2733" spans="1:6" x14ac:dyDescent="0.25">
      <c r="A2733" t="s">
        <v>2009</v>
      </c>
      <c r="B2733" t="s">
        <v>2010</v>
      </c>
      <c r="C2733" t="s">
        <v>2015</v>
      </c>
      <c r="D2733" t="s">
        <v>243</v>
      </c>
      <c r="E2733" t="str">
        <f>INDEX('State Codes'!$E$7:$E$70,MATCH(INDEX('State Codes'!$C$7:$C$70,MATCH('County Climates'!B2733,'State Codes'!$D$7:$D$70,0),1),'State Codes'!$C$7:$C$70,0),1)</f>
        <v>South Atlantic Division</v>
      </c>
      <c r="F2733">
        <f>INDEX('CBECS_Table B5'!$C$6:$K$6,1,MATCH('County Climates'!E2733,'CBECS_Table B5'!$C$1:$K$1,0))</f>
        <v>17981</v>
      </c>
    </row>
    <row r="2734" spans="1:6" x14ac:dyDescent="0.25">
      <c r="A2734" t="s">
        <v>2009</v>
      </c>
      <c r="B2734" t="s">
        <v>2010</v>
      </c>
      <c r="C2734" t="s">
        <v>1893</v>
      </c>
      <c r="D2734" t="s">
        <v>243</v>
      </c>
      <c r="E2734" t="str">
        <f>INDEX('State Codes'!$E$7:$E$70,MATCH(INDEX('State Codes'!$C$7:$C$70,MATCH('County Climates'!B2734,'State Codes'!$D$7:$D$70,0),1),'State Codes'!$C$7:$C$70,0),1)</f>
        <v>South Atlantic Division</v>
      </c>
      <c r="F2734">
        <f>INDEX('CBECS_Table B5'!$C$6:$K$6,1,MATCH('County Climates'!E2734,'CBECS_Table B5'!$C$1:$K$1,0))</f>
        <v>17981</v>
      </c>
    </row>
    <row r="2735" spans="1:6" x14ac:dyDescent="0.25">
      <c r="A2735" t="s">
        <v>2009</v>
      </c>
      <c r="B2735" t="s">
        <v>2010</v>
      </c>
      <c r="C2735" t="s">
        <v>1338</v>
      </c>
      <c r="D2735" t="s">
        <v>243</v>
      </c>
      <c r="E2735" t="str">
        <f>INDEX('State Codes'!$E$7:$E$70,MATCH(INDEX('State Codes'!$C$7:$C$70,MATCH('County Climates'!B2735,'State Codes'!$D$7:$D$70,0),1),'State Codes'!$C$7:$C$70,0),1)</f>
        <v>South Atlantic Division</v>
      </c>
      <c r="F2735">
        <f>INDEX('CBECS_Table B5'!$C$6:$K$6,1,MATCH('County Climates'!E2735,'CBECS_Table B5'!$C$1:$K$1,0))</f>
        <v>17981</v>
      </c>
    </row>
    <row r="2736" spans="1:6" x14ac:dyDescent="0.25">
      <c r="A2736" t="s">
        <v>2009</v>
      </c>
      <c r="B2736" t="s">
        <v>2010</v>
      </c>
      <c r="C2736" t="s">
        <v>251</v>
      </c>
      <c r="D2736" t="s">
        <v>247</v>
      </c>
      <c r="E2736" t="str">
        <f>INDEX('State Codes'!$E$7:$E$70,MATCH(INDEX('State Codes'!$C$7:$C$70,MATCH('County Climates'!B2736,'State Codes'!$D$7:$D$70,0),1),'State Codes'!$C$7:$C$70,0),1)</f>
        <v>South Atlantic Division</v>
      </c>
      <c r="F2736">
        <f>INDEX('CBECS_Table B5'!$C$6:$K$6,1,MATCH('County Climates'!E2736,'CBECS_Table B5'!$C$1:$K$1,0))</f>
        <v>17981</v>
      </c>
    </row>
    <row r="2737" spans="1:6" x14ac:dyDescent="0.25">
      <c r="A2737" t="s">
        <v>2009</v>
      </c>
      <c r="B2737" t="s">
        <v>2010</v>
      </c>
      <c r="C2737" t="s">
        <v>2016</v>
      </c>
      <c r="D2737" t="s">
        <v>243</v>
      </c>
      <c r="E2737" t="str">
        <f>INDEX('State Codes'!$E$7:$E$70,MATCH(INDEX('State Codes'!$C$7:$C$70,MATCH('County Climates'!B2737,'State Codes'!$D$7:$D$70,0),1),'State Codes'!$C$7:$C$70,0),1)</f>
        <v>South Atlantic Division</v>
      </c>
      <c r="F2737">
        <f>INDEX('CBECS_Table B5'!$C$6:$K$6,1,MATCH('County Climates'!E2737,'CBECS_Table B5'!$C$1:$K$1,0))</f>
        <v>17981</v>
      </c>
    </row>
    <row r="2738" spans="1:6" x14ac:dyDescent="0.25">
      <c r="A2738" t="s">
        <v>2009</v>
      </c>
      <c r="B2738" t="s">
        <v>2010</v>
      </c>
      <c r="C2738" t="s">
        <v>253</v>
      </c>
      <c r="D2738" t="s">
        <v>247</v>
      </c>
      <c r="E2738" t="str">
        <f>INDEX('State Codes'!$E$7:$E$70,MATCH(INDEX('State Codes'!$C$7:$C$70,MATCH('County Climates'!B2738,'State Codes'!$D$7:$D$70,0),1),'State Codes'!$C$7:$C$70,0),1)</f>
        <v>South Atlantic Division</v>
      </c>
      <c r="F2738">
        <f>INDEX('CBECS_Table B5'!$C$6:$K$6,1,MATCH('County Climates'!E2738,'CBECS_Table B5'!$C$1:$K$1,0))</f>
        <v>17981</v>
      </c>
    </row>
    <row r="2739" spans="1:6" x14ac:dyDescent="0.25">
      <c r="A2739" t="s">
        <v>2009</v>
      </c>
      <c r="B2739" t="s">
        <v>2010</v>
      </c>
      <c r="C2739" t="s">
        <v>1100</v>
      </c>
      <c r="D2739" t="s">
        <v>247</v>
      </c>
      <c r="E2739" t="str">
        <f>INDEX('State Codes'!$E$7:$E$70,MATCH(INDEX('State Codes'!$C$7:$C$70,MATCH('County Climates'!B2739,'State Codes'!$D$7:$D$70,0),1),'State Codes'!$C$7:$C$70,0),1)</f>
        <v>South Atlantic Division</v>
      </c>
      <c r="F2739">
        <f>INDEX('CBECS_Table B5'!$C$6:$K$6,1,MATCH('County Climates'!E2739,'CBECS_Table B5'!$C$1:$K$1,0))</f>
        <v>17981</v>
      </c>
    </row>
    <row r="2740" spans="1:6" x14ac:dyDescent="0.25">
      <c r="A2740" t="s">
        <v>2009</v>
      </c>
      <c r="B2740" t="s">
        <v>2010</v>
      </c>
      <c r="C2740" t="s">
        <v>2017</v>
      </c>
      <c r="D2740" t="s">
        <v>247</v>
      </c>
      <c r="E2740" t="str">
        <f>INDEX('State Codes'!$E$7:$E$70,MATCH(INDEX('State Codes'!$C$7:$C$70,MATCH('County Climates'!B2740,'State Codes'!$D$7:$D$70,0),1),'State Codes'!$C$7:$C$70,0),1)</f>
        <v>South Atlantic Division</v>
      </c>
      <c r="F2740">
        <f>INDEX('CBECS_Table B5'!$C$6:$K$6,1,MATCH('County Climates'!E2740,'CBECS_Table B5'!$C$1:$K$1,0))</f>
        <v>17981</v>
      </c>
    </row>
    <row r="2741" spans="1:6" x14ac:dyDescent="0.25">
      <c r="A2741" t="s">
        <v>2009</v>
      </c>
      <c r="B2741" t="s">
        <v>2010</v>
      </c>
      <c r="C2741" t="s">
        <v>2018</v>
      </c>
      <c r="D2741" t="s">
        <v>247</v>
      </c>
      <c r="E2741" t="str">
        <f>INDEX('State Codes'!$E$7:$E$70,MATCH(INDEX('State Codes'!$C$7:$C$70,MATCH('County Climates'!B2741,'State Codes'!$D$7:$D$70,0),1),'State Codes'!$C$7:$C$70,0),1)</f>
        <v>South Atlantic Division</v>
      </c>
      <c r="F2741">
        <f>INDEX('CBECS_Table B5'!$C$6:$K$6,1,MATCH('County Climates'!E2741,'CBECS_Table B5'!$C$1:$K$1,0))</f>
        <v>17981</v>
      </c>
    </row>
    <row r="2742" spans="1:6" x14ac:dyDescent="0.25">
      <c r="A2742" t="s">
        <v>2009</v>
      </c>
      <c r="B2742" t="s">
        <v>2010</v>
      </c>
      <c r="C2742" t="s">
        <v>2019</v>
      </c>
      <c r="D2742" t="s">
        <v>243</v>
      </c>
      <c r="E2742" t="str">
        <f>INDEX('State Codes'!$E$7:$E$70,MATCH(INDEX('State Codes'!$C$7:$C$70,MATCH('County Climates'!B2742,'State Codes'!$D$7:$D$70,0),1),'State Codes'!$C$7:$C$70,0),1)</f>
        <v>South Atlantic Division</v>
      </c>
      <c r="F2742">
        <f>INDEX('CBECS_Table B5'!$C$6:$K$6,1,MATCH('County Climates'!E2742,'CBECS_Table B5'!$C$1:$K$1,0))</f>
        <v>17981</v>
      </c>
    </row>
    <row r="2743" spans="1:6" x14ac:dyDescent="0.25">
      <c r="A2743" t="s">
        <v>2009</v>
      </c>
      <c r="B2743" t="s">
        <v>2010</v>
      </c>
      <c r="C2743" t="s">
        <v>2020</v>
      </c>
      <c r="D2743" t="s">
        <v>247</v>
      </c>
      <c r="E2743" t="str">
        <f>INDEX('State Codes'!$E$7:$E$70,MATCH(INDEX('State Codes'!$C$7:$C$70,MATCH('County Climates'!B2743,'State Codes'!$D$7:$D$70,0),1),'State Codes'!$C$7:$C$70,0),1)</f>
        <v>South Atlantic Division</v>
      </c>
      <c r="F2743">
        <f>INDEX('CBECS_Table B5'!$C$6:$K$6,1,MATCH('County Climates'!E2743,'CBECS_Table B5'!$C$1:$K$1,0))</f>
        <v>17981</v>
      </c>
    </row>
    <row r="2744" spans="1:6" x14ac:dyDescent="0.25">
      <c r="A2744" t="s">
        <v>2009</v>
      </c>
      <c r="B2744" t="s">
        <v>2010</v>
      </c>
      <c r="C2744" t="s">
        <v>2021</v>
      </c>
      <c r="D2744" t="s">
        <v>247</v>
      </c>
      <c r="E2744" t="str">
        <f>INDEX('State Codes'!$E$7:$E$70,MATCH(INDEX('State Codes'!$C$7:$C$70,MATCH('County Climates'!B2744,'State Codes'!$D$7:$D$70,0),1),'State Codes'!$C$7:$C$70,0),1)</f>
        <v>South Atlantic Division</v>
      </c>
      <c r="F2744">
        <f>INDEX('CBECS_Table B5'!$C$6:$K$6,1,MATCH('County Climates'!E2744,'CBECS_Table B5'!$C$1:$K$1,0))</f>
        <v>17981</v>
      </c>
    </row>
    <row r="2745" spans="1:6" x14ac:dyDescent="0.25">
      <c r="A2745" t="s">
        <v>2009</v>
      </c>
      <c r="B2745" t="s">
        <v>2010</v>
      </c>
      <c r="C2745" t="s">
        <v>739</v>
      </c>
      <c r="D2745" t="s">
        <v>243</v>
      </c>
      <c r="E2745" t="str">
        <f>INDEX('State Codes'!$E$7:$E$70,MATCH(INDEX('State Codes'!$C$7:$C$70,MATCH('County Climates'!B2745,'State Codes'!$D$7:$D$70,0),1),'State Codes'!$C$7:$C$70,0),1)</f>
        <v>South Atlantic Division</v>
      </c>
      <c r="F2745">
        <f>INDEX('CBECS_Table B5'!$C$6:$K$6,1,MATCH('County Climates'!E2745,'CBECS_Table B5'!$C$1:$K$1,0))</f>
        <v>17981</v>
      </c>
    </row>
    <row r="2746" spans="1:6" x14ac:dyDescent="0.25">
      <c r="A2746" t="s">
        <v>2009</v>
      </c>
      <c r="B2746" t="s">
        <v>2010</v>
      </c>
      <c r="C2746" t="s">
        <v>2022</v>
      </c>
      <c r="D2746" t="s">
        <v>247</v>
      </c>
      <c r="E2746" t="str">
        <f>INDEX('State Codes'!$E$7:$E$70,MATCH(INDEX('State Codes'!$C$7:$C$70,MATCH('County Climates'!B2746,'State Codes'!$D$7:$D$70,0),1),'State Codes'!$C$7:$C$70,0),1)</f>
        <v>South Atlantic Division</v>
      </c>
      <c r="F2746">
        <f>INDEX('CBECS_Table B5'!$C$6:$K$6,1,MATCH('County Climates'!E2746,'CBECS_Table B5'!$C$1:$K$1,0))</f>
        <v>17981</v>
      </c>
    </row>
    <row r="2747" spans="1:6" x14ac:dyDescent="0.25">
      <c r="A2747" t="s">
        <v>2009</v>
      </c>
      <c r="B2747" t="s">
        <v>2010</v>
      </c>
      <c r="C2747" t="s">
        <v>410</v>
      </c>
      <c r="D2747" t="s">
        <v>247</v>
      </c>
      <c r="E2747" t="str">
        <f>INDEX('State Codes'!$E$7:$E$70,MATCH(INDEX('State Codes'!$C$7:$C$70,MATCH('County Climates'!B2747,'State Codes'!$D$7:$D$70,0),1),'State Codes'!$C$7:$C$70,0),1)</f>
        <v>South Atlantic Division</v>
      </c>
      <c r="F2747">
        <f>INDEX('CBECS_Table B5'!$C$6:$K$6,1,MATCH('County Climates'!E2747,'CBECS_Table B5'!$C$1:$K$1,0))</f>
        <v>17981</v>
      </c>
    </row>
    <row r="2748" spans="1:6" x14ac:dyDescent="0.25">
      <c r="A2748" t="s">
        <v>2009</v>
      </c>
      <c r="B2748" t="s">
        <v>2010</v>
      </c>
      <c r="C2748" t="s">
        <v>2023</v>
      </c>
      <c r="D2748" t="s">
        <v>247</v>
      </c>
      <c r="E2748" t="str">
        <f>INDEX('State Codes'!$E$7:$E$70,MATCH(INDEX('State Codes'!$C$7:$C$70,MATCH('County Climates'!B2748,'State Codes'!$D$7:$D$70,0),1),'State Codes'!$C$7:$C$70,0),1)</f>
        <v>South Atlantic Division</v>
      </c>
      <c r="F2748">
        <f>INDEX('CBECS_Table B5'!$C$6:$K$6,1,MATCH('County Climates'!E2748,'CBECS_Table B5'!$C$1:$K$1,0))</f>
        <v>17981</v>
      </c>
    </row>
    <row r="2749" spans="1:6" x14ac:dyDescent="0.25">
      <c r="A2749" t="s">
        <v>2009</v>
      </c>
      <c r="B2749" t="s">
        <v>2010</v>
      </c>
      <c r="C2749" t="s">
        <v>2024</v>
      </c>
      <c r="D2749" t="s">
        <v>243</v>
      </c>
      <c r="E2749" t="str">
        <f>INDEX('State Codes'!$E$7:$E$70,MATCH(INDEX('State Codes'!$C$7:$C$70,MATCH('County Climates'!B2749,'State Codes'!$D$7:$D$70,0),1),'State Codes'!$C$7:$C$70,0),1)</f>
        <v>South Atlantic Division</v>
      </c>
      <c r="F2749">
        <f>INDEX('CBECS_Table B5'!$C$6:$K$6,1,MATCH('County Climates'!E2749,'CBECS_Table B5'!$C$1:$K$1,0))</f>
        <v>17981</v>
      </c>
    </row>
    <row r="2750" spans="1:6" x14ac:dyDescent="0.25">
      <c r="A2750" t="s">
        <v>2009</v>
      </c>
      <c r="B2750" t="s">
        <v>2010</v>
      </c>
      <c r="C2750" t="s">
        <v>2025</v>
      </c>
      <c r="D2750" t="s">
        <v>247</v>
      </c>
      <c r="E2750" t="str">
        <f>INDEX('State Codes'!$E$7:$E$70,MATCH(INDEX('State Codes'!$C$7:$C$70,MATCH('County Climates'!B2750,'State Codes'!$D$7:$D$70,0),1),'State Codes'!$C$7:$C$70,0),1)</f>
        <v>South Atlantic Division</v>
      </c>
      <c r="F2750">
        <f>INDEX('CBECS_Table B5'!$C$6:$K$6,1,MATCH('County Climates'!E2750,'CBECS_Table B5'!$C$1:$K$1,0))</f>
        <v>17981</v>
      </c>
    </row>
    <row r="2751" spans="1:6" x14ac:dyDescent="0.25">
      <c r="A2751" t="s">
        <v>2009</v>
      </c>
      <c r="B2751" t="s">
        <v>2010</v>
      </c>
      <c r="C2751" t="s">
        <v>633</v>
      </c>
      <c r="D2751" t="s">
        <v>247</v>
      </c>
      <c r="E2751" t="str">
        <f>INDEX('State Codes'!$E$7:$E$70,MATCH(INDEX('State Codes'!$C$7:$C$70,MATCH('County Climates'!B2751,'State Codes'!$D$7:$D$70,0),1),'State Codes'!$C$7:$C$70,0),1)</f>
        <v>South Atlantic Division</v>
      </c>
      <c r="F2751">
        <f>INDEX('CBECS_Table B5'!$C$6:$K$6,1,MATCH('County Climates'!E2751,'CBECS_Table B5'!$C$1:$K$1,0))</f>
        <v>17981</v>
      </c>
    </row>
    <row r="2752" spans="1:6" x14ac:dyDescent="0.25">
      <c r="A2752" t="s">
        <v>2026</v>
      </c>
      <c r="B2752" t="s">
        <v>2027</v>
      </c>
      <c r="C2752" t="s">
        <v>2028</v>
      </c>
      <c r="D2752" t="s">
        <v>228</v>
      </c>
      <c r="E2752" t="str">
        <f>INDEX('State Codes'!$E$7:$E$70,MATCH(INDEX('State Codes'!$C$7:$C$70,MATCH('County Climates'!B2752,'State Codes'!$D$7:$D$70,0),1),'State Codes'!$C$7:$C$70,0),1)</f>
        <v>West North Central Division</v>
      </c>
      <c r="F2752">
        <f>INDEX('CBECS_Table B5'!$C$6:$K$6,1,MATCH('County Climates'!E2752,'CBECS_Table B5'!$C$1:$K$1,0))</f>
        <v>6178</v>
      </c>
    </row>
    <row r="2753" spans="1:6" x14ac:dyDescent="0.25">
      <c r="A2753" t="s">
        <v>2026</v>
      </c>
      <c r="B2753" t="s">
        <v>2027</v>
      </c>
      <c r="C2753" t="s">
        <v>646</v>
      </c>
      <c r="D2753" t="s">
        <v>228</v>
      </c>
      <c r="E2753" t="str">
        <f>INDEX('State Codes'!$E$7:$E$70,MATCH(INDEX('State Codes'!$C$7:$C$70,MATCH('County Climates'!B2753,'State Codes'!$D$7:$D$70,0),1),'State Codes'!$C$7:$C$70,0),1)</f>
        <v>West North Central Division</v>
      </c>
      <c r="F2753">
        <f>INDEX('CBECS_Table B5'!$C$6:$K$6,1,MATCH('County Climates'!E2753,'CBECS_Table B5'!$C$1:$K$1,0))</f>
        <v>6178</v>
      </c>
    </row>
    <row r="2754" spans="1:6" x14ac:dyDescent="0.25">
      <c r="A2754" t="s">
        <v>2026</v>
      </c>
      <c r="B2754" t="s">
        <v>2027</v>
      </c>
      <c r="C2754" t="s">
        <v>647</v>
      </c>
      <c r="D2754" t="s">
        <v>228</v>
      </c>
      <c r="E2754" t="str">
        <f>INDEX('State Codes'!$E$7:$E$70,MATCH(INDEX('State Codes'!$C$7:$C$70,MATCH('County Climates'!B2754,'State Codes'!$D$7:$D$70,0),1),'State Codes'!$C$7:$C$70,0),1)</f>
        <v>West North Central Division</v>
      </c>
      <c r="F2754">
        <f>INDEX('CBECS_Table B5'!$C$6:$K$6,1,MATCH('County Climates'!E2754,'CBECS_Table B5'!$C$1:$K$1,0))</f>
        <v>6178</v>
      </c>
    </row>
    <row r="2755" spans="1:6" x14ac:dyDescent="0.25">
      <c r="A2755" t="s">
        <v>2026</v>
      </c>
      <c r="B2755" t="s">
        <v>2027</v>
      </c>
      <c r="C2755" t="s">
        <v>2029</v>
      </c>
      <c r="D2755" t="s">
        <v>228</v>
      </c>
      <c r="E2755" t="str">
        <f>INDEX('State Codes'!$E$7:$E$70,MATCH(INDEX('State Codes'!$C$7:$C$70,MATCH('County Climates'!B2755,'State Codes'!$D$7:$D$70,0),1),'State Codes'!$C$7:$C$70,0),1)</f>
        <v>West North Central Division</v>
      </c>
      <c r="F2755">
        <f>INDEX('CBECS_Table B5'!$C$6:$K$6,1,MATCH('County Climates'!E2755,'CBECS_Table B5'!$C$1:$K$1,0))</f>
        <v>6178</v>
      </c>
    </row>
    <row r="2756" spans="1:6" x14ac:dyDescent="0.25">
      <c r="A2756" t="s">
        <v>2026</v>
      </c>
      <c r="B2756" t="s">
        <v>2027</v>
      </c>
      <c r="C2756" t="s">
        <v>2030</v>
      </c>
      <c r="D2756" t="s">
        <v>228</v>
      </c>
      <c r="E2756" t="str">
        <f>INDEX('State Codes'!$E$7:$E$70,MATCH(INDEX('State Codes'!$C$7:$C$70,MATCH('County Climates'!B2756,'State Codes'!$D$7:$D$70,0),1),'State Codes'!$C$7:$C$70,0),1)</f>
        <v>West North Central Division</v>
      </c>
      <c r="F2756">
        <f>INDEX('CBECS_Table B5'!$C$6:$K$6,1,MATCH('County Climates'!E2756,'CBECS_Table B5'!$C$1:$K$1,0))</f>
        <v>6178</v>
      </c>
    </row>
    <row r="2757" spans="1:6" x14ac:dyDescent="0.25">
      <c r="A2757" t="s">
        <v>2026</v>
      </c>
      <c r="B2757" t="s">
        <v>2027</v>
      </c>
      <c r="C2757" t="s">
        <v>2031</v>
      </c>
      <c r="D2757" t="s">
        <v>228</v>
      </c>
      <c r="E2757" t="str">
        <f>INDEX('State Codes'!$E$7:$E$70,MATCH(INDEX('State Codes'!$C$7:$C$70,MATCH('County Climates'!B2757,'State Codes'!$D$7:$D$70,0),1),'State Codes'!$C$7:$C$70,0),1)</f>
        <v>West North Central Division</v>
      </c>
      <c r="F2757">
        <f>INDEX('CBECS_Table B5'!$C$6:$K$6,1,MATCH('County Climates'!E2757,'CBECS_Table B5'!$C$1:$K$1,0))</f>
        <v>6178</v>
      </c>
    </row>
    <row r="2758" spans="1:6" x14ac:dyDescent="0.25">
      <c r="A2758" t="s">
        <v>2026</v>
      </c>
      <c r="B2758" t="s">
        <v>2027</v>
      </c>
      <c r="C2758" t="s">
        <v>2032</v>
      </c>
      <c r="D2758" t="s">
        <v>228</v>
      </c>
      <c r="E2758" t="str">
        <f>INDEX('State Codes'!$E$7:$E$70,MATCH(INDEX('State Codes'!$C$7:$C$70,MATCH('County Climates'!B2758,'State Codes'!$D$7:$D$70,0),1),'State Codes'!$C$7:$C$70,0),1)</f>
        <v>West North Central Division</v>
      </c>
      <c r="F2758">
        <f>INDEX('CBECS_Table B5'!$C$6:$K$6,1,MATCH('County Climates'!E2758,'CBECS_Table B5'!$C$1:$K$1,0))</f>
        <v>6178</v>
      </c>
    </row>
    <row r="2759" spans="1:6" x14ac:dyDescent="0.25">
      <c r="A2759" t="s">
        <v>2026</v>
      </c>
      <c r="B2759" t="s">
        <v>2027</v>
      </c>
      <c r="C2759" t="s">
        <v>1749</v>
      </c>
      <c r="D2759" t="s">
        <v>228</v>
      </c>
      <c r="E2759" t="str">
        <f>INDEX('State Codes'!$E$7:$E$70,MATCH(INDEX('State Codes'!$C$7:$C$70,MATCH('County Climates'!B2759,'State Codes'!$D$7:$D$70,0),1),'State Codes'!$C$7:$C$70,0),1)</f>
        <v>West North Central Division</v>
      </c>
      <c r="F2759">
        <f>INDEX('CBECS_Table B5'!$C$6:$K$6,1,MATCH('County Climates'!E2759,'CBECS_Table B5'!$C$1:$K$1,0))</f>
        <v>6178</v>
      </c>
    </row>
    <row r="2760" spans="1:6" x14ac:dyDescent="0.25">
      <c r="A2760" t="s">
        <v>2026</v>
      </c>
      <c r="B2760" t="s">
        <v>2027</v>
      </c>
      <c r="C2760" t="s">
        <v>912</v>
      </c>
      <c r="D2760" t="s">
        <v>228</v>
      </c>
      <c r="E2760" t="str">
        <f>INDEX('State Codes'!$E$7:$E$70,MATCH(INDEX('State Codes'!$C$7:$C$70,MATCH('County Climates'!B2760,'State Codes'!$D$7:$D$70,0),1),'State Codes'!$C$7:$C$70,0),1)</f>
        <v>West North Central Division</v>
      </c>
      <c r="F2760">
        <f>INDEX('CBECS_Table B5'!$C$6:$K$6,1,MATCH('County Climates'!E2760,'CBECS_Table B5'!$C$1:$K$1,0))</f>
        <v>6178</v>
      </c>
    </row>
    <row r="2761" spans="1:6" x14ac:dyDescent="0.25">
      <c r="A2761" t="s">
        <v>2026</v>
      </c>
      <c r="B2761" t="s">
        <v>2027</v>
      </c>
      <c r="C2761" t="s">
        <v>1999</v>
      </c>
      <c r="D2761" t="s">
        <v>228</v>
      </c>
      <c r="E2761" t="str">
        <f>INDEX('State Codes'!$E$7:$E$70,MATCH(INDEX('State Codes'!$C$7:$C$70,MATCH('County Climates'!B2761,'State Codes'!$D$7:$D$70,0),1),'State Codes'!$C$7:$C$70,0),1)</f>
        <v>West North Central Division</v>
      </c>
      <c r="F2761">
        <f>INDEX('CBECS_Table B5'!$C$6:$K$6,1,MATCH('County Climates'!E2761,'CBECS_Table B5'!$C$1:$K$1,0))</f>
        <v>6178</v>
      </c>
    </row>
    <row r="2762" spans="1:6" x14ac:dyDescent="0.25">
      <c r="A2762" t="s">
        <v>2026</v>
      </c>
      <c r="B2762" t="s">
        <v>2027</v>
      </c>
      <c r="C2762" t="s">
        <v>2033</v>
      </c>
      <c r="D2762" t="s">
        <v>228</v>
      </c>
      <c r="E2762" t="str">
        <f>INDEX('State Codes'!$E$7:$E$70,MATCH(INDEX('State Codes'!$C$7:$C$70,MATCH('County Climates'!B2762,'State Codes'!$D$7:$D$70,0),1),'State Codes'!$C$7:$C$70,0),1)</f>
        <v>West North Central Division</v>
      </c>
      <c r="F2762">
        <f>INDEX('CBECS_Table B5'!$C$6:$K$6,1,MATCH('County Climates'!E2762,'CBECS_Table B5'!$C$1:$K$1,0))</f>
        <v>6178</v>
      </c>
    </row>
    <row r="2763" spans="1:6" x14ac:dyDescent="0.25">
      <c r="A2763" t="s">
        <v>2026</v>
      </c>
      <c r="B2763" t="s">
        <v>2027</v>
      </c>
      <c r="C2763" t="s">
        <v>2034</v>
      </c>
      <c r="D2763" t="s">
        <v>228</v>
      </c>
      <c r="E2763" t="str">
        <f>INDEX('State Codes'!$E$7:$E$70,MATCH(INDEX('State Codes'!$C$7:$C$70,MATCH('County Climates'!B2763,'State Codes'!$D$7:$D$70,0),1),'State Codes'!$C$7:$C$70,0),1)</f>
        <v>West North Central Division</v>
      </c>
      <c r="F2763">
        <f>INDEX('CBECS_Table B5'!$C$6:$K$6,1,MATCH('County Climates'!E2763,'CBECS_Table B5'!$C$1:$K$1,0))</f>
        <v>6178</v>
      </c>
    </row>
    <row r="2764" spans="1:6" x14ac:dyDescent="0.25">
      <c r="A2764" t="s">
        <v>2026</v>
      </c>
      <c r="B2764" t="s">
        <v>2027</v>
      </c>
      <c r="C2764" t="s">
        <v>860</v>
      </c>
      <c r="D2764" t="s">
        <v>228</v>
      </c>
      <c r="E2764" t="str">
        <f>INDEX('State Codes'!$E$7:$E$70,MATCH(INDEX('State Codes'!$C$7:$C$70,MATCH('County Climates'!B2764,'State Codes'!$D$7:$D$70,0),1),'State Codes'!$C$7:$C$70,0),1)</f>
        <v>West North Central Division</v>
      </c>
      <c r="F2764">
        <f>INDEX('CBECS_Table B5'!$C$6:$K$6,1,MATCH('County Climates'!E2764,'CBECS_Table B5'!$C$1:$K$1,0))</f>
        <v>6178</v>
      </c>
    </row>
    <row r="2765" spans="1:6" x14ac:dyDescent="0.25">
      <c r="A2765" t="s">
        <v>2026</v>
      </c>
      <c r="B2765" t="s">
        <v>2027</v>
      </c>
      <c r="C2765" t="s">
        <v>2035</v>
      </c>
      <c r="D2765" t="s">
        <v>228</v>
      </c>
      <c r="E2765" t="str">
        <f>INDEX('State Codes'!$E$7:$E$70,MATCH(INDEX('State Codes'!$C$7:$C$70,MATCH('County Climates'!B2765,'State Codes'!$D$7:$D$70,0),1),'State Codes'!$C$7:$C$70,0),1)</f>
        <v>West North Central Division</v>
      </c>
      <c r="F2765">
        <f>INDEX('CBECS_Table B5'!$C$6:$K$6,1,MATCH('County Climates'!E2765,'CBECS_Table B5'!$C$1:$K$1,0))</f>
        <v>6178</v>
      </c>
    </row>
    <row r="2766" spans="1:6" x14ac:dyDescent="0.25">
      <c r="A2766" t="s">
        <v>2026</v>
      </c>
      <c r="B2766" t="s">
        <v>2027</v>
      </c>
      <c r="C2766" t="s">
        <v>2036</v>
      </c>
      <c r="D2766" t="s">
        <v>228</v>
      </c>
      <c r="E2766" t="str">
        <f>INDEX('State Codes'!$E$7:$E$70,MATCH(INDEX('State Codes'!$C$7:$C$70,MATCH('County Climates'!B2766,'State Codes'!$D$7:$D$70,0),1),'State Codes'!$C$7:$C$70,0),1)</f>
        <v>West North Central Division</v>
      </c>
      <c r="F2766">
        <f>INDEX('CBECS_Table B5'!$C$6:$K$6,1,MATCH('County Climates'!E2766,'CBECS_Table B5'!$C$1:$K$1,0))</f>
        <v>6178</v>
      </c>
    </row>
    <row r="2767" spans="1:6" x14ac:dyDescent="0.25">
      <c r="A2767" t="s">
        <v>2026</v>
      </c>
      <c r="B2767" t="s">
        <v>2027</v>
      </c>
      <c r="C2767" t="s">
        <v>2037</v>
      </c>
      <c r="D2767" t="s">
        <v>228</v>
      </c>
      <c r="E2767" t="str">
        <f>INDEX('State Codes'!$E$7:$E$70,MATCH(INDEX('State Codes'!$C$7:$C$70,MATCH('County Climates'!B2767,'State Codes'!$D$7:$D$70,0),1),'State Codes'!$C$7:$C$70,0),1)</f>
        <v>West North Central Division</v>
      </c>
      <c r="F2767">
        <f>INDEX('CBECS_Table B5'!$C$6:$K$6,1,MATCH('County Climates'!E2767,'CBECS_Table B5'!$C$1:$K$1,0))</f>
        <v>6178</v>
      </c>
    </row>
    <row r="2768" spans="1:6" x14ac:dyDescent="0.25">
      <c r="A2768" t="s">
        <v>2026</v>
      </c>
      <c r="B2768" t="s">
        <v>2027</v>
      </c>
      <c r="C2768" t="s">
        <v>706</v>
      </c>
      <c r="D2768" t="s">
        <v>228</v>
      </c>
      <c r="E2768" t="str">
        <f>INDEX('State Codes'!$E$7:$E$70,MATCH(INDEX('State Codes'!$C$7:$C$70,MATCH('County Climates'!B2768,'State Codes'!$D$7:$D$70,0),1),'State Codes'!$C$7:$C$70,0),1)</f>
        <v>West North Central Division</v>
      </c>
      <c r="F2768">
        <f>INDEX('CBECS_Table B5'!$C$6:$K$6,1,MATCH('County Climates'!E2768,'CBECS_Table B5'!$C$1:$K$1,0))</f>
        <v>6178</v>
      </c>
    </row>
    <row r="2769" spans="1:6" x14ac:dyDescent="0.25">
      <c r="A2769" t="s">
        <v>2026</v>
      </c>
      <c r="B2769" t="s">
        <v>2027</v>
      </c>
      <c r="C2769" t="s">
        <v>2038</v>
      </c>
      <c r="D2769" t="s">
        <v>228</v>
      </c>
      <c r="E2769" t="str">
        <f>INDEX('State Codes'!$E$7:$E$70,MATCH(INDEX('State Codes'!$C$7:$C$70,MATCH('County Climates'!B2769,'State Codes'!$D$7:$D$70,0),1),'State Codes'!$C$7:$C$70,0),1)</f>
        <v>West North Central Division</v>
      </c>
      <c r="F2769">
        <f>INDEX('CBECS_Table B5'!$C$6:$K$6,1,MATCH('County Climates'!E2769,'CBECS_Table B5'!$C$1:$K$1,0))</f>
        <v>6178</v>
      </c>
    </row>
    <row r="2770" spans="1:6" x14ac:dyDescent="0.25">
      <c r="A2770" t="s">
        <v>2026</v>
      </c>
      <c r="B2770" t="s">
        <v>2027</v>
      </c>
      <c r="C2770" t="s">
        <v>492</v>
      </c>
      <c r="D2770" t="s">
        <v>228</v>
      </c>
      <c r="E2770" t="str">
        <f>INDEX('State Codes'!$E$7:$E$70,MATCH(INDEX('State Codes'!$C$7:$C$70,MATCH('County Climates'!B2770,'State Codes'!$D$7:$D$70,0),1),'State Codes'!$C$7:$C$70,0),1)</f>
        <v>West North Central Division</v>
      </c>
      <c r="F2770">
        <f>INDEX('CBECS_Table B5'!$C$6:$K$6,1,MATCH('County Climates'!E2770,'CBECS_Table B5'!$C$1:$K$1,0))</f>
        <v>6178</v>
      </c>
    </row>
    <row r="2771" spans="1:6" x14ac:dyDescent="0.25">
      <c r="A2771" t="s">
        <v>2026</v>
      </c>
      <c r="B2771" t="s">
        <v>2027</v>
      </c>
      <c r="C2771" t="s">
        <v>347</v>
      </c>
      <c r="D2771" t="s">
        <v>228</v>
      </c>
      <c r="E2771" t="str">
        <f>INDEX('State Codes'!$E$7:$E$70,MATCH(INDEX('State Codes'!$C$7:$C$70,MATCH('County Climates'!B2771,'State Codes'!$D$7:$D$70,0),1),'State Codes'!$C$7:$C$70,0),1)</f>
        <v>West North Central Division</v>
      </c>
      <c r="F2771">
        <f>INDEX('CBECS_Table B5'!$C$6:$K$6,1,MATCH('County Climates'!E2771,'CBECS_Table B5'!$C$1:$K$1,0))</f>
        <v>6178</v>
      </c>
    </row>
    <row r="2772" spans="1:6" x14ac:dyDescent="0.25">
      <c r="A2772" t="s">
        <v>2026</v>
      </c>
      <c r="B2772" t="s">
        <v>2027</v>
      </c>
      <c r="C2772" t="s">
        <v>2039</v>
      </c>
      <c r="D2772" t="s">
        <v>228</v>
      </c>
      <c r="E2772" t="str">
        <f>INDEX('State Codes'!$E$7:$E$70,MATCH(INDEX('State Codes'!$C$7:$C$70,MATCH('County Climates'!B2772,'State Codes'!$D$7:$D$70,0),1),'State Codes'!$C$7:$C$70,0),1)</f>
        <v>West North Central Division</v>
      </c>
      <c r="F2772">
        <f>INDEX('CBECS_Table B5'!$C$6:$K$6,1,MATCH('County Climates'!E2772,'CBECS_Table B5'!$C$1:$K$1,0))</f>
        <v>6178</v>
      </c>
    </row>
    <row r="2773" spans="1:6" x14ac:dyDescent="0.25">
      <c r="A2773" t="s">
        <v>2026</v>
      </c>
      <c r="B2773" t="s">
        <v>2027</v>
      </c>
      <c r="C2773" t="s">
        <v>2040</v>
      </c>
      <c r="D2773" t="s">
        <v>228</v>
      </c>
      <c r="E2773" t="str">
        <f>INDEX('State Codes'!$E$7:$E$70,MATCH(INDEX('State Codes'!$C$7:$C$70,MATCH('County Climates'!B2773,'State Codes'!$D$7:$D$70,0),1),'State Codes'!$C$7:$C$70,0),1)</f>
        <v>West North Central Division</v>
      </c>
      <c r="F2773">
        <f>INDEX('CBECS_Table B5'!$C$6:$K$6,1,MATCH('County Climates'!E2773,'CBECS_Table B5'!$C$1:$K$1,0))</f>
        <v>6178</v>
      </c>
    </row>
    <row r="2774" spans="1:6" x14ac:dyDescent="0.25">
      <c r="A2774" t="s">
        <v>2026</v>
      </c>
      <c r="B2774" t="s">
        <v>2027</v>
      </c>
      <c r="C2774" t="s">
        <v>2041</v>
      </c>
      <c r="D2774" t="s">
        <v>228</v>
      </c>
      <c r="E2774" t="str">
        <f>INDEX('State Codes'!$E$7:$E$70,MATCH(INDEX('State Codes'!$C$7:$C$70,MATCH('County Climates'!B2774,'State Codes'!$D$7:$D$70,0),1),'State Codes'!$C$7:$C$70,0),1)</f>
        <v>West North Central Division</v>
      </c>
      <c r="F2774">
        <f>INDEX('CBECS_Table B5'!$C$6:$K$6,1,MATCH('County Climates'!E2774,'CBECS_Table B5'!$C$1:$K$1,0))</f>
        <v>6178</v>
      </c>
    </row>
    <row r="2775" spans="1:6" x14ac:dyDescent="0.25">
      <c r="A2775" t="s">
        <v>2042</v>
      </c>
      <c r="B2775" t="s">
        <v>2043</v>
      </c>
      <c r="C2775" t="s">
        <v>1174</v>
      </c>
      <c r="D2775" t="s">
        <v>247</v>
      </c>
      <c r="E2775" t="str">
        <f>INDEX('State Codes'!$E$7:$E$70,MATCH(INDEX('State Codes'!$C$7:$C$70,MATCH('County Climates'!B2775,'State Codes'!$D$7:$D$70,0),1),'State Codes'!$C$7:$C$70,0),1)</f>
        <v>East South Central Division</v>
      </c>
      <c r="F2775">
        <f>INDEX('CBECS_Table B5'!$C$6:$K$6,1,MATCH('County Climates'!E2775,'CBECS_Table B5'!$C$1:$K$1,0))</f>
        <v>4904</v>
      </c>
    </row>
    <row r="2776" spans="1:6" x14ac:dyDescent="0.25">
      <c r="A2776" t="s">
        <v>2042</v>
      </c>
      <c r="B2776" t="s">
        <v>2043</v>
      </c>
      <c r="C2776" t="s">
        <v>1093</v>
      </c>
      <c r="D2776" t="s">
        <v>247</v>
      </c>
      <c r="E2776" t="str">
        <f>INDEX('State Codes'!$E$7:$E$70,MATCH(INDEX('State Codes'!$C$7:$C$70,MATCH('County Climates'!B2776,'State Codes'!$D$7:$D$70,0),1),'State Codes'!$C$7:$C$70,0),1)</f>
        <v>East South Central Division</v>
      </c>
      <c r="F2776">
        <f>INDEX('CBECS_Table B5'!$C$6:$K$6,1,MATCH('County Climates'!E2776,'CBECS_Table B5'!$C$1:$K$1,0))</f>
        <v>4904</v>
      </c>
    </row>
    <row r="2777" spans="1:6" x14ac:dyDescent="0.25">
      <c r="A2777" t="s">
        <v>2042</v>
      </c>
      <c r="B2777" t="s">
        <v>2043</v>
      </c>
      <c r="C2777" t="s">
        <v>575</v>
      </c>
      <c r="D2777" t="s">
        <v>247</v>
      </c>
      <c r="E2777" t="str">
        <f>INDEX('State Codes'!$E$7:$E$70,MATCH(INDEX('State Codes'!$C$7:$C$70,MATCH('County Climates'!B2777,'State Codes'!$D$7:$D$70,0),1),'State Codes'!$C$7:$C$70,0),1)</f>
        <v>East South Central Division</v>
      </c>
      <c r="F2777">
        <f>INDEX('CBECS_Table B5'!$C$6:$K$6,1,MATCH('County Climates'!E2777,'CBECS_Table B5'!$C$1:$K$1,0))</f>
        <v>4904</v>
      </c>
    </row>
    <row r="2778" spans="1:6" x14ac:dyDescent="0.25">
      <c r="A2778" t="s">
        <v>2042</v>
      </c>
      <c r="B2778" t="s">
        <v>2043</v>
      </c>
      <c r="C2778" t="s">
        <v>2044</v>
      </c>
      <c r="D2778" t="s">
        <v>247</v>
      </c>
      <c r="E2778" t="str">
        <f>INDEX('State Codes'!$E$7:$E$70,MATCH(INDEX('State Codes'!$C$7:$C$70,MATCH('County Climates'!B2778,'State Codes'!$D$7:$D$70,0),1),'State Codes'!$C$7:$C$70,0),1)</f>
        <v>East South Central Division</v>
      </c>
      <c r="F2778">
        <f>INDEX('CBECS_Table B5'!$C$6:$K$6,1,MATCH('County Climates'!E2778,'CBECS_Table B5'!$C$1:$K$1,0))</f>
        <v>4904</v>
      </c>
    </row>
    <row r="2779" spans="1:6" x14ac:dyDescent="0.25">
      <c r="A2779" t="s">
        <v>2042</v>
      </c>
      <c r="B2779" t="s">
        <v>2043</v>
      </c>
      <c r="C2779" t="s">
        <v>248</v>
      </c>
      <c r="D2779" t="s">
        <v>247</v>
      </c>
      <c r="E2779" t="str">
        <f>INDEX('State Codes'!$E$7:$E$70,MATCH(INDEX('State Codes'!$C$7:$C$70,MATCH('County Climates'!B2779,'State Codes'!$D$7:$D$70,0),1),'State Codes'!$C$7:$C$70,0),1)</f>
        <v>East South Central Division</v>
      </c>
      <c r="F2779">
        <f>INDEX('CBECS_Table B5'!$C$6:$K$6,1,MATCH('County Climates'!E2779,'CBECS_Table B5'!$C$1:$K$1,0))</f>
        <v>4904</v>
      </c>
    </row>
    <row r="2780" spans="1:6" x14ac:dyDescent="0.25">
      <c r="A2780" t="s">
        <v>2042</v>
      </c>
      <c r="B2780" t="s">
        <v>2043</v>
      </c>
      <c r="C2780" t="s">
        <v>1428</v>
      </c>
      <c r="D2780" t="s">
        <v>247</v>
      </c>
      <c r="E2780" t="str">
        <f>INDEX('State Codes'!$E$7:$E$70,MATCH(INDEX('State Codes'!$C$7:$C$70,MATCH('County Climates'!B2780,'State Codes'!$D$7:$D$70,0),1),'State Codes'!$C$7:$C$70,0),1)</f>
        <v>East South Central Division</v>
      </c>
      <c r="F2780">
        <f>INDEX('CBECS_Table B5'!$C$6:$K$6,1,MATCH('County Climates'!E2780,'CBECS_Table B5'!$C$1:$K$1,0))</f>
        <v>4904</v>
      </c>
    </row>
    <row r="2781" spans="1:6" x14ac:dyDescent="0.25">
      <c r="A2781" t="s">
        <v>2042</v>
      </c>
      <c r="B2781" t="s">
        <v>2043</v>
      </c>
      <c r="C2781" t="s">
        <v>1130</v>
      </c>
      <c r="D2781" t="s">
        <v>247</v>
      </c>
      <c r="E2781" t="str">
        <f>INDEX('State Codes'!$E$7:$E$70,MATCH(INDEX('State Codes'!$C$7:$C$70,MATCH('County Climates'!B2781,'State Codes'!$D$7:$D$70,0),1),'State Codes'!$C$7:$C$70,0),1)</f>
        <v>East South Central Division</v>
      </c>
      <c r="F2781">
        <f>INDEX('CBECS_Table B5'!$C$6:$K$6,1,MATCH('County Climates'!E2781,'CBECS_Table B5'!$C$1:$K$1,0))</f>
        <v>4904</v>
      </c>
    </row>
    <row r="2782" spans="1:6" x14ac:dyDescent="0.25">
      <c r="A2782" t="s">
        <v>2042</v>
      </c>
      <c r="B2782" t="s">
        <v>2043</v>
      </c>
      <c r="C2782" t="s">
        <v>2045</v>
      </c>
      <c r="D2782" t="s">
        <v>247</v>
      </c>
      <c r="E2782" t="str">
        <f>INDEX('State Codes'!$E$7:$E$70,MATCH(INDEX('State Codes'!$C$7:$C$70,MATCH('County Climates'!B2782,'State Codes'!$D$7:$D$70,0),1),'State Codes'!$C$7:$C$70,0),1)</f>
        <v>East South Central Division</v>
      </c>
      <c r="F2782">
        <f>INDEX('CBECS_Table B5'!$C$6:$K$6,1,MATCH('County Climates'!E2782,'CBECS_Table B5'!$C$1:$K$1,0))</f>
        <v>4904</v>
      </c>
    </row>
    <row r="2783" spans="1:6" x14ac:dyDescent="0.25">
      <c r="A2783" t="s">
        <v>2042</v>
      </c>
      <c r="B2783" t="s">
        <v>2043</v>
      </c>
      <c r="C2783" t="s">
        <v>447</v>
      </c>
      <c r="D2783" t="s">
        <v>247</v>
      </c>
      <c r="E2783" t="str">
        <f>INDEX('State Codes'!$E$7:$E$70,MATCH(INDEX('State Codes'!$C$7:$C$70,MATCH('County Climates'!B2783,'State Codes'!$D$7:$D$70,0),1),'State Codes'!$C$7:$C$70,0),1)</f>
        <v>East South Central Division</v>
      </c>
      <c r="F2783">
        <f>INDEX('CBECS_Table B5'!$C$6:$K$6,1,MATCH('County Climates'!E2783,'CBECS_Table B5'!$C$1:$K$1,0))</f>
        <v>4904</v>
      </c>
    </row>
    <row r="2784" spans="1:6" x14ac:dyDescent="0.25">
      <c r="A2784" t="s">
        <v>2042</v>
      </c>
      <c r="B2784" t="s">
        <v>2043</v>
      </c>
      <c r="C2784" t="s">
        <v>877</v>
      </c>
      <c r="D2784" t="s">
        <v>247</v>
      </c>
      <c r="E2784" t="str">
        <f>INDEX('State Codes'!$E$7:$E$70,MATCH(INDEX('State Codes'!$C$7:$C$70,MATCH('County Climates'!B2784,'State Codes'!$D$7:$D$70,0),1),'State Codes'!$C$7:$C$70,0),1)</f>
        <v>East South Central Division</v>
      </c>
      <c r="F2784">
        <f>INDEX('CBECS_Table B5'!$C$6:$K$6,1,MATCH('County Climates'!E2784,'CBECS_Table B5'!$C$1:$K$1,0))</f>
        <v>4904</v>
      </c>
    </row>
    <row r="2785" spans="1:6" x14ac:dyDescent="0.25">
      <c r="A2785" t="s">
        <v>2042</v>
      </c>
      <c r="B2785" t="s">
        <v>2043</v>
      </c>
      <c r="C2785" t="s">
        <v>2046</v>
      </c>
      <c r="D2785" t="s">
        <v>247</v>
      </c>
      <c r="E2785" t="str">
        <f>INDEX('State Codes'!$E$7:$E$70,MATCH(INDEX('State Codes'!$C$7:$C$70,MATCH('County Climates'!B2785,'State Codes'!$D$7:$D$70,0),1),'State Codes'!$C$7:$C$70,0),1)</f>
        <v>East South Central Division</v>
      </c>
      <c r="F2785">
        <f>INDEX('CBECS_Table B5'!$C$6:$K$6,1,MATCH('County Climates'!E2785,'CBECS_Table B5'!$C$1:$K$1,0))</f>
        <v>4904</v>
      </c>
    </row>
    <row r="2786" spans="1:6" x14ac:dyDescent="0.25">
      <c r="A2786" t="s">
        <v>2042</v>
      </c>
      <c r="B2786" t="s">
        <v>2043</v>
      </c>
      <c r="C2786" t="s">
        <v>1100</v>
      </c>
      <c r="D2786" t="s">
        <v>247</v>
      </c>
      <c r="E2786" t="str">
        <f>INDEX('State Codes'!$E$7:$E$70,MATCH(INDEX('State Codes'!$C$7:$C$70,MATCH('County Climates'!B2786,'State Codes'!$D$7:$D$70,0),1),'State Codes'!$C$7:$C$70,0),1)</f>
        <v>East South Central Division</v>
      </c>
      <c r="F2786">
        <f>INDEX('CBECS_Table B5'!$C$6:$K$6,1,MATCH('County Climates'!E2786,'CBECS_Table B5'!$C$1:$K$1,0))</f>
        <v>4904</v>
      </c>
    </row>
    <row r="2787" spans="1:6" x14ac:dyDescent="0.25">
      <c r="A2787" t="s">
        <v>2042</v>
      </c>
      <c r="B2787" t="s">
        <v>2043</v>
      </c>
      <c r="C2787" t="s">
        <v>1669</v>
      </c>
      <c r="D2787" t="s">
        <v>247</v>
      </c>
      <c r="E2787" t="str">
        <f>INDEX('State Codes'!$E$7:$E$70,MATCH(INDEX('State Codes'!$C$7:$C$70,MATCH('County Climates'!B2787,'State Codes'!$D$7:$D$70,0),1),'State Codes'!$C$7:$C$70,0),1)</f>
        <v>East South Central Division</v>
      </c>
      <c r="F2787">
        <f>INDEX('CBECS_Table B5'!$C$6:$K$6,1,MATCH('County Climates'!E2787,'CBECS_Table B5'!$C$1:$K$1,0))</f>
        <v>4904</v>
      </c>
    </row>
    <row r="2788" spans="1:6" x14ac:dyDescent="0.25">
      <c r="A2788" t="s">
        <v>2042</v>
      </c>
      <c r="B2788" t="s">
        <v>2043</v>
      </c>
      <c r="C2788" t="s">
        <v>257</v>
      </c>
      <c r="D2788" t="s">
        <v>247</v>
      </c>
      <c r="E2788" t="str">
        <f>INDEX('State Codes'!$E$7:$E$70,MATCH(INDEX('State Codes'!$C$7:$C$70,MATCH('County Climates'!B2788,'State Codes'!$D$7:$D$70,0),1),'State Codes'!$C$7:$C$70,0),1)</f>
        <v>East South Central Division</v>
      </c>
      <c r="F2788">
        <f>INDEX('CBECS_Table B5'!$C$6:$K$6,1,MATCH('County Climates'!E2788,'CBECS_Table B5'!$C$1:$K$1,0))</f>
        <v>4904</v>
      </c>
    </row>
    <row r="2789" spans="1:6" x14ac:dyDescent="0.25">
      <c r="A2789" t="s">
        <v>2042</v>
      </c>
      <c r="B2789" t="s">
        <v>2043</v>
      </c>
      <c r="C2789" t="s">
        <v>2047</v>
      </c>
      <c r="D2789" t="s">
        <v>247</v>
      </c>
      <c r="E2789" t="str">
        <f>INDEX('State Codes'!$E$7:$E$70,MATCH(INDEX('State Codes'!$C$7:$C$70,MATCH('County Climates'!B2789,'State Codes'!$D$7:$D$70,0),1),'State Codes'!$C$7:$C$70,0),1)</f>
        <v>East South Central Division</v>
      </c>
      <c r="F2789">
        <f>INDEX('CBECS_Table B5'!$C$6:$K$6,1,MATCH('County Climates'!E2789,'CBECS_Table B5'!$C$1:$K$1,0))</f>
        <v>4904</v>
      </c>
    </row>
    <row r="2790" spans="1:6" x14ac:dyDescent="0.25">
      <c r="A2790" t="s">
        <v>2042</v>
      </c>
      <c r="B2790" t="s">
        <v>2043</v>
      </c>
      <c r="C2790" t="s">
        <v>259</v>
      </c>
      <c r="D2790" t="s">
        <v>247</v>
      </c>
      <c r="E2790" t="str">
        <f>INDEX('State Codes'!$E$7:$E$70,MATCH(INDEX('State Codes'!$C$7:$C$70,MATCH('County Climates'!B2790,'State Codes'!$D$7:$D$70,0),1),'State Codes'!$C$7:$C$70,0),1)</f>
        <v>East South Central Division</v>
      </c>
      <c r="F2790">
        <f>INDEX('CBECS_Table B5'!$C$6:$K$6,1,MATCH('County Climates'!E2790,'CBECS_Table B5'!$C$1:$K$1,0))</f>
        <v>4904</v>
      </c>
    </row>
    <row r="2791" spans="1:6" x14ac:dyDescent="0.25">
      <c r="A2791" t="s">
        <v>2042</v>
      </c>
      <c r="B2791" t="s">
        <v>2043</v>
      </c>
      <c r="C2791" t="s">
        <v>2048</v>
      </c>
      <c r="D2791" t="s">
        <v>247</v>
      </c>
      <c r="E2791" t="str">
        <f>INDEX('State Codes'!$E$7:$E$70,MATCH(INDEX('State Codes'!$C$7:$C$70,MATCH('County Climates'!B2791,'State Codes'!$D$7:$D$70,0),1),'State Codes'!$C$7:$C$70,0),1)</f>
        <v>East South Central Division</v>
      </c>
      <c r="F2791">
        <f>INDEX('CBECS_Table B5'!$C$6:$K$6,1,MATCH('County Climates'!E2791,'CBECS_Table B5'!$C$1:$K$1,0))</f>
        <v>4904</v>
      </c>
    </row>
    <row r="2792" spans="1:6" x14ac:dyDescent="0.25">
      <c r="A2792" t="s">
        <v>2042</v>
      </c>
      <c r="B2792" t="s">
        <v>2043</v>
      </c>
      <c r="C2792" t="s">
        <v>720</v>
      </c>
      <c r="D2792" t="s">
        <v>247</v>
      </c>
      <c r="E2792" t="str">
        <f>INDEX('State Codes'!$E$7:$E$70,MATCH(INDEX('State Codes'!$C$7:$C$70,MATCH('County Climates'!B2792,'State Codes'!$D$7:$D$70,0),1),'State Codes'!$C$7:$C$70,0),1)</f>
        <v>East South Central Division</v>
      </c>
      <c r="F2792">
        <f>INDEX('CBECS_Table B5'!$C$6:$K$6,1,MATCH('County Climates'!E2792,'CBECS_Table B5'!$C$1:$K$1,0))</f>
        <v>4904</v>
      </c>
    </row>
    <row r="2793" spans="1:6" x14ac:dyDescent="0.25">
      <c r="A2793" t="s">
        <v>2042</v>
      </c>
      <c r="B2793" t="s">
        <v>2043</v>
      </c>
      <c r="C2793" t="s">
        <v>1907</v>
      </c>
      <c r="D2793" t="s">
        <v>247</v>
      </c>
      <c r="E2793" t="str">
        <f>INDEX('State Codes'!$E$7:$E$70,MATCH(INDEX('State Codes'!$C$7:$C$70,MATCH('County Climates'!B2793,'State Codes'!$D$7:$D$70,0),1),'State Codes'!$C$7:$C$70,0),1)</f>
        <v>East South Central Division</v>
      </c>
      <c r="F2793">
        <f>INDEX('CBECS_Table B5'!$C$6:$K$6,1,MATCH('County Climates'!E2793,'CBECS_Table B5'!$C$1:$K$1,0))</f>
        <v>4904</v>
      </c>
    </row>
    <row r="2794" spans="1:6" x14ac:dyDescent="0.25">
      <c r="A2794" t="s">
        <v>2042</v>
      </c>
      <c r="B2794" t="s">
        <v>2043</v>
      </c>
      <c r="C2794" t="s">
        <v>464</v>
      </c>
      <c r="D2794" t="s">
        <v>247</v>
      </c>
      <c r="E2794" t="str">
        <f>INDEX('State Codes'!$E$7:$E$70,MATCH(INDEX('State Codes'!$C$7:$C$70,MATCH('County Climates'!B2794,'State Codes'!$D$7:$D$70,0),1),'State Codes'!$C$7:$C$70,0),1)</f>
        <v>East South Central Division</v>
      </c>
      <c r="F2794">
        <f>INDEX('CBECS_Table B5'!$C$6:$K$6,1,MATCH('County Climates'!E2794,'CBECS_Table B5'!$C$1:$K$1,0))</f>
        <v>4904</v>
      </c>
    </row>
    <row r="2795" spans="1:6" x14ac:dyDescent="0.25">
      <c r="A2795" t="s">
        <v>2042</v>
      </c>
      <c r="B2795" t="s">
        <v>2043</v>
      </c>
      <c r="C2795" t="s">
        <v>268</v>
      </c>
      <c r="D2795" t="s">
        <v>247</v>
      </c>
      <c r="E2795" t="str">
        <f>INDEX('State Codes'!$E$7:$E$70,MATCH(INDEX('State Codes'!$C$7:$C$70,MATCH('County Climates'!B2795,'State Codes'!$D$7:$D$70,0),1),'State Codes'!$C$7:$C$70,0),1)</f>
        <v>East South Central Division</v>
      </c>
      <c r="F2795">
        <f>INDEX('CBECS_Table B5'!$C$6:$K$6,1,MATCH('County Climates'!E2795,'CBECS_Table B5'!$C$1:$K$1,0))</f>
        <v>4904</v>
      </c>
    </row>
    <row r="2796" spans="1:6" x14ac:dyDescent="0.25">
      <c r="A2796" t="s">
        <v>2042</v>
      </c>
      <c r="B2796" t="s">
        <v>2043</v>
      </c>
      <c r="C2796" t="s">
        <v>2049</v>
      </c>
      <c r="D2796" t="s">
        <v>247</v>
      </c>
      <c r="E2796" t="str">
        <f>INDEX('State Codes'!$E$7:$E$70,MATCH(INDEX('State Codes'!$C$7:$C$70,MATCH('County Climates'!B2796,'State Codes'!$D$7:$D$70,0),1),'State Codes'!$C$7:$C$70,0),1)</f>
        <v>East South Central Division</v>
      </c>
      <c r="F2796">
        <f>INDEX('CBECS_Table B5'!$C$6:$K$6,1,MATCH('County Climates'!E2796,'CBECS_Table B5'!$C$1:$K$1,0))</f>
        <v>4904</v>
      </c>
    </row>
    <row r="2797" spans="1:6" x14ac:dyDescent="0.25">
      <c r="A2797" t="s">
        <v>2042</v>
      </c>
      <c r="B2797" t="s">
        <v>2043</v>
      </c>
      <c r="C2797" t="s">
        <v>2050</v>
      </c>
      <c r="D2797" t="s">
        <v>247</v>
      </c>
      <c r="E2797" t="str">
        <f>INDEX('State Codes'!$E$7:$E$70,MATCH(INDEX('State Codes'!$C$7:$C$70,MATCH('County Climates'!B2797,'State Codes'!$D$7:$D$70,0),1),'State Codes'!$C$7:$C$70,0),1)</f>
        <v>East South Central Division</v>
      </c>
      <c r="F2797">
        <f>INDEX('CBECS_Table B5'!$C$6:$K$6,1,MATCH('County Climates'!E2797,'CBECS_Table B5'!$C$1:$K$1,0))</f>
        <v>4904</v>
      </c>
    </row>
    <row r="2798" spans="1:6" x14ac:dyDescent="0.25">
      <c r="A2798" t="s">
        <v>2042</v>
      </c>
      <c r="B2798" t="s">
        <v>2043</v>
      </c>
      <c r="C2798" t="s">
        <v>272</v>
      </c>
      <c r="D2798" t="s">
        <v>247</v>
      </c>
      <c r="E2798" t="str">
        <f>INDEX('State Codes'!$E$7:$E$70,MATCH(INDEX('State Codes'!$C$7:$C$70,MATCH('County Climates'!B2798,'State Codes'!$D$7:$D$70,0),1),'State Codes'!$C$7:$C$70,0),1)</f>
        <v>East South Central Division</v>
      </c>
      <c r="F2798">
        <f>INDEX('CBECS_Table B5'!$C$6:$K$6,1,MATCH('County Climates'!E2798,'CBECS_Table B5'!$C$1:$K$1,0))</f>
        <v>4904</v>
      </c>
    </row>
    <row r="2799" spans="1:6" x14ac:dyDescent="0.25">
      <c r="A2799" t="s">
        <v>2042</v>
      </c>
      <c r="B2799" t="s">
        <v>2043</v>
      </c>
      <c r="C2799" t="s">
        <v>2051</v>
      </c>
      <c r="D2799" t="s">
        <v>247</v>
      </c>
      <c r="E2799" t="str">
        <f>INDEX('State Codes'!$E$7:$E$70,MATCH(INDEX('State Codes'!$C$7:$C$70,MATCH('County Climates'!B2799,'State Codes'!$D$7:$D$70,0),1),'State Codes'!$C$7:$C$70,0),1)</f>
        <v>East South Central Division</v>
      </c>
      <c r="F2799">
        <f>INDEX('CBECS_Table B5'!$C$6:$K$6,1,MATCH('County Climates'!E2799,'CBECS_Table B5'!$C$1:$K$1,0))</f>
        <v>4904</v>
      </c>
    </row>
    <row r="2800" spans="1:6" x14ac:dyDescent="0.25">
      <c r="A2800" t="s">
        <v>2042</v>
      </c>
      <c r="B2800" t="s">
        <v>2043</v>
      </c>
      <c r="C2800" t="s">
        <v>273</v>
      </c>
      <c r="D2800" t="s">
        <v>247</v>
      </c>
      <c r="E2800" t="str">
        <f>INDEX('State Codes'!$E$7:$E$70,MATCH(INDEX('State Codes'!$C$7:$C$70,MATCH('County Climates'!B2800,'State Codes'!$D$7:$D$70,0),1),'State Codes'!$C$7:$C$70,0),1)</f>
        <v>East South Central Division</v>
      </c>
      <c r="F2800">
        <f>INDEX('CBECS_Table B5'!$C$6:$K$6,1,MATCH('County Climates'!E2800,'CBECS_Table B5'!$C$1:$K$1,0))</f>
        <v>4904</v>
      </c>
    </row>
    <row r="2801" spans="1:6" x14ac:dyDescent="0.25">
      <c r="A2801" t="s">
        <v>2042</v>
      </c>
      <c r="B2801" t="s">
        <v>2043</v>
      </c>
      <c r="C2801" t="s">
        <v>1583</v>
      </c>
      <c r="D2801" t="s">
        <v>247</v>
      </c>
      <c r="E2801" t="str">
        <f>INDEX('State Codes'!$E$7:$E$70,MATCH(INDEX('State Codes'!$C$7:$C$70,MATCH('County Climates'!B2801,'State Codes'!$D$7:$D$70,0),1),'State Codes'!$C$7:$C$70,0),1)</f>
        <v>East South Central Division</v>
      </c>
      <c r="F2801">
        <f>INDEX('CBECS_Table B5'!$C$6:$K$6,1,MATCH('County Climates'!E2801,'CBECS_Table B5'!$C$1:$K$1,0))</f>
        <v>4904</v>
      </c>
    </row>
    <row r="2802" spans="1:6" x14ac:dyDescent="0.25">
      <c r="A2802" t="s">
        <v>2042</v>
      </c>
      <c r="B2802" t="s">
        <v>2043</v>
      </c>
      <c r="C2802" t="s">
        <v>1287</v>
      </c>
      <c r="D2802" t="s">
        <v>247</v>
      </c>
      <c r="E2802" t="str">
        <f>INDEX('State Codes'!$E$7:$E$70,MATCH(INDEX('State Codes'!$C$7:$C$70,MATCH('County Climates'!B2802,'State Codes'!$D$7:$D$70,0),1),'State Codes'!$C$7:$C$70,0),1)</f>
        <v>East South Central Division</v>
      </c>
      <c r="F2802">
        <f>INDEX('CBECS_Table B5'!$C$6:$K$6,1,MATCH('County Climates'!E2802,'CBECS_Table B5'!$C$1:$K$1,0))</f>
        <v>4904</v>
      </c>
    </row>
    <row r="2803" spans="1:6" x14ac:dyDescent="0.25">
      <c r="A2803" t="s">
        <v>2042</v>
      </c>
      <c r="B2803" t="s">
        <v>2043</v>
      </c>
      <c r="C2803" t="s">
        <v>2052</v>
      </c>
      <c r="D2803" t="s">
        <v>247</v>
      </c>
      <c r="E2803" t="str">
        <f>INDEX('State Codes'!$E$7:$E$70,MATCH(INDEX('State Codes'!$C$7:$C$70,MATCH('County Climates'!B2803,'State Codes'!$D$7:$D$70,0),1),'State Codes'!$C$7:$C$70,0),1)</f>
        <v>East South Central Division</v>
      </c>
      <c r="F2803">
        <f>INDEX('CBECS_Table B5'!$C$6:$K$6,1,MATCH('County Climates'!E2803,'CBECS_Table B5'!$C$1:$K$1,0))</f>
        <v>4904</v>
      </c>
    </row>
    <row r="2804" spans="1:6" x14ac:dyDescent="0.25">
      <c r="A2804" t="s">
        <v>2042</v>
      </c>
      <c r="B2804" t="s">
        <v>2043</v>
      </c>
      <c r="C2804" t="s">
        <v>275</v>
      </c>
      <c r="D2804" t="s">
        <v>247</v>
      </c>
      <c r="E2804" t="str">
        <f>INDEX('State Codes'!$E$7:$E$70,MATCH(INDEX('State Codes'!$C$7:$C$70,MATCH('County Climates'!B2804,'State Codes'!$D$7:$D$70,0),1),'State Codes'!$C$7:$C$70,0),1)</f>
        <v>East South Central Division</v>
      </c>
      <c r="F2804">
        <f>INDEX('CBECS_Table B5'!$C$6:$K$6,1,MATCH('County Climates'!E2804,'CBECS_Table B5'!$C$1:$K$1,0))</f>
        <v>4904</v>
      </c>
    </row>
    <row r="2805" spans="1:6" x14ac:dyDescent="0.25">
      <c r="A2805" t="s">
        <v>2042</v>
      </c>
      <c r="B2805" t="s">
        <v>2043</v>
      </c>
      <c r="C2805" t="s">
        <v>607</v>
      </c>
      <c r="D2805" t="s">
        <v>247</v>
      </c>
      <c r="E2805" t="str">
        <f>INDEX('State Codes'!$E$7:$E$70,MATCH(INDEX('State Codes'!$C$7:$C$70,MATCH('County Climates'!B2805,'State Codes'!$D$7:$D$70,0),1),'State Codes'!$C$7:$C$70,0),1)</f>
        <v>East South Central Division</v>
      </c>
      <c r="F2805">
        <f>INDEX('CBECS_Table B5'!$C$6:$K$6,1,MATCH('County Climates'!E2805,'CBECS_Table B5'!$C$1:$K$1,0))</f>
        <v>4904</v>
      </c>
    </row>
    <row r="2806" spans="1:6" x14ac:dyDescent="0.25">
      <c r="A2806" t="s">
        <v>2042</v>
      </c>
      <c r="B2806" t="s">
        <v>2043</v>
      </c>
      <c r="C2806" t="s">
        <v>2053</v>
      </c>
      <c r="D2806" t="s">
        <v>247</v>
      </c>
      <c r="E2806" t="str">
        <f>INDEX('State Codes'!$E$7:$E$70,MATCH(INDEX('State Codes'!$C$7:$C$70,MATCH('County Climates'!B2806,'State Codes'!$D$7:$D$70,0),1),'State Codes'!$C$7:$C$70,0),1)</f>
        <v>East South Central Division</v>
      </c>
      <c r="F2806">
        <f>INDEX('CBECS_Table B5'!$C$6:$K$6,1,MATCH('County Climates'!E2806,'CBECS_Table B5'!$C$1:$K$1,0))</f>
        <v>4904</v>
      </c>
    </row>
    <row r="2807" spans="1:6" x14ac:dyDescent="0.25">
      <c r="A2807" t="s">
        <v>2042</v>
      </c>
      <c r="B2807" t="s">
        <v>2043</v>
      </c>
      <c r="C2807" t="s">
        <v>609</v>
      </c>
      <c r="D2807" t="s">
        <v>247</v>
      </c>
      <c r="E2807" t="str">
        <f>INDEX('State Codes'!$E$7:$E$70,MATCH(INDEX('State Codes'!$C$7:$C$70,MATCH('County Climates'!B2807,'State Codes'!$D$7:$D$70,0),1),'State Codes'!$C$7:$C$70,0),1)</f>
        <v>East South Central Division</v>
      </c>
      <c r="F2807">
        <f>INDEX('CBECS_Table B5'!$C$6:$K$6,1,MATCH('County Climates'!E2807,'CBECS_Table B5'!$C$1:$K$1,0))</f>
        <v>4904</v>
      </c>
    </row>
    <row r="2808" spans="1:6" x14ac:dyDescent="0.25">
      <c r="A2808" t="s">
        <v>2042</v>
      </c>
      <c r="B2808" t="s">
        <v>2043</v>
      </c>
      <c r="C2808" t="s">
        <v>610</v>
      </c>
      <c r="D2808" t="s">
        <v>247</v>
      </c>
      <c r="E2808" t="str">
        <f>INDEX('State Codes'!$E$7:$E$70,MATCH(INDEX('State Codes'!$C$7:$C$70,MATCH('County Climates'!B2808,'State Codes'!$D$7:$D$70,0),1),'State Codes'!$C$7:$C$70,0),1)</f>
        <v>East South Central Division</v>
      </c>
      <c r="F2808">
        <f>INDEX('CBECS_Table B5'!$C$6:$K$6,1,MATCH('County Climates'!E2808,'CBECS_Table B5'!$C$1:$K$1,0))</f>
        <v>4904</v>
      </c>
    </row>
    <row r="2809" spans="1:6" x14ac:dyDescent="0.25">
      <c r="A2809" t="s">
        <v>2042</v>
      </c>
      <c r="B2809" t="s">
        <v>2043</v>
      </c>
      <c r="C2809" t="s">
        <v>1201</v>
      </c>
      <c r="D2809" t="s">
        <v>247</v>
      </c>
      <c r="E2809" t="str">
        <f>INDEX('State Codes'!$E$7:$E$70,MATCH(INDEX('State Codes'!$C$7:$C$70,MATCH('County Climates'!B2809,'State Codes'!$D$7:$D$70,0),1),'State Codes'!$C$7:$C$70,0),1)</f>
        <v>East South Central Division</v>
      </c>
      <c r="F2809">
        <f>INDEX('CBECS_Table B5'!$C$6:$K$6,1,MATCH('County Climates'!E2809,'CBECS_Table B5'!$C$1:$K$1,0))</f>
        <v>4904</v>
      </c>
    </row>
    <row r="2810" spans="1:6" x14ac:dyDescent="0.25">
      <c r="A2810" t="s">
        <v>2042</v>
      </c>
      <c r="B2810" t="s">
        <v>2043</v>
      </c>
      <c r="C2810" t="s">
        <v>611</v>
      </c>
      <c r="D2810" t="s">
        <v>247</v>
      </c>
      <c r="E2810" t="str">
        <f>INDEX('State Codes'!$E$7:$E$70,MATCH(INDEX('State Codes'!$C$7:$C$70,MATCH('County Climates'!B2810,'State Codes'!$D$7:$D$70,0),1),'State Codes'!$C$7:$C$70,0),1)</f>
        <v>East South Central Division</v>
      </c>
      <c r="F2810">
        <f>INDEX('CBECS_Table B5'!$C$6:$K$6,1,MATCH('County Climates'!E2810,'CBECS_Table B5'!$C$1:$K$1,0))</f>
        <v>4904</v>
      </c>
    </row>
    <row r="2811" spans="1:6" x14ac:dyDescent="0.25">
      <c r="A2811" t="s">
        <v>2042</v>
      </c>
      <c r="B2811" t="s">
        <v>2043</v>
      </c>
      <c r="C2811" t="s">
        <v>2054</v>
      </c>
      <c r="D2811" t="s">
        <v>247</v>
      </c>
      <c r="E2811" t="str">
        <f>INDEX('State Codes'!$E$7:$E$70,MATCH(INDEX('State Codes'!$C$7:$C$70,MATCH('County Climates'!B2811,'State Codes'!$D$7:$D$70,0),1),'State Codes'!$C$7:$C$70,0),1)</f>
        <v>East South Central Division</v>
      </c>
      <c r="F2811">
        <f>INDEX('CBECS_Table B5'!$C$6:$K$6,1,MATCH('County Climates'!E2811,'CBECS_Table B5'!$C$1:$K$1,0))</f>
        <v>4904</v>
      </c>
    </row>
    <row r="2812" spans="1:6" x14ac:dyDescent="0.25">
      <c r="A2812" t="s">
        <v>2042</v>
      </c>
      <c r="B2812" t="s">
        <v>2043</v>
      </c>
      <c r="C2812" t="s">
        <v>1917</v>
      </c>
      <c r="D2812" t="s">
        <v>247</v>
      </c>
      <c r="E2812" t="str">
        <f>INDEX('State Codes'!$E$7:$E$70,MATCH(INDEX('State Codes'!$C$7:$C$70,MATCH('County Climates'!B2812,'State Codes'!$D$7:$D$70,0),1),'State Codes'!$C$7:$C$70,0),1)</f>
        <v>East South Central Division</v>
      </c>
      <c r="F2812">
        <f>INDEX('CBECS_Table B5'!$C$6:$K$6,1,MATCH('County Climates'!E2812,'CBECS_Table B5'!$C$1:$K$1,0))</f>
        <v>4904</v>
      </c>
    </row>
    <row r="2813" spans="1:6" x14ac:dyDescent="0.25">
      <c r="A2813" t="s">
        <v>2042</v>
      </c>
      <c r="B2813" t="s">
        <v>2043</v>
      </c>
      <c r="C2813" t="s">
        <v>673</v>
      </c>
      <c r="D2813" t="s">
        <v>247</v>
      </c>
      <c r="E2813" t="str">
        <f>INDEX('State Codes'!$E$7:$E$70,MATCH(INDEX('State Codes'!$C$7:$C$70,MATCH('County Climates'!B2813,'State Codes'!$D$7:$D$70,0),1),'State Codes'!$C$7:$C$70,0),1)</f>
        <v>East South Central Division</v>
      </c>
      <c r="F2813">
        <f>INDEX('CBECS_Table B5'!$C$6:$K$6,1,MATCH('County Climates'!E2813,'CBECS_Table B5'!$C$1:$K$1,0))</f>
        <v>4904</v>
      </c>
    </row>
    <row r="2814" spans="1:6" x14ac:dyDescent="0.25">
      <c r="A2814" t="s">
        <v>2042</v>
      </c>
      <c r="B2814" t="s">
        <v>2043</v>
      </c>
      <c r="C2814" t="s">
        <v>277</v>
      </c>
      <c r="D2814" t="s">
        <v>247</v>
      </c>
      <c r="E2814" t="str">
        <f>INDEX('State Codes'!$E$7:$E$70,MATCH(INDEX('State Codes'!$C$7:$C$70,MATCH('County Climates'!B2814,'State Codes'!$D$7:$D$70,0),1),'State Codes'!$C$7:$C$70,0),1)</f>
        <v>East South Central Division</v>
      </c>
      <c r="F2814">
        <f>INDEX('CBECS_Table B5'!$C$6:$K$6,1,MATCH('County Climates'!E2814,'CBECS_Table B5'!$C$1:$K$1,0))</f>
        <v>4904</v>
      </c>
    </row>
    <row r="2815" spans="1:6" x14ac:dyDescent="0.25">
      <c r="A2815" t="s">
        <v>2042</v>
      </c>
      <c r="B2815" t="s">
        <v>2043</v>
      </c>
      <c r="C2815" t="s">
        <v>674</v>
      </c>
      <c r="D2815" t="s">
        <v>247</v>
      </c>
      <c r="E2815" t="str">
        <f>INDEX('State Codes'!$E$7:$E$70,MATCH(INDEX('State Codes'!$C$7:$C$70,MATCH('County Climates'!B2815,'State Codes'!$D$7:$D$70,0),1),'State Codes'!$C$7:$C$70,0),1)</f>
        <v>East South Central Division</v>
      </c>
      <c r="F2815">
        <f>INDEX('CBECS_Table B5'!$C$6:$K$6,1,MATCH('County Climates'!E2815,'CBECS_Table B5'!$C$1:$K$1,0))</f>
        <v>4904</v>
      </c>
    </row>
    <row r="2816" spans="1:6" x14ac:dyDescent="0.25">
      <c r="A2816" t="s">
        <v>2042</v>
      </c>
      <c r="B2816" t="s">
        <v>2043</v>
      </c>
      <c r="C2816" t="s">
        <v>278</v>
      </c>
      <c r="D2816" t="s">
        <v>247</v>
      </c>
      <c r="E2816" t="str">
        <f>INDEX('State Codes'!$E$7:$E$70,MATCH(INDEX('State Codes'!$C$7:$C$70,MATCH('County Climates'!B2816,'State Codes'!$D$7:$D$70,0),1),'State Codes'!$C$7:$C$70,0),1)</f>
        <v>East South Central Division</v>
      </c>
      <c r="F2816">
        <f>INDEX('CBECS_Table B5'!$C$6:$K$6,1,MATCH('County Climates'!E2816,'CBECS_Table B5'!$C$1:$K$1,0))</f>
        <v>4904</v>
      </c>
    </row>
    <row r="2817" spans="1:6" x14ac:dyDescent="0.25">
      <c r="A2817" t="s">
        <v>2055</v>
      </c>
      <c r="B2817" t="s">
        <v>869</v>
      </c>
      <c r="C2817" t="s">
        <v>2056</v>
      </c>
      <c r="D2817" t="s">
        <v>243</v>
      </c>
      <c r="E2817" t="str">
        <f>INDEX('State Codes'!$E$7:$E$70,MATCH(INDEX('State Codes'!$C$7:$C$70,MATCH('County Climates'!B2817,'State Codes'!$D$7:$D$70,0),1),'State Codes'!$C$7:$C$70,0),1)</f>
        <v>West South Central Division</v>
      </c>
      <c r="F2817">
        <f>INDEX('CBECS_Table B5'!$C$6:$K$6,1,MATCH('County Climates'!E2817,'CBECS_Table B5'!$C$1:$K$1,0))</f>
        <v>11394</v>
      </c>
    </row>
    <row r="2818" spans="1:6" x14ac:dyDescent="0.25">
      <c r="A2818" t="s">
        <v>2055</v>
      </c>
      <c r="B2818" t="s">
        <v>869</v>
      </c>
      <c r="C2818" t="s">
        <v>1638</v>
      </c>
      <c r="D2818" t="s">
        <v>243</v>
      </c>
      <c r="E2818" t="str">
        <f>INDEX('State Codes'!$E$7:$E$70,MATCH(INDEX('State Codes'!$C$7:$C$70,MATCH('County Climates'!B2818,'State Codes'!$D$7:$D$70,0),1),'State Codes'!$C$7:$C$70,0),1)</f>
        <v>West South Central Division</v>
      </c>
      <c r="F2818">
        <f>INDEX('CBECS_Table B5'!$C$6:$K$6,1,MATCH('County Climates'!E2818,'CBECS_Table B5'!$C$1:$K$1,0))</f>
        <v>11394</v>
      </c>
    </row>
    <row r="2819" spans="1:6" x14ac:dyDescent="0.25">
      <c r="A2819" t="s">
        <v>2055</v>
      </c>
      <c r="B2819" t="s">
        <v>869</v>
      </c>
      <c r="C2819" t="s">
        <v>2057</v>
      </c>
      <c r="D2819" t="s">
        <v>243</v>
      </c>
      <c r="E2819" t="str">
        <f>INDEX('State Codes'!$E$7:$E$70,MATCH(INDEX('State Codes'!$C$7:$C$70,MATCH('County Climates'!B2819,'State Codes'!$D$7:$D$70,0),1),'State Codes'!$C$7:$C$70,0),1)</f>
        <v>West South Central Division</v>
      </c>
      <c r="F2819">
        <f>INDEX('CBECS_Table B5'!$C$6:$K$6,1,MATCH('County Climates'!E2819,'CBECS_Table B5'!$C$1:$K$1,0))</f>
        <v>11394</v>
      </c>
    </row>
    <row r="2820" spans="1:6" x14ac:dyDescent="0.25">
      <c r="A2820" t="s">
        <v>2055</v>
      </c>
      <c r="B2820" t="s">
        <v>869</v>
      </c>
      <c r="C2820" t="s">
        <v>2058</v>
      </c>
      <c r="D2820" t="s">
        <v>243</v>
      </c>
      <c r="E2820" t="str">
        <f>INDEX('State Codes'!$E$7:$E$70,MATCH(INDEX('State Codes'!$C$7:$C$70,MATCH('County Climates'!B2820,'State Codes'!$D$7:$D$70,0),1),'State Codes'!$C$7:$C$70,0),1)</f>
        <v>West South Central Division</v>
      </c>
      <c r="F2820">
        <f>INDEX('CBECS_Table B5'!$C$6:$K$6,1,MATCH('County Climates'!E2820,'CBECS_Table B5'!$C$1:$K$1,0))</f>
        <v>11394</v>
      </c>
    </row>
    <row r="2821" spans="1:6" x14ac:dyDescent="0.25">
      <c r="A2821" t="s">
        <v>2055</v>
      </c>
      <c r="B2821" t="s">
        <v>869</v>
      </c>
      <c r="C2821" t="s">
        <v>2059</v>
      </c>
      <c r="D2821" t="s">
        <v>359</v>
      </c>
      <c r="E2821" t="str">
        <f>INDEX('State Codes'!$E$7:$E$70,MATCH(INDEX('State Codes'!$C$7:$C$70,MATCH('County Climates'!B2821,'State Codes'!$D$7:$D$70,0),1),'State Codes'!$C$7:$C$70,0),1)</f>
        <v>West South Central Division</v>
      </c>
      <c r="F2821">
        <f>INDEX('CBECS_Table B5'!$C$6:$K$6,1,MATCH('County Climates'!E2821,'CBECS_Table B5'!$C$1:$K$1,0))</f>
        <v>11394</v>
      </c>
    </row>
    <row r="2822" spans="1:6" x14ac:dyDescent="0.25">
      <c r="A2822" t="s">
        <v>2055</v>
      </c>
      <c r="B2822" t="s">
        <v>869</v>
      </c>
      <c r="C2822" t="s">
        <v>2060</v>
      </c>
      <c r="D2822" t="s">
        <v>243</v>
      </c>
      <c r="E2822" t="str">
        <f>INDEX('State Codes'!$E$7:$E$70,MATCH(INDEX('State Codes'!$C$7:$C$70,MATCH('County Climates'!B2822,'State Codes'!$D$7:$D$70,0),1),'State Codes'!$C$7:$C$70,0),1)</f>
        <v>West South Central Division</v>
      </c>
      <c r="F2822">
        <f>INDEX('CBECS_Table B5'!$C$6:$K$6,1,MATCH('County Climates'!E2822,'CBECS_Table B5'!$C$1:$K$1,0))</f>
        <v>11394</v>
      </c>
    </row>
    <row r="2823" spans="1:6" x14ac:dyDescent="0.25">
      <c r="A2823" t="s">
        <v>2055</v>
      </c>
      <c r="B2823" t="s">
        <v>869</v>
      </c>
      <c r="C2823" t="s">
        <v>2061</v>
      </c>
      <c r="D2823" t="s">
        <v>243</v>
      </c>
      <c r="E2823" t="str">
        <f>INDEX('State Codes'!$E$7:$E$70,MATCH(INDEX('State Codes'!$C$7:$C$70,MATCH('County Climates'!B2823,'State Codes'!$D$7:$D$70,0),1),'State Codes'!$C$7:$C$70,0),1)</f>
        <v>West South Central Division</v>
      </c>
      <c r="F2823">
        <f>INDEX('CBECS_Table B5'!$C$6:$K$6,1,MATCH('County Climates'!E2823,'CBECS_Table B5'!$C$1:$K$1,0))</f>
        <v>11394</v>
      </c>
    </row>
    <row r="2824" spans="1:6" x14ac:dyDescent="0.25">
      <c r="A2824" t="s">
        <v>2055</v>
      </c>
      <c r="B2824" t="s">
        <v>869</v>
      </c>
      <c r="C2824" t="s">
        <v>2062</v>
      </c>
      <c r="D2824" t="s">
        <v>243</v>
      </c>
      <c r="E2824" t="str">
        <f>INDEX('State Codes'!$E$7:$E$70,MATCH(INDEX('State Codes'!$C$7:$C$70,MATCH('County Climates'!B2824,'State Codes'!$D$7:$D$70,0),1),'State Codes'!$C$7:$C$70,0),1)</f>
        <v>West South Central Division</v>
      </c>
      <c r="F2824">
        <f>INDEX('CBECS_Table B5'!$C$6:$K$6,1,MATCH('County Climates'!E2824,'CBECS_Table B5'!$C$1:$K$1,0))</f>
        <v>11394</v>
      </c>
    </row>
    <row r="2825" spans="1:6" x14ac:dyDescent="0.25">
      <c r="A2825" t="s">
        <v>2055</v>
      </c>
      <c r="B2825" t="s">
        <v>869</v>
      </c>
      <c r="C2825" t="s">
        <v>2063</v>
      </c>
      <c r="D2825" t="s">
        <v>243</v>
      </c>
      <c r="E2825" t="str">
        <f>INDEX('State Codes'!$E$7:$E$70,MATCH(INDEX('State Codes'!$C$7:$C$70,MATCH('County Climates'!B2825,'State Codes'!$D$7:$D$70,0),1),'State Codes'!$C$7:$C$70,0),1)</f>
        <v>West South Central Division</v>
      </c>
      <c r="F2825">
        <f>INDEX('CBECS_Table B5'!$C$6:$K$6,1,MATCH('County Climates'!E2825,'CBECS_Table B5'!$C$1:$K$1,0))</f>
        <v>11394</v>
      </c>
    </row>
    <row r="2826" spans="1:6" x14ac:dyDescent="0.25">
      <c r="A2826" t="s">
        <v>2055</v>
      </c>
      <c r="B2826" t="s">
        <v>869</v>
      </c>
      <c r="C2826" t="s">
        <v>2064</v>
      </c>
      <c r="D2826" t="s">
        <v>359</v>
      </c>
      <c r="E2826" t="str">
        <f>INDEX('State Codes'!$E$7:$E$70,MATCH(INDEX('State Codes'!$C$7:$C$70,MATCH('County Climates'!B2826,'State Codes'!$D$7:$D$70,0),1),'State Codes'!$C$7:$C$70,0),1)</f>
        <v>West South Central Division</v>
      </c>
      <c r="F2826">
        <f>INDEX('CBECS_Table B5'!$C$6:$K$6,1,MATCH('County Climates'!E2826,'CBECS_Table B5'!$C$1:$K$1,0))</f>
        <v>11394</v>
      </c>
    </row>
    <row r="2827" spans="1:6" x14ac:dyDescent="0.25">
      <c r="A2827" t="s">
        <v>2055</v>
      </c>
      <c r="B2827" t="s">
        <v>869</v>
      </c>
      <c r="C2827" t="s">
        <v>2065</v>
      </c>
      <c r="D2827" t="s">
        <v>357</v>
      </c>
      <c r="E2827" t="str">
        <f>INDEX('State Codes'!$E$7:$E$70,MATCH(INDEX('State Codes'!$C$7:$C$70,MATCH('County Climates'!B2827,'State Codes'!$D$7:$D$70,0),1),'State Codes'!$C$7:$C$70,0),1)</f>
        <v>West South Central Division</v>
      </c>
      <c r="F2827">
        <f>INDEX('CBECS_Table B5'!$C$6:$K$6,1,MATCH('County Climates'!E2827,'CBECS_Table B5'!$C$1:$K$1,0))</f>
        <v>11394</v>
      </c>
    </row>
    <row r="2828" spans="1:6" x14ac:dyDescent="0.25">
      <c r="A2828" t="s">
        <v>2055</v>
      </c>
      <c r="B2828" t="s">
        <v>869</v>
      </c>
      <c r="C2828" t="s">
        <v>440</v>
      </c>
      <c r="D2828" t="s">
        <v>243</v>
      </c>
      <c r="E2828" t="str">
        <f>INDEX('State Codes'!$E$7:$E$70,MATCH(INDEX('State Codes'!$C$7:$C$70,MATCH('County Climates'!B2828,'State Codes'!$D$7:$D$70,0),1),'State Codes'!$C$7:$C$70,0),1)</f>
        <v>West South Central Division</v>
      </c>
      <c r="F2828">
        <f>INDEX('CBECS_Table B5'!$C$6:$K$6,1,MATCH('County Climates'!E2828,'CBECS_Table B5'!$C$1:$K$1,0))</f>
        <v>11394</v>
      </c>
    </row>
    <row r="2829" spans="1:6" x14ac:dyDescent="0.25">
      <c r="A2829" t="s">
        <v>2055</v>
      </c>
      <c r="B2829" t="s">
        <v>869</v>
      </c>
      <c r="C2829" t="s">
        <v>578</v>
      </c>
      <c r="D2829" t="s">
        <v>243</v>
      </c>
      <c r="E2829" t="str">
        <f>INDEX('State Codes'!$E$7:$E$70,MATCH(INDEX('State Codes'!$C$7:$C$70,MATCH('County Climates'!B2829,'State Codes'!$D$7:$D$70,0),1),'State Codes'!$C$7:$C$70,0),1)</f>
        <v>West South Central Division</v>
      </c>
      <c r="F2829">
        <f>INDEX('CBECS_Table B5'!$C$6:$K$6,1,MATCH('County Climates'!E2829,'CBECS_Table B5'!$C$1:$K$1,0))</f>
        <v>11394</v>
      </c>
    </row>
    <row r="2830" spans="1:6" x14ac:dyDescent="0.25">
      <c r="A2830" t="s">
        <v>2055</v>
      </c>
      <c r="B2830" t="s">
        <v>869</v>
      </c>
      <c r="C2830" t="s">
        <v>2066</v>
      </c>
      <c r="D2830" t="s">
        <v>243</v>
      </c>
      <c r="E2830" t="str">
        <f>INDEX('State Codes'!$E$7:$E$70,MATCH(INDEX('State Codes'!$C$7:$C$70,MATCH('County Climates'!B2830,'State Codes'!$D$7:$D$70,0),1),'State Codes'!$C$7:$C$70,0),1)</f>
        <v>West South Central Division</v>
      </c>
      <c r="F2830">
        <f>INDEX('CBECS_Table B5'!$C$6:$K$6,1,MATCH('County Climates'!E2830,'CBECS_Table B5'!$C$1:$K$1,0))</f>
        <v>11394</v>
      </c>
    </row>
    <row r="2831" spans="1:6" x14ac:dyDescent="0.25">
      <c r="A2831" t="s">
        <v>2055</v>
      </c>
      <c r="B2831" t="s">
        <v>869</v>
      </c>
      <c r="C2831" t="s">
        <v>2067</v>
      </c>
      <c r="D2831" t="s">
        <v>243</v>
      </c>
      <c r="E2831" t="str">
        <f>INDEX('State Codes'!$E$7:$E$70,MATCH(INDEX('State Codes'!$C$7:$C$70,MATCH('County Climates'!B2831,'State Codes'!$D$7:$D$70,0),1),'State Codes'!$C$7:$C$70,0),1)</f>
        <v>West South Central Division</v>
      </c>
      <c r="F2831">
        <f>INDEX('CBECS_Table B5'!$C$6:$K$6,1,MATCH('County Climates'!E2831,'CBECS_Table B5'!$C$1:$K$1,0))</f>
        <v>11394</v>
      </c>
    </row>
    <row r="2832" spans="1:6" x14ac:dyDescent="0.25">
      <c r="A2832" t="s">
        <v>2055</v>
      </c>
      <c r="B2832" t="s">
        <v>869</v>
      </c>
      <c r="C2832" t="s">
        <v>1645</v>
      </c>
      <c r="D2832" t="s">
        <v>243</v>
      </c>
      <c r="E2832" t="str">
        <f>INDEX('State Codes'!$E$7:$E$70,MATCH(INDEX('State Codes'!$C$7:$C$70,MATCH('County Climates'!B2832,'State Codes'!$D$7:$D$70,0),1),'State Codes'!$C$7:$C$70,0),1)</f>
        <v>West South Central Division</v>
      </c>
      <c r="F2832">
        <f>INDEX('CBECS_Table B5'!$C$6:$K$6,1,MATCH('County Climates'!E2832,'CBECS_Table B5'!$C$1:$K$1,0))</f>
        <v>11394</v>
      </c>
    </row>
    <row r="2833" spans="1:6" x14ac:dyDescent="0.25">
      <c r="A2833" t="s">
        <v>2055</v>
      </c>
      <c r="B2833" t="s">
        <v>869</v>
      </c>
      <c r="C2833" t="s">
        <v>251</v>
      </c>
      <c r="D2833" t="s">
        <v>243</v>
      </c>
      <c r="E2833" t="str">
        <f>INDEX('State Codes'!$E$7:$E$70,MATCH(INDEX('State Codes'!$C$7:$C$70,MATCH('County Climates'!B2833,'State Codes'!$D$7:$D$70,0),1),'State Codes'!$C$7:$C$70,0),1)</f>
        <v>West South Central Division</v>
      </c>
      <c r="F2833">
        <f>INDEX('CBECS_Table B5'!$C$6:$K$6,1,MATCH('County Climates'!E2833,'CBECS_Table B5'!$C$1:$K$1,0))</f>
        <v>11394</v>
      </c>
    </row>
    <row r="2834" spans="1:6" x14ac:dyDescent="0.25">
      <c r="A2834" t="s">
        <v>2055</v>
      </c>
      <c r="B2834" t="s">
        <v>869</v>
      </c>
      <c r="C2834" t="s">
        <v>2068</v>
      </c>
      <c r="D2834" t="s">
        <v>359</v>
      </c>
      <c r="E2834" t="str">
        <f>INDEX('State Codes'!$E$7:$E$70,MATCH(INDEX('State Codes'!$C$7:$C$70,MATCH('County Climates'!B2834,'State Codes'!$D$7:$D$70,0),1),'State Codes'!$C$7:$C$70,0),1)</f>
        <v>West South Central Division</v>
      </c>
      <c r="F2834">
        <f>INDEX('CBECS_Table B5'!$C$6:$K$6,1,MATCH('County Climates'!E2834,'CBECS_Table B5'!$C$1:$K$1,0))</f>
        <v>11394</v>
      </c>
    </row>
    <row r="2835" spans="1:6" x14ac:dyDescent="0.25">
      <c r="A2835" t="s">
        <v>2055</v>
      </c>
      <c r="B2835" t="s">
        <v>869</v>
      </c>
      <c r="C2835" t="s">
        <v>1098</v>
      </c>
      <c r="D2835" t="s">
        <v>243</v>
      </c>
      <c r="E2835" t="str">
        <f>INDEX('State Codes'!$E$7:$E$70,MATCH(INDEX('State Codes'!$C$7:$C$70,MATCH('County Climates'!B2835,'State Codes'!$D$7:$D$70,0),1),'State Codes'!$C$7:$C$70,0),1)</f>
        <v>West South Central Division</v>
      </c>
      <c r="F2835">
        <f>INDEX('CBECS_Table B5'!$C$6:$K$6,1,MATCH('County Climates'!E2835,'CBECS_Table B5'!$C$1:$K$1,0))</f>
        <v>11394</v>
      </c>
    </row>
    <row r="2836" spans="1:6" x14ac:dyDescent="0.25">
      <c r="A2836" t="s">
        <v>2055</v>
      </c>
      <c r="B2836" t="s">
        <v>869</v>
      </c>
      <c r="C2836" t="s">
        <v>2069</v>
      </c>
      <c r="D2836" t="s">
        <v>243</v>
      </c>
      <c r="E2836" t="str">
        <f>INDEX('State Codes'!$E$7:$E$70,MATCH(INDEX('State Codes'!$C$7:$C$70,MATCH('County Climates'!B2836,'State Codes'!$D$7:$D$70,0),1),'State Codes'!$C$7:$C$70,0),1)</f>
        <v>West South Central Division</v>
      </c>
      <c r="F2836">
        <f>INDEX('CBECS_Table B5'!$C$6:$K$6,1,MATCH('County Climates'!E2836,'CBECS_Table B5'!$C$1:$K$1,0))</f>
        <v>11394</v>
      </c>
    </row>
    <row r="2837" spans="1:6" x14ac:dyDescent="0.25">
      <c r="A2837" t="s">
        <v>2055</v>
      </c>
      <c r="B2837" t="s">
        <v>869</v>
      </c>
      <c r="C2837" t="s">
        <v>2070</v>
      </c>
      <c r="D2837" t="s">
        <v>357</v>
      </c>
      <c r="E2837" t="str">
        <f>INDEX('State Codes'!$E$7:$E$70,MATCH(INDEX('State Codes'!$C$7:$C$70,MATCH('County Climates'!B2837,'State Codes'!$D$7:$D$70,0),1),'State Codes'!$C$7:$C$70,0),1)</f>
        <v>West South Central Division</v>
      </c>
      <c r="F2837">
        <f>INDEX('CBECS_Table B5'!$C$6:$K$6,1,MATCH('County Climates'!E2837,'CBECS_Table B5'!$C$1:$K$1,0))</f>
        <v>11394</v>
      </c>
    </row>
    <row r="2838" spans="1:6" x14ac:dyDescent="0.25">
      <c r="A2838" t="s">
        <v>2055</v>
      </c>
      <c r="B2838" t="s">
        <v>869</v>
      </c>
      <c r="C2838" t="s">
        <v>579</v>
      </c>
      <c r="D2838" t="s">
        <v>243</v>
      </c>
      <c r="E2838" t="str">
        <f>INDEX('State Codes'!$E$7:$E$70,MATCH(INDEX('State Codes'!$C$7:$C$70,MATCH('County Climates'!B2838,'State Codes'!$D$7:$D$70,0),1),'State Codes'!$C$7:$C$70,0),1)</f>
        <v>West South Central Division</v>
      </c>
      <c r="F2838">
        <f>INDEX('CBECS_Table B5'!$C$6:$K$6,1,MATCH('County Climates'!E2838,'CBECS_Table B5'!$C$1:$K$1,0))</f>
        <v>11394</v>
      </c>
    </row>
    <row r="2839" spans="1:6" x14ac:dyDescent="0.25">
      <c r="A2839" t="s">
        <v>2055</v>
      </c>
      <c r="B2839" t="s">
        <v>869</v>
      </c>
      <c r="C2839" t="s">
        <v>2071</v>
      </c>
      <c r="D2839" t="s">
        <v>357</v>
      </c>
      <c r="E2839" t="str">
        <f>INDEX('State Codes'!$E$7:$E$70,MATCH(INDEX('State Codes'!$C$7:$C$70,MATCH('County Climates'!B2839,'State Codes'!$D$7:$D$70,0),1),'State Codes'!$C$7:$C$70,0),1)</f>
        <v>West South Central Division</v>
      </c>
      <c r="F2839">
        <f>INDEX('CBECS_Table B5'!$C$6:$K$6,1,MATCH('County Climates'!E2839,'CBECS_Table B5'!$C$1:$K$1,0))</f>
        <v>11394</v>
      </c>
    </row>
    <row r="2840" spans="1:6" x14ac:dyDescent="0.25">
      <c r="A2840" t="s">
        <v>2055</v>
      </c>
      <c r="B2840" t="s">
        <v>869</v>
      </c>
      <c r="C2840" t="s">
        <v>252</v>
      </c>
      <c r="D2840" t="s">
        <v>243</v>
      </c>
      <c r="E2840" t="str">
        <f>INDEX('State Codes'!$E$7:$E$70,MATCH(INDEX('State Codes'!$C$7:$C$70,MATCH('County Climates'!B2840,'State Codes'!$D$7:$D$70,0),1),'State Codes'!$C$7:$C$70,0),1)</f>
        <v>West South Central Division</v>
      </c>
      <c r="F2840">
        <f>INDEX('CBECS_Table B5'!$C$6:$K$6,1,MATCH('County Climates'!E2840,'CBECS_Table B5'!$C$1:$K$1,0))</f>
        <v>11394</v>
      </c>
    </row>
    <row r="2841" spans="1:6" x14ac:dyDescent="0.25">
      <c r="A2841" t="s">
        <v>2055</v>
      </c>
      <c r="B2841" t="s">
        <v>869</v>
      </c>
      <c r="C2841" t="s">
        <v>253</v>
      </c>
      <c r="D2841" t="s">
        <v>243</v>
      </c>
      <c r="E2841" t="str">
        <f>INDEX('State Codes'!$E$7:$E$70,MATCH(INDEX('State Codes'!$C$7:$C$70,MATCH('County Climates'!B2841,'State Codes'!$D$7:$D$70,0),1),'State Codes'!$C$7:$C$70,0),1)</f>
        <v>West South Central Division</v>
      </c>
      <c r="F2841">
        <f>INDEX('CBECS_Table B5'!$C$6:$K$6,1,MATCH('County Climates'!E2841,'CBECS_Table B5'!$C$1:$K$1,0))</f>
        <v>11394</v>
      </c>
    </row>
    <row r="2842" spans="1:6" x14ac:dyDescent="0.25">
      <c r="A2842" t="s">
        <v>2055</v>
      </c>
      <c r="B2842" t="s">
        <v>869</v>
      </c>
      <c r="C2842" t="s">
        <v>2072</v>
      </c>
      <c r="D2842" t="s">
        <v>359</v>
      </c>
      <c r="E2842" t="str">
        <f>INDEX('State Codes'!$E$7:$E$70,MATCH(INDEX('State Codes'!$C$7:$C$70,MATCH('County Climates'!B2842,'State Codes'!$D$7:$D$70,0),1),'State Codes'!$C$7:$C$70,0),1)</f>
        <v>West South Central Division</v>
      </c>
      <c r="F2842">
        <f>INDEX('CBECS_Table B5'!$C$6:$K$6,1,MATCH('County Climates'!E2842,'CBECS_Table B5'!$C$1:$K$1,0))</f>
        <v>11394</v>
      </c>
    </row>
    <row r="2843" spans="1:6" x14ac:dyDescent="0.25">
      <c r="A2843" t="s">
        <v>2055</v>
      </c>
      <c r="B2843" t="s">
        <v>869</v>
      </c>
      <c r="C2843" t="s">
        <v>257</v>
      </c>
      <c r="D2843" t="s">
        <v>247</v>
      </c>
      <c r="E2843" t="str">
        <f>INDEX('State Codes'!$E$7:$E$70,MATCH(INDEX('State Codes'!$C$7:$C$70,MATCH('County Climates'!B2843,'State Codes'!$D$7:$D$70,0),1),'State Codes'!$C$7:$C$70,0),1)</f>
        <v>West South Central Division</v>
      </c>
      <c r="F2843">
        <f>INDEX('CBECS_Table B5'!$C$6:$K$6,1,MATCH('County Climates'!E2843,'CBECS_Table B5'!$C$1:$K$1,0))</f>
        <v>11394</v>
      </c>
    </row>
    <row r="2844" spans="1:6" x14ac:dyDescent="0.25">
      <c r="A2844" t="s">
        <v>2055</v>
      </c>
      <c r="B2844" t="s">
        <v>869</v>
      </c>
      <c r="C2844" t="s">
        <v>2073</v>
      </c>
      <c r="D2844" t="s">
        <v>357</v>
      </c>
      <c r="E2844" t="str">
        <f>INDEX('State Codes'!$E$7:$E$70,MATCH(INDEX('State Codes'!$C$7:$C$70,MATCH('County Climates'!B2844,'State Codes'!$D$7:$D$70,0),1),'State Codes'!$C$7:$C$70,0),1)</f>
        <v>West South Central Division</v>
      </c>
      <c r="F2844">
        <f>INDEX('CBECS_Table B5'!$C$6:$K$6,1,MATCH('County Climates'!E2844,'CBECS_Table B5'!$C$1:$K$1,0))</f>
        <v>11394</v>
      </c>
    </row>
    <row r="2845" spans="1:6" x14ac:dyDescent="0.25">
      <c r="A2845" t="s">
        <v>2055</v>
      </c>
      <c r="B2845" t="s">
        <v>869</v>
      </c>
      <c r="C2845" t="s">
        <v>2074</v>
      </c>
      <c r="D2845" t="s">
        <v>359</v>
      </c>
      <c r="E2845" t="str">
        <f>INDEX('State Codes'!$E$7:$E$70,MATCH(INDEX('State Codes'!$C$7:$C$70,MATCH('County Climates'!B2845,'State Codes'!$D$7:$D$70,0),1),'State Codes'!$C$7:$C$70,0),1)</f>
        <v>West South Central Division</v>
      </c>
      <c r="F2845">
        <f>INDEX('CBECS_Table B5'!$C$6:$K$6,1,MATCH('County Climates'!E2845,'CBECS_Table B5'!$C$1:$K$1,0))</f>
        <v>11394</v>
      </c>
    </row>
    <row r="2846" spans="1:6" x14ac:dyDescent="0.25">
      <c r="A2846" t="s">
        <v>2055</v>
      </c>
      <c r="B2846" t="s">
        <v>869</v>
      </c>
      <c r="C2846" t="s">
        <v>2075</v>
      </c>
      <c r="D2846" t="s">
        <v>359</v>
      </c>
      <c r="E2846" t="str">
        <f>INDEX('State Codes'!$E$7:$E$70,MATCH(INDEX('State Codes'!$C$7:$C$70,MATCH('County Climates'!B2846,'State Codes'!$D$7:$D$70,0),1),'State Codes'!$C$7:$C$70,0),1)</f>
        <v>West South Central Division</v>
      </c>
      <c r="F2846">
        <f>INDEX('CBECS_Table B5'!$C$6:$K$6,1,MATCH('County Climates'!E2846,'CBECS_Table B5'!$C$1:$K$1,0))</f>
        <v>11394</v>
      </c>
    </row>
    <row r="2847" spans="1:6" x14ac:dyDescent="0.25">
      <c r="A2847" t="s">
        <v>2055</v>
      </c>
      <c r="B2847" t="s">
        <v>869</v>
      </c>
      <c r="C2847" t="s">
        <v>2076</v>
      </c>
      <c r="D2847" t="s">
        <v>243</v>
      </c>
      <c r="E2847" t="str">
        <f>INDEX('State Codes'!$E$7:$E$70,MATCH(INDEX('State Codes'!$C$7:$C$70,MATCH('County Climates'!B2847,'State Codes'!$D$7:$D$70,0),1),'State Codes'!$C$7:$C$70,0),1)</f>
        <v>West South Central Division</v>
      </c>
      <c r="F2847">
        <f>INDEX('CBECS_Table B5'!$C$6:$K$6,1,MATCH('County Climates'!E2847,'CBECS_Table B5'!$C$1:$K$1,0))</f>
        <v>11394</v>
      </c>
    </row>
    <row r="2848" spans="1:6" x14ac:dyDescent="0.25">
      <c r="A2848" t="s">
        <v>2055</v>
      </c>
      <c r="B2848" t="s">
        <v>869</v>
      </c>
      <c r="C2848" t="s">
        <v>2077</v>
      </c>
      <c r="D2848" t="s">
        <v>359</v>
      </c>
      <c r="E2848" t="str">
        <f>INDEX('State Codes'!$E$7:$E$70,MATCH(INDEX('State Codes'!$C$7:$C$70,MATCH('County Climates'!B2848,'State Codes'!$D$7:$D$70,0),1),'State Codes'!$C$7:$C$70,0),1)</f>
        <v>West South Central Division</v>
      </c>
      <c r="F2848">
        <f>INDEX('CBECS_Table B5'!$C$6:$K$6,1,MATCH('County Climates'!E2848,'CBECS_Table B5'!$C$1:$K$1,0))</f>
        <v>11394</v>
      </c>
    </row>
    <row r="2849" spans="1:6" x14ac:dyDescent="0.25">
      <c r="A2849" t="s">
        <v>2055</v>
      </c>
      <c r="B2849" t="s">
        <v>869</v>
      </c>
      <c r="C2849" t="s">
        <v>1477</v>
      </c>
      <c r="D2849" t="s">
        <v>243</v>
      </c>
      <c r="E2849" t="str">
        <f>INDEX('State Codes'!$E$7:$E$70,MATCH(INDEX('State Codes'!$C$7:$C$70,MATCH('County Climates'!B2849,'State Codes'!$D$7:$D$70,0),1),'State Codes'!$C$7:$C$70,0),1)</f>
        <v>West South Central Division</v>
      </c>
      <c r="F2849">
        <f>INDEX('CBECS_Table B5'!$C$6:$K$6,1,MATCH('County Climates'!E2849,'CBECS_Table B5'!$C$1:$K$1,0))</f>
        <v>11394</v>
      </c>
    </row>
    <row r="2850" spans="1:6" x14ac:dyDescent="0.25">
      <c r="A2850" t="s">
        <v>2055</v>
      </c>
      <c r="B2850" t="s">
        <v>869</v>
      </c>
      <c r="C2850" t="s">
        <v>2078</v>
      </c>
      <c r="D2850" t="s">
        <v>243</v>
      </c>
      <c r="E2850" t="str">
        <f>INDEX('State Codes'!$E$7:$E$70,MATCH(INDEX('State Codes'!$C$7:$C$70,MATCH('County Climates'!B2850,'State Codes'!$D$7:$D$70,0),1),'State Codes'!$C$7:$C$70,0),1)</f>
        <v>West South Central Division</v>
      </c>
      <c r="F2850">
        <f>INDEX('CBECS_Table B5'!$C$6:$K$6,1,MATCH('County Climates'!E2850,'CBECS_Table B5'!$C$1:$K$1,0))</f>
        <v>11394</v>
      </c>
    </row>
    <row r="2851" spans="1:6" x14ac:dyDescent="0.25">
      <c r="A2851" t="s">
        <v>2055</v>
      </c>
      <c r="B2851" t="s">
        <v>869</v>
      </c>
      <c r="C2851" t="s">
        <v>1622</v>
      </c>
      <c r="D2851" t="s">
        <v>243</v>
      </c>
      <c r="E2851" t="str">
        <f>INDEX('State Codes'!$E$7:$E$70,MATCH(INDEX('State Codes'!$C$7:$C$70,MATCH('County Climates'!B2851,'State Codes'!$D$7:$D$70,0),1),'State Codes'!$C$7:$C$70,0),1)</f>
        <v>West South Central Division</v>
      </c>
      <c r="F2851">
        <f>INDEX('CBECS_Table B5'!$C$6:$K$6,1,MATCH('County Climates'!E2851,'CBECS_Table B5'!$C$1:$K$1,0))</f>
        <v>11394</v>
      </c>
    </row>
    <row r="2852" spans="1:6" x14ac:dyDescent="0.25">
      <c r="A2852" t="s">
        <v>2055</v>
      </c>
      <c r="B2852" t="s">
        <v>869</v>
      </c>
      <c r="C2852" t="s">
        <v>2079</v>
      </c>
      <c r="D2852" t="s">
        <v>359</v>
      </c>
      <c r="E2852" t="str">
        <f>INDEX('State Codes'!$E$7:$E$70,MATCH(INDEX('State Codes'!$C$7:$C$70,MATCH('County Climates'!B2852,'State Codes'!$D$7:$D$70,0),1),'State Codes'!$C$7:$C$70,0),1)</f>
        <v>West South Central Division</v>
      </c>
      <c r="F2852">
        <f>INDEX('CBECS_Table B5'!$C$6:$K$6,1,MATCH('County Climates'!E2852,'CBECS_Table B5'!$C$1:$K$1,0))</f>
        <v>11394</v>
      </c>
    </row>
    <row r="2853" spans="1:6" x14ac:dyDescent="0.25">
      <c r="A2853" t="s">
        <v>2055</v>
      </c>
      <c r="B2853" t="s">
        <v>869</v>
      </c>
      <c r="C2853" t="s">
        <v>2080</v>
      </c>
      <c r="D2853" t="s">
        <v>247</v>
      </c>
      <c r="E2853" t="str">
        <f>INDEX('State Codes'!$E$7:$E$70,MATCH(INDEX('State Codes'!$C$7:$C$70,MATCH('County Climates'!B2853,'State Codes'!$D$7:$D$70,0),1),'State Codes'!$C$7:$C$70,0),1)</f>
        <v>West South Central Division</v>
      </c>
      <c r="F2853">
        <f>INDEX('CBECS_Table B5'!$C$6:$K$6,1,MATCH('County Climates'!E2853,'CBECS_Table B5'!$C$1:$K$1,0))</f>
        <v>11394</v>
      </c>
    </row>
    <row r="2854" spans="1:6" x14ac:dyDescent="0.25">
      <c r="A2854" t="s">
        <v>2055</v>
      </c>
      <c r="B2854" t="s">
        <v>869</v>
      </c>
      <c r="C2854" t="s">
        <v>2081</v>
      </c>
      <c r="D2854" t="s">
        <v>243</v>
      </c>
      <c r="E2854" t="str">
        <f>INDEX('State Codes'!$E$7:$E$70,MATCH(INDEX('State Codes'!$C$7:$C$70,MATCH('County Climates'!B2854,'State Codes'!$D$7:$D$70,0),1),'State Codes'!$C$7:$C$70,0),1)</f>
        <v>West South Central Division</v>
      </c>
      <c r="F2854">
        <f>INDEX('CBECS_Table B5'!$C$6:$K$6,1,MATCH('County Climates'!E2854,'CBECS_Table B5'!$C$1:$K$1,0))</f>
        <v>11394</v>
      </c>
    </row>
    <row r="2855" spans="1:6" x14ac:dyDescent="0.25">
      <c r="A2855" t="s">
        <v>2055</v>
      </c>
      <c r="B2855" t="s">
        <v>869</v>
      </c>
      <c r="C2855" t="s">
        <v>2082</v>
      </c>
      <c r="D2855" t="s">
        <v>359</v>
      </c>
      <c r="E2855" t="str">
        <f>INDEX('State Codes'!$E$7:$E$70,MATCH(INDEX('State Codes'!$C$7:$C$70,MATCH('County Climates'!B2855,'State Codes'!$D$7:$D$70,0),1),'State Codes'!$C$7:$C$70,0),1)</f>
        <v>West South Central Division</v>
      </c>
      <c r="F2855">
        <f>INDEX('CBECS_Table B5'!$C$6:$K$6,1,MATCH('County Climates'!E2855,'CBECS_Table B5'!$C$1:$K$1,0))</f>
        <v>11394</v>
      </c>
    </row>
    <row r="2856" spans="1:6" x14ac:dyDescent="0.25">
      <c r="A2856" t="s">
        <v>2055</v>
      </c>
      <c r="B2856" t="s">
        <v>869</v>
      </c>
      <c r="C2856" t="s">
        <v>2083</v>
      </c>
      <c r="D2856" t="s">
        <v>359</v>
      </c>
      <c r="E2856" t="str">
        <f>INDEX('State Codes'!$E$7:$E$70,MATCH(INDEX('State Codes'!$C$7:$C$70,MATCH('County Climates'!B2856,'State Codes'!$D$7:$D$70,0),1),'State Codes'!$C$7:$C$70,0),1)</f>
        <v>West South Central Division</v>
      </c>
      <c r="F2856">
        <f>INDEX('CBECS_Table B5'!$C$6:$K$6,1,MATCH('County Climates'!E2856,'CBECS_Table B5'!$C$1:$K$1,0))</f>
        <v>11394</v>
      </c>
    </row>
    <row r="2857" spans="1:6" x14ac:dyDescent="0.25">
      <c r="A2857" t="s">
        <v>2055</v>
      </c>
      <c r="B2857" t="s">
        <v>869</v>
      </c>
      <c r="C2857" t="s">
        <v>2048</v>
      </c>
      <c r="D2857" t="s">
        <v>359</v>
      </c>
      <c r="E2857" t="str">
        <f>INDEX('State Codes'!$E$7:$E$70,MATCH(INDEX('State Codes'!$C$7:$C$70,MATCH('County Climates'!B2857,'State Codes'!$D$7:$D$70,0),1),'State Codes'!$C$7:$C$70,0),1)</f>
        <v>West South Central Division</v>
      </c>
      <c r="F2857">
        <f>INDEX('CBECS_Table B5'!$C$6:$K$6,1,MATCH('County Climates'!E2857,'CBECS_Table B5'!$C$1:$K$1,0))</f>
        <v>11394</v>
      </c>
    </row>
    <row r="2858" spans="1:6" x14ac:dyDescent="0.25">
      <c r="A2858" t="s">
        <v>2055</v>
      </c>
      <c r="B2858" t="s">
        <v>869</v>
      </c>
      <c r="C2858" t="s">
        <v>2084</v>
      </c>
      <c r="D2858" t="s">
        <v>359</v>
      </c>
      <c r="E2858" t="str">
        <f>INDEX('State Codes'!$E$7:$E$70,MATCH(INDEX('State Codes'!$C$7:$C$70,MATCH('County Climates'!B2858,'State Codes'!$D$7:$D$70,0),1),'State Codes'!$C$7:$C$70,0),1)</f>
        <v>West South Central Division</v>
      </c>
      <c r="F2858">
        <f>INDEX('CBECS_Table B5'!$C$6:$K$6,1,MATCH('County Climates'!E2858,'CBECS_Table B5'!$C$1:$K$1,0))</f>
        <v>11394</v>
      </c>
    </row>
    <row r="2859" spans="1:6" x14ac:dyDescent="0.25">
      <c r="A2859" t="s">
        <v>2055</v>
      </c>
      <c r="B2859" t="s">
        <v>869</v>
      </c>
      <c r="C2859" t="s">
        <v>2085</v>
      </c>
      <c r="D2859" t="s">
        <v>359</v>
      </c>
      <c r="E2859" t="str">
        <f>INDEX('State Codes'!$E$7:$E$70,MATCH(INDEX('State Codes'!$C$7:$C$70,MATCH('County Climates'!B2859,'State Codes'!$D$7:$D$70,0),1),'State Codes'!$C$7:$C$70,0),1)</f>
        <v>West South Central Division</v>
      </c>
      <c r="F2859">
        <f>INDEX('CBECS_Table B5'!$C$6:$K$6,1,MATCH('County Climates'!E2859,'CBECS_Table B5'!$C$1:$K$1,0))</f>
        <v>11394</v>
      </c>
    </row>
    <row r="2860" spans="1:6" x14ac:dyDescent="0.25">
      <c r="A2860" t="s">
        <v>2055</v>
      </c>
      <c r="B2860" t="s">
        <v>869</v>
      </c>
      <c r="C2860" t="s">
        <v>2086</v>
      </c>
      <c r="D2860" t="s">
        <v>357</v>
      </c>
      <c r="E2860" t="str">
        <f>INDEX('State Codes'!$E$7:$E$70,MATCH(INDEX('State Codes'!$C$7:$C$70,MATCH('County Climates'!B2860,'State Codes'!$D$7:$D$70,0),1),'State Codes'!$C$7:$C$70,0),1)</f>
        <v>West South Central Division</v>
      </c>
      <c r="F2860">
        <f>INDEX('CBECS_Table B5'!$C$6:$K$6,1,MATCH('County Climates'!E2860,'CBECS_Table B5'!$C$1:$K$1,0))</f>
        <v>11394</v>
      </c>
    </row>
    <row r="2861" spans="1:6" x14ac:dyDescent="0.25">
      <c r="A2861" t="s">
        <v>2055</v>
      </c>
      <c r="B2861" t="s">
        <v>869</v>
      </c>
      <c r="C2861" t="s">
        <v>267</v>
      </c>
      <c r="D2861" t="s">
        <v>243</v>
      </c>
      <c r="E2861" t="str">
        <f>INDEX('State Codes'!$E$7:$E$70,MATCH(INDEX('State Codes'!$C$7:$C$70,MATCH('County Climates'!B2861,'State Codes'!$D$7:$D$70,0),1),'State Codes'!$C$7:$C$70,0),1)</f>
        <v>West South Central Division</v>
      </c>
      <c r="F2861">
        <f>INDEX('CBECS_Table B5'!$C$6:$K$6,1,MATCH('County Climates'!E2861,'CBECS_Table B5'!$C$1:$K$1,0))</f>
        <v>11394</v>
      </c>
    </row>
    <row r="2862" spans="1:6" x14ac:dyDescent="0.25">
      <c r="A2862" t="s">
        <v>2055</v>
      </c>
      <c r="B2862" t="s">
        <v>869</v>
      </c>
      <c r="C2862" t="s">
        <v>463</v>
      </c>
      <c r="D2862" t="s">
        <v>359</v>
      </c>
      <c r="E2862" t="str">
        <f>INDEX('State Codes'!$E$7:$E$70,MATCH(INDEX('State Codes'!$C$7:$C$70,MATCH('County Climates'!B2862,'State Codes'!$D$7:$D$70,0),1),'State Codes'!$C$7:$C$70,0),1)</f>
        <v>West South Central Division</v>
      </c>
      <c r="F2862">
        <f>INDEX('CBECS_Table B5'!$C$6:$K$6,1,MATCH('County Climates'!E2862,'CBECS_Table B5'!$C$1:$K$1,0))</f>
        <v>11394</v>
      </c>
    </row>
    <row r="2863" spans="1:6" x14ac:dyDescent="0.25">
      <c r="A2863" t="s">
        <v>2055</v>
      </c>
      <c r="B2863" t="s">
        <v>869</v>
      </c>
      <c r="C2863" t="s">
        <v>2087</v>
      </c>
      <c r="D2863" t="s">
        <v>357</v>
      </c>
      <c r="E2863" t="str">
        <f>INDEX('State Codes'!$E$7:$E$70,MATCH(INDEX('State Codes'!$C$7:$C$70,MATCH('County Climates'!B2863,'State Codes'!$D$7:$D$70,0),1),'State Codes'!$C$7:$C$70,0),1)</f>
        <v>West South Central Division</v>
      </c>
      <c r="F2863">
        <f>INDEX('CBECS_Table B5'!$C$6:$K$6,1,MATCH('County Climates'!E2863,'CBECS_Table B5'!$C$1:$K$1,0))</f>
        <v>11394</v>
      </c>
    </row>
    <row r="2864" spans="1:6" x14ac:dyDescent="0.25">
      <c r="A2864" t="s">
        <v>2055</v>
      </c>
      <c r="B2864" t="s">
        <v>869</v>
      </c>
      <c r="C2864" t="s">
        <v>1491</v>
      </c>
      <c r="D2864" t="s">
        <v>243</v>
      </c>
      <c r="E2864" t="str">
        <f>INDEX('State Codes'!$E$7:$E$70,MATCH(INDEX('State Codes'!$C$7:$C$70,MATCH('County Climates'!B2864,'State Codes'!$D$7:$D$70,0),1),'State Codes'!$C$7:$C$70,0),1)</f>
        <v>West South Central Division</v>
      </c>
      <c r="F2864">
        <f>INDEX('CBECS_Table B5'!$C$6:$K$6,1,MATCH('County Climates'!E2864,'CBECS_Table B5'!$C$1:$K$1,0))</f>
        <v>11394</v>
      </c>
    </row>
    <row r="2865" spans="1:6" x14ac:dyDescent="0.25">
      <c r="A2865" t="s">
        <v>2055</v>
      </c>
      <c r="B2865" t="s">
        <v>869</v>
      </c>
      <c r="C2865" t="s">
        <v>2088</v>
      </c>
      <c r="D2865" t="s">
        <v>243</v>
      </c>
      <c r="E2865" t="str">
        <f>INDEX('State Codes'!$E$7:$E$70,MATCH(INDEX('State Codes'!$C$7:$C$70,MATCH('County Climates'!B2865,'State Codes'!$D$7:$D$70,0),1),'State Codes'!$C$7:$C$70,0),1)</f>
        <v>West South Central Division</v>
      </c>
      <c r="F2865">
        <f>INDEX('CBECS_Table B5'!$C$6:$K$6,1,MATCH('County Climates'!E2865,'CBECS_Table B5'!$C$1:$K$1,0))</f>
        <v>11394</v>
      </c>
    </row>
    <row r="2866" spans="1:6" x14ac:dyDescent="0.25">
      <c r="A2866" t="s">
        <v>2055</v>
      </c>
      <c r="B2866" t="s">
        <v>869</v>
      </c>
      <c r="C2866" t="s">
        <v>2089</v>
      </c>
      <c r="D2866" t="s">
        <v>243</v>
      </c>
      <c r="E2866" t="str">
        <f>INDEX('State Codes'!$E$7:$E$70,MATCH(INDEX('State Codes'!$C$7:$C$70,MATCH('County Climates'!B2866,'State Codes'!$D$7:$D$70,0),1),'State Codes'!$C$7:$C$70,0),1)</f>
        <v>West South Central Division</v>
      </c>
      <c r="F2866">
        <f>INDEX('CBECS_Table B5'!$C$6:$K$6,1,MATCH('County Climates'!E2866,'CBECS_Table B5'!$C$1:$K$1,0))</f>
        <v>11394</v>
      </c>
    </row>
    <row r="2867" spans="1:6" x14ac:dyDescent="0.25">
      <c r="A2867" t="s">
        <v>2055</v>
      </c>
      <c r="B2867" t="s">
        <v>869</v>
      </c>
      <c r="C2867" t="s">
        <v>2090</v>
      </c>
      <c r="D2867" t="s">
        <v>359</v>
      </c>
      <c r="E2867" t="str">
        <f>INDEX('State Codes'!$E$7:$E$70,MATCH(INDEX('State Codes'!$C$7:$C$70,MATCH('County Climates'!B2867,'State Codes'!$D$7:$D$70,0),1),'State Codes'!$C$7:$C$70,0),1)</f>
        <v>West South Central Division</v>
      </c>
      <c r="F2867">
        <f>INDEX('CBECS_Table B5'!$C$6:$K$6,1,MATCH('County Climates'!E2867,'CBECS_Table B5'!$C$1:$K$1,0))</f>
        <v>11394</v>
      </c>
    </row>
    <row r="2868" spans="1:6" x14ac:dyDescent="0.25">
      <c r="A2868" t="s">
        <v>2055</v>
      </c>
      <c r="B2868" t="s">
        <v>869</v>
      </c>
      <c r="C2868" t="s">
        <v>2091</v>
      </c>
      <c r="D2868" t="s">
        <v>243</v>
      </c>
      <c r="E2868" t="str">
        <f>INDEX('State Codes'!$E$7:$E$70,MATCH(INDEX('State Codes'!$C$7:$C$70,MATCH('County Climates'!B2868,'State Codes'!$D$7:$D$70,0),1),'State Codes'!$C$7:$C$70,0),1)</f>
        <v>West South Central Division</v>
      </c>
      <c r="F2868">
        <f>INDEX('CBECS_Table B5'!$C$6:$K$6,1,MATCH('County Climates'!E2868,'CBECS_Table B5'!$C$1:$K$1,0))</f>
        <v>11394</v>
      </c>
    </row>
    <row r="2869" spans="1:6" x14ac:dyDescent="0.25">
      <c r="A2869" t="s">
        <v>2055</v>
      </c>
      <c r="B2869" t="s">
        <v>869</v>
      </c>
      <c r="C2869" t="s">
        <v>2092</v>
      </c>
      <c r="D2869" t="s">
        <v>357</v>
      </c>
      <c r="E2869" t="str">
        <f>INDEX('State Codes'!$E$7:$E$70,MATCH(INDEX('State Codes'!$C$7:$C$70,MATCH('County Climates'!B2869,'State Codes'!$D$7:$D$70,0),1),'State Codes'!$C$7:$C$70,0),1)</f>
        <v>West South Central Division</v>
      </c>
      <c r="F2869">
        <f>INDEX('CBECS_Table B5'!$C$6:$K$6,1,MATCH('County Climates'!E2869,'CBECS_Table B5'!$C$1:$K$1,0))</f>
        <v>11394</v>
      </c>
    </row>
    <row r="2870" spans="1:6" x14ac:dyDescent="0.25">
      <c r="A2870" t="s">
        <v>2055</v>
      </c>
      <c r="B2870" t="s">
        <v>869</v>
      </c>
      <c r="C2870" t="s">
        <v>1501</v>
      </c>
      <c r="D2870" t="s">
        <v>243</v>
      </c>
      <c r="E2870" t="str">
        <f>INDEX('State Codes'!$E$7:$E$70,MATCH(INDEX('State Codes'!$C$7:$C$70,MATCH('County Climates'!B2870,'State Codes'!$D$7:$D$70,0),1),'State Codes'!$C$7:$C$70,0),1)</f>
        <v>West South Central Division</v>
      </c>
      <c r="F2870">
        <f>INDEX('CBECS_Table B5'!$C$6:$K$6,1,MATCH('County Climates'!E2870,'CBECS_Table B5'!$C$1:$K$1,0))</f>
        <v>11394</v>
      </c>
    </row>
    <row r="2871" spans="1:6" x14ac:dyDescent="0.25">
      <c r="A2871" t="s">
        <v>2055</v>
      </c>
      <c r="B2871" t="s">
        <v>869</v>
      </c>
      <c r="C2871" t="s">
        <v>2093</v>
      </c>
      <c r="D2871" t="s">
        <v>247</v>
      </c>
      <c r="E2871" t="str">
        <f>INDEX('State Codes'!$E$7:$E$70,MATCH(INDEX('State Codes'!$C$7:$C$70,MATCH('County Climates'!B2871,'State Codes'!$D$7:$D$70,0),1),'State Codes'!$C$7:$C$70,0),1)</f>
        <v>West South Central Division</v>
      </c>
      <c r="F2871">
        <f>INDEX('CBECS_Table B5'!$C$6:$K$6,1,MATCH('County Climates'!E2871,'CBECS_Table B5'!$C$1:$K$1,0))</f>
        <v>11394</v>
      </c>
    </row>
    <row r="2872" spans="1:6" x14ac:dyDescent="0.25">
      <c r="A2872" t="s">
        <v>2055</v>
      </c>
      <c r="B2872" t="s">
        <v>869</v>
      </c>
      <c r="C2872" t="s">
        <v>2094</v>
      </c>
      <c r="D2872" t="s">
        <v>359</v>
      </c>
      <c r="E2872" t="str">
        <f>INDEX('State Codes'!$E$7:$E$70,MATCH(INDEX('State Codes'!$C$7:$C$70,MATCH('County Climates'!B2872,'State Codes'!$D$7:$D$70,0),1),'State Codes'!$C$7:$C$70,0),1)</f>
        <v>West South Central Division</v>
      </c>
      <c r="F2872">
        <f>INDEX('CBECS_Table B5'!$C$6:$K$6,1,MATCH('County Climates'!E2872,'CBECS_Table B5'!$C$1:$K$1,0))</f>
        <v>11394</v>
      </c>
    </row>
    <row r="2873" spans="1:6" x14ac:dyDescent="0.25">
      <c r="A2873" t="s">
        <v>2055</v>
      </c>
      <c r="B2873" t="s">
        <v>869</v>
      </c>
      <c r="C2873" t="s">
        <v>622</v>
      </c>
      <c r="D2873" t="s">
        <v>243</v>
      </c>
      <c r="E2873" t="str">
        <f>INDEX('State Codes'!$E$7:$E$70,MATCH(INDEX('State Codes'!$C$7:$C$70,MATCH('County Climates'!B2873,'State Codes'!$D$7:$D$70,0),1),'State Codes'!$C$7:$C$70,0),1)</f>
        <v>West South Central Division</v>
      </c>
      <c r="F2873">
        <f>INDEX('CBECS_Table B5'!$C$6:$K$6,1,MATCH('County Climates'!E2873,'CBECS_Table B5'!$C$1:$K$1,0))</f>
        <v>11394</v>
      </c>
    </row>
    <row r="2874" spans="1:6" x14ac:dyDescent="0.25">
      <c r="A2874" t="s">
        <v>2055</v>
      </c>
      <c r="B2874" t="s">
        <v>869</v>
      </c>
      <c r="C2874" t="s">
        <v>371</v>
      </c>
      <c r="D2874" t="s">
        <v>359</v>
      </c>
      <c r="E2874" t="str">
        <f>INDEX('State Codes'!$E$7:$E$70,MATCH(INDEX('State Codes'!$C$7:$C$70,MATCH('County Climates'!B2874,'State Codes'!$D$7:$D$70,0),1),'State Codes'!$C$7:$C$70,0),1)</f>
        <v>West South Central Division</v>
      </c>
      <c r="F2874">
        <f>INDEX('CBECS_Table B5'!$C$6:$K$6,1,MATCH('County Climates'!E2874,'CBECS_Table B5'!$C$1:$K$1,0))</f>
        <v>11394</v>
      </c>
    </row>
    <row r="2875" spans="1:6" x14ac:dyDescent="0.25">
      <c r="A2875" t="s">
        <v>2055</v>
      </c>
      <c r="B2875" t="s">
        <v>869</v>
      </c>
      <c r="C2875" t="s">
        <v>624</v>
      </c>
      <c r="D2875" t="s">
        <v>243</v>
      </c>
      <c r="E2875" t="str">
        <f>INDEX('State Codes'!$E$7:$E$70,MATCH(INDEX('State Codes'!$C$7:$C$70,MATCH('County Climates'!B2875,'State Codes'!$D$7:$D$70,0),1),'State Codes'!$C$7:$C$70,0),1)</f>
        <v>West South Central Division</v>
      </c>
      <c r="F2875">
        <f>INDEX('CBECS_Table B5'!$C$6:$K$6,1,MATCH('County Climates'!E2875,'CBECS_Table B5'!$C$1:$K$1,0))</f>
        <v>11394</v>
      </c>
    </row>
    <row r="2876" spans="1:6" x14ac:dyDescent="0.25">
      <c r="A2876" t="s">
        <v>2055</v>
      </c>
      <c r="B2876" t="s">
        <v>869</v>
      </c>
      <c r="C2876" t="s">
        <v>2095</v>
      </c>
      <c r="D2876" t="s">
        <v>243</v>
      </c>
      <c r="E2876" t="str">
        <f>INDEX('State Codes'!$E$7:$E$70,MATCH(INDEX('State Codes'!$C$7:$C$70,MATCH('County Climates'!B2876,'State Codes'!$D$7:$D$70,0),1),'State Codes'!$C$7:$C$70,0),1)</f>
        <v>West South Central Division</v>
      </c>
      <c r="F2876">
        <f>INDEX('CBECS_Table B5'!$C$6:$K$6,1,MATCH('County Climates'!E2876,'CBECS_Table B5'!$C$1:$K$1,0))</f>
        <v>11394</v>
      </c>
    </row>
    <row r="2877" spans="1:6" x14ac:dyDescent="0.25">
      <c r="A2877" t="s">
        <v>2055</v>
      </c>
      <c r="B2877" t="s">
        <v>869</v>
      </c>
      <c r="C2877" t="s">
        <v>2096</v>
      </c>
      <c r="D2877" t="s">
        <v>243</v>
      </c>
      <c r="E2877" t="str">
        <f>INDEX('State Codes'!$E$7:$E$70,MATCH(INDEX('State Codes'!$C$7:$C$70,MATCH('County Climates'!B2877,'State Codes'!$D$7:$D$70,0),1),'State Codes'!$C$7:$C$70,0),1)</f>
        <v>West South Central Division</v>
      </c>
      <c r="F2877">
        <f>INDEX('CBECS_Table B5'!$C$6:$K$6,1,MATCH('County Climates'!E2877,'CBECS_Table B5'!$C$1:$K$1,0))</f>
        <v>11394</v>
      </c>
    </row>
    <row r="2878" spans="1:6" x14ac:dyDescent="0.25">
      <c r="A2878" t="s">
        <v>2055</v>
      </c>
      <c r="B2878" t="s">
        <v>869</v>
      </c>
      <c r="C2878" t="s">
        <v>473</v>
      </c>
      <c r="D2878" t="s">
        <v>247</v>
      </c>
      <c r="E2878" t="str">
        <f>INDEX('State Codes'!$E$7:$E$70,MATCH(INDEX('State Codes'!$C$7:$C$70,MATCH('County Climates'!B2878,'State Codes'!$D$7:$D$70,0),1),'State Codes'!$C$7:$C$70,0),1)</f>
        <v>West South Central Division</v>
      </c>
      <c r="F2878">
        <f>INDEX('CBECS_Table B5'!$C$6:$K$6,1,MATCH('County Climates'!E2878,'CBECS_Table B5'!$C$1:$K$1,0))</f>
        <v>11394</v>
      </c>
    </row>
    <row r="2879" spans="1:6" x14ac:dyDescent="0.25">
      <c r="A2879" t="s">
        <v>2055</v>
      </c>
      <c r="B2879" t="s">
        <v>869</v>
      </c>
      <c r="C2879" t="s">
        <v>272</v>
      </c>
      <c r="D2879" t="s">
        <v>243</v>
      </c>
      <c r="E2879" t="str">
        <f>INDEX('State Codes'!$E$7:$E$70,MATCH(INDEX('State Codes'!$C$7:$C$70,MATCH('County Climates'!B2879,'State Codes'!$D$7:$D$70,0),1),'State Codes'!$C$7:$C$70,0),1)</f>
        <v>West South Central Division</v>
      </c>
      <c r="F2879">
        <f>INDEX('CBECS_Table B5'!$C$6:$K$6,1,MATCH('County Climates'!E2879,'CBECS_Table B5'!$C$1:$K$1,0))</f>
        <v>11394</v>
      </c>
    </row>
    <row r="2880" spans="1:6" x14ac:dyDescent="0.25">
      <c r="A2880" t="s">
        <v>2055</v>
      </c>
      <c r="B2880" t="s">
        <v>869</v>
      </c>
      <c r="C2880" t="s">
        <v>2097</v>
      </c>
      <c r="D2880" t="s">
        <v>359</v>
      </c>
      <c r="E2880" t="str">
        <f>INDEX('State Codes'!$E$7:$E$70,MATCH(INDEX('State Codes'!$C$7:$C$70,MATCH('County Climates'!B2880,'State Codes'!$D$7:$D$70,0),1),'State Codes'!$C$7:$C$70,0),1)</f>
        <v>West South Central Division</v>
      </c>
      <c r="F2880">
        <f>INDEX('CBECS_Table B5'!$C$6:$K$6,1,MATCH('County Climates'!E2880,'CBECS_Table B5'!$C$1:$K$1,0))</f>
        <v>11394</v>
      </c>
    </row>
    <row r="2881" spans="1:6" x14ac:dyDescent="0.25">
      <c r="A2881" t="s">
        <v>2055</v>
      </c>
      <c r="B2881" t="s">
        <v>869</v>
      </c>
      <c r="C2881" t="s">
        <v>474</v>
      </c>
      <c r="D2881" t="s">
        <v>357</v>
      </c>
      <c r="E2881" t="str">
        <f>INDEX('State Codes'!$E$7:$E$70,MATCH(INDEX('State Codes'!$C$7:$C$70,MATCH('County Climates'!B2881,'State Codes'!$D$7:$D$70,0),1),'State Codes'!$C$7:$C$70,0),1)</f>
        <v>West South Central Division</v>
      </c>
      <c r="F2881">
        <f>INDEX('CBECS_Table B5'!$C$6:$K$6,1,MATCH('County Climates'!E2881,'CBECS_Table B5'!$C$1:$K$1,0))</f>
        <v>11394</v>
      </c>
    </row>
    <row r="2882" spans="1:6" x14ac:dyDescent="0.25">
      <c r="A2882" t="s">
        <v>2055</v>
      </c>
      <c r="B2882" t="s">
        <v>869</v>
      </c>
      <c r="C2882" t="s">
        <v>2098</v>
      </c>
      <c r="D2882" t="s">
        <v>243</v>
      </c>
      <c r="E2882" t="str">
        <f>INDEX('State Codes'!$E$7:$E$70,MATCH(INDEX('State Codes'!$C$7:$C$70,MATCH('County Climates'!B2882,'State Codes'!$D$7:$D$70,0),1),'State Codes'!$C$7:$C$70,0),1)</f>
        <v>West South Central Division</v>
      </c>
      <c r="F2882">
        <f>INDEX('CBECS_Table B5'!$C$6:$K$6,1,MATCH('County Climates'!E2882,'CBECS_Table B5'!$C$1:$K$1,0))</f>
        <v>11394</v>
      </c>
    </row>
    <row r="2883" spans="1:6" x14ac:dyDescent="0.25">
      <c r="A2883" t="s">
        <v>2055</v>
      </c>
      <c r="B2883" t="s">
        <v>869</v>
      </c>
      <c r="C2883" t="s">
        <v>284</v>
      </c>
      <c r="D2883" t="s">
        <v>243</v>
      </c>
      <c r="E2883" t="str">
        <f>INDEX('State Codes'!$E$7:$E$70,MATCH(INDEX('State Codes'!$C$7:$C$70,MATCH('County Climates'!B2883,'State Codes'!$D$7:$D$70,0),1),'State Codes'!$C$7:$C$70,0),1)</f>
        <v>West South Central Division</v>
      </c>
      <c r="F2883">
        <f>INDEX('CBECS_Table B5'!$C$6:$K$6,1,MATCH('County Climates'!E2883,'CBECS_Table B5'!$C$1:$K$1,0))</f>
        <v>11394</v>
      </c>
    </row>
    <row r="2884" spans="1:6" x14ac:dyDescent="0.25">
      <c r="A2884" t="s">
        <v>2055</v>
      </c>
      <c r="B2884" t="s">
        <v>869</v>
      </c>
      <c r="C2884" t="s">
        <v>1513</v>
      </c>
      <c r="D2884" t="s">
        <v>243</v>
      </c>
      <c r="E2884" t="str">
        <f>INDEX('State Codes'!$E$7:$E$70,MATCH(INDEX('State Codes'!$C$7:$C$70,MATCH('County Climates'!B2884,'State Codes'!$D$7:$D$70,0),1),'State Codes'!$C$7:$C$70,0),1)</f>
        <v>West South Central Division</v>
      </c>
      <c r="F2884">
        <f>INDEX('CBECS_Table B5'!$C$6:$K$6,1,MATCH('County Climates'!E2884,'CBECS_Table B5'!$C$1:$K$1,0))</f>
        <v>11394</v>
      </c>
    </row>
    <row r="2885" spans="1:6" x14ac:dyDescent="0.25">
      <c r="A2885" t="s">
        <v>2055</v>
      </c>
      <c r="B2885" t="s">
        <v>869</v>
      </c>
      <c r="C2885" t="s">
        <v>892</v>
      </c>
      <c r="D2885" t="s">
        <v>243</v>
      </c>
      <c r="E2885" t="str">
        <f>INDEX('State Codes'!$E$7:$E$70,MATCH(INDEX('State Codes'!$C$7:$C$70,MATCH('County Climates'!B2885,'State Codes'!$D$7:$D$70,0),1),'State Codes'!$C$7:$C$70,0),1)</f>
        <v>West South Central Division</v>
      </c>
      <c r="F2885">
        <f>INDEX('CBECS_Table B5'!$C$6:$K$6,1,MATCH('County Climates'!E2885,'CBECS_Table B5'!$C$1:$K$1,0))</f>
        <v>11394</v>
      </c>
    </row>
    <row r="2886" spans="1:6" x14ac:dyDescent="0.25">
      <c r="A2886" t="s">
        <v>2055</v>
      </c>
      <c r="B2886" t="s">
        <v>869</v>
      </c>
      <c r="C2886" t="s">
        <v>285</v>
      </c>
      <c r="D2886" t="s">
        <v>243</v>
      </c>
      <c r="E2886" t="str">
        <f>INDEX('State Codes'!$E$7:$E$70,MATCH(INDEX('State Codes'!$C$7:$C$70,MATCH('County Climates'!B2886,'State Codes'!$D$7:$D$70,0),1),'State Codes'!$C$7:$C$70,0),1)</f>
        <v>West South Central Division</v>
      </c>
      <c r="F2886">
        <f>INDEX('CBECS_Table B5'!$C$6:$K$6,1,MATCH('County Climates'!E2886,'CBECS_Table B5'!$C$1:$K$1,0))</f>
        <v>11394</v>
      </c>
    </row>
    <row r="2887" spans="1:6" x14ac:dyDescent="0.25">
      <c r="A2887" t="s">
        <v>2055</v>
      </c>
      <c r="B2887" t="s">
        <v>869</v>
      </c>
      <c r="C2887" t="s">
        <v>2099</v>
      </c>
      <c r="D2887" t="s">
        <v>357</v>
      </c>
      <c r="E2887" t="str">
        <f>INDEX('State Codes'!$E$7:$E$70,MATCH(INDEX('State Codes'!$C$7:$C$70,MATCH('County Climates'!B2887,'State Codes'!$D$7:$D$70,0),1),'State Codes'!$C$7:$C$70,0),1)</f>
        <v>West South Central Division</v>
      </c>
      <c r="F2887">
        <f>INDEX('CBECS_Table B5'!$C$6:$K$6,1,MATCH('County Climates'!E2887,'CBECS_Table B5'!$C$1:$K$1,0))</f>
        <v>11394</v>
      </c>
    </row>
    <row r="2888" spans="1:6" x14ac:dyDescent="0.25">
      <c r="A2888" t="s">
        <v>2055</v>
      </c>
      <c r="B2888" t="s">
        <v>869</v>
      </c>
      <c r="C2888" t="s">
        <v>2100</v>
      </c>
      <c r="D2888" t="s">
        <v>243</v>
      </c>
      <c r="E2888" t="str">
        <f>INDEX('State Codes'!$E$7:$E$70,MATCH(INDEX('State Codes'!$C$7:$C$70,MATCH('County Climates'!B2888,'State Codes'!$D$7:$D$70,0),1),'State Codes'!$C$7:$C$70,0),1)</f>
        <v>West South Central Division</v>
      </c>
      <c r="F2888">
        <f>INDEX('CBECS_Table B5'!$C$6:$K$6,1,MATCH('County Climates'!E2888,'CBECS_Table B5'!$C$1:$K$1,0))</f>
        <v>11394</v>
      </c>
    </row>
    <row r="2889" spans="1:6" x14ac:dyDescent="0.25">
      <c r="A2889" t="s">
        <v>2055</v>
      </c>
      <c r="B2889" t="s">
        <v>869</v>
      </c>
      <c r="C2889" t="s">
        <v>2101</v>
      </c>
      <c r="D2889" t="s">
        <v>243</v>
      </c>
      <c r="E2889" t="str">
        <f>INDEX('State Codes'!$E$7:$E$70,MATCH(INDEX('State Codes'!$C$7:$C$70,MATCH('County Climates'!B2889,'State Codes'!$D$7:$D$70,0),1),'State Codes'!$C$7:$C$70,0),1)</f>
        <v>West South Central Division</v>
      </c>
      <c r="F2889">
        <f>INDEX('CBECS_Table B5'!$C$6:$K$6,1,MATCH('County Climates'!E2889,'CBECS_Table B5'!$C$1:$K$1,0))</f>
        <v>11394</v>
      </c>
    </row>
    <row r="2890" spans="1:6" x14ac:dyDescent="0.25">
      <c r="A2890" t="s">
        <v>2055</v>
      </c>
      <c r="B2890" t="s">
        <v>869</v>
      </c>
      <c r="C2890" t="s">
        <v>2102</v>
      </c>
      <c r="D2890" t="s">
        <v>359</v>
      </c>
      <c r="E2890" t="str">
        <f>INDEX('State Codes'!$E$7:$E$70,MATCH(INDEX('State Codes'!$C$7:$C$70,MATCH('County Climates'!B2890,'State Codes'!$D$7:$D$70,0),1),'State Codes'!$C$7:$C$70,0),1)</f>
        <v>West South Central Division</v>
      </c>
      <c r="F2890">
        <f>INDEX('CBECS_Table B5'!$C$6:$K$6,1,MATCH('County Climates'!E2890,'CBECS_Table B5'!$C$1:$K$1,0))</f>
        <v>11394</v>
      </c>
    </row>
    <row r="2891" spans="1:6" x14ac:dyDescent="0.25">
      <c r="A2891" t="s">
        <v>2055</v>
      </c>
      <c r="B2891" t="s">
        <v>869</v>
      </c>
      <c r="C2891" t="s">
        <v>2103</v>
      </c>
      <c r="D2891" t="s">
        <v>359</v>
      </c>
      <c r="E2891" t="str">
        <f>INDEX('State Codes'!$E$7:$E$70,MATCH(INDEX('State Codes'!$C$7:$C$70,MATCH('County Climates'!B2891,'State Codes'!$D$7:$D$70,0),1),'State Codes'!$C$7:$C$70,0),1)</f>
        <v>West South Central Division</v>
      </c>
      <c r="F2891">
        <f>INDEX('CBECS_Table B5'!$C$6:$K$6,1,MATCH('County Climates'!E2891,'CBECS_Table B5'!$C$1:$K$1,0))</f>
        <v>11394</v>
      </c>
    </row>
    <row r="2892" spans="1:6" x14ac:dyDescent="0.25">
      <c r="A2892" t="s">
        <v>2055</v>
      </c>
      <c r="B2892" t="s">
        <v>869</v>
      </c>
      <c r="C2892" t="s">
        <v>2104</v>
      </c>
      <c r="D2892" t="s">
        <v>359</v>
      </c>
      <c r="E2892" t="str">
        <f>INDEX('State Codes'!$E$7:$E$70,MATCH(INDEX('State Codes'!$C$7:$C$70,MATCH('County Climates'!B2892,'State Codes'!$D$7:$D$70,0),1),'State Codes'!$C$7:$C$70,0),1)</f>
        <v>West South Central Division</v>
      </c>
      <c r="F2892">
        <f>INDEX('CBECS_Table B5'!$C$6:$K$6,1,MATCH('County Climates'!E2892,'CBECS_Table B5'!$C$1:$K$1,0))</f>
        <v>11394</v>
      </c>
    </row>
    <row r="2893" spans="1:6" x14ac:dyDescent="0.25">
      <c r="A2893" t="s">
        <v>2055</v>
      </c>
      <c r="B2893" t="s">
        <v>869</v>
      </c>
      <c r="C2893" t="s">
        <v>288</v>
      </c>
      <c r="D2893" t="s">
        <v>243</v>
      </c>
      <c r="E2893" t="str">
        <f>INDEX('State Codes'!$E$7:$E$70,MATCH(INDEX('State Codes'!$C$7:$C$70,MATCH('County Climates'!B2893,'State Codes'!$D$7:$D$70,0),1),'State Codes'!$C$7:$C$70,0),1)</f>
        <v>West South Central Division</v>
      </c>
      <c r="F2893">
        <f>INDEX('CBECS_Table B5'!$C$6:$K$6,1,MATCH('County Climates'!E2893,'CBECS_Table B5'!$C$1:$K$1,0))</f>
        <v>11394</v>
      </c>
    </row>
    <row r="2894" spans="1:6" x14ac:dyDescent="0.25">
      <c r="A2894" t="s">
        <v>2055</v>
      </c>
      <c r="B2894" t="s">
        <v>869</v>
      </c>
      <c r="C2894" t="s">
        <v>290</v>
      </c>
      <c r="D2894" t="s">
        <v>243</v>
      </c>
      <c r="E2894" t="str">
        <f>INDEX('State Codes'!$E$7:$E$70,MATCH(INDEX('State Codes'!$C$7:$C$70,MATCH('County Climates'!B2894,'State Codes'!$D$7:$D$70,0),1),'State Codes'!$C$7:$C$70,0),1)</f>
        <v>West South Central Division</v>
      </c>
      <c r="F2894">
        <f>INDEX('CBECS_Table B5'!$C$6:$K$6,1,MATCH('County Climates'!E2894,'CBECS_Table B5'!$C$1:$K$1,0))</f>
        <v>11394</v>
      </c>
    </row>
    <row r="2895" spans="1:6" x14ac:dyDescent="0.25">
      <c r="A2895" t="s">
        <v>2055</v>
      </c>
      <c r="B2895" t="s">
        <v>869</v>
      </c>
      <c r="C2895" t="s">
        <v>686</v>
      </c>
      <c r="D2895" t="s">
        <v>359</v>
      </c>
      <c r="E2895" t="str">
        <f>INDEX('State Codes'!$E$7:$E$70,MATCH(INDEX('State Codes'!$C$7:$C$70,MATCH('County Climates'!B2895,'State Codes'!$D$7:$D$70,0),1),'State Codes'!$C$7:$C$70,0),1)</f>
        <v>West South Central Division</v>
      </c>
      <c r="F2895">
        <f>INDEX('CBECS_Table B5'!$C$6:$K$6,1,MATCH('County Climates'!E2895,'CBECS_Table B5'!$C$1:$K$1,0))</f>
        <v>11394</v>
      </c>
    </row>
    <row r="2896" spans="1:6" x14ac:dyDescent="0.25">
      <c r="A2896" t="s">
        <v>2055</v>
      </c>
      <c r="B2896" t="s">
        <v>869</v>
      </c>
      <c r="C2896" t="s">
        <v>545</v>
      </c>
      <c r="D2896" t="s">
        <v>359</v>
      </c>
      <c r="E2896" t="str">
        <f>INDEX('State Codes'!$E$7:$E$70,MATCH(INDEX('State Codes'!$C$7:$C$70,MATCH('County Climates'!B2896,'State Codes'!$D$7:$D$70,0),1),'State Codes'!$C$7:$C$70,0),1)</f>
        <v>West South Central Division</v>
      </c>
      <c r="F2896">
        <f>INDEX('CBECS_Table B5'!$C$6:$K$6,1,MATCH('County Climates'!E2896,'CBECS_Table B5'!$C$1:$K$1,0))</f>
        <v>11394</v>
      </c>
    </row>
    <row r="2897" spans="1:6" x14ac:dyDescent="0.25">
      <c r="A2897" t="s">
        <v>2055</v>
      </c>
      <c r="B2897" t="s">
        <v>869</v>
      </c>
      <c r="C2897" t="s">
        <v>2105</v>
      </c>
      <c r="D2897" t="s">
        <v>243</v>
      </c>
      <c r="E2897" t="str">
        <f>INDEX('State Codes'!$E$7:$E$70,MATCH(INDEX('State Codes'!$C$7:$C$70,MATCH('County Climates'!B2897,'State Codes'!$D$7:$D$70,0),1),'State Codes'!$C$7:$C$70,0),1)</f>
        <v>West South Central Division</v>
      </c>
      <c r="F2897">
        <f>INDEX('CBECS_Table B5'!$C$6:$K$6,1,MATCH('County Climates'!E2897,'CBECS_Table B5'!$C$1:$K$1,0))</f>
        <v>11394</v>
      </c>
    </row>
    <row r="2898" spans="1:6" x14ac:dyDescent="0.25">
      <c r="A2898" t="s">
        <v>2055</v>
      </c>
      <c r="B2898" t="s">
        <v>869</v>
      </c>
      <c r="C2898" t="s">
        <v>2106</v>
      </c>
      <c r="D2898" t="s">
        <v>243</v>
      </c>
      <c r="E2898" t="str">
        <f>INDEX('State Codes'!$E$7:$E$70,MATCH(INDEX('State Codes'!$C$7:$C$70,MATCH('County Climates'!B2898,'State Codes'!$D$7:$D$70,0),1),'State Codes'!$C$7:$C$70,0),1)</f>
        <v>West South Central Division</v>
      </c>
      <c r="F2898">
        <f>INDEX('CBECS_Table B5'!$C$6:$K$6,1,MATCH('County Climates'!E2898,'CBECS_Table B5'!$C$1:$K$1,0))</f>
        <v>11394</v>
      </c>
    </row>
    <row r="2899" spans="1:6" x14ac:dyDescent="0.25">
      <c r="A2899" t="s">
        <v>2055</v>
      </c>
      <c r="B2899" t="s">
        <v>869</v>
      </c>
      <c r="C2899" t="s">
        <v>2107</v>
      </c>
      <c r="D2899" t="s">
        <v>359</v>
      </c>
      <c r="E2899" t="str">
        <f>INDEX('State Codes'!$E$7:$E$70,MATCH(INDEX('State Codes'!$C$7:$C$70,MATCH('County Climates'!B2899,'State Codes'!$D$7:$D$70,0),1),'State Codes'!$C$7:$C$70,0),1)</f>
        <v>West South Central Division</v>
      </c>
      <c r="F2899">
        <f>INDEX('CBECS_Table B5'!$C$6:$K$6,1,MATCH('County Climates'!E2899,'CBECS_Table B5'!$C$1:$K$1,0))</f>
        <v>11394</v>
      </c>
    </row>
    <row r="2900" spans="1:6" x14ac:dyDescent="0.25">
      <c r="A2900" t="s">
        <v>2055</v>
      </c>
      <c r="B2900" t="s">
        <v>869</v>
      </c>
      <c r="C2900" t="s">
        <v>2108</v>
      </c>
      <c r="D2900" t="s">
        <v>243</v>
      </c>
      <c r="E2900" t="str">
        <f>INDEX('State Codes'!$E$7:$E$70,MATCH(INDEX('State Codes'!$C$7:$C$70,MATCH('County Climates'!B2900,'State Codes'!$D$7:$D$70,0),1),'State Codes'!$C$7:$C$70,0),1)</f>
        <v>West South Central Division</v>
      </c>
      <c r="F2900">
        <f>INDEX('CBECS_Table B5'!$C$6:$K$6,1,MATCH('County Climates'!E2900,'CBECS_Table B5'!$C$1:$K$1,0))</f>
        <v>11394</v>
      </c>
    </row>
    <row r="2901" spans="1:6" x14ac:dyDescent="0.25">
      <c r="A2901" t="s">
        <v>2055</v>
      </c>
      <c r="B2901" t="s">
        <v>869</v>
      </c>
      <c r="C2901" t="s">
        <v>2109</v>
      </c>
      <c r="D2901" t="s">
        <v>243</v>
      </c>
      <c r="E2901" t="str">
        <f>INDEX('State Codes'!$E$7:$E$70,MATCH(INDEX('State Codes'!$C$7:$C$70,MATCH('County Climates'!B2901,'State Codes'!$D$7:$D$70,0),1),'State Codes'!$C$7:$C$70,0),1)</f>
        <v>West South Central Division</v>
      </c>
      <c r="F2901">
        <f>INDEX('CBECS_Table B5'!$C$6:$K$6,1,MATCH('County Climates'!E2901,'CBECS_Table B5'!$C$1:$K$1,0))</f>
        <v>11394</v>
      </c>
    </row>
    <row r="2902" spans="1:6" x14ac:dyDescent="0.25">
      <c r="A2902" t="s">
        <v>2055</v>
      </c>
      <c r="B2902" t="s">
        <v>869</v>
      </c>
      <c r="C2902" t="s">
        <v>1040</v>
      </c>
      <c r="D2902" t="s">
        <v>243</v>
      </c>
      <c r="E2902" t="str">
        <f>INDEX('State Codes'!$E$7:$E$70,MATCH(INDEX('State Codes'!$C$7:$C$70,MATCH('County Climates'!B2902,'State Codes'!$D$7:$D$70,0),1),'State Codes'!$C$7:$C$70,0),1)</f>
        <v>West South Central Division</v>
      </c>
      <c r="F2902">
        <f>INDEX('CBECS_Table B5'!$C$6:$K$6,1,MATCH('County Climates'!E2902,'CBECS_Table B5'!$C$1:$K$1,0))</f>
        <v>11394</v>
      </c>
    </row>
    <row r="2903" spans="1:6" x14ac:dyDescent="0.25">
      <c r="A2903" t="s">
        <v>2055</v>
      </c>
      <c r="B2903" t="s">
        <v>869</v>
      </c>
      <c r="C2903" t="s">
        <v>550</v>
      </c>
      <c r="D2903" t="s">
        <v>359</v>
      </c>
      <c r="E2903" t="str">
        <f>INDEX('State Codes'!$E$7:$E$70,MATCH(INDEX('State Codes'!$C$7:$C$70,MATCH('County Climates'!B2903,'State Codes'!$D$7:$D$70,0),1),'State Codes'!$C$7:$C$70,0),1)</f>
        <v>West South Central Division</v>
      </c>
      <c r="F2903">
        <f>INDEX('CBECS_Table B5'!$C$6:$K$6,1,MATCH('County Climates'!E2903,'CBECS_Table B5'!$C$1:$K$1,0))</f>
        <v>11394</v>
      </c>
    </row>
    <row r="2904" spans="1:6" x14ac:dyDescent="0.25">
      <c r="A2904" t="s">
        <v>2055</v>
      </c>
      <c r="B2904" t="s">
        <v>869</v>
      </c>
      <c r="C2904" t="s">
        <v>1731</v>
      </c>
      <c r="D2904" t="s">
        <v>359</v>
      </c>
      <c r="E2904" t="str">
        <f>INDEX('State Codes'!$E$7:$E$70,MATCH(INDEX('State Codes'!$C$7:$C$70,MATCH('County Climates'!B2904,'State Codes'!$D$7:$D$70,0),1),'State Codes'!$C$7:$C$70,0),1)</f>
        <v>West South Central Division</v>
      </c>
      <c r="F2904">
        <f>INDEX('CBECS_Table B5'!$C$6:$K$6,1,MATCH('County Climates'!E2904,'CBECS_Table B5'!$C$1:$K$1,0))</f>
        <v>11394</v>
      </c>
    </row>
    <row r="2905" spans="1:6" x14ac:dyDescent="0.25">
      <c r="A2905" t="s">
        <v>2055</v>
      </c>
      <c r="B2905" t="s">
        <v>869</v>
      </c>
      <c r="C2905" t="s">
        <v>2110</v>
      </c>
      <c r="D2905" t="s">
        <v>243</v>
      </c>
      <c r="E2905" t="str">
        <f>INDEX('State Codes'!$E$7:$E$70,MATCH(INDEX('State Codes'!$C$7:$C$70,MATCH('County Climates'!B2905,'State Codes'!$D$7:$D$70,0),1),'State Codes'!$C$7:$C$70,0),1)</f>
        <v>West South Central Division</v>
      </c>
      <c r="F2905">
        <f>INDEX('CBECS_Table B5'!$C$6:$K$6,1,MATCH('County Climates'!E2905,'CBECS_Table B5'!$C$1:$K$1,0))</f>
        <v>11394</v>
      </c>
    </row>
    <row r="2906" spans="1:6" x14ac:dyDescent="0.25">
      <c r="A2906" t="s">
        <v>2055</v>
      </c>
      <c r="B2906" t="s">
        <v>869</v>
      </c>
      <c r="C2906" t="s">
        <v>1601</v>
      </c>
      <c r="D2906" t="s">
        <v>243</v>
      </c>
      <c r="E2906" t="str">
        <f>INDEX('State Codes'!$E$7:$E$70,MATCH(INDEX('State Codes'!$C$7:$C$70,MATCH('County Climates'!B2906,'State Codes'!$D$7:$D$70,0),1),'State Codes'!$C$7:$C$70,0),1)</f>
        <v>West South Central Division</v>
      </c>
      <c r="F2906">
        <f>INDEX('CBECS_Table B5'!$C$6:$K$6,1,MATCH('County Climates'!E2906,'CBECS_Table B5'!$C$1:$K$1,0))</f>
        <v>11394</v>
      </c>
    </row>
    <row r="2907" spans="1:6" x14ac:dyDescent="0.25">
      <c r="A2907" t="s">
        <v>2055</v>
      </c>
      <c r="B2907" t="s">
        <v>869</v>
      </c>
      <c r="C2907" t="s">
        <v>649</v>
      </c>
      <c r="D2907" t="s">
        <v>359</v>
      </c>
      <c r="E2907" t="str">
        <f>INDEX('State Codes'!$E$7:$E$70,MATCH(INDEX('State Codes'!$C$7:$C$70,MATCH('County Climates'!B2907,'State Codes'!$D$7:$D$70,0),1),'State Codes'!$C$7:$C$70,0),1)</f>
        <v>West South Central Division</v>
      </c>
      <c r="F2907">
        <f>INDEX('CBECS_Table B5'!$C$6:$K$6,1,MATCH('County Climates'!E2907,'CBECS_Table B5'!$C$1:$K$1,0))</f>
        <v>11394</v>
      </c>
    </row>
    <row r="2908" spans="1:6" x14ac:dyDescent="0.25">
      <c r="A2908" t="s">
        <v>2055</v>
      </c>
      <c r="B2908" t="s">
        <v>869</v>
      </c>
      <c r="C2908" t="s">
        <v>2111</v>
      </c>
      <c r="D2908" t="s">
        <v>247</v>
      </c>
      <c r="E2908" t="str">
        <f>INDEX('State Codes'!$E$7:$E$70,MATCH(INDEX('State Codes'!$C$7:$C$70,MATCH('County Climates'!B2908,'State Codes'!$D$7:$D$70,0),1),'State Codes'!$C$7:$C$70,0),1)</f>
        <v>West South Central Division</v>
      </c>
      <c r="F2908">
        <f>INDEX('CBECS_Table B5'!$C$6:$K$6,1,MATCH('County Climates'!E2908,'CBECS_Table B5'!$C$1:$K$1,0))</f>
        <v>11394</v>
      </c>
    </row>
    <row r="2909" spans="1:6" x14ac:dyDescent="0.25">
      <c r="A2909" t="s">
        <v>2055</v>
      </c>
      <c r="B2909" t="s">
        <v>869</v>
      </c>
      <c r="C2909" t="s">
        <v>294</v>
      </c>
      <c r="D2909" t="s">
        <v>243</v>
      </c>
      <c r="E2909" t="str">
        <f>INDEX('State Codes'!$E$7:$E$70,MATCH(INDEX('State Codes'!$C$7:$C$70,MATCH('County Climates'!B2909,'State Codes'!$D$7:$D$70,0),1),'State Codes'!$C$7:$C$70,0),1)</f>
        <v>West South Central Division</v>
      </c>
      <c r="F2909">
        <f>INDEX('CBECS_Table B5'!$C$6:$K$6,1,MATCH('County Climates'!E2909,'CBECS_Table B5'!$C$1:$K$1,0))</f>
        <v>11394</v>
      </c>
    </row>
    <row r="2910" spans="1:6" x14ac:dyDescent="0.25">
      <c r="A2910" t="s">
        <v>2055</v>
      </c>
      <c r="B2910" t="s">
        <v>869</v>
      </c>
      <c r="C2910" t="s">
        <v>985</v>
      </c>
      <c r="D2910" t="s">
        <v>357</v>
      </c>
      <c r="E2910" t="str">
        <f>INDEX('State Codes'!$E$7:$E$70,MATCH(INDEX('State Codes'!$C$7:$C$70,MATCH('County Climates'!B2910,'State Codes'!$D$7:$D$70,0),1),'State Codes'!$C$7:$C$70,0),1)</f>
        <v>West South Central Division</v>
      </c>
      <c r="F2910">
        <f>INDEX('CBECS_Table B5'!$C$6:$K$6,1,MATCH('County Climates'!E2910,'CBECS_Table B5'!$C$1:$K$1,0))</f>
        <v>11394</v>
      </c>
    </row>
    <row r="2911" spans="1:6" x14ac:dyDescent="0.25">
      <c r="A2911" t="s">
        <v>2055</v>
      </c>
      <c r="B2911" t="s">
        <v>869</v>
      </c>
      <c r="C2911" t="s">
        <v>650</v>
      </c>
      <c r="D2911" t="s">
        <v>243</v>
      </c>
      <c r="E2911" t="str">
        <f>INDEX('State Codes'!$E$7:$E$70,MATCH(INDEX('State Codes'!$C$7:$C$70,MATCH('County Climates'!B2911,'State Codes'!$D$7:$D$70,0),1),'State Codes'!$C$7:$C$70,0),1)</f>
        <v>West South Central Division</v>
      </c>
      <c r="F2911">
        <f>INDEX('CBECS_Table B5'!$C$6:$K$6,1,MATCH('County Climates'!E2911,'CBECS_Table B5'!$C$1:$K$1,0))</f>
        <v>11394</v>
      </c>
    </row>
    <row r="2912" spans="1:6" x14ac:dyDescent="0.25">
      <c r="A2912" t="s">
        <v>2055</v>
      </c>
      <c r="B2912" t="s">
        <v>869</v>
      </c>
      <c r="C2912" t="s">
        <v>2112</v>
      </c>
      <c r="D2912" t="s">
        <v>359</v>
      </c>
      <c r="E2912" t="str">
        <f>INDEX('State Codes'!$E$7:$E$70,MATCH(INDEX('State Codes'!$C$7:$C$70,MATCH('County Climates'!B2912,'State Codes'!$D$7:$D$70,0),1),'State Codes'!$C$7:$C$70,0),1)</f>
        <v>West South Central Division</v>
      </c>
      <c r="F2912">
        <f>INDEX('CBECS_Table B5'!$C$6:$K$6,1,MATCH('County Climates'!E2912,'CBECS_Table B5'!$C$1:$K$1,0))</f>
        <v>11394</v>
      </c>
    </row>
    <row r="2913" spans="1:6" x14ac:dyDescent="0.25">
      <c r="A2913" t="s">
        <v>2055</v>
      </c>
      <c r="B2913" t="s">
        <v>869</v>
      </c>
      <c r="C2913" t="s">
        <v>2113</v>
      </c>
      <c r="D2913" t="s">
        <v>243</v>
      </c>
      <c r="E2913" t="str">
        <f>INDEX('State Codes'!$E$7:$E$70,MATCH(INDEX('State Codes'!$C$7:$C$70,MATCH('County Climates'!B2913,'State Codes'!$D$7:$D$70,0),1),'State Codes'!$C$7:$C$70,0),1)</f>
        <v>West South Central Division</v>
      </c>
      <c r="F2913">
        <f>INDEX('CBECS_Table B5'!$C$6:$K$6,1,MATCH('County Climates'!E2913,'CBECS_Table B5'!$C$1:$K$1,0))</f>
        <v>11394</v>
      </c>
    </row>
    <row r="2914" spans="1:6" x14ac:dyDescent="0.25">
      <c r="A2914" t="s">
        <v>2055</v>
      </c>
      <c r="B2914" t="s">
        <v>869</v>
      </c>
      <c r="C2914" t="s">
        <v>2114</v>
      </c>
      <c r="D2914" t="s">
        <v>243</v>
      </c>
      <c r="E2914" t="str">
        <f>INDEX('State Codes'!$E$7:$E$70,MATCH(INDEX('State Codes'!$C$7:$C$70,MATCH('County Climates'!B2914,'State Codes'!$D$7:$D$70,0),1),'State Codes'!$C$7:$C$70,0),1)</f>
        <v>West South Central Division</v>
      </c>
      <c r="F2914">
        <f>INDEX('CBECS_Table B5'!$C$6:$K$6,1,MATCH('County Climates'!E2914,'CBECS_Table B5'!$C$1:$K$1,0))</f>
        <v>11394</v>
      </c>
    </row>
    <row r="2915" spans="1:6" x14ac:dyDescent="0.25">
      <c r="A2915" t="s">
        <v>2055</v>
      </c>
      <c r="B2915" t="s">
        <v>869</v>
      </c>
      <c r="C2915" t="s">
        <v>331</v>
      </c>
      <c r="D2915" t="s">
        <v>243</v>
      </c>
      <c r="E2915" t="str">
        <f>INDEX('State Codes'!$E$7:$E$70,MATCH(INDEX('State Codes'!$C$7:$C$70,MATCH('County Climates'!B2915,'State Codes'!$D$7:$D$70,0),1),'State Codes'!$C$7:$C$70,0),1)</f>
        <v>West South Central Division</v>
      </c>
      <c r="F2915">
        <f>INDEX('CBECS_Table B5'!$C$6:$K$6,1,MATCH('County Climates'!E2915,'CBECS_Table B5'!$C$1:$K$1,0))</f>
        <v>11394</v>
      </c>
    </row>
    <row r="2916" spans="1:6" x14ac:dyDescent="0.25">
      <c r="A2916" t="s">
        <v>2055</v>
      </c>
      <c r="B2916" t="s">
        <v>869</v>
      </c>
      <c r="C2916" t="s">
        <v>2115</v>
      </c>
      <c r="D2916" t="s">
        <v>359</v>
      </c>
      <c r="E2916" t="str">
        <f>INDEX('State Codes'!$E$7:$E$70,MATCH(INDEX('State Codes'!$C$7:$C$70,MATCH('County Climates'!B2916,'State Codes'!$D$7:$D$70,0),1),'State Codes'!$C$7:$C$70,0),1)</f>
        <v>West South Central Division</v>
      </c>
      <c r="F2916">
        <f>INDEX('CBECS_Table B5'!$C$6:$K$6,1,MATCH('County Climates'!E2916,'CBECS_Table B5'!$C$1:$K$1,0))</f>
        <v>11394</v>
      </c>
    </row>
    <row r="2917" spans="1:6" x14ac:dyDescent="0.25">
      <c r="A2917" t="s">
        <v>2055</v>
      </c>
      <c r="B2917" t="s">
        <v>869</v>
      </c>
      <c r="C2917" t="s">
        <v>2116</v>
      </c>
      <c r="D2917" t="s">
        <v>243</v>
      </c>
      <c r="E2917" t="str">
        <f>INDEX('State Codes'!$E$7:$E$70,MATCH(INDEX('State Codes'!$C$7:$C$70,MATCH('County Climates'!B2917,'State Codes'!$D$7:$D$70,0),1),'State Codes'!$C$7:$C$70,0),1)</f>
        <v>West South Central Division</v>
      </c>
      <c r="F2917">
        <f>INDEX('CBECS_Table B5'!$C$6:$K$6,1,MATCH('County Climates'!E2917,'CBECS_Table B5'!$C$1:$K$1,0))</f>
        <v>11394</v>
      </c>
    </row>
    <row r="2918" spans="1:6" x14ac:dyDescent="0.25">
      <c r="A2918" t="s">
        <v>2055</v>
      </c>
      <c r="B2918" t="s">
        <v>869</v>
      </c>
      <c r="C2918" t="s">
        <v>2117</v>
      </c>
      <c r="D2918" t="s">
        <v>357</v>
      </c>
      <c r="E2918" t="str">
        <f>INDEX('State Codes'!$E$7:$E$70,MATCH(INDEX('State Codes'!$C$7:$C$70,MATCH('County Climates'!B2918,'State Codes'!$D$7:$D$70,0),1),'State Codes'!$C$7:$C$70,0),1)</f>
        <v>West South Central Division</v>
      </c>
      <c r="F2918">
        <f>INDEX('CBECS_Table B5'!$C$6:$K$6,1,MATCH('County Climates'!E2918,'CBECS_Table B5'!$C$1:$K$1,0))</f>
        <v>11394</v>
      </c>
    </row>
    <row r="2919" spans="1:6" x14ac:dyDescent="0.25">
      <c r="A2919" t="s">
        <v>2055</v>
      </c>
      <c r="B2919" t="s">
        <v>869</v>
      </c>
      <c r="C2919" t="s">
        <v>695</v>
      </c>
      <c r="D2919" t="s">
        <v>357</v>
      </c>
      <c r="E2919" t="str">
        <f>INDEX('State Codes'!$E$7:$E$70,MATCH(INDEX('State Codes'!$C$7:$C$70,MATCH('County Climates'!B2919,'State Codes'!$D$7:$D$70,0),1),'State Codes'!$C$7:$C$70,0),1)</f>
        <v>West South Central Division</v>
      </c>
      <c r="F2919">
        <f>INDEX('CBECS_Table B5'!$C$6:$K$6,1,MATCH('County Climates'!E2919,'CBECS_Table B5'!$C$1:$K$1,0))</f>
        <v>11394</v>
      </c>
    </row>
    <row r="2920" spans="1:6" x14ac:dyDescent="0.25">
      <c r="A2920" t="s">
        <v>2055</v>
      </c>
      <c r="B2920" t="s">
        <v>869</v>
      </c>
      <c r="C2920" t="s">
        <v>966</v>
      </c>
      <c r="D2920" t="s">
        <v>243</v>
      </c>
      <c r="E2920" t="str">
        <f>INDEX('State Codes'!$E$7:$E$70,MATCH(INDEX('State Codes'!$C$7:$C$70,MATCH('County Climates'!B2920,'State Codes'!$D$7:$D$70,0),1),'State Codes'!$C$7:$C$70,0),1)</f>
        <v>West South Central Division</v>
      </c>
      <c r="F2920">
        <f>INDEX('CBECS_Table B5'!$C$6:$K$6,1,MATCH('County Climates'!E2920,'CBECS_Table B5'!$C$1:$K$1,0))</f>
        <v>11394</v>
      </c>
    </row>
    <row r="2921" spans="1:6" x14ac:dyDescent="0.25">
      <c r="A2921" t="s">
        <v>2055</v>
      </c>
      <c r="B2921" t="s">
        <v>869</v>
      </c>
      <c r="C2921" t="s">
        <v>2118</v>
      </c>
      <c r="D2921" t="s">
        <v>247</v>
      </c>
      <c r="E2921" t="str">
        <f>INDEX('State Codes'!$E$7:$E$70,MATCH(INDEX('State Codes'!$C$7:$C$70,MATCH('County Climates'!B2921,'State Codes'!$D$7:$D$70,0),1),'State Codes'!$C$7:$C$70,0),1)</f>
        <v>West South Central Division</v>
      </c>
      <c r="F2921">
        <f>INDEX('CBECS_Table B5'!$C$6:$K$6,1,MATCH('County Climates'!E2921,'CBECS_Table B5'!$C$1:$K$1,0))</f>
        <v>11394</v>
      </c>
    </row>
    <row r="2922" spans="1:6" x14ac:dyDescent="0.25">
      <c r="A2922" t="s">
        <v>2055</v>
      </c>
      <c r="B2922" t="s">
        <v>869</v>
      </c>
      <c r="C2922" t="s">
        <v>824</v>
      </c>
      <c r="D2922" t="s">
        <v>243</v>
      </c>
      <c r="E2922" t="str">
        <f>INDEX('State Codes'!$E$7:$E$70,MATCH(INDEX('State Codes'!$C$7:$C$70,MATCH('County Climates'!B2922,'State Codes'!$D$7:$D$70,0),1),'State Codes'!$C$7:$C$70,0),1)</f>
        <v>West South Central Division</v>
      </c>
      <c r="F2922">
        <f>INDEX('CBECS_Table B5'!$C$6:$K$6,1,MATCH('County Climates'!E2922,'CBECS_Table B5'!$C$1:$K$1,0))</f>
        <v>11394</v>
      </c>
    </row>
    <row r="2923" spans="1:6" x14ac:dyDescent="0.25">
      <c r="A2923" t="s">
        <v>2055</v>
      </c>
      <c r="B2923" t="s">
        <v>869</v>
      </c>
      <c r="C2923" t="s">
        <v>2119</v>
      </c>
      <c r="D2923" t="s">
        <v>243</v>
      </c>
      <c r="E2923" t="str">
        <f>INDEX('State Codes'!$E$7:$E$70,MATCH(INDEX('State Codes'!$C$7:$C$70,MATCH('County Climates'!B2923,'State Codes'!$D$7:$D$70,0),1),'State Codes'!$C$7:$C$70,0),1)</f>
        <v>West South Central Division</v>
      </c>
      <c r="F2923">
        <f>INDEX('CBECS_Table B5'!$C$6:$K$6,1,MATCH('County Climates'!E2923,'CBECS_Table B5'!$C$1:$K$1,0))</f>
        <v>11394</v>
      </c>
    </row>
    <row r="2924" spans="1:6" x14ac:dyDescent="0.25">
      <c r="A2924" t="s">
        <v>2055</v>
      </c>
      <c r="B2924" t="s">
        <v>869</v>
      </c>
      <c r="C2924" t="s">
        <v>2120</v>
      </c>
      <c r="D2924" t="s">
        <v>357</v>
      </c>
      <c r="E2924" t="str">
        <f>INDEX('State Codes'!$E$7:$E$70,MATCH(INDEX('State Codes'!$C$7:$C$70,MATCH('County Climates'!B2924,'State Codes'!$D$7:$D$70,0),1),'State Codes'!$C$7:$C$70,0),1)</f>
        <v>West South Central Division</v>
      </c>
      <c r="F2924">
        <f>INDEX('CBECS_Table B5'!$C$6:$K$6,1,MATCH('County Climates'!E2924,'CBECS_Table B5'!$C$1:$K$1,0))</f>
        <v>11394</v>
      </c>
    </row>
    <row r="2925" spans="1:6" x14ac:dyDescent="0.25">
      <c r="A2925" t="s">
        <v>2055</v>
      </c>
      <c r="B2925" t="s">
        <v>869</v>
      </c>
      <c r="C2925" t="s">
        <v>2121</v>
      </c>
      <c r="D2925" t="s">
        <v>359</v>
      </c>
      <c r="E2925" t="str">
        <f>INDEX('State Codes'!$E$7:$E$70,MATCH(INDEX('State Codes'!$C$7:$C$70,MATCH('County Climates'!B2925,'State Codes'!$D$7:$D$70,0),1),'State Codes'!$C$7:$C$70,0),1)</f>
        <v>West South Central Division</v>
      </c>
      <c r="F2925">
        <f>INDEX('CBECS_Table B5'!$C$6:$K$6,1,MATCH('County Climates'!E2925,'CBECS_Table B5'!$C$1:$K$1,0))</f>
        <v>11394</v>
      </c>
    </row>
    <row r="2926" spans="1:6" x14ac:dyDescent="0.25">
      <c r="A2926" t="s">
        <v>2055</v>
      </c>
      <c r="B2926" t="s">
        <v>869</v>
      </c>
      <c r="C2926" t="s">
        <v>335</v>
      </c>
      <c r="D2926" t="s">
        <v>243</v>
      </c>
      <c r="E2926" t="str">
        <f>INDEX('State Codes'!$E$7:$E$70,MATCH(INDEX('State Codes'!$C$7:$C$70,MATCH('County Climates'!B2926,'State Codes'!$D$7:$D$70,0),1),'State Codes'!$C$7:$C$70,0),1)</f>
        <v>West South Central Division</v>
      </c>
      <c r="F2926">
        <f>INDEX('CBECS_Table B5'!$C$6:$K$6,1,MATCH('County Climates'!E2926,'CBECS_Table B5'!$C$1:$K$1,0))</f>
        <v>11394</v>
      </c>
    </row>
    <row r="2927" spans="1:6" x14ac:dyDescent="0.25">
      <c r="A2927" t="s">
        <v>2055</v>
      </c>
      <c r="B2927" t="s">
        <v>869</v>
      </c>
      <c r="C2927" t="s">
        <v>1999</v>
      </c>
      <c r="D2927" t="s">
        <v>357</v>
      </c>
      <c r="E2927" t="str">
        <f>INDEX('State Codes'!$E$7:$E$70,MATCH(INDEX('State Codes'!$C$7:$C$70,MATCH('County Climates'!B2927,'State Codes'!$D$7:$D$70,0),1),'State Codes'!$C$7:$C$70,0),1)</f>
        <v>West South Central Division</v>
      </c>
      <c r="F2927">
        <f>INDEX('CBECS_Table B5'!$C$6:$K$6,1,MATCH('County Climates'!E2927,'CBECS_Table B5'!$C$1:$K$1,0))</f>
        <v>11394</v>
      </c>
    </row>
    <row r="2928" spans="1:6" x14ac:dyDescent="0.25">
      <c r="A2928" t="s">
        <v>2055</v>
      </c>
      <c r="B2928" t="s">
        <v>869</v>
      </c>
      <c r="C2928" t="s">
        <v>2122</v>
      </c>
      <c r="D2928" t="s">
        <v>359</v>
      </c>
      <c r="E2928" t="str">
        <f>INDEX('State Codes'!$E$7:$E$70,MATCH(INDEX('State Codes'!$C$7:$C$70,MATCH('County Climates'!B2928,'State Codes'!$D$7:$D$70,0),1),'State Codes'!$C$7:$C$70,0),1)</f>
        <v>West South Central Division</v>
      </c>
      <c r="F2928">
        <f>INDEX('CBECS_Table B5'!$C$6:$K$6,1,MATCH('County Climates'!E2928,'CBECS_Table B5'!$C$1:$K$1,0))</f>
        <v>11394</v>
      </c>
    </row>
    <row r="2929" spans="1:6" x14ac:dyDescent="0.25">
      <c r="A2929" t="s">
        <v>2055</v>
      </c>
      <c r="B2929" t="s">
        <v>869</v>
      </c>
      <c r="C2929" t="s">
        <v>2123</v>
      </c>
      <c r="D2929" t="s">
        <v>243</v>
      </c>
      <c r="E2929" t="str">
        <f>INDEX('State Codes'!$E$7:$E$70,MATCH(INDEX('State Codes'!$C$7:$C$70,MATCH('County Climates'!B2929,'State Codes'!$D$7:$D$70,0),1),'State Codes'!$C$7:$C$70,0),1)</f>
        <v>West South Central Division</v>
      </c>
      <c r="F2929">
        <f>INDEX('CBECS_Table B5'!$C$6:$K$6,1,MATCH('County Climates'!E2929,'CBECS_Table B5'!$C$1:$K$1,0))</f>
        <v>11394</v>
      </c>
    </row>
    <row r="2930" spans="1:6" x14ac:dyDescent="0.25">
      <c r="A2930" t="s">
        <v>2055</v>
      </c>
      <c r="B2930" t="s">
        <v>869</v>
      </c>
      <c r="C2930" t="s">
        <v>2124</v>
      </c>
      <c r="D2930" t="s">
        <v>357</v>
      </c>
      <c r="E2930" t="str">
        <f>INDEX('State Codes'!$E$7:$E$70,MATCH(INDEX('State Codes'!$C$7:$C$70,MATCH('County Climates'!B2930,'State Codes'!$D$7:$D$70,0),1),'State Codes'!$C$7:$C$70,0),1)</f>
        <v>West South Central Division</v>
      </c>
      <c r="F2930">
        <f>INDEX('CBECS_Table B5'!$C$6:$K$6,1,MATCH('County Climates'!E2930,'CBECS_Table B5'!$C$1:$K$1,0))</f>
        <v>11394</v>
      </c>
    </row>
    <row r="2931" spans="1:6" x14ac:dyDescent="0.25">
      <c r="A2931" t="s">
        <v>2055</v>
      </c>
      <c r="B2931" t="s">
        <v>869</v>
      </c>
      <c r="C2931" t="s">
        <v>2125</v>
      </c>
      <c r="D2931" t="s">
        <v>359</v>
      </c>
      <c r="E2931" t="str">
        <f>INDEX('State Codes'!$E$7:$E$70,MATCH(INDEX('State Codes'!$C$7:$C$70,MATCH('County Climates'!B2931,'State Codes'!$D$7:$D$70,0),1),'State Codes'!$C$7:$C$70,0),1)</f>
        <v>West South Central Division</v>
      </c>
      <c r="F2931">
        <f>INDEX('CBECS_Table B5'!$C$6:$K$6,1,MATCH('County Climates'!E2931,'CBECS_Table B5'!$C$1:$K$1,0))</f>
        <v>11394</v>
      </c>
    </row>
    <row r="2932" spans="1:6" x14ac:dyDescent="0.25">
      <c r="A2932" t="s">
        <v>2055</v>
      </c>
      <c r="B2932" t="s">
        <v>869</v>
      </c>
      <c r="C2932" t="s">
        <v>2126</v>
      </c>
      <c r="D2932" t="s">
        <v>243</v>
      </c>
      <c r="E2932" t="str">
        <f>INDEX('State Codes'!$E$7:$E$70,MATCH(INDEX('State Codes'!$C$7:$C$70,MATCH('County Climates'!B2932,'State Codes'!$D$7:$D$70,0),1),'State Codes'!$C$7:$C$70,0),1)</f>
        <v>West South Central Division</v>
      </c>
      <c r="F2932">
        <f>INDEX('CBECS_Table B5'!$C$6:$K$6,1,MATCH('County Climates'!E2932,'CBECS_Table B5'!$C$1:$K$1,0))</f>
        <v>11394</v>
      </c>
    </row>
    <row r="2933" spans="1:6" x14ac:dyDescent="0.25">
      <c r="A2933" t="s">
        <v>2055</v>
      </c>
      <c r="B2933" t="s">
        <v>869</v>
      </c>
      <c r="C2933" t="s">
        <v>1684</v>
      </c>
      <c r="D2933" t="s">
        <v>243</v>
      </c>
      <c r="E2933" t="str">
        <f>INDEX('State Codes'!$E$7:$E$70,MATCH(INDEX('State Codes'!$C$7:$C$70,MATCH('County Climates'!B2933,'State Codes'!$D$7:$D$70,0),1),'State Codes'!$C$7:$C$70,0),1)</f>
        <v>West South Central Division</v>
      </c>
      <c r="F2933">
        <f>INDEX('CBECS_Table B5'!$C$6:$K$6,1,MATCH('County Climates'!E2933,'CBECS_Table B5'!$C$1:$K$1,0))</f>
        <v>11394</v>
      </c>
    </row>
    <row r="2934" spans="1:6" x14ac:dyDescent="0.25">
      <c r="A2934" t="s">
        <v>2055</v>
      </c>
      <c r="B2934" t="s">
        <v>869</v>
      </c>
      <c r="C2934" t="s">
        <v>2127</v>
      </c>
      <c r="D2934" t="s">
        <v>359</v>
      </c>
      <c r="E2934" t="str">
        <f>INDEX('State Codes'!$E$7:$E$70,MATCH(INDEX('State Codes'!$C$7:$C$70,MATCH('County Climates'!B2934,'State Codes'!$D$7:$D$70,0),1),'State Codes'!$C$7:$C$70,0),1)</f>
        <v>West South Central Division</v>
      </c>
      <c r="F2934">
        <f>INDEX('CBECS_Table B5'!$C$6:$K$6,1,MATCH('County Climates'!E2934,'CBECS_Table B5'!$C$1:$K$1,0))</f>
        <v>11394</v>
      </c>
    </row>
    <row r="2935" spans="1:6" x14ac:dyDescent="0.25">
      <c r="A2935" t="s">
        <v>2055</v>
      </c>
      <c r="B2935" t="s">
        <v>869</v>
      </c>
      <c r="C2935" t="s">
        <v>2128</v>
      </c>
      <c r="D2935" t="s">
        <v>243</v>
      </c>
      <c r="E2935" t="str">
        <f>INDEX('State Codes'!$E$7:$E$70,MATCH(INDEX('State Codes'!$C$7:$C$70,MATCH('County Climates'!B2935,'State Codes'!$D$7:$D$70,0),1),'State Codes'!$C$7:$C$70,0),1)</f>
        <v>West South Central Division</v>
      </c>
      <c r="F2935">
        <f>INDEX('CBECS_Table B5'!$C$6:$K$6,1,MATCH('County Climates'!E2935,'CBECS_Table B5'!$C$1:$K$1,0))</f>
        <v>11394</v>
      </c>
    </row>
    <row r="2936" spans="1:6" x14ac:dyDescent="0.25">
      <c r="A2936" t="s">
        <v>2055</v>
      </c>
      <c r="B2936" t="s">
        <v>869</v>
      </c>
      <c r="C2936" t="s">
        <v>2033</v>
      </c>
      <c r="D2936" t="s">
        <v>357</v>
      </c>
      <c r="E2936" t="str">
        <f>INDEX('State Codes'!$E$7:$E$70,MATCH(INDEX('State Codes'!$C$7:$C$70,MATCH('County Climates'!B2936,'State Codes'!$D$7:$D$70,0),1),'State Codes'!$C$7:$C$70,0),1)</f>
        <v>West South Central Division</v>
      </c>
      <c r="F2936">
        <f>INDEX('CBECS_Table B5'!$C$6:$K$6,1,MATCH('County Climates'!E2936,'CBECS_Table B5'!$C$1:$K$1,0))</f>
        <v>11394</v>
      </c>
    </row>
    <row r="2937" spans="1:6" x14ac:dyDescent="0.25">
      <c r="A2937" t="s">
        <v>2055</v>
      </c>
      <c r="B2937" t="s">
        <v>869</v>
      </c>
      <c r="C2937" t="s">
        <v>700</v>
      </c>
      <c r="D2937" t="s">
        <v>243</v>
      </c>
      <c r="E2937" t="str">
        <f>INDEX('State Codes'!$E$7:$E$70,MATCH(INDEX('State Codes'!$C$7:$C$70,MATCH('County Climates'!B2937,'State Codes'!$D$7:$D$70,0),1),'State Codes'!$C$7:$C$70,0),1)</f>
        <v>West South Central Division</v>
      </c>
      <c r="F2937">
        <f>INDEX('CBECS_Table B5'!$C$6:$K$6,1,MATCH('County Climates'!E2937,'CBECS_Table B5'!$C$1:$K$1,0))</f>
        <v>11394</v>
      </c>
    </row>
    <row r="2938" spans="1:6" x14ac:dyDescent="0.25">
      <c r="A2938" t="s">
        <v>2055</v>
      </c>
      <c r="B2938" t="s">
        <v>869</v>
      </c>
      <c r="C2938" t="s">
        <v>2129</v>
      </c>
      <c r="D2938" t="s">
        <v>243</v>
      </c>
      <c r="E2938" t="str">
        <f>INDEX('State Codes'!$E$7:$E$70,MATCH(INDEX('State Codes'!$C$7:$C$70,MATCH('County Climates'!B2938,'State Codes'!$D$7:$D$70,0),1),'State Codes'!$C$7:$C$70,0),1)</f>
        <v>West South Central Division</v>
      </c>
      <c r="F2938">
        <f>INDEX('CBECS_Table B5'!$C$6:$K$6,1,MATCH('County Climates'!E2938,'CBECS_Table B5'!$C$1:$K$1,0))</f>
        <v>11394</v>
      </c>
    </row>
    <row r="2939" spans="1:6" x14ac:dyDescent="0.25">
      <c r="A2939" t="s">
        <v>2055</v>
      </c>
      <c r="B2939" t="s">
        <v>869</v>
      </c>
      <c r="C2939" t="s">
        <v>2130</v>
      </c>
      <c r="D2939" t="s">
        <v>359</v>
      </c>
      <c r="E2939" t="str">
        <f>INDEX('State Codes'!$E$7:$E$70,MATCH(INDEX('State Codes'!$C$7:$C$70,MATCH('County Climates'!B2939,'State Codes'!$D$7:$D$70,0),1),'State Codes'!$C$7:$C$70,0),1)</f>
        <v>West South Central Division</v>
      </c>
      <c r="F2939">
        <f>INDEX('CBECS_Table B5'!$C$6:$K$6,1,MATCH('County Climates'!E2939,'CBECS_Table B5'!$C$1:$K$1,0))</f>
        <v>11394</v>
      </c>
    </row>
    <row r="2940" spans="1:6" x14ac:dyDescent="0.25">
      <c r="A2940" t="s">
        <v>2055</v>
      </c>
      <c r="B2940" t="s">
        <v>869</v>
      </c>
      <c r="C2940" t="s">
        <v>2131</v>
      </c>
      <c r="D2940" t="s">
        <v>243</v>
      </c>
      <c r="E2940" t="str">
        <f>INDEX('State Codes'!$E$7:$E$70,MATCH(INDEX('State Codes'!$C$7:$C$70,MATCH('County Climates'!B2940,'State Codes'!$D$7:$D$70,0),1),'State Codes'!$C$7:$C$70,0),1)</f>
        <v>West South Central Division</v>
      </c>
      <c r="F2940">
        <f>INDEX('CBECS_Table B5'!$C$6:$K$6,1,MATCH('County Climates'!E2940,'CBECS_Table B5'!$C$1:$K$1,0))</f>
        <v>11394</v>
      </c>
    </row>
    <row r="2941" spans="1:6" x14ac:dyDescent="0.25">
      <c r="A2941" t="s">
        <v>2055</v>
      </c>
      <c r="B2941" t="s">
        <v>869</v>
      </c>
      <c r="C2941" t="s">
        <v>1685</v>
      </c>
      <c r="D2941" t="s">
        <v>243</v>
      </c>
      <c r="E2941" t="str">
        <f>INDEX('State Codes'!$E$7:$E$70,MATCH(INDEX('State Codes'!$C$7:$C$70,MATCH('County Climates'!B2941,'State Codes'!$D$7:$D$70,0),1),'State Codes'!$C$7:$C$70,0),1)</f>
        <v>West South Central Division</v>
      </c>
      <c r="F2941">
        <f>INDEX('CBECS_Table B5'!$C$6:$K$6,1,MATCH('County Climates'!E2941,'CBECS_Table B5'!$C$1:$K$1,0))</f>
        <v>11394</v>
      </c>
    </row>
    <row r="2942" spans="1:6" x14ac:dyDescent="0.25">
      <c r="A2942" t="s">
        <v>2055</v>
      </c>
      <c r="B2942" t="s">
        <v>869</v>
      </c>
      <c r="C2942" t="s">
        <v>2132</v>
      </c>
      <c r="D2942" t="s">
        <v>243</v>
      </c>
      <c r="E2942" t="str">
        <f>INDEX('State Codes'!$E$7:$E$70,MATCH(INDEX('State Codes'!$C$7:$C$70,MATCH('County Climates'!B2942,'State Codes'!$D$7:$D$70,0),1),'State Codes'!$C$7:$C$70,0),1)</f>
        <v>West South Central Division</v>
      </c>
      <c r="F2942">
        <f>INDEX('CBECS_Table B5'!$C$6:$K$6,1,MATCH('County Climates'!E2942,'CBECS_Table B5'!$C$1:$K$1,0))</f>
        <v>11394</v>
      </c>
    </row>
    <row r="2943" spans="1:6" x14ac:dyDescent="0.25">
      <c r="A2943" t="s">
        <v>2055</v>
      </c>
      <c r="B2943" t="s">
        <v>869</v>
      </c>
      <c r="C2943" t="s">
        <v>2133</v>
      </c>
      <c r="D2943" t="s">
        <v>243</v>
      </c>
      <c r="E2943" t="str">
        <f>INDEX('State Codes'!$E$7:$E$70,MATCH(INDEX('State Codes'!$C$7:$C$70,MATCH('County Climates'!B2943,'State Codes'!$D$7:$D$70,0),1),'State Codes'!$C$7:$C$70,0),1)</f>
        <v>West South Central Division</v>
      </c>
      <c r="F2943">
        <f>INDEX('CBECS_Table B5'!$C$6:$K$6,1,MATCH('County Climates'!E2943,'CBECS_Table B5'!$C$1:$K$1,0))</f>
        <v>11394</v>
      </c>
    </row>
    <row r="2944" spans="1:6" x14ac:dyDescent="0.25">
      <c r="A2944" t="s">
        <v>2055</v>
      </c>
      <c r="B2944" t="s">
        <v>869</v>
      </c>
      <c r="C2944" t="s">
        <v>2134</v>
      </c>
      <c r="D2944" t="s">
        <v>243</v>
      </c>
      <c r="E2944" t="str">
        <f>INDEX('State Codes'!$E$7:$E$70,MATCH(INDEX('State Codes'!$C$7:$C$70,MATCH('County Climates'!B2944,'State Codes'!$D$7:$D$70,0),1),'State Codes'!$C$7:$C$70,0),1)</f>
        <v>West South Central Division</v>
      </c>
      <c r="F2944">
        <f>INDEX('CBECS_Table B5'!$C$6:$K$6,1,MATCH('County Climates'!E2944,'CBECS_Table B5'!$C$1:$K$1,0))</f>
        <v>11394</v>
      </c>
    </row>
    <row r="2945" spans="1:6" x14ac:dyDescent="0.25">
      <c r="A2945" t="s">
        <v>2055</v>
      </c>
      <c r="B2945" t="s">
        <v>869</v>
      </c>
      <c r="C2945" t="s">
        <v>2135</v>
      </c>
      <c r="D2945" t="s">
        <v>243</v>
      </c>
      <c r="E2945" t="str">
        <f>INDEX('State Codes'!$E$7:$E$70,MATCH(INDEX('State Codes'!$C$7:$C$70,MATCH('County Climates'!B2945,'State Codes'!$D$7:$D$70,0),1),'State Codes'!$C$7:$C$70,0),1)</f>
        <v>West South Central Division</v>
      </c>
      <c r="F2945">
        <f>INDEX('CBECS_Table B5'!$C$6:$K$6,1,MATCH('County Climates'!E2945,'CBECS_Table B5'!$C$1:$K$1,0))</f>
        <v>11394</v>
      </c>
    </row>
    <row r="2946" spans="1:6" x14ac:dyDescent="0.25">
      <c r="A2946" t="s">
        <v>2055</v>
      </c>
      <c r="B2946" t="s">
        <v>869</v>
      </c>
      <c r="C2946" t="s">
        <v>2136</v>
      </c>
      <c r="D2946" t="s">
        <v>359</v>
      </c>
      <c r="E2946" t="str">
        <f>INDEX('State Codes'!$E$7:$E$70,MATCH(INDEX('State Codes'!$C$7:$C$70,MATCH('County Climates'!B2946,'State Codes'!$D$7:$D$70,0),1),'State Codes'!$C$7:$C$70,0),1)</f>
        <v>West South Central Division</v>
      </c>
      <c r="F2946">
        <f>INDEX('CBECS_Table B5'!$C$6:$K$6,1,MATCH('County Climates'!E2946,'CBECS_Table B5'!$C$1:$K$1,0))</f>
        <v>11394</v>
      </c>
    </row>
    <row r="2947" spans="1:6" x14ac:dyDescent="0.25">
      <c r="A2947" t="s">
        <v>2137</v>
      </c>
      <c r="B2947" t="s">
        <v>2138</v>
      </c>
      <c r="C2947" t="s">
        <v>401</v>
      </c>
      <c r="D2947" t="s">
        <v>228</v>
      </c>
      <c r="E2947" t="str">
        <f>INDEX('State Codes'!$E$7:$E$70,MATCH(INDEX('State Codes'!$C$7:$C$70,MATCH('County Climates'!B2947,'State Codes'!$D$7:$D$70,0),1),'State Codes'!$C$7:$C$70,0),1)</f>
        <v>Mountain Division</v>
      </c>
      <c r="F2947">
        <f>INDEX('CBECS_Table B5'!$C$6:$K$6,1,MATCH('County Climates'!E2947,'CBECS_Table B5'!$C$1:$K$1,0))</f>
        <v>4981</v>
      </c>
    </row>
    <row r="2948" spans="1:6" x14ac:dyDescent="0.25">
      <c r="A2948" t="s">
        <v>2137</v>
      </c>
      <c r="B2948" t="s">
        <v>2138</v>
      </c>
      <c r="C2948" t="s">
        <v>2139</v>
      </c>
      <c r="D2948" t="s">
        <v>228</v>
      </c>
      <c r="E2948" t="str">
        <f>INDEX('State Codes'!$E$7:$E$70,MATCH(INDEX('State Codes'!$C$7:$C$70,MATCH('County Climates'!B2948,'State Codes'!$D$7:$D$70,0),1),'State Codes'!$C$7:$C$70,0),1)</f>
        <v>Mountain Division</v>
      </c>
      <c r="F2948">
        <f>INDEX('CBECS_Table B5'!$C$6:$K$6,1,MATCH('County Climates'!E2948,'CBECS_Table B5'!$C$1:$K$1,0))</f>
        <v>4981</v>
      </c>
    </row>
    <row r="2949" spans="1:6" x14ac:dyDescent="0.25">
      <c r="A2949" t="s">
        <v>2137</v>
      </c>
      <c r="B2949" t="s">
        <v>2138</v>
      </c>
      <c r="C2949" t="s">
        <v>343</v>
      </c>
      <c r="D2949" t="s">
        <v>228</v>
      </c>
      <c r="E2949" t="str">
        <f>INDEX('State Codes'!$E$7:$E$70,MATCH(INDEX('State Codes'!$C$7:$C$70,MATCH('County Climates'!B2949,'State Codes'!$D$7:$D$70,0),1),'State Codes'!$C$7:$C$70,0),1)</f>
        <v>Mountain Division</v>
      </c>
      <c r="F2949">
        <f>INDEX('CBECS_Table B5'!$C$6:$K$6,1,MATCH('County Climates'!E2949,'CBECS_Table B5'!$C$1:$K$1,0))</f>
        <v>4981</v>
      </c>
    </row>
    <row r="2950" spans="1:6" x14ac:dyDescent="0.25">
      <c r="A2950" t="s">
        <v>2137</v>
      </c>
      <c r="B2950" t="s">
        <v>2138</v>
      </c>
      <c r="C2950" t="s">
        <v>404</v>
      </c>
      <c r="D2950" t="s">
        <v>228</v>
      </c>
      <c r="E2950" t="str">
        <f>INDEX('State Codes'!$E$7:$E$70,MATCH(INDEX('State Codes'!$C$7:$C$70,MATCH('County Climates'!B2950,'State Codes'!$D$7:$D$70,0),1),'State Codes'!$C$7:$C$70,0),1)</f>
        <v>Mountain Division</v>
      </c>
      <c r="F2950">
        <f>INDEX('CBECS_Table B5'!$C$6:$K$6,1,MATCH('County Climates'!E2950,'CBECS_Table B5'!$C$1:$K$1,0))</f>
        <v>4981</v>
      </c>
    </row>
    <row r="2951" spans="1:6" x14ac:dyDescent="0.25">
      <c r="A2951" t="s">
        <v>2137</v>
      </c>
      <c r="B2951" t="s">
        <v>2138</v>
      </c>
      <c r="C2951" t="s">
        <v>2140</v>
      </c>
      <c r="D2951" t="s">
        <v>228</v>
      </c>
      <c r="E2951" t="str">
        <f>INDEX('State Codes'!$E$7:$E$70,MATCH(INDEX('State Codes'!$C$7:$C$70,MATCH('County Climates'!B2951,'State Codes'!$D$7:$D$70,0),1),'State Codes'!$C$7:$C$70,0),1)</f>
        <v>Mountain Division</v>
      </c>
      <c r="F2951">
        <f>INDEX('CBECS_Table B5'!$C$6:$K$6,1,MATCH('County Climates'!E2951,'CBECS_Table B5'!$C$1:$K$1,0))</f>
        <v>4981</v>
      </c>
    </row>
    <row r="2952" spans="1:6" x14ac:dyDescent="0.25">
      <c r="A2952" t="s">
        <v>2137</v>
      </c>
      <c r="B2952" t="s">
        <v>2138</v>
      </c>
      <c r="C2952" t="s">
        <v>2141</v>
      </c>
      <c r="D2952" t="s">
        <v>228</v>
      </c>
      <c r="E2952" t="str">
        <f>INDEX('State Codes'!$E$7:$E$70,MATCH(INDEX('State Codes'!$C$7:$C$70,MATCH('County Climates'!B2952,'State Codes'!$D$7:$D$70,0),1),'State Codes'!$C$7:$C$70,0),1)</f>
        <v>Mountain Division</v>
      </c>
      <c r="F2952">
        <f>INDEX('CBECS_Table B5'!$C$6:$K$6,1,MATCH('County Climates'!E2952,'CBECS_Table B5'!$C$1:$K$1,0))</f>
        <v>4981</v>
      </c>
    </row>
    <row r="2953" spans="1:6" x14ac:dyDescent="0.25">
      <c r="A2953" t="s">
        <v>2137</v>
      </c>
      <c r="B2953" t="s">
        <v>2138</v>
      </c>
      <c r="C2953" t="s">
        <v>2138</v>
      </c>
      <c r="D2953" t="s">
        <v>228</v>
      </c>
      <c r="E2953" t="str">
        <f>INDEX('State Codes'!$E$7:$E$70,MATCH(INDEX('State Codes'!$C$7:$C$70,MATCH('County Climates'!B2953,'State Codes'!$D$7:$D$70,0),1),'State Codes'!$C$7:$C$70,0),1)</f>
        <v>Mountain Division</v>
      </c>
      <c r="F2953">
        <f>INDEX('CBECS_Table B5'!$C$6:$K$6,1,MATCH('County Climates'!E2953,'CBECS_Table B5'!$C$1:$K$1,0))</f>
        <v>4981</v>
      </c>
    </row>
    <row r="2954" spans="1:6" x14ac:dyDescent="0.25">
      <c r="A2954" t="s">
        <v>2137</v>
      </c>
      <c r="B2954" t="s">
        <v>2138</v>
      </c>
      <c r="C2954" t="s">
        <v>2142</v>
      </c>
      <c r="D2954" t="s">
        <v>228</v>
      </c>
      <c r="E2954" t="str">
        <f>INDEX('State Codes'!$E$7:$E$70,MATCH(INDEX('State Codes'!$C$7:$C$70,MATCH('County Climates'!B2954,'State Codes'!$D$7:$D$70,0),1),'State Codes'!$C$7:$C$70,0),1)</f>
        <v>Mountain Division</v>
      </c>
      <c r="F2954">
        <f>INDEX('CBECS_Table B5'!$C$6:$K$6,1,MATCH('County Climates'!E2954,'CBECS_Table B5'!$C$1:$K$1,0))</f>
        <v>4981</v>
      </c>
    </row>
    <row r="2955" spans="1:6" x14ac:dyDescent="0.25">
      <c r="A2955" t="s">
        <v>2137</v>
      </c>
      <c r="B2955" t="s">
        <v>2138</v>
      </c>
      <c r="C2955" t="s">
        <v>308</v>
      </c>
      <c r="D2955" t="s">
        <v>359</v>
      </c>
      <c r="E2955" t="str">
        <f>INDEX('State Codes'!$E$7:$E$70,MATCH(INDEX('State Codes'!$C$7:$C$70,MATCH('County Climates'!B2955,'State Codes'!$D$7:$D$70,0),1),'State Codes'!$C$7:$C$70,0),1)</f>
        <v>Mountain Division</v>
      </c>
      <c r="F2955">
        <f>INDEX('CBECS_Table B5'!$C$6:$K$6,1,MATCH('County Climates'!E2955,'CBECS_Table B5'!$C$1:$K$1,0))</f>
        <v>4981</v>
      </c>
    </row>
    <row r="2956" spans="1:6" x14ac:dyDescent="0.25">
      <c r="A2956" t="s">
        <v>2137</v>
      </c>
      <c r="B2956" t="s">
        <v>2138</v>
      </c>
      <c r="C2956" t="s">
        <v>498</v>
      </c>
      <c r="D2956" t="s">
        <v>228</v>
      </c>
      <c r="E2956" t="str">
        <f>INDEX('State Codes'!$E$7:$E$70,MATCH(INDEX('State Codes'!$C$7:$C$70,MATCH('County Climates'!B2956,'State Codes'!$D$7:$D$70,0),1),'State Codes'!$C$7:$C$70,0),1)</f>
        <v>Mountain Division</v>
      </c>
      <c r="F2956">
        <f>INDEX('CBECS_Table B5'!$C$6:$K$6,1,MATCH('County Climates'!E2956,'CBECS_Table B5'!$C$1:$K$1,0))</f>
        <v>4981</v>
      </c>
    </row>
    <row r="2957" spans="1:6" x14ac:dyDescent="0.25">
      <c r="A2957" t="s">
        <v>2137</v>
      </c>
      <c r="B2957" t="s">
        <v>2138</v>
      </c>
      <c r="C2957" t="s">
        <v>2143</v>
      </c>
      <c r="D2957" t="s">
        <v>228</v>
      </c>
      <c r="E2957" t="str">
        <f>INDEX('State Codes'!$E$7:$E$70,MATCH(INDEX('State Codes'!$C$7:$C$70,MATCH('County Climates'!B2957,'State Codes'!$D$7:$D$70,0),1),'State Codes'!$C$7:$C$70,0),1)</f>
        <v>Mountain Division</v>
      </c>
      <c r="F2957">
        <f>INDEX('CBECS_Table B5'!$C$6:$K$6,1,MATCH('County Climates'!E2957,'CBECS_Table B5'!$C$1:$K$1,0))</f>
        <v>4981</v>
      </c>
    </row>
    <row r="2958" spans="1:6" x14ac:dyDescent="0.25">
      <c r="A2958" t="s">
        <v>2144</v>
      </c>
      <c r="B2958" t="s">
        <v>2145</v>
      </c>
      <c r="C2958" t="s">
        <v>2146</v>
      </c>
      <c r="D2958" t="s">
        <v>228</v>
      </c>
      <c r="E2958" t="str">
        <f>INDEX('State Codes'!$E$7:$E$70,MATCH(INDEX('State Codes'!$C$7:$C$70,MATCH('County Climates'!B2958,'State Codes'!$D$7:$D$70,0),1),'State Codes'!$C$7:$C$70,0),1)</f>
        <v>New England Division</v>
      </c>
      <c r="F2958">
        <f>INDEX('CBECS_Table B5'!$C$6:$K$6,1,MATCH('County Climates'!E2958,'CBECS_Table B5'!$C$1:$K$1,0))</f>
        <v>4302</v>
      </c>
    </row>
    <row r="2959" spans="1:6" x14ac:dyDescent="0.25">
      <c r="A2959" t="s">
        <v>2144</v>
      </c>
      <c r="B2959" t="s">
        <v>2145</v>
      </c>
      <c r="C2959" t="s">
        <v>2147</v>
      </c>
      <c r="D2959" t="s">
        <v>228</v>
      </c>
      <c r="E2959" t="str">
        <f>INDEX('State Codes'!$E$7:$E$70,MATCH(INDEX('State Codes'!$C$7:$C$70,MATCH('County Climates'!B2959,'State Codes'!$D$7:$D$70,0),1),'State Codes'!$C$7:$C$70,0),1)</f>
        <v>New England Division</v>
      </c>
      <c r="F2959">
        <f>INDEX('CBECS_Table B5'!$C$6:$K$6,1,MATCH('County Climates'!E2959,'CBECS_Table B5'!$C$1:$K$1,0))</f>
        <v>4302</v>
      </c>
    </row>
    <row r="2960" spans="1:6" x14ac:dyDescent="0.25">
      <c r="A2960" t="s">
        <v>2144</v>
      </c>
      <c r="B2960" t="s">
        <v>2145</v>
      </c>
      <c r="C2960" t="s">
        <v>2148</v>
      </c>
      <c r="D2960" t="s">
        <v>228</v>
      </c>
      <c r="E2960" t="str">
        <f>INDEX('State Codes'!$E$7:$E$70,MATCH(INDEX('State Codes'!$C$7:$C$70,MATCH('County Climates'!B2960,'State Codes'!$D$7:$D$70,0),1),'State Codes'!$C$7:$C$70,0),1)</f>
        <v>New England Division</v>
      </c>
      <c r="F2960">
        <f>INDEX('CBECS_Table B5'!$C$6:$K$6,1,MATCH('County Climates'!E2960,'CBECS_Table B5'!$C$1:$K$1,0))</f>
        <v>4302</v>
      </c>
    </row>
    <row r="2961" spans="1:6" x14ac:dyDescent="0.25">
      <c r="A2961" t="s">
        <v>2144</v>
      </c>
      <c r="B2961" t="s">
        <v>2145</v>
      </c>
      <c r="C2961" t="s">
        <v>2149</v>
      </c>
      <c r="D2961" t="s">
        <v>228</v>
      </c>
      <c r="E2961" t="str">
        <f>INDEX('State Codes'!$E$7:$E$70,MATCH(INDEX('State Codes'!$C$7:$C$70,MATCH('County Climates'!B2961,'State Codes'!$D$7:$D$70,0),1),'State Codes'!$C$7:$C$70,0),1)</f>
        <v>New England Division</v>
      </c>
      <c r="F2961">
        <f>INDEX('CBECS_Table B5'!$C$6:$K$6,1,MATCH('County Climates'!E2961,'CBECS_Table B5'!$C$1:$K$1,0))</f>
        <v>4302</v>
      </c>
    </row>
    <row r="2962" spans="1:6" x14ac:dyDescent="0.25">
      <c r="A2962" t="s">
        <v>2144</v>
      </c>
      <c r="B2962" t="s">
        <v>2145</v>
      </c>
      <c r="C2962" t="s">
        <v>755</v>
      </c>
      <c r="D2962" t="s">
        <v>228</v>
      </c>
      <c r="E2962" t="str">
        <f>INDEX('State Codes'!$E$7:$E$70,MATCH(INDEX('State Codes'!$C$7:$C$70,MATCH('County Climates'!B2962,'State Codes'!$D$7:$D$70,0),1),'State Codes'!$C$7:$C$70,0),1)</f>
        <v>New England Division</v>
      </c>
      <c r="F2962">
        <f>INDEX('CBECS_Table B5'!$C$6:$K$6,1,MATCH('County Climates'!E2962,'CBECS_Table B5'!$C$1:$K$1,0))</f>
        <v>4302</v>
      </c>
    </row>
    <row r="2963" spans="1:6" x14ac:dyDescent="0.25">
      <c r="A2963" t="s">
        <v>2144</v>
      </c>
      <c r="B2963" t="s">
        <v>2145</v>
      </c>
      <c r="C2963" t="s">
        <v>273</v>
      </c>
      <c r="D2963" t="s">
        <v>228</v>
      </c>
      <c r="E2963" t="str">
        <f>INDEX('State Codes'!$E$7:$E$70,MATCH(INDEX('State Codes'!$C$7:$C$70,MATCH('County Climates'!B2963,'State Codes'!$D$7:$D$70,0),1),'State Codes'!$C$7:$C$70,0),1)</f>
        <v>New England Division</v>
      </c>
      <c r="F2963">
        <f>INDEX('CBECS_Table B5'!$C$6:$K$6,1,MATCH('County Climates'!E2963,'CBECS_Table B5'!$C$1:$K$1,0))</f>
        <v>4302</v>
      </c>
    </row>
    <row r="2964" spans="1:6" x14ac:dyDescent="0.25">
      <c r="A2964" t="s">
        <v>2144</v>
      </c>
      <c r="B2964" t="s">
        <v>2145</v>
      </c>
      <c r="C2964" t="s">
        <v>2150</v>
      </c>
      <c r="D2964" t="s">
        <v>228</v>
      </c>
      <c r="E2964" t="str">
        <f>INDEX('State Codes'!$E$7:$E$70,MATCH(INDEX('State Codes'!$C$7:$C$70,MATCH('County Climates'!B2964,'State Codes'!$D$7:$D$70,0),1),'State Codes'!$C$7:$C$70,0),1)</f>
        <v>New England Division</v>
      </c>
      <c r="F2964">
        <f>INDEX('CBECS_Table B5'!$C$6:$K$6,1,MATCH('County Climates'!E2964,'CBECS_Table B5'!$C$1:$K$1,0))</f>
        <v>4302</v>
      </c>
    </row>
    <row r="2965" spans="1:6" x14ac:dyDescent="0.25">
      <c r="A2965" t="s">
        <v>2144</v>
      </c>
      <c r="B2965" t="s">
        <v>2145</v>
      </c>
      <c r="C2965" t="s">
        <v>2151</v>
      </c>
      <c r="D2965" t="s">
        <v>228</v>
      </c>
      <c r="E2965" t="str">
        <f>INDEX('State Codes'!$E$7:$E$70,MATCH(INDEX('State Codes'!$C$7:$C$70,MATCH('County Climates'!B2965,'State Codes'!$D$7:$D$70,0),1),'State Codes'!$C$7:$C$70,0),1)</f>
        <v>New England Division</v>
      </c>
      <c r="F2965">
        <f>INDEX('CBECS_Table B5'!$C$6:$K$6,1,MATCH('County Climates'!E2965,'CBECS_Table B5'!$C$1:$K$1,0))</f>
        <v>4302</v>
      </c>
    </row>
    <row r="2966" spans="1:6" x14ac:dyDescent="0.25">
      <c r="A2966" t="s">
        <v>2144</v>
      </c>
      <c r="B2966" t="s">
        <v>2145</v>
      </c>
      <c r="C2966" t="s">
        <v>966</v>
      </c>
      <c r="D2966" t="s">
        <v>228</v>
      </c>
      <c r="E2966" t="str">
        <f>INDEX('State Codes'!$E$7:$E$70,MATCH(INDEX('State Codes'!$C$7:$C$70,MATCH('County Climates'!B2966,'State Codes'!$D$7:$D$70,0),1),'State Codes'!$C$7:$C$70,0),1)</f>
        <v>New England Division</v>
      </c>
      <c r="F2966">
        <f>INDEX('CBECS_Table B5'!$C$6:$K$6,1,MATCH('County Climates'!E2966,'CBECS_Table B5'!$C$1:$K$1,0))</f>
        <v>4302</v>
      </c>
    </row>
    <row r="2967" spans="1:6" x14ac:dyDescent="0.25">
      <c r="A2967" t="s">
        <v>2144</v>
      </c>
      <c r="B2967" t="s">
        <v>2145</v>
      </c>
      <c r="C2967" t="s">
        <v>967</v>
      </c>
      <c r="D2967" t="s">
        <v>228</v>
      </c>
      <c r="E2967" t="str">
        <f>INDEX('State Codes'!$E$7:$E$70,MATCH(INDEX('State Codes'!$C$7:$C$70,MATCH('County Climates'!B2967,'State Codes'!$D$7:$D$70,0),1),'State Codes'!$C$7:$C$70,0),1)</f>
        <v>New England Division</v>
      </c>
      <c r="F2967">
        <f>INDEX('CBECS_Table B5'!$C$6:$K$6,1,MATCH('County Climates'!E2967,'CBECS_Table B5'!$C$1:$K$1,0))</f>
        <v>4302</v>
      </c>
    </row>
    <row r="2968" spans="1:6" x14ac:dyDescent="0.25">
      <c r="A2968" t="s">
        <v>2144</v>
      </c>
      <c r="B2968" t="s">
        <v>2145</v>
      </c>
      <c r="C2968" t="s">
        <v>2152</v>
      </c>
      <c r="D2968" t="s">
        <v>228</v>
      </c>
      <c r="E2968" t="str">
        <f>INDEX('State Codes'!$E$7:$E$70,MATCH(INDEX('State Codes'!$C$7:$C$70,MATCH('County Climates'!B2968,'State Codes'!$D$7:$D$70,0),1),'State Codes'!$C$7:$C$70,0),1)</f>
        <v>New England Division</v>
      </c>
      <c r="F2968">
        <f>INDEX('CBECS_Table B5'!$C$6:$K$6,1,MATCH('County Climates'!E2968,'CBECS_Table B5'!$C$1:$K$1,0))</f>
        <v>4302</v>
      </c>
    </row>
    <row r="2969" spans="1:6" x14ac:dyDescent="0.25">
      <c r="A2969" t="s">
        <v>2144</v>
      </c>
      <c r="B2969" t="s">
        <v>2145</v>
      </c>
      <c r="C2969" t="s">
        <v>308</v>
      </c>
      <c r="D2969" t="s">
        <v>228</v>
      </c>
      <c r="E2969" t="str">
        <f>INDEX('State Codes'!$E$7:$E$70,MATCH(INDEX('State Codes'!$C$7:$C$70,MATCH('County Climates'!B2969,'State Codes'!$D$7:$D$70,0),1),'State Codes'!$C$7:$C$70,0),1)</f>
        <v>New England Division</v>
      </c>
      <c r="F2969">
        <f>INDEX('CBECS_Table B5'!$C$6:$K$6,1,MATCH('County Climates'!E2969,'CBECS_Table B5'!$C$1:$K$1,0))</f>
        <v>4302</v>
      </c>
    </row>
    <row r="2970" spans="1:6" x14ac:dyDescent="0.25">
      <c r="A2970" t="s">
        <v>2144</v>
      </c>
      <c r="B2970" t="s">
        <v>2145</v>
      </c>
      <c r="C2970" t="s">
        <v>417</v>
      </c>
      <c r="D2970" t="s">
        <v>228</v>
      </c>
      <c r="E2970" t="str">
        <f>INDEX('State Codes'!$E$7:$E$70,MATCH(INDEX('State Codes'!$C$7:$C$70,MATCH('County Climates'!B2970,'State Codes'!$D$7:$D$70,0),1),'State Codes'!$C$7:$C$70,0),1)</f>
        <v>New England Division</v>
      </c>
      <c r="F2970">
        <f>INDEX('CBECS_Table B5'!$C$6:$K$6,1,MATCH('County Climates'!E2970,'CBECS_Table B5'!$C$1:$K$1,0))</f>
        <v>4302</v>
      </c>
    </row>
    <row r="2971" spans="1:6" x14ac:dyDescent="0.25">
      <c r="A2971" t="s">
        <v>2144</v>
      </c>
      <c r="B2971" t="s">
        <v>2145</v>
      </c>
      <c r="C2971" t="s">
        <v>2153</v>
      </c>
      <c r="D2971" t="s">
        <v>228</v>
      </c>
      <c r="E2971" t="str">
        <f>INDEX('State Codes'!$E$7:$E$70,MATCH(INDEX('State Codes'!$C$7:$C$70,MATCH('County Climates'!B2971,'State Codes'!$D$7:$D$70,0),1),'State Codes'!$C$7:$C$70,0),1)</f>
        <v>New England Division</v>
      </c>
      <c r="F2971">
        <f>INDEX('CBECS_Table B5'!$C$6:$K$6,1,MATCH('County Climates'!E2971,'CBECS_Table B5'!$C$1:$K$1,0))</f>
        <v>4302</v>
      </c>
    </row>
    <row r="2972" spans="1:6" x14ac:dyDescent="0.25">
      <c r="A2972" t="s">
        <v>2154</v>
      </c>
      <c r="B2972" t="s">
        <v>2155</v>
      </c>
      <c r="C2972" t="s">
        <v>2156</v>
      </c>
      <c r="D2972" t="s">
        <v>247</v>
      </c>
      <c r="E2972" t="str">
        <f>INDEX('State Codes'!$E$7:$E$70,MATCH(INDEX('State Codes'!$C$7:$C$70,MATCH('County Climates'!B2972,'State Codes'!$D$7:$D$70,0),1),'State Codes'!$C$7:$C$70,0),1)</f>
        <v>South Atlantic Division</v>
      </c>
      <c r="F2972">
        <f>INDEX('CBECS_Table B5'!$C$6:$K$6,1,MATCH('County Climates'!E2972,'CBECS_Table B5'!$C$1:$K$1,0))</f>
        <v>17981</v>
      </c>
    </row>
    <row r="2973" spans="1:6" x14ac:dyDescent="0.25">
      <c r="A2973" t="s">
        <v>2154</v>
      </c>
      <c r="B2973" t="s">
        <v>2155</v>
      </c>
      <c r="C2973" t="s">
        <v>2157</v>
      </c>
      <c r="D2973" t="s">
        <v>247</v>
      </c>
      <c r="E2973" t="str">
        <f>INDEX('State Codes'!$E$7:$E$70,MATCH(INDEX('State Codes'!$C$7:$C$70,MATCH('County Climates'!B2973,'State Codes'!$D$7:$D$70,0),1),'State Codes'!$C$7:$C$70,0),1)</f>
        <v>South Atlantic Division</v>
      </c>
      <c r="F2973">
        <f>INDEX('CBECS_Table B5'!$C$6:$K$6,1,MATCH('County Climates'!E2973,'CBECS_Table B5'!$C$1:$K$1,0))</f>
        <v>17981</v>
      </c>
    </row>
    <row r="2974" spans="1:6" x14ac:dyDescent="0.25">
      <c r="A2974" t="s">
        <v>2154</v>
      </c>
      <c r="B2974" t="s">
        <v>2155</v>
      </c>
      <c r="C2974" t="s">
        <v>2158</v>
      </c>
      <c r="D2974" t="s">
        <v>247</v>
      </c>
      <c r="E2974" t="str">
        <f>INDEX('State Codes'!$E$7:$E$70,MATCH(INDEX('State Codes'!$C$7:$C$70,MATCH('County Climates'!B2974,'State Codes'!$D$7:$D$70,0),1),'State Codes'!$C$7:$C$70,0),1)</f>
        <v>South Atlantic Division</v>
      </c>
      <c r="F2974">
        <f>INDEX('CBECS_Table B5'!$C$6:$K$6,1,MATCH('County Climates'!E2974,'CBECS_Table B5'!$C$1:$K$1,0))</f>
        <v>17981</v>
      </c>
    </row>
    <row r="2975" spans="1:6" x14ac:dyDescent="0.25">
      <c r="A2975" t="s">
        <v>2154</v>
      </c>
      <c r="B2975" t="s">
        <v>2155</v>
      </c>
      <c r="C2975" t="s">
        <v>1889</v>
      </c>
      <c r="D2975" t="s">
        <v>247</v>
      </c>
      <c r="E2975" t="str">
        <f>INDEX('State Codes'!$E$7:$E$70,MATCH(INDEX('State Codes'!$C$7:$C$70,MATCH('County Climates'!B2975,'State Codes'!$D$7:$D$70,0),1),'State Codes'!$C$7:$C$70,0),1)</f>
        <v>South Atlantic Division</v>
      </c>
      <c r="F2975">
        <f>INDEX('CBECS_Table B5'!$C$6:$K$6,1,MATCH('County Climates'!E2975,'CBECS_Table B5'!$C$1:$K$1,0))</f>
        <v>17981</v>
      </c>
    </row>
    <row r="2976" spans="1:6" x14ac:dyDescent="0.25">
      <c r="A2976" t="s">
        <v>2154</v>
      </c>
      <c r="B2976" t="s">
        <v>2155</v>
      </c>
      <c r="C2976" t="s">
        <v>2159</v>
      </c>
      <c r="D2976" t="s">
        <v>247</v>
      </c>
      <c r="E2976" t="str">
        <f>INDEX('State Codes'!$E$7:$E$70,MATCH(INDEX('State Codes'!$C$7:$C$70,MATCH('County Climates'!B2976,'State Codes'!$D$7:$D$70,0),1),'State Codes'!$C$7:$C$70,0),1)</f>
        <v>South Atlantic Division</v>
      </c>
      <c r="F2976">
        <f>INDEX('CBECS_Table B5'!$C$6:$K$6,1,MATCH('County Climates'!E2976,'CBECS_Table B5'!$C$1:$K$1,0))</f>
        <v>17981</v>
      </c>
    </row>
    <row r="2977" spans="1:6" x14ac:dyDescent="0.25">
      <c r="A2977" t="s">
        <v>2154</v>
      </c>
      <c r="B2977" t="s">
        <v>2155</v>
      </c>
      <c r="C2977" t="s">
        <v>2160</v>
      </c>
      <c r="D2977" t="s">
        <v>247</v>
      </c>
      <c r="E2977" t="str">
        <f>INDEX('State Codes'!$E$7:$E$70,MATCH(INDEX('State Codes'!$C$7:$C$70,MATCH('County Climates'!B2977,'State Codes'!$D$7:$D$70,0),1),'State Codes'!$C$7:$C$70,0),1)</f>
        <v>South Atlantic Division</v>
      </c>
      <c r="F2977">
        <f>INDEX('CBECS_Table B5'!$C$6:$K$6,1,MATCH('County Climates'!E2977,'CBECS_Table B5'!$C$1:$K$1,0))</f>
        <v>17981</v>
      </c>
    </row>
    <row r="2978" spans="1:6" x14ac:dyDescent="0.25">
      <c r="A2978" t="s">
        <v>2154</v>
      </c>
      <c r="B2978" t="s">
        <v>2155</v>
      </c>
      <c r="C2978" t="s">
        <v>2161</v>
      </c>
      <c r="D2978" t="s">
        <v>247</v>
      </c>
      <c r="E2978" t="str">
        <f>INDEX('State Codes'!$E$7:$E$70,MATCH(INDEX('State Codes'!$C$7:$C$70,MATCH('County Climates'!B2978,'State Codes'!$D$7:$D$70,0),1),'State Codes'!$C$7:$C$70,0),1)</f>
        <v>South Atlantic Division</v>
      </c>
      <c r="F2978">
        <f>INDEX('CBECS_Table B5'!$C$6:$K$6,1,MATCH('County Climates'!E2978,'CBECS_Table B5'!$C$1:$K$1,0))</f>
        <v>17981</v>
      </c>
    </row>
    <row r="2979" spans="1:6" x14ac:dyDescent="0.25">
      <c r="A2979" t="s">
        <v>2154</v>
      </c>
      <c r="B2979" t="s">
        <v>2155</v>
      </c>
      <c r="C2979" t="s">
        <v>2162</v>
      </c>
      <c r="D2979" t="s">
        <v>247</v>
      </c>
      <c r="E2979" t="str">
        <f>INDEX('State Codes'!$E$7:$E$70,MATCH(INDEX('State Codes'!$C$7:$C$70,MATCH('County Climates'!B2979,'State Codes'!$D$7:$D$70,0),1),'State Codes'!$C$7:$C$70,0),1)</f>
        <v>South Atlantic Division</v>
      </c>
      <c r="F2979">
        <f>INDEX('CBECS_Table B5'!$C$6:$K$6,1,MATCH('County Climates'!E2979,'CBECS_Table B5'!$C$1:$K$1,0))</f>
        <v>17981</v>
      </c>
    </row>
    <row r="2980" spans="1:6" x14ac:dyDescent="0.25">
      <c r="A2980" t="s">
        <v>2154</v>
      </c>
      <c r="B2980" t="s">
        <v>2155</v>
      </c>
      <c r="C2980" t="s">
        <v>2163</v>
      </c>
      <c r="D2980" t="s">
        <v>247</v>
      </c>
      <c r="E2980" t="str">
        <f>INDEX('State Codes'!$E$7:$E$70,MATCH(INDEX('State Codes'!$C$7:$C$70,MATCH('County Climates'!B2980,'State Codes'!$D$7:$D$70,0),1),'State Codes'!$C$7:$C$70,0),1)</f>
        <v>South Atlantic Division</v>
      </c>
      <c r="F2980">
        <f>INDEX('CBECS_Table B5'!$C$6:$K$6,1,MATCH('County Climates'!E2980,'CBECS_Table B5'!$C$1:$K$1,0))</f>
        <v>17981</v>
      </c>
    </row>
    <row r="2981" spans="1:6" x14ac:dyDescent="0.25">
      <c r="A2981" t="s">
        <v>2154</v>
      </c>
      <c r="B2981" t="s">
        <v>2155</v>
      </c>
      <c r="C2981" t="s">
        <v>1637</v>
      </c>
      <c r="D2981" t="s">
        <v>247</v>
      </c>
      <c r="E2981" t="str">
        <f>INDEX('State Codes'!$E$7:$E$70,MATCH(INDEX('State Codes'!$C$7:$C$70,MATCH('County Climates'!B2981,'State Codes'!$D$7:$D$70,0),1),'State Codes'!$C$7:$C$70,0),1)</f>
        <v>South Atlantic Division</v>
      </c>
      <c r="F2981">
        <f>INDEX('CBECS_Table B5'!$C$6:$K$6,1,MATCH('County Climates'!E2981,'CBECS_Table B5'!$C$1:$K$1,0))</f>
        <v>17981</v>
      </c>
    </row>
    <row r="2982" spans="1:6" x14ac:dyDescent="0.25">
      <c r="A2982" t="s">
        <v>2154</v>
      </c>
      <c r="B2982" t="s">
        <v>2155</v>
      </c>
      <c r="C2982" t="s">
        <v>1093</v>
      </c>
      <c r="D2982" t="s">
        <v>247</v>
      </c>
      <c r="E2982" t="str">
        <f>INDEX('State Codes'!$E$7:$E$70,MATCH(INDEX('State Codes'!$C$7:$C$70,MATCH('County Climates'!B2982,'State Codes'!$D$7:$D$70,0),1),'State Codes'!$C$7:$C$70,0),1)</f>
        <v>South Atlantic Division</v>
      </c>
      <c r="F2982">
        <f>INDEX('CBECS_Table B5'!$C$6:$K$6,1,MATCH('County Climates'!E2982,'CBECS_Table B5'!$C$1:$K$1,0))</f>
        <v>17981</v>
      </c>
    </row>
    <row r="2983" spans="1:6" x14ac:dyDescent="0.25">
      <c r="A2983" t="s">
        <v>2154</v>
      </c>
      <c r="B2983" t="s">
        <v>2155</v>
      </c>
      <c r="C2983" t="s">
        <v>2164</v>
      </c>
      <c r="D2983" t="s">
        <v>247</v>
      </c>
      <c r="E2983" t="str">
        <f>INDEX('State Codes'!$E$7:$E$70,MATCH(INDEX('State Codes'!$C$7:$C$70,MATCH('County Climates'!B2983,'State Codes'!$D$7:$D$70,0),1),'State Codes'!$C$7:$C$70,0),1)</f>
        <v>South Atlantic Division</v>
      </c>
      <c r="F2983">
        <f>INDEX('CBECS_Table B5'!$C$6:$K$6,1,MATCH('County Climates'!E2983,'CBECS_Table B5'!$C$1:$K$1,0))</f>
        <v>17981</v>
      </c>
    </row>
    <row r="2984" spans="1:6" x14ac:dyDescent="0.25">
      <c r="A2984" t="s">
        <v>2154</v>
      </c>
      <c r="B2984" t="s">
        <v>2155</v>
      </c>
      <c r="C2984" t="s">
        <v>2165</v>
      </c>
      <c r="D2984" t="s">
        <v>247</v>
      </c>
      <c r="E2984" t="str">
        <f>INDEX('State Codes'!$E$7:$E$70,MATCH(INDEX('State Codes'!$C$7:$C$70,MATCH('County Climates'!B2984,'State Codes'!$D$7:$D$70,0),1),'State Codes'!$C$7:$C$70,0),1)</f>
        <v>South Atlantic Division</v>
      </c>
      <c r="F2984">
        <f>INDEX('CBECS_Table B5'!$C$6:$K$6,1,MATCH('County Climates'!E2984,'CBECS_Table B5'!$C$1:$K$1,0))</f>
        <v>17981</v>
      </c>
    </row>
    <row r="2985" spans="1:6" x14ac:dyDescent="0.25">
      <c r="A2985" t="s">
        <v>2154</v>
      </c>
      <c r="B2985" t="s">
        <v>2155</v>
      </c>
      <c r="C2985" t="s">
        <v>2166</v>
      </c>
      <c r="D2985" t="s">
        <v>247</v>
      </c>
      <c r="E2985" t="str">
        <f>INDEX('State Codes'!$E$7:$E$70,MATCH(INDEX('State Codes'!$C$7:$C$70,MATCH('County Climates'!B2985,'State Codes'!$D$7:$D$70,0),1),'State Codes'!$C$7:$C$70,0),1)</f>
        <v>South Atlantic Division</v>
      </c>
      <c r="F2985">
        <f>INDEX('CBECS_Table B5'!$C$6:$K$6,1,MATCH('County Climates'!E2985,'CBECS_Table B5'!$C$1:$K$1,0))</f>
        <v>17981</v>
      </c>
    </row>
    <row r="2986" spans="1:6" x14ac:dyDescent="0.25">
      <c r="A2986" t="s">
        <v>2154</v>
      </c>
      <c r="B2986" t="s">
        <v>2155</v>
      </c>
      <c r="C2986" t="s">
        <v>2167</v>
      </c>
      <c r="D2986" t="s">
        <v>247</v>
      </c>
      <c r="E2986" t="str">
        <f>INDEX('State Codes'!$E$7:$E$70,MATCH(INDEX('State Codes'!$C$7:$C$70,MATCH('County Climates'!B2986,'State Codes'!$D$7:$D$70,0),1),'State Codes'!$C$7:$C$70,0),1)</f>
        <v>South Atlantic Division</v>
      </c>
      <c r="F2986">
        <f>INDEX('CBECS_Table B5'!$C$6:$K$6,1,MATCH('County Climates'!E2986,'CBECS_Table B5'!$C$1:$K$1,0))</f>
        <v>17981</v>
      </c>
    </row>
    <row r="2987" spans="1:6" x14ac:dyDescent="0.25">
      <c r="A2987" t="s">
        <v>2154</v>
      </c>
      <c r="B2987" t="s">
        <v>2155</v>
      </c>
      <c r="C2987" t="s">
        <v>1896</v>
      </c>
      <c r="D2987" t="s">
        <v>247</v>
      </c>
      <c r="E2987" t="str">
        <f>INDEX('State Codes'!$E$7:$E$70,MATCH(INDEX('State Codes'!$C$7:$C$70,MATCH('County Climates'!B2987,'State Codes'!$D$7:$D$70,0),1),'State Codes'!$C$7:$C$70,0),1)</f>
        <v>South Atlantic Division</v>
      </c>
      <c r="F2987">
        <f>INDEX('CBECS_Table B5'!$C$6:$K$6,1,MATCH('County Climates'!E2987,'CBECS_Table B5'!$C$1:$K$1,0))</f>
        <v>17981</v>
      </c>
    </row>
    <row r="2988" spans="1:6" x14ac:dyDescent="0.25">
      <c r="A2988" t="s">
        <v>2154</v>
      </c>
      <c r="B2988" t="s">
        <v>2155</v>
      </c>
      <c r="C2988" t="s">
        <v>597</v>
      </c>
      <c r="D2988" t="s">
        <v>247</v>
      </c>
      <c r="E2988" t="str">
        <f>INDEX('State Codes'!$E$7:$E$70,MATCH(INDEX('State Codes'!$C$7:$C$70,MATCH('County Climates'!B2988,'State Codes'!$D$7:$D$70,0),1),'State Codes'!$C$7:$C$70,0),1)</f>
        <v>South Atlantic Division</v>
      </c>
      <c r="F2988">
        <f>INDEX('CBECS_Table B5'!$C$6:$K$6,1,MATCH('County Climates'!E2988,'CBECS_Table B5'!$C$1:$K$1,0))</f>
        <v>17981</v>
      </c>
    </row>
    <row r="2989" spans="1:6" x14ac:dyDescent="0.25">
      <c r="A2989" t="s">
        <v>2154</v>
      </c>
      <c r="B2989" t="s">
        <v>2155</v>
      </c>
      <c r="C2989" t="s">
        <v>2168</v>
      </c>
      <c r="D2989" t="s">
        <v>247</v>
      </c>
      <c r="E2989" t="str">
        <f>INDEX('State Codes'!$E$7:$E$70,MATCH(INDEX('State Codes'!$C$7:$C$70,MATCH('County Climates'!B2989,'State Codes'!$D$7:$D$70,0),1),'State Codes'!$C$7:$C$70,0),1)</f>
        <v>South Atlantic Division</v>
      </c>
      <c r="F2989">
        <f>INDEX('CBECS_Table B5'!$C$6:$K$6,1,MATCH('County Climates'!E2989,'CBECS_Table B5'!$C$1:$K$1,0))</f>
        <v>17981</v>
      </c>
    </row>
    <row r="2990" spans="1:6" x14ac:dyDescent="0.25">
      <c r="A2990" t="s">
        <v>2154</v>
      </c>
      <c r="B2990" t="s">
        <v>2155</v>
      </c>
      <c r="C2990" t="s">
        <v>2169</v>
      </c>
      <c r="D2990" t="s">
        <v>247</v>
      </c>
      <c r="E2990" t="str">
        <f>INDEX('State Codes'!$E$7:$E$70,MATCH(INDEX('State Codes'!$C$7:$C$70,MATCH('County Climates'!B2990,'State Codes'!$D$7:$D$70,0),1),'State Codes'!$C$7:$C$70,0),1)</f>
        <v>South Atlantic Division</v>
      </c>
      <c r="F2990">
        <f>INDEX('CBECS_Table B5'!$C$6:$K$6,1,MATCH('County Climates'!E2990,'CBECS_Table B5'!$C$1:$K$1,0))</f>
        <v>17981</v>
      </c>
    </row>
    <row r="2991" spans="1:6" x14ac:dyDescent="0.25">
      <c r="A2991" t="s">
        <v>2154</v>
      </c>
      <c r="B2991" t="s">
        <v>2155</v>
      </c>
      <c r="C2991" t="s">
        <v>1130</v>
      </c>
      <c r="D2991" t="s">
        <v>247</v>
      </c>
      <c r="E2991" t="str">
        <f>INDEX('State Codes'!$E$7:$E$70,MATCH(INDEX('State Codes'!$C$7:$C$70,MATCH('County Climates'!B2991,'State Codes'!$D$7:$D$70,0),1),'State Codes'!$C$7:$C$70,0),1)</f>
        <v>South Atlantic Division</v>
      </c>
      <c r="F2991">
        <f>INDEX('CBECS_Table B5'!$C$6:$K$6,1,MATCH('County Climates'!E2991,'CBECS_Table B5'!$C$1:$K$1,0))</f>
        <v>17981</v>
      </c>
    </row>
    <row r="2992" spans="1:6" x14ac:dyDescent="0.25">
      <c r="A2992" t="s">
        <v>2154</v>
      </c>
      <c r="B2992" t="s">
        <v>2155</v>
      </c>
      <c r="C2992" t="s">
        <v>736</v>
      </c>
      <c r="D2992" t="s">
        <v>247</v>
      </c>
      <c r="E2992" t="str">
        <f>INDEX('State Codes'!$E$7:$E$70,MATCH(INDEX('State Codes'!$C$7:$C$70,MATCH('County Climates'!B2992,'State Codes'!$D$7:$D$70,0),1),'State Codes'!$C$7:$C$70,0),1)</f>
        <v>South Atlantic Division</v>
      </c>
      <c r="F2992">
        <f>INDEX('CBECS_Table B5'!$C$6:$K$6,1,MATCH('County Climates'!E2992,'CBECS_Table B5'!$C$1:$K$1,0))</f>
        <v>17981</v>
      </c>
    </row>
    <row r="2993" spans="1:6" x14ac:dyDescent="0.25">
      <c r="A2993" t="s">
        <v>2154</v>
      </c>
      <c r="B2993" t="s">
        <v>2155</v>
      </c>
      <c r="C2993" t="s">
        <v>447</v>
      </c>
      <c r="D2993" t="s">
        <v>247</v>
      </c>
      <c r="E2993" t="str">
        <f>INDEX('State Codes'!$E$7:$E$70,MATCH(INDEX('State Codes'!$C$7:$C$70,MATCH('County Climates'!B2993,'State Codes'!$D$7:$D$70,0),1),'State Codes'!$C$7:$C$70,0),1)</f>
        <v>South Atlantic Division</v>
      </c>
      <c r="F2993">
        <f>INDEX('CBECS_Table B5'!$C$6:$K$6,1,MATCH('County Climates'!E2993,'CBECS_Table B5'!$C$1:$K$1,0))</f>
        <v>17981</v>
      </c>
    </row>
    <row r="2994" spans="1:6" x14ac:dyDescent="0.25">
      <c r="A2994" t="s">
        <v>2154</v>
      </c>
      <c r="B2994" t="s">
        <v>2155</v>
      </c>
      <c r="C2994" t="s">
        <v>2170</v>
      </c>
      <c r="D2994" t="s">
        <v>247</v>
      </c>
      <c r="E2994" t="str">
        <f>INDEX('State Codes'!$E$7:$E$70,MATCH(INDEX('State Codes'!$C$7:$C$70,MATCH('County Climates'!B2994,'State Codes'!$D$7:$D$70,0),1),'State Codes'!$C$7:$C$70,0),1)</f>
        <v>South Atlantic Division</v>
      </c>
      <c r="F2994">
        <f>INDEX('CBECS_Table B5'!$C$6:$K$6,1,MATCH('County Climates'!E2994,'CBECS_Table B5'!$C$1:$K$1,0))</f>
        <v>17981</v>
      </c>
    </row>
    <row r="2995" spans="1:6" x14ac:dyDescent="0.25">
      <c r="A2995" t="s">
        <v>2154</v>
      </c>
      <c r="B2995" t="s">
        <v>2155</v>
      </c>
      <c r="C2995" t="s">
        <v>1496</v>
      </c>
      <c r="D2995" t="s">
        <v>247</v>
      </c>
      <c r="E2995" t="str">
        <f>INDEX('State Codes'!$E$7:$E$70,MATCH(INDEX('State Codes'!$C$7:$C$70,MATCH('County Climates'!B2995,'State Codes'!$D$7:$D$70,0),1),'State Codes'!$C$7:$C$70,0),1)</f>
        <v>South Atlantic Division</v>
      </c>
      <c r="F2995">
        <f>INDEX('CBECS_Table B5'!$C$6:$K$6,1,MATCH('County Climates'!E2995,'CBECS_Table B5'!$C$1:$K$1,0))</f>
        <v>17981</v>
      </c>
    </row>
    <row r="2996" spans="1:6" x14ac:dyDescent="0.25">
      <c r="A2996" t="s">
        <v>2154</v>
      </c>
      <c r="B2996" t="s">
        <v>2155</v>
      </c>
      <c r="C2996" t="s">
        <v>2171</v>
      </c>
      <c r="D2996" t="s">
        <v>247</v>
      </c>
      <c r="E2996" t="str">
        <f>INDEX('State Codes'!$E$7:$E$70,MATCH(INDEX('State Codes'!$C$7:$C$70,MATCH('County Climates'!B2996,'State Codes'!$D$7:$D$70,0),1),'State Codes'!$C$7:$C$70,0),1)</f>
        <v>South Atlantic Division</v>
      </c>
      <c r="F2996">
        <f>INDEX('CBECS_Table B5'!$C$6:$K$6,1,MATCH('County Climates'!E2996,'CBECS_Table B5'!$C$1:$K$1,0))</f>
        <v>17981</v>
      </c>
    </row>
    <row r="2997" spans="1:6" x14ac:dyDescent="0.25">
      <c r="A2997" t="s">
        <v>2154</v>
      </c>
      <c r="B2997" t="s">
        <v>2155</v>
      </c>
      <c r="C2997" t="s">
        <v>2172</v>
      </c>
      <c r="D2997" t="s">
        <v>247</v>
      </c>
      <c r="E2997" t="str">
        <f>INDEX('State Codes'!$E$7:$E$70,MATCH(INDEX('State Codes'!$C$7:$C$70,MATCH('County Climates'!B2997,'State Codes'!$D$7:$D$70,0),1),'State Codes'!$C$7:$C$70,0),1)</f>
        <v>South Atlantic Division</v>
      </c>
      <c r="F2997">
        <f>INDEX('CBECS_Table B5'!$C$6:$K$6,1,MATCH('County Climates'!E2997,'CBECS_Table B5'!$C$1:$K$1,0))</f>
        <v>17981</v>
      </c>
    </row>
    <row r="2998" spans="1:6" x14ac:dyDescent="0.25">
      <c r="A2998" t="s">
        <v>2154</v>
      </c>
      <c r="B2998" t="s">
        <v>2155</v>
      </c>
      <c r="C2998" t="s">
        <v>2017</v>
      </c>
      <c r="D2998" t="s">
        <v>247</v>
      </c>
      <c r="E2998" t="str">
        <f>INDEX('State Codes'!$E$7:$E$70,MATCH(INDEX('State Codes'!$C$7:$C$70,MATCH('County Climates'!B2998,'State Codes'!$D$7:$D$70,0),1),'State Codes'!$C$7:$C$70,0),1)</f>
        <v>South Atlantic Division</v>
      </c>
      <c r="F2998">
        <f>INDEX('CBECS_Table B5'!$C$6:$K$6,1,MATCH('County Climates'!E2998,'CBECS_Table B5'!$C$1:$K$1,0))</f>
        <v>17981</v>
      </c>
    </row>
    <row r="2999" spans="1:6" x14ac:dyDescent="0.25">
      <c r="A2999" t="s">
        <v>2154</v>
      </c>
      <c r="B2999" t="s">
        <v>2155</v>
      </c>
      <c r="C2999" t="s">
        <v>256</v>
      </c>
      <c r="D2999" t="s">
        <v>247</v>
      </c>
      <c r="E2999" t="str">
        <f>INDEX('State Codes'!$E$7:$E$70,MATCH(INDEX('State Codes'!$C$7:$C$70,MATCH('County Climates'!B2999,'State Codes'!$D$7:$D$70,0),1),'State Codes'!$C$7:$C$70,0),1)</f>
        <v>South Atlantic Division</v>
      </c>
      <c r="F2999">
        <f>INDEX('CBECS_Table B5'!$C$6:$K$6,1,MATCH('County Climates'!E2999,'CBECS_Table B5'!$C$1:$K$1,0))</f>
        <v>17981</v>
      </c>
    </row>
    <row r="3000" spans="1:6" x14ac:dyDescent="0.25">
      <c r="A3000" t="s">
        <v>2154</v>
      </c>
      <c r="B3000" t="s">
        <v>2155</v>
      </c>
      <c r="C3000" t="s">
        <v>2173</v>
      </c>
      <c r="D3000" t="s">
        <v>247</v>
      </c>
      <c r="E3000" t="str">
        <f>INDEX('State Codes'!$E$7:$E$70,MATCH(INDEX('State Codes'!$C$7:$C$70,MATCH('County Climates'!B3000,'State Codes'!$D$7:$D$70,0),1),'State Codes'!$C$7:$C$70,0),1)</f>
        <v>South Atlantic Division</v>
      </c>
      <c r="F3000">
        <f>INDEX('CBECS_Table B5'!$C$6:$K$6,1,MATCH('County Climates'!E3000,'CBECS_Table B5'!$C$1:$K$1,0))</f>
        <v>17981</v>
      </c>
    </row>
    <row r="3001" spans="1:6" x14ac:dyDescent="0.25">
      <c r="A3001" t="s">
        <v>2154</v>
      </c>
      <c r="B3001" t="s">
        <v>2155</v>
      </c>
      <c r="C3001" t="s">
        <v>2174</v>
      </c>
      <c r="D3001" t="s">
        <v>247</v>
      </c>
      <c r="E3001" t="str">
        <f>INDEX('State Codes'!$E$7:$E$70,MATCH(INDEX('State Codes'!$C$7:$C$70,MATCH('County Climates'!B3001,'State Codes'!$D$7:$D$70,0),1),'State Codes'!$C$7:$C$70,0),1)</f>
        <v>South Atlantic Division</v>
      </c>
      <c r="F3001">
        <f>INDEX('CBECS_Table B5'!$C$6:$K$6,1,MATCH('County Climates'!E3001,'CBECS_Table B5'!$C$1:$K$1,0))</f>
        <v>17981</v>
      </c>
    </row>
    <row r="3002" spans="1:6" x14ac:dyDescent="0.25">
      <c r="A3002" t="s">
        <v>2154</v>
      </c>
      <c r="B3002" t="s">
        <v>2155</v>
      </c>
      <c r="C3002" t="s">
        <v>2175</v>
      </c>
      <c r="D3002" t="s">
        <v>247</v>
      </c>
      <c r="E3002" t="str">
        <f>INDEX('State Codes'!$E$7:$E$70,MATCH(INDEX('State Codes'!$C$7:$C$70,MATCH('County Climates'!B3002,'State Codes'!$D$7:$D$70,0),1),'State Codes'!$C$7:$C$70,0),1)</f>
        <v>South Atlantic Division</v>
      </c>
      <c r="F3002">
        <f>INDEX('CBECS_Table B5'!$C$6:$K$6,1,MATCH('County Climates'!E3002,'CBECS_Table B5'!$C$1:$K$1,0))</f>
        <v>17981</v>
      </c>
    </row>
    <row r="3003" spans="1:6" x14ac:dyDescent="0.25">
      <c r="A3003" t="s">
        <v>2154</v>
      </c>
      <c r="B3003" t="s">
        <v>2155</v>
      </c>
      <c r="C3003" t="s">
        <v>1956</v>
      </c>
      <c r="D3003" t="s">
        <v>247</v>
      </c>
      <c r="E3003" t="str">
        <f>INDEX('State Codes'!$E$7:$E$70,MATCH(INDEX('State Codes'!$C$7:$C$70,MATCH('County Climates'!B3003,'State Codes'!$D$7:$D$70,0),1),'State Codes'!$C$7:$C$70,0),1)</f>
        <v>South Atlantic Division</v>
      </c>
      <c r="F3003">
        <f>INDEX('CBECS_Table B5'!$C$6:$K$6,1,MATCH('County Climates'!E3003,'CBECS_Table B5'!$C$1:$K$1,0))</f>
        <v>17981</v>
      </c>
    </row>
    <row r="3004" spans="1:6" x14ac:dyDescent="0.25">
      <c r="A3004" t="s">
        <v>2154</v>
      </c>
      <c r="B3004" t="s">
        <v>2155</v>
      </c>
      <c r="C3004" t="s">
        <v>2176</v>
      </c>
      <c r="D3004" t="s">
        <v>247</v>
      </c>
      <c r="E3004" t="str">
        <f>INDEX('State Codes'!$E$7:$E$70,MATCH(INDEX('State Codes'!$C$7:$C$70,MATCH('County Climates'!B3004,'State Codes'!$D$7:$D$70,0),1),'State Codes'!$C$7:$C$70,0),1)</f>
        <v>South Atlantic Division</v>
      </c>
      <c r="F3004">
        <f>INDEX('CBECS_Table B5'!$C$6:$K$6,1,MATCH('County Climates'!E3004,'CBECS_Table B5'!$C$1:$K$1,0))</f>
        <v>17981</v>
      </c>
    </row>
    <row r="3005" spans="1:6" x14ac:dyDescent="0.25">
      <c r="A3005" t="s">
        <v>2154</v>
      </c>
      <c r="B3005" t="s">
        <v>2155</v>
      </c>
      <c r="C3005" t="s">
        <v>720</v>
      </c>
      <c r="D3005" t="s">
        <v>247</v>
      </c>
      <c r="E3005" t="str">
        <f>INDEX('State Codes'!$E$7:$E$70,MATCH(INDEX('State Codes'!$C$7:$C$70,MATCH('County Climates'!B3005,'State Codes'!$D$7:$D$70,0),1),'State Codes'!$C$7:$C$70,0),1)</f>
        <v>South Atlantic Division</v>
      </c>
      <c r="F3005">
        <f>INDEX('CBECS_Table B5'!$C$6:$K$6,1,MATCH('County Climates'!E3005,'CBECS_Table B5'!$C$1:$K$1,0))</f>
        <v>17981</v>
      </c>
    </row>
    <row r="3006" spans="1:6" x14ac:dyDescent="0.25">
      <c r="A3006" t="s">
        <v>2154</v>
      </c>
      <c r="B3006" t="s">
        <v>2155</v>
      </c>
      <c r="C3006" t="s">
        <v>2177</v>
      </c>
      <c r="D3006" t="s">
        <v>247</v>
      </c>
      <c r="E3006" t="str">
        <f>INDEX('State Codes'!$E$7:$E$70,MATCH(INDEX('State Codes'!$C$7:$C$70,MATCH('County Climates'!B3006,'State Codes'!$D$7:$D$70,0),1),'State Codes'!$C$7:$C$70,0),1)</f>
        <v>South Atlantic Division</v>
      </c>
      <c r="F3006">
        <f>INDEX('CBECS_Table B5'!$C$6:$K$6,1,MATCH('County Climates'!E3006,'CBECS_Table B5'!$C$1:$K$1,0))</f>
        <v>17981</v>
      </c>
    </row>
    <row r="3007" spans="1:6" x14ac:dyDescent="0.25">
      <c r="A3007" t="s">
        <v>2154</v>
      </c>
      <c r="B3007" t="s">
        <v>2155</v>
      </c>
      <c r="C3007" t="s">
        <v>2178</v>
      </c>
      <c r="D3007" t="s">
        <v>247</v>
      </c>
      <c r="E3007" t="str">
        <f>INDEX('State Codes'!$E$7:$E$70,MATCH(INDEX('State Codes'!$C$7:$C$70,MATCH('County Climates'!B3007,'State Codes'!$D$7:$D$70,0),1),'State Codes'!$C$7:$C$70,0),1)</f>
        <v>South Atlantic Division</v>
      </c>
      <c r="F3007">
        <f>INDEX('CBECS_Table B5'!$C$6:$K$6,1,MATCH('County Climates'!E3007,'CBECS_Table B5'!$C$1:$K$1,0))</f>
        <v>17981</v>
      </c>
    </row>
    <row r="3008" spans="1:6" x14ac:dyDescent="0.25">
      <c r="A3008" t="s">
        <v>2154</v>
      </c>
      <c r="B3008" t="s">
        <v>2155</v>
      </c>
      <c r="C3008" t="s">
        <v>2179</v>
      </c>
      <c r="D3008" t="s">
        <v>247</v>
      </c>
      <c r="E3008" t="str">
        <f>INDEX('State Codes'!$E$7:$E$70,MATCH(INDEX('State Codes'!$C$7:$C$70,MATCH('County Climates'!B3008,'State Codes'!$D$7:$D$70,0),1),'State Codes'!$C$7:$C$70,0),1)</f>
        <v>South Atlantic Division</v>
      </c>
      <c r="F3008">
        <f>INDEX('CBECS_Table B5'!$C$6:$K$6,1,MATCH('County Climates'!E3008,'CBECS_Table B5'!$C$1:$K$1,0))</f>
        <v>17981</v>
      </c>
    </row>
    <row r="3009" spans="1:6" x14ac:dyDescent="0.25">
      <c r="A3009" t="s">
        <v>2154</v>
      </c>
      <c r="B3009" t="s">
        <v>2155</v>
      </c>
      <c r="C3009" t="s">
        <v>2180</v>
      </c>
      <c r="D3009" t="s">
        <v>247</v>
      </c>
      <c r="E3009" t="str">
        <f>INDEX('State Codes'!$E$7:$E$70,MATCH(INDEX('State Codes'!$C$7:$C$70,MATCH('County Climates'!B3009,'State Codes'!$D$7:$D$70,0),1),'State Codes'!$C$7:$C$70,0),1)</f>
        <v>South Atlantic Division</v>
      </c>
      <c r="F3009">
        <f>INDEX('CBECS_Table B5'!$C$6:$K$6,1,MATCH('County Climates'!E3009,'CBECS_Table B5'!$C$1:$K$1,0))</f>
        <v>17981</v>
      </c>
    </row>
    <row r="3010" spans="1:6" x14ac:dyDescent="0.25">
      <c r="A3010" t="s">
        <v>2154</v>
      </c>
      <c r="B3010" t="s">
        <v>2155</v>
      </c>
      <c r="C3010" t="s">
        <v>755</v>
      </c>
      <c r="D3010" t="s">
        <v>247</v>
      </c>
      <c r="E3010" t="str">
        <f>INDEX('State Codes'!$E$7:$E$70,MATCH(INDEX('State Codes'!$C$7:$C$70,MATCH('County Climates'!B3010,'State Codes'!$D$7:$D$70,0),1),'State Codes'!$C$7:$C$70,0),1)</f>
        <v>South Atlantic Division</v>
      </c>
      <c r="F3010">
        <f>INDEX('CBECS_Table B5'!$C$6:$K$6,1,MATCH('County Climates'!E3010,'CBECS_Table B5'!$C$1:$K$1,0))</f>
        <v>17981</v>
      </c>
    </row>
    <row r="3011" spans="1:6" x14ac:dyDescent="0.25">
      <c r="A3011" t="s">
        <v>2154</v>
      </c>
      <c r="B3011" t="s">
        <v>2155</v>
      </c>
      <c r="C3011" t="s">
        <v>2181</v>
      </c>
      <c r="D3011" t="s">
        <v>247</v>
      </c>
      <c r="E3011" t="str">
        <f>INDEX('State Codes'!$E$7:$E$70,MATCH(INDEX('State Codes'!$C$7:$C$70,MATCH('County Climates'!B3011,'State Codes'!$D$7:$D$70,0),1),'State Codes'!$C$7:$C$70,0),1)</f>
        <v>South Atlantic Division</v>
      </c>
      <c r="F3011">
        <f>INDEX('CBECS_Table B5'!$C$6:$K$6,1,MATCH('County Climates'!E3011,'CBECS_Table B5'!$C$1:$K$1,0))</f>
        <v>17981</v>
      </c>
    </row>
    <row r="3012" spans="1:6" x14ac:dyDescent="0.25">
      <c r="A3012" t="s">
        <v>2154</v>
      </c>
      <c r="B3012" t="s">
        <v>2155</v>
      </c>
      <c r="C3012" t="s">
        <v>2182</v>
      </c>
      <c r="D3012" t="s">
        <v>247</v>
      </c>
      <c r="E3012" t="str">
        <f>INDEX('State Codes'!$E$7:$E$70,MATCH(INDEX('State Codes'!$C$7:$C$70,MATCH('County Climates'!B3012,'State Codes'!$D$7:$D$70,0),1),'State Codes'!$C$7:$C$70,0),1)</f>
        <v>South Atlantic Division</v>
      </c>
      <c r="F3012">
        <f>INDEX('CBECS_Table B5'!$C$6:$K$6,1,MATCH('County Climates'!E3012,'CBECS_Table B5'!$C$1:$K$1,0))</f>
        <v>17981</v>
      </c>
    </row>
    <row r="3013" spans="1:6" x14ac:dyDescent="0.25">
      <c r="A3013" t="s">
        <v>2154</v>
      </c>
      <c r="B3013" t="s">
        <v>2155</v>
      </c>
      <c r="C3013" t="s">
        <v>972</v>
      </c>
      <c r="D3013" t="s">
        <v>247</v>
      </c>
      <c r="E3013" t="str">
        <f>INDEX('State Codes'!$E$7:$E$70,MATCH(INDEX('State Codes'!$C$7:$C$70,MATCH('County Climates'!B3013,'State Codes'!$D$7:$D$70,0),1),'State Codes'!$C$7:$C$70,0),1)</f>
        <v>South Atlantic Division</v>
      </c>
      <c r="F3013">
        <f>INDEX('CBECS_Table B5'!$C$6:$K$6,1,MATCH('County Climates'!E3013,'CBECS_Table B5'!$C$1:$K$1,0))</f>
        <v>17981</v>
      </c>
    </row>
    <row r="3014" spans="1:6" x14ac:dyDescent="0.25">
      <c r="A3014" t="s">
        <v>2154</v>
      </c>
      <c r="B3014" t="s">
        <v>2155</v>
      </c>
      <c r="C3014" t="s">
        <v>2183</v>
      </c>
      <c r="D3014" t="s">
        <v>247</v>
      </c>
      <c r="E3014" t="str">
        <f>INDEX('State Codes'!$E$7:$E$70,MATCH(INDEX('State Codes'!$C$7:$C$70,MATCH('County Climates'!B3014,'State Codes'!$D$7:$D$70,0),1),'State Codes'!$C$7:$C$70,0),1)</f>
        <v>South Atlantic Division</v>
      </c>
      <c r="F3014">
        <f>INDEX('CBECS_Table B5'!$C$6:$K$6,1,MATCH('County Climates'!E3014,'CBECS_Table B5'!$C$1:$K$1,0))</f>
        <v>17981</v>
      </c>
    </row>
    <row r="3015" spans="1:6" x14ac:dyDescent="0.25">
      <c r="A3015" t="s">
        <v>2154</v>
      </c>
      <c r="B3015" t="s">
        <v>2155</v>
      </c>
      <c r="C3015" t="s">
        <v>2184</v>
      </c>
      <c r="D3015" t="s">
        <v>247</v>
      </c>
      <c r="E3015" t="str">
        <f>INDEX('State Codes'!$E$7:$E$70,MATCH(INDEX('State Codes'!$C$7:$C$70,MATCH('County Climates'!B3015,'State Codes'!$D$7:$D$70,0),1),'State Codes'!$C$7:$C$70,0),1)</f>
        <v>South Atlantic Division</v>
      </c>
      <c r="F3015">
        <f>INDEX('CBECS_Table B5'!$C$6:$K$6,1,MATCH('County Climates'!E3015,'CBECS_Table B5'!$C$1:$K$1,0))</f>
        <v>17981</v>
      </c>
    </row>
    <row r="3016" spans="1:6" x14ac:dyDescent="0.25">
      <c r="A3016" t="s">
        <v>2154</v>
      </c>
      <c r="B3016" t="s">
        <v>2155</v>
      </c>
      <c r="C3016" t="s">
        <v>2185</v>
      </c>
      <c r="D3016" t="s">
        <v>247</v>
      </c>
      <c r="E3016" t="str">
        <f>INDEX('State Codes'!$E$7:$E$70,MATCH(INDEX('State Codes'!$C$7:$C$70,MATCH('County Climates'!B3016,'State Codes'!$D$7:$D$70,0),1),'State Codes'!$C$7:$C$70,0),1)</f>
        <v>South Atlantic Division</v>
      </c>
      <c r="F3016">
        <f>INDEX('CBECS_Table B5'!$C$6:$K$6,1,MATCH('County Climates'!E3016,'CBECS_Table B5'!$C$1:$K$1,0))</f>
        <v>17981</v>
      </c>
    </row>
    <row r="3017" spans="1:6" x14ac:dyDescent="0.25">
      <c r="A3017" t="s">
        <v>2154</v>
      </c>
      <c r="B3017" t="s">
        <v>2155</v>
      </c>
      <c r="C3017" t="s">
        <v>2186</v>
      </c>
      <c r="D3017" t="s">
        <v>247</v>
      </c>
      <c r="E3017" t="str">
        <f>INDEX('State Codes'!$E$7:$E$70,MATCH(INDEX('State Codes'!$C$7:$C$70,MATCH('County Climates'!B3017,'State Codes'!$D$7:$D$70,0),1),'State Codes'!$C$7:$C$70,0),1)</f>
        <v>South Atlantic Division</v>
      </c>
      <c r="F3017">
        <f>INDEX('CBECS_Table B5'!$C$6:$K$6,1,MATCH('County Climates'!E3017,'CBECS_Table B5'!$C$1:$K$1,0))</f>
        <v>17981</v>
      </c>
    </row>
    <row r="3018" spans="1:6" x14ac:dyDescent="0.25">
      <c r="A3018" t="s">
        <v>2154</v>
      </c>
      <c r="B3018" t="s">
        <v>2155</v>
      </c>
      <c r="C3018" t="s">
        <v>997</v>
      </c>
      <c r="D3018" t="s">
        <v>247</v>
      </c>
      <c r="E3018" t="str">
        <f>INDEX('State Codes'!$E$7:$E$70,MATCH(INDEX('State Codes'!$C$7:$C$70,MATCH('County Climates'!B3018,'State Codes'!$D$7:$D$70,0),1),'State Codes'!$C$7:$C$70,0),1)</f>
        <v>South Atlantic Division</v>
      </c>
      <c r="F3018">
        <f>INDEX('CBECS_Table B5'!$C$6:$K$6,1,MATCH('County Climates'!E3018,'CBECS_Table B5'!$C$1:$K$1,0))</f>
        <v>17981</v>
      </c>
    </row>
    <row r="3019" spans="1:6" x14ac:dyDescent="0.25">
      <c r="A3019" t="s">
        <v>2154</v>
      </c>
      <c r="B3019" t="s">
        <v>2155</v>
      </c>
      <c r="C3019" t="s">
        <v>300</v>
      </c>
      <c r="D3019" t="s">
        <v>247</v>
      </c>
      <c r="E3019" t="str">
        <f>INDEX('State Codes'!$E$7:$E$70,MATCH(INDEX('State Codes'!$C$7:$C$70,MATCH('County Climates'!B3019,'State Codes'!$D$7:$D$70,0),1),'State Codes'!$C$7:$C$70,0),1)</f>
        <v>South Atlantic Division</v>
      </c>
      <c r="F3019">
        <f>INDEX('CBECS_Table B5'!$C$6:$K$6,1,MATCH('County Climates'!E3019,'CBECS_Table B5'!$C$1:$K$1,0))</f>
        <v>17981</v>
      </c>
    </row>
    <row r="3020" spans="1:6" x14ac:dyDescent="0.25">
      <c r="A3020" t="s">
        <v>2154</v>
      </c>
      <c r="B3020" t="s">
        <v>2155</v>
      </c>
      <c r="C3020" t="s">
        <v>2187</v>
      </c>
      <c r="D3020" t="s">
        <v>247</v>
      </c>
      <c r="E3020" t="str">
        <f>INDEX('State Codes'!$E$7:$E$70,MATCH(INDEX('State Codes'!$C$7:$C$70,MATCH('County Climates'!B3020,'State Codes'!$D$7:$D$70,0),1),'State Codes'!$C$7:$C$70,0),1)</f>
        <v>South Atlantic Division</v>
      </c>
      <c r="F3020">
        <f>INDEX('CBECS_Table B5'!$C$6:$K$6,1,MATCH('County Climates'!E3020,'CBECS_Table B5'!$C$1:$K$1,0))</f>
        <v>17981</v>
      </c>
    </row>
    <row r="3021" spans="1:6" x14ac:dyDescent="0.25">
      <c r="A3021" t="s">
        <v>2154</v>
      </c>
      <c r="B3021" t="s">
        <v>2155</v>
      </c>
      <c r="C3021" t="s">
        <v>340</v>
      </c>
      <c r="D3021" t="s">
        <v>247</v>
      </c>
      <c r="E3021" t="str">
        <f>INDEX('State Codes'!$E$7:$E$70,MATCH(INDEX('State Codes'!$C$7:$C$70,MATCH('County Climates'!B3021,'State Codes'!$D$7:$D$70,0),1),'State Codes'!$C$7:$C$70,0),1)</f>
        <v>South Atlantic Division</v>
      </c>
      <c r="F3021">
        <f>INDEX('CBECS_Table B5'!$C$6:$K$6,1,MATCH('County Climates'!E3021,'CBECS_Table B5'!$C$1:$K$1,0))</f>
        <v>17981</v>
      </c>
    </row>
    <row r="3022" spans="1:6" x14ac:dyDescent="0.25">
      <c r="A3022" t="s">
        <v>2154</v>
      </c>
      <c r="B3022" t="s">
        <v>2155</v>
      </c>
      <c r="C3022" t="s">
        <v>2188</v>
      </c>
      <c r="D3022" t="s">
        <v>247</v>
      </c>
      <c r="E3022" t="str">
        <f>INDEX('State Codes'!$E$7:$E$70,MATCH(INDEX('State Codes'!$C$7:$C$70,MATCH('County Climates'!B3022,'State Codes'!$D$7:$D$70,0),1),'State Codes'!$C$7:$C$70,0),1)</f>
        <v>South Atlantic Division</v>
      </c>
      <c r="F3022">
        <f>INDEX('CBECS_Table B5'!$C$6:$K$6,1,MATCH('County Climates'!E3022,'CBECS_Table B5'!$C$1:$K$1,0))</f>
        <v>17981</v>
      </c>
    </row>
    <row r="3023" spans="1:6" x14ac:dyDescent="0.25">
      <c r="A3023" t="s">
        <v>2154</v>
      </c>
      <c r="B3023" t="s">
        <v>2155</v>
      </c>
      <c r="C3023" t="s">
        <v>2189</v>
      </c>
      <c r="D3023" t="s">
        <v>247</v>
      </c>
      <c r="E3023" t="str">
        <f>INDEX('State Codes'!$E$7:$E$70,MATCH(INDEX('State Codes'!$C$7:$C$70,MATCH('County Climates'!B3023,'State Codes'!$D$7:$D$70,0),1),'State Codes'!$C$7:$C$70,0),1)</f>
        <v>South Atlantic Division</v>
      </c>
      <c r="F3023">
        <f>INDEX('CBECS_Table B5'!$C$6:$K$6,1,MATCH('County Climates'!E3023,'CBECS_Table B5'!$C$1:$K$1,0))</f>
        <v>17981</v>
      </c>
    </row>
    <row r="3024" spans="1:6" x14ac:dyDescent="0.25">
      <c r="A3024" t="s">
        <v>2154</v>
      </c>
      <c r="B3024" t="s">
        <v>2155</v>
      </c>
      <c r="C3024" t="s">
        <v>2190</v>
      </c>
      <c r="D3024" t="s">
        <v>247</v>
      </c>
      <c r="E3024" t="str">
        <f>INDEX('State Codes'!$E$7:$E$70,MATCH(INDEX('State Codes'!$C$7:$C$70,MATCH('County Climates'!B3024,'State Codes'!$D$7:$D$70,0),1),'State Codes'!$C$7:$C$70,0),1)</f>
        <v>South Atlantic Division</v>
      </c>
      <c r="F3024">
        <f>INDEX('CBECS_Table B5'!$C$6:$K$6,1,MATCH('County Climates'!E3024,'CBECS_Table B5'!$C$1:$K$1,0))</f>
        <v>17981</v>
      </c>
    </row>
    <row r="3025" spans="1:6" x14ac:dyDescent="0.25">
      <c r="A3025" t="s">
        <v>2154</v>
      </c>
      <c r="B3025" t="s">
        <v>2155</v>
      </c>
      <c r="C3025" t="s">
        <v>2191</v>
      </c>
      <c r="D3025" t="s">
        <v>247</v>
      </c>
      <c r="E3025" t="str">
        <f>INDEX('State Codes'!$E$7:$E$70,MATCH(INDEX('State Codes'!$C$7:$C$70,MATCH('County Climates'!B3025,'State Codes'!$D$7:$D$70,0),1),'State Codes'!$C$7:$C$70,0),1)</f>
        <v>South Atlantic Division</v>
      </c>
      <c r="F3025">
        <f>INDEX('CBECS_Table B5'!$C$6:$K$6,1,MATCH('County Climates'!E3025,'CBECS_Table B5'!$C$1:$K$1,0))</f>
        <v>17981</v>
      </c>
    </row>
    <row r="3026" spans="1:6" x14ac:dyDescent="0.25">
      <c r="A3026" t="s">
        <v>2154</v>
      </c>
      <c r="B3026" t="s">
        <v>2155</v>
      </c>
      <c r="C3026" t="s">
        <v>1626</v>
      </c>
      <c r="D3026" t="s">
        <v>247</v>
      </c>
      <c r="E3026" t="str">
        <f>INDEX('State Codes'!$E$7:$E$70,MATCH(INDEX('State Codes'!$C$7:$C$70,MATCH('County Climates'!B3026,'State Codes'!$D$7:$D$70,0),1),'State Codes'!$C$7:$C$70,0),1)</f>
        <v>South Atlantic Division</v>
      </c>
      <c r="F3026">
        <f>INDEX('CBECS_Table B5'!$C$6:$K$6,1,MATCH('County Climates'!E3026,'CBECS_Table B5'!$C$1:$K$1,0))</f>
        <v>17981</v>
      </c>
    </row>
    <row r="3027" spans="1:6" x14ac:dyDescent="0.25">
      <c r="A3027" t="s">
        <v>2154</v>
      </c>
      <c r="B3027" t="s">
        <v>2155</v>
      </c>
      <c r="C3027" t="s">
        <v>2192</v>
      </c>
      <c r="D3027" t="s">
        <v>247</v>
      </c>
      <c r="E3027" t="str">
        <f>INDEX('State Codes'!$E$7:$E$70,MATCH(INDEX('State Codes'!$C$7:$C$70,MATCH('County Climates'!B3027,'State Codes'!$D$7:$D$70,0),1),'State Codes'!$C$7:$C$70,0),1)</f>
        <v>South Atlantic Division</v>
      </c>
      <c r="F3027">
        <f>INDEX('CBECS_Table B5'!$C$6:$K$6,1,MATCH('County Climates'!E3027,'CBECS_Table B5'!$C$1:$K$1,0))</f>
        <v>17981</v>
      </c>
    </row>
    <row r="3028" spans="1:6" x14ac:dyDescent="0.25">
      <c r="A3028" t="s">
        <v>2154</v>
      </c>
      <c r="B3028" t="s">
        <v>2155</v>
      </c>
      <c r="C3028" t="s">
        <v>2193</v>
      </c>
      <c r="D3028" t="s">
        <v>247</v>
      </c>
      <c r="E3028" t="str">
        <f>INDEX('State Codes'!$E$7:$E$70,MATCH(INDEX('State Codes'!$C$7:$C$70,MATCH('County Climates'!B3028,'State Codes'!$D$7:$D$70,0),1),'State Codes'!$C$7:$C$70,0),1)</f>
        <v>South Atlantic Division</v>
      </c>
      <c r="F3028">
        <f>INDEX('CBECS_Table B5'!$C$6:$K$6,1,MATCH('County Climates'!E3028,'CBECS_Table B5'!$C$1:$K$1,0))</f>
        <v>17981</v>
      </c>
    </row>
    <row r="3029" spans="1:6" x14ac:dyDescent="0.25">
      <c r="A3029" t="s">
        <v>2154</v>
      </c>
      <c r="B3029" t="s">
        <v>2155</v>
      </c>
      <c r="C3029" t="s">
        <v>1002</v>
      </c>
      <c r="D3029" t="s">
        <v>247</v>
      </c>
      <c r="E3029" t="str">
        <f>INDEX('State Codes'!$E$7:$E$70,MATCH(INDEX('State Codes'!$C$7:$C$70,MATCH('County Climates'!B3029,'State Codes'!$D$7:$D$70,0),1),'State Codes'!$C$7:$C$70,0),1)</f>
        <v>South Atlantic Division</v>
      </c>
      <c r="F3029">
        <f>INDEX('CBECS_Table B5'!$C$6:$K$6,1,MATCH('County Climates'!E3029,'CBECS_Table B5'!$C$1:$K$1,0))</f>
        <v>17981</v>
      </c>
    </row>
    <row r="3030" spans="1:6" x14ac:dyDescent="0.25">
      <c r="A3030" t="s">
        <v>2154</v>
      </c>
      <c r="B3030" t="s">
        <v>2155</v>
      </c>
      <c r="C3030" t="s">
        <v>422</v>
      </c>
      <c r="D3030" t="s">
        <v>247</v>
      </c>
      <c r="E3030" t="str">
        <f>INDEX('State Codes'!$E$7:$E$70,MATCH(INDEX('State Codes'!$C$7:$C$70,MATCH('County Climates'!B3030,'State Codes'!$D$7:$D$70,0),1),'State Codes'!$C$7:$C$70,0),1)</f>
        <v>South Atlantic Division</v>
      </c>
      <c r="F3030">
        <f>INDEX('CBECS_Table B5'!$C$6:$K$6,1,MATCH('County Climates'!E3030,'CBECS_Table B5'!$C$1:$K$1,0))</f>
        <v>17981</v>
      </c>
    </row>
    <row r="3031" spans="1:6" x14ac:dyDescent="0.25">
      <c r="A3031" t="s">
        <v>2154</v>
      </c>
      <c r="B3031" t="s">
        <v>2155</v>
      </c>
      <c r="C3031" t="s">
        <v>563</v>
      </c>
      <c r="D3031" t="s">
        <v>247</v>
      </c>
      <c r="E3031" t="str">
        <f>INDEX('State Codes'!$E$7:$E$70,MATCH(INDEX('State Codes'!$C$7:$C$70,MATCH('County Climates'!B3031,'State Codes'!$D$7:$D$70,0),1),'State Codes'!$C$7:$C$70,0),1)</f>
        <v>South Atlantic Division</v>
      </c>
      <c r="F3031">
        <f>INDEX('CBECS_Table B5'!$C$6:$K$6,1,MATCH('County Climates'!E3031,'CBECS_Table B5'!$C$1:$K$1,0))</f>
        <v>17981</v>
      </c>
    </row>
    <row r="3032" spans="1:6" x14ac:dyDescent="0.25">
      <c r="A3032" t="s">
        <v>2154</v>
      </c>
      <c r="B3032" t="s">
        <v>2155</v>
      </c>
      <c r="C3032" t="s">
        <v>2194</v>
      </c>
      <c r="D3032" t="s">
        <v>247</v>
      </c>
      <c r="E3032" t="str">
        <f>INDEX('State Codes'!$E$7:$E$70,MATCH(INDEX('State Codes'!$C$7:$C$70,MATCH('County Climates'!B3032,'State Codes'!$D$7:$D$70,0),1),'State Codes'!$C$7:$C$70,0),1)</f>
        <v>South Atlantic Division</v>
      </c>
      <c r="F3032">
        <f>INDEX('CBECS_Table B5'!$C$6:$K$6,1,MATCH('County Climates'!E3032,'CBECS_Table B5'!$C$1:$K$1,0))</f>
        <v>17981</v>
      </c>
    </row>
    <row r="3033" spans="1:6" x14ac:dyDescent="0.25">
      <c r="A3033" t="s">
        <v>2154</v>
      </c>
      <c r="B3033" t="s">
        <v>2155</v>
      </c>
      <c r="C3033" t="s">
        <v>497</v>
      </c>
      <c r="D3033" t="s">
        <v>247</v>
      </c>
      <c r="E3033" t="str">
        <f>INDEX('State Codes'!$E$7:$E$70,MATCH(INDEX('State Codes'!$C$7:$C$70,MATCH('County Climates'!B3033,'State Codes'!$D$7:$D$70,0),1),'State Codes'!$C$7:$C$70,0),1)</f>
        <v>South Atlantic Division</v>
      </c>
      <c r="F3033">
        <f>INDEX('CBECS_Table B5'!$C$6:$K$6,1,MATCH('County Climates'!E3033,'CBECS_Table B5'!$C$1:$K$1,0))</f>
        <v>17981</v>
      </c>
    </row>
    <row r="3034" spans="1:6" x14ac:dyDescent="0.25">
      <c r="A3034" t="s">
        <v>2154</v>
      </c>
      <c r="B3034" t="s">
        <v>2155</v>
      </c>
      <c r="C3034" t="s">
        <v>308</v>
      </c>
      <c r="D3034" t="s">
        <v>247</v>
      </c>
      <c r="E3034" t="str">
        <f>INDEX('State Codes'!$E$7:$E$70,MATCH(INDEX('State Codes'!$C$7:$C$70,MATCH('County Climates'!B3034,'State Codes'!$D$7:$D$70,0),1),'State Codes'!$C$7:$C$70,0),1)</f>
        <v>South Atlantic Division</v>
      </c>
      <c r="F3034">
        <f>INDEX('CBECS_Table B5'!$C$6:$K$6,1,MATCH('County Climates'!E3034,'CBECS_Table B5'!$C$1:$K$1,0))</f>
        <v>17981</v>
      </c>
    </row>
    <row r="3035" spans="1:6" x14ac:dyDescent="0.25">
      <c r="A3035" t="s">
        <v>2154</v>
      </c>
      <c r="B3035" t="s">
        <v>2155</v>
      </c>
      <c r="C3035" t="s">
        <v>2195</v>
      </c>
      <c r="D3035" t="s">
        <v>247</v>
      </c>
      <c r="E3035" t="str">
        <f>INDEX('State Codes'!$E$7:$E$70,MATCH(INDEX('State Codes'!$C$7:$C$70,MATCH('County Climates'!B3035,'State Codes'!$D$7:$D$70,0),1),'State Codes'!$C$7:$C$70,0),1)</f>
        <v>South Atlantic Division</v>
      </c>
      <c r="F3035">
        <f>INDEX('CBECS_Table B5'!$C$6:$K$6,1,MATCH('County Climates'!E3035,'CBECS_Table B5'!$C$1:$K$1,0))</f>
        <v>17981</v>
      </c>
    </row>
    <row r="3036" spans="1:6" x14ac:dyDescent="0.25">
      <c r="A3036" t="s">
        <v>2154</v>
      </c>
      <c r="B3036" t="s">
        <v>2155</v>
      </c>
      <c r="C3036" t="s">
        <v>2004</v>
      </c>
      <c r="D3036" t="s">
        <v>247</v>
      </c>
      <c r="E3036" t="str">
        <f>INDEX('State Codes'!$E$7:$E$70,MATCH(INDEX('State Codes'!$C$7:$C$70,MATCH('County Climates'!B3036,'State Codes'!$D$7:$D$70,0),1),'State Codes'!$C$7:$C$70,0),1)</f>
        <v>South Atlantic Division</v>
      </c>
      <c r="F3036">
        <f>INDEX('CBECS_Table B5'!$C$6:$K$6,1,MATCH('County Climates'!E3036,'CBECS_Table B5'!$C$1:$K$1,0))</f>
        <v>17981</v>
      </c>
    </row>
    <row r="3037" spans="1:6" x14ac:dyDescent="0.25">
      <c r="A3037" t="s">
        <v>2154</v>
      </c>
      <c r="B3037" t="s">
        <v>2155</v>
      </c>
      <c r="C3037" t="s">
        <v>2196</v>
      </c>
      <c r="D3037" t="s">
        <v>247</v>
      </c>
      <c r="E3037" t="str">
        <f>INDEX('State Codes'!$E$7:$E$70,MATCH(INDEX('State Codes'!$C$7:$C$70,MATCH('County Climates'!B3037,'State Codes'!$D$7:$D$70,0),1),'State Codes'!$C$7:$C$70,0),1)</f>
        <v>South Atlantic Division</v>
      </c>
      <c r="F3037">
        <f>INDEX('CBECS_Table B5'!$C$6:$K$6,1,MATCH('County Climates'!E3037,'CBECS_Table B5'!$C$1:$K$1,0))</f>
        <v>17981</v>
      </c>
    </row>
    <row r="3038" spans="1:6" x14ac:dyDescent="0.25">
      <c r="A3038" t="s">
        <v>2154</v>
      </c>
      <c r="B3038" t="s">
        <v>2155</v>
      </c>
      <c r="C3038" t="s">
        <v>2197</v>
      </c>
      <c r="D3038" t="s">
        <v>247</v>
      </c>
      <c r="E3038" t="str">
        <f>INDEX('State Codes'!$E$7:$E$70,MATCH(INDEX('State Codes'!$C$7:$C$70,MATCH('County Climates'!B3038,'State Codes'!$D$7:$D$70,0),1),'State Codes'!$C$7:$C$70,0),1)</f>
        <v>South Atlantic Division</v>
      </c>
      <c r="F3038">
        <f>INDEX('CBECS_Table B5'!$C$6:$K$6,1,MATCH('County Climates'!E3038,'CBECS_Table B5'!$C$1:$K$1,0))</f>
        <v>17981</v>
      </c>
    </row>
    <row r="3039" spans="1:6" x14ac:dyDescent="0.25">
      <c r="A3039" t="s">
        <v>2154</v>
      </c>
      <c r="B3039" t="s">
        <v>2155</v>
      </c>
      <c r="C3039" t="s">
        <v>1259</v>
      </c>
      <c r="D3039" t="s">
        <v>247</v>
      </c>
      <c r="E3039" t="str">
        <f>INDEX('State Codes'!$E$7:$E$70,MATCH(INDEX('State Codes'!$C$7:$C$70,MATCH('County Climates'!B3039,'State Codes'!$D$7:$D$70,0),1),'State Codes'!$C$7:$C$70,0),1)</f>
        <v>South Atlantic Division</v>
      </c>
      <c r="F3039">
        <f>INDEX('CBECS_Table B5'!$C$6:$K$6,1,MATCH('County Climates'!E3039,'CBECS_Table B5'!$C$1:$K$1,0))</f>
        <v>17981</v>
      </c>
    </row>
    <row r="3040" spans="1:6" x14ac:dyDescent="0.25">
      <c r="A3040" t="s">
        <v>2154</v>
      </c>
      <c r="B3040" t="s">
        <v>2155</v>
      </c>
      <c r="C3040" t="s">
        <v>2198</v>
      </c>
      <c r="D3040" t="s">
        <v>247</v>
      </c>
      <c r="E3040" t="str">
        <f>INDEX('State Codes'!$E$7:$E$70,MATCH(INDEX('State Codes'!$C$7:$C$70,MATCH('County Climates'!B3040,'State Codes'!$D$7:$D$70,0),1),'State Codes'!$C$7:$C$70,0),1)</f>
        <v>South Atlantic Division</v>
      </c>
      <c r="F3040">
        <f>INDEX('CBECS_Table B5'!$C$6:$K$6,1,MATCH('County Climates'!E3040,'CBECS_Table B5'!$C$1:$K$1,0))</f>
        <v>17981</v>
      </c>
    </row>
    <row r="3041" spans="1:6" x14ac:dyDescent="0.25">
      <c r="A3041" t="s">
        <v>2154</v>
      </c>
      <c r="B3041" t="s">
        <v>2155</v>
      </c>
      <c r="C3041" t="s">
        <v>728</v>
      </c>
      <c r="D3041" t="s">
        <v>247</v>
      </c>
      <c r="E3041" t="str">
        <f>INDEX('State Codes'!$E$7:$E$70,MATCH(INDEX('State Codes'!$C$7:$C$70,MATCH('County Climates'!B3041,'State Codes'!$D$7:$D$70,0),1),'State Codes'!$C$7:$C$70,0),1)</f>
        <v>South Atlantic Division</v>
      </c>
      <c r="F3041">
        <f>INDEX('CBECS_Table B5'!$C$6:$K$6,1,MATCH('County Climates'!E3041,'CBECS_Table B5'!$C$1:$K$1,0))</f>
        <v>17981</v>
      </c>
    </row>
    <row r="3042" spans="1:6" x14ac:dyDescent="0.25">
      <c r="A3042" t="s">
        <v>2199</v>
      </c>
      <c r="B3042" t="s">
        <v>308</v>
      </c>
      <c r="C3042" t="s">
        <v>516</v>
      </c>
      <c r="D3042" t="s">
        <v>228</v>
      </c>
      <c r="E3042" t="str">
        <f>INDEX('State Codes'!$E$7:$E$70,MATCH(INDEX('State Codes'!$C$7:$C$70,MATCH('County Climates'!B3042,'State Codes'!$D$7:$D$70,0),1),'State Codes'!$C$7:$C$70,0),1)</f>
        <v>Pacific Division</v>
      </c>
      <c r="F3042">
        <f>INDEX('CBECS_Table B5'!$C$6:$K$6,1,MATCH('County Climates'!E3042,'CBECS_Table B5'!$C$1:$K$1,0))</f>
        <v>13379</v>
      </c>
    </row>
    <row r="3043" spans="1:6" x14ac:dyDescent="0.25">
      <c r="A3043" t="s">
        <v>2199</v>
      </c>
      <c r="B3043" t="s">
        <v>308</v>
      </c>
      <c r="C3043" t="s">
        <v>2200</v>
      </c>
      <c r="D3043" t="s">
        <v>228</v>
      </c>
      <c r="E3043" t="str">
        <f>INDEX('State Codes'!$E$7:$E$70,MATCH(INDEX('State Codes'!$C$7:$C$70,MATCH('County Climates'!B3043,'State Codes'!$D$7:$D$70,0),1),'State Codes'!$C$7:$C$70,0),1)</f>
        <v>Pacific Division</v>
      </c>
      <c r="F3043">
        <f>INDEX('CBECS_Table B5'!$C$6:$K$6,1,MATCH('County Climates'!E3043,'CBECS_Table B5'!$C$1:$K$1,0))</f>
        <v>13379</v>
      </c>
    </row>
    <row r="3044" spans="1:6" x14ac:dyDescent="0.25">
      <c r="A3044" t="s">
        <v>2199</v>
      </c>
      <c r="B3044" t="s">
        <v>308</v>
      </c>
      <c r="C3044" t="s">
        <v>575</v>
      </c>
      <c r="D3044" t="s">
        <v>228</v>
      </c>
      <c r="E3044" t="str">
        <f>INDEX('State Codes'!$E$7:$E$70,MATCH(INDEX('State Codes'!$C$7:$C$70,MATCH('County Climates'!B3044,'State Codes'!$D$7:$D$70,0),1),'State Codes'!$C$7:$C$70,0),1)</f>
        <v>Pacific Division</v>
      </c>
      <c r="F3044">
        <f>INDEX('CBECS_Table B5'!$C$6:$K$6,1,MATCH('County Climates'!E3044,'CBECS_Table B5'!$C$1:$K$1,0))</f>
        <v>13379</v>
      </c>
    </row>
    <row r="3045" spans="1:6" x14ac:dyDescent="0.25">
      <c r="A3045" t="s">
        <v>2199</v>
      </c>
      <c r="B3045" t="s">
        <v>308</v>
      </c>
      <c r="C3045" t="s">
        <v>2201</v>
      </c>
      <c r="D3045" t="s">
        <v>228</v>
      </c>
      <c r="E3045" t="str">
        <f>INDEX('State Codes'!$E$7:$E$70,MATCH(INDEX('State Codes'!$C$7:$C$70,MATCH('County Climates'!B3045,'State Codes'!$D$7:$D$70,0),1),'State Codes'!$C$7:$C$70,0),1)</f>
        <v>Pacific Division</v>
      </c>
      <c r="F3045">
        <f>INDEX('CBECS_Table B5'!$C$6:$K$6,1,MATCH('County Climates'!E3045,'CBECS_Table B5'!$C$1:$K$1,0))</f>
        <v>13379</v>
      </c>
    </row>
    <row r="3046" spans="1:6" x14ac:dyDescent="0.25">
      <c r="A3046" t="s">
        <v>2199</v>
      </c>
      <c r="B3046" t="s">
        <v>308</v>
      </c>
      <c r="C3046" t="s">
        <v>2202</v>
      </c>
      <c r="D3046" t="s">
        <v>227</v>
      </c>
      <c r="E3046" t="str">
        <f>INDEX('State Codes'!$E$7:$E$70,MATCH(INDEX('State Codes'!$C$7:$C$70,MATCH('County Climates'!B3046,'State Codes'!$D$7:$D$70,0),1),'State Codes'!$C$7:$C$70,0),1)</f>
        <v>Pacific Division</v>
      </c>
      <c r="F3046">
        <f>INDEX('CBECS_Table B5'!$C$6:$K$6,1,MATCH('County Climates'!E3046,'CBECS_Table B5'!$C$1:$K$1,0))</f>
        <v>13379</v>
      </c>
    </row>
    <row r="3047" spans="1:6" x14ac:dyDescent="0.25">
      <c r="A3047" t="s">
        <v>2199</v>
      </c>
      <c r="B3047" t="s">
        <v>308</v>
      </c>
      <c r="C3047" t="s">
        <v>530</v>
      </c>
      <c r="D3047" t="s">
        <v>227</v>
      </c>
      <c r="E3047" t="str">
        <f>INDEX('State Codes'!$E$7:$E$70,MATCH(INDEX('State Codes'!$C$7:$C$70,MATCH('County Climates'!B3047,'State Codes'!$D$7:$D$70,0),1),'State Codes'!$C$7:$C$70,0),1)</f>
        <v>Pacific Division</v>
      </c>
      <c r="F3047">
        <f>INDEX('CBECS_Table B5'!$C$6:$K$6,1,MATCH('County Climates'!E3047,'CBECS_Table B5'!$C$1:$K$1,0))</f>
        <v>13379</v>
      </c>
    </row>
    <row r="3048" spans="1:6" x14ac:dyDescent="0.25">
      <c r="A3048" t="s">
        <v>2199</v>
      </c>
      <c r="B3048" t="s">
        <v>308</v>
      </c>
      <c r="C3048" t="s">
        <v>457</v>
      </c>
      <c r="D3048" t="s">
        <v>228</v>
      </c>
      <c r="E3048" t="str">
        <f>INDEX('State Codes'!$E$7:$E$70,MATCH(INDEX('State Codes'!$C$7:$C$70,MATCH('County Climates'!B3048,'State Codes'!$D$7:$D$70,0),1),'State Codes'!$C$7:$C$70,0),1)</f>
        <v>Pacific Division</v>
      </c>
      <c r="F3048">
        <f>INDEX('CBECS_Table B5'!$C$6:$K$6,1,MATCH('County Climates'!E3048,'CBECS_Table B5'!$C$1:$K$1,0))</f>
        <v>13379</v>
      </c>
    </row>
    <row r="3049" spans="1:6" x14ac:dyDescent="0.25">
      <c r="A3049" t="s">
        <v>2199</v>
      </c>
      <c r="B3049" t="s">
        <v>308</v>
      </c>
      <c r="C3049" t="s">
        <v>2203</v>
      </c>
      <c r="D3049" t="s">
        <v>227</v>
      </c>
      <c r="E3049" t="str">
        <f>INDEX('State Codes'!$E$7:$E$70,MATCH(INDEX('State Codes'!$C$7:$C$70,MATCH('County Climates'!B3049,'State Codes'!$D$7:$D$70,0),1),'State Codes'!$C$7:$C$70,0),1)</f>
        <v>Pacific Division</v>
      </c>
      <c r="F3049">
        <f>INDEX('CBECS_Table B5'!$C$6:$K$6,1,MATCH('County Climates'!E3049,'CBECS_Table B5'!$C$1:$K$1,0))</f>
        <v>13379</v>
      </c>
    </row>
    <row r="3050" spans="1:6" x14ac:dyDescent="0.25">
      <c r="A3050" t="s">
        <v>2199</v>
      </c>
      <c r="B3050" t="s">
        <v>308</v>
      </c>
      <c r="C3050" t="s">
        <v>369</v>
      </c>
      <c r="D3050" t="s">
        <v>228</v>
      </c>
      <c r="E3050" t="str">
        <f>INDEX('State Codes'!$E$7:$E$70,MATCH(INDEX('State Codes'!$C$7:$C$70,MATCH('County Climates'!B3050,'State Codes'!$D$7:$D$70,0),1),'State Codes'!$C$7:$C$70,0),1)</f>
        <v>Pacific Division</v>
      </c>
      <c r="F3050">
        <f>INDEX('CBECS_Table B5'!$C$6:$K$6,1,MATCH('County Climates'!E3050,'CBECS_Table B5'!$C$1:$K$1,0))</f>
        <v>13379</v>
      </c>
    </row>
    <row r="3051" spans="1:6" x14ac:dyDescent="0.25">
      <c r="A3051" t="s">
        <v>2199</v>
      </c>
      <c r="B3051" t="s">
        <v>308</v>
      </c>
      <c r="C3051" t="s">
        <v>2204</v>
      </c>
      <c r="D3051" t="s">
        <v>228</v>
      </c>
      <c r="E3051" t="str">
        <f>INDEX('State Codes'!$E$7:$E$70,MATCH(INDEX('State Codes'!$C$7:$C$70,MATCH('County Climates'!B3051,'State Codes'!$D$7:$D$70,0),1),'State Codes'!$C$7:$C$70,0),1)</f>
        <v>Pacific Division</v>
      </c>
      <c r="F3051">
        <f>INDEX('CBECS_Table B5'!$C$6:$K$6,1,MATCH('County Climates'!E3051,'CBECS_Table B5'!$C$1:$K$1,0))</f>
        <v>13379</v>
      </c>
    </row>
    <row r="3052" spans="1:6" x14ac:dyDescent="0.25">
      <c r="A3052" t="s">
        <v>2199</v>
      </c>
      <c r="B3052" t="s">
        <v>308</v>
      </c>
      <c r="C3052" t="s">
        <v>273</v>
      </c>
      <c r="D3052" t="s">
        <v>228</v>
      </c>
      <c r="E3052" t="str">
        <f>INDEX('State Codes'!$E$7:$E$70,MATCH(INDEX('State Codes'!$C$7:$C$70,MATCH('County Climates'!B3052,'State Codes'!$D$7:$D$70,0),1),'State Codes'!$C$7:$C$70,0),1)</f>
        <v>Pacific Division</v>
      </c>
      <c r="F3052">
        <f>INDEX('CBECS_Table B5'!$C$6:$K$6,1,MATCH('County Climates'!E3052,'CBECS_Table B5'!$C$1:$K$1,0))</f>
        <v>13379</v>
      </c>
    </row>
    <row r="3053" spans="1:6" x14ac:dyDescent="0.25">
      <c r="A3053" t="s">
        <v>2199</v>
      </c>
      <c r="B3053" t="s">
        <v>308</v>
      </c>
      <c r="C3053" t="s">
        <v>374</v>
      </c>
      <c r="D3053" t="s">
        <v>228</v>
      </c>
      <c r="E3053" t="str">
        <f>INDEX('State Codes'!$E$7:$E$70,MATCH(INDEX('State Codes'!$C$7:$C$70,MATCH('County Climates'!B3053,'State Codes'!$D$7:$D$70,0),1),'State Codes'!$C$7:$C$70,0),1)</f>
        <v>Pacific Division</v>
      </c>
      <c r="F3053">
        <f>INDEX('CBECS_Table B5'!$C$6:$K$6,1,MATCH('County Climates'!E3053,'CBECS_Table B5'!$C$1:$K$1,0))</f>
        <v>13379</v>
      </c>
    </row>
    <row r="3054" spans="1:6" x14ac:dyDescent="0.25">
      <c r="A3054" t="s">
        <v>2199</v>
      </c>
      <c r="B3054" t="s">
        <v>308</v>
      </c>
      <c r="C3054" t="s">
        <v>316</v>
      </c>
      <c r="D3054" t="s">
        <v>228</v>
      </c>
      <c r="E3054" t="str">
        <f>INDEX('State Codes'!$E$7:$E$70,MATCH(INDEX('State Codes'!$C$7:$C$70,MATCH('County Climates'!B3054,'State Codes'!$D$7:$D$70,0),1),'State Codes'!$C$7:$C$70,0),1)</f>
        <v>Pacific Division</v>
      </c>
      <c r="F3054">
        <f>INDEX('CBECS_Table B5'!$C$6:$K$6,1,MATCH('County Climates'!E3054,'CBECS_Table B5'!$C$1:$K$1,0))</f>
        <v>13379</v>
      </c>
    </row>
    <row r="3055" spans="1:6" x14ac:dyDescent="0.25">
      <c r="A3055" t="s">
        <v>2199</v>
      </c>
      <c r="B3055" t="s">
        <v>308</v>
      </c>
      <c r="C3055" t="s">
        <v>2205</v>
      </c>
      <c r="D3055" t="s">
        <v>227</v>
      </c>
      <c r="E3055" t="str">
        <f>INDEX('State Codes'!$E$7:$E$70,MATCH(INDEX('State Codes'!$C$7:$C$70,MATCH('County Climates'!B3055,'State Codes'!$D$7:$D$70,0),1),'State Codes'!$C$7:$C$70,0),1)</f>
        <v>Pacific Division</v>
      </c>
      <c r="F3055">
        <f>INDEX('CBECS_Table B5'!$C$6:$K$6,1,MATCH('County Climates'!E3055,'CBECS_Table B5'!$C$1:$K$1,0))</f>
        <v>13379</v>
      </c>
    </row>
    <row r="3056" spans="1:6" x14ac:dyDescent="0.25">
      <c r="A3056" t="s">
        <v>2199</v>
      </c>
      <c r="B3056" t="s">
        <v>308</v>
      </c>
      <c r="C3056" t="s">
        <v>2206</v>
      </c>
      <c r="D3056" t="s">
        <v>228</v>
      </c>
      <c r="E3056" t="str">
        <f>INDEX('State Codes'!$E$7:$E$70,MATCH(INDEX('State Codes'!$C$7:$C$70,MATCH('County Climates'!B3056,'State Codes'!$D$7:$D$70,0),1),'State Codes'!$C$7:$C$70,0),1)</f>
        <v>Pacific Division</v>
      </c>
      <c r="F3056">
        <f>INDEX('CBECS_Table B5'!$C$6:$K$6,1,MATCH('County Climates'!E3056,'CBECS_Table B5'!$C$1:$K$1,0))</f>
        <v>13379</v>
      </c>
    </row>
    <row r="3057" spans="1:6" x14ac:dyDescent="0.25">
      <c r="A3057" t="s">
        <v>2199</v>
      </c>
      <c r="B3057" t="s">
        <v>308</v>
      </c>
      <c r="C3057" t="s">
        <v>280</v>
      </c>
      <c r="D3057" t="s">
        <v>227</v>
      </c>
      <c r="E3057" t="str">
        <f>INDEX('State Codes'!$E$7:$E$70,MATCH(INDEX('State Codes'!$C$7:$C$70,MATCH('County Climates'!B3057,'State Codes'!$D$7:$D$70,0),1),'State Codes'!$C$7:$C$70,0),1)</f>
        <v>Pacific Division</v>
      </c>
      <c r="F3057">
        <f>INDEX('CBECS_Table B5'!$C$6:$K$6,1,MATCH('County Climates'!E3057,'CBECS_Table B5'!$C$1:$K$1,0))</f>
        <v>13379</v>
      </c>
    </row>
    <row r="3058" spans="1:6" x14ac:dyDescent="0.25">
      <c r="A3058" t="s">
        <v>2199</v>
      </c>
      <c r="B3058" t="s">
        <v>308</v>
      </c>
      <c r="C3058" t="s">
        <v>1222</v>
      </c>
      <c r="D3058" t="s">
        <v>227</v>
      </c>
      <c r="E3058" t="str">
        <f>INDEX('State Codes'!$E$7:$E$70,MATCH(INDEX('State Codes'!$C$7:$C$70,MATCH('County Climates'!B3058,'State Codes'!$D$7:$D$70,0),1),'State Codes'!$C$7:$C$70,0),1)</f>
        <v>Pacific Division</v>
      </c>
      <c r="F3058">
        <f>INDEX('CBECS_Table B5'!$C$6:$K$6,1,MATCH('County Climates'!E3058,'CBECS_Table B5'!$C$1:$K$1,0))</f>
        <v>13379</v>
      </c>
    </row>
    <row r="3059" spans="1:6" x14ac:dyDescent="0.25">
      <c r="A3059" t="s">
        <v>2199</v>
      </c>
      <c r="B3059" t="s">
        <v>308</v>
      </c>
      <c r="C3059" t="s">
        <v>2207</v>
      </c>
      <c r="D3059" t="s">
        <v>227</v>
      </c>
      <c r="E3059" t="str">
        <f>INDEX('State Codes'!$E$7:$E$70,MATCH(INDEX('State Codes'!$C$7:$C$70,MATCH('County Climates'!B3059,'State Codes'!$D$7:$D$70,0),1),'State Codes'!$C$7:$C$70,0),1)</f>
        <v>Pacific Division</v>
      </c>
      <c r="F3059">
        <f>INDEX('CBECS_Table B5'!$C$6:$K$6,1,MATCH('County Climates'!E3059,'CBECS_Table B5'!$C$1:$K$1,0))</f>
        <v>13379</v>
      </c>
    </row>
    <row r="3060" spans="1:6" x14ac:dyDescent="0.25">
      <c r="A3060" t="s">
        <v>2199</v>
      </c>
      <c r="B3060" t="s">
        <v>308</v>
      </c>
      <c r="C3060" t="s">
        <v>2208</v>
      </c>
      <c r="D3060" t="s">
        <v>228</v>
      </c>
      <c r="E3060" t="str">
        <f>INDEX('State Codes'!$E$7:$E$70,MATCH(INDEX('State Codes'!$C$7:$C$70,MATCH('County Climates'!B3060,'State Codes'!$D$7:$D$70,0),1),'State Codes'!$C$7:$C$70,0),1)</f>
        <v>Pacific Division</v>
      </c>
      <c r="F3060">
        <f>INDEX('CBECS_Table B5'!$C$6:$K$6,1,MATCH('County Climates'!E3060,'CBECS_Table B5'!$C$1:$K$1,0))</f>
        <v>13379</v>
      </c>
    </row>
    <row r="3061" spans="1:6" x14ac:dyDescent="0.25">
      <c r="A3061" t="s">
        <v>2199</v>
      </c>
      <c r="B3061" t="s">
        <v>308</v>
      </c>
      <c r="C3061" t="s">
        <v>2209</v>
      </c>
      <c r="D3061" t="s">
        <v>228</v>
      </c>
      <c r="E3061" t="str">
        <f>INDEX('State Codes'!$E$7:$E$70,MATCH(INDEX('State Codes'!$C$7:$C$70,MATCH('County Climates'!B3061,'State Codes'!$D$7:$D$70,0),1),'State Codes'!$C$7:$C$70,0),1)</f>
        <v>Pacific Division</v>
      </c>
      <c r="F3061">
        <f>INDEX('CBECS_Table B5'!$C$6:$K$6,1,MATCH('County Climates'!E3061,'CBECS_Table B5'!$C$1:$K$1,0))</f>
        <v>13379</v>
      </c>
    </row>
    <row r="3062" spans="1:6" x14ac:dyDescent="0.25">
      <c r="A3062" t="s">
        <v>2199</v>
      </c>
      <c r="B3062" t="s">
        <v>308</v>
      </c>
      <c r="C3062" t="s">
        <v>540</v>
      </c>
      <c r="D3062" t="s">
        <v>227</v>
      </c>
      <c r="E3062" t="str">
        <f>INDEX('State Codes'!$E$7:$E$70,MATCH(INDEX('State Codes'!$C$7:$C$70,MATCH('County Climates'!B3062,'State Codes'!$D$7:$D$70,0),1),'State Codes'!$C$7:$C$70,0),1)</f>
        <v>Pacific Division</v>
      </c>
      <c r="F3062">
        <f>INDEX('CBECS_Table B5'!$C$6:$K$6,1,MATCH('County Climates'!E3062,'CBECS_Table B5'!$C$1:$K$1,0))</f>
        <v>13379</v>
      </c>
    </row>
    <row r="3063" spans="1:6" x14ac:dyDescent="0.25">
      <c r="A3063" t="s">
        <v>2199</v>
      </c>
      <c r="B3063" t="s">
        <v>308</v>
      </c>
      <c r="C3063" t="s">
        <v>324</v>
      </c>
      <c r="D3063" t="s">
        <v>228</v>
      </c>
      <c r="E3063" t="str">
        <f>INDEX('State Codes'!$E$7:$E$70,MATCH(INDEX('State Codes'!$C$7:$C$70,MATCH('County Climates'!B3063,'State Codes'!$D$7:$D$70,0),1),'State Codes'!$C$7:$C$70,0),1)</f>
        <v>Pacific Division</v>
      </c>
      <c r="F3063">
        <f>INDEX('CBECS_Table B5'!$C$6:$K$6,1,MATCH('County Climates'!E3063,'CBECS_Table B5'!$C$1:$K$1,0))</f>
        <v>13379</v>
      </c>
    </row>
    <row r="3064" spans="1:6" x14ac:dyDescent="0.25">
      <c r="A3064" t="s">
        <v>2199</v>
      </c>
      <c r="B3064" t="s">
        <v>308</v>
      </c>
      <c r="C3064" t="s">
        <v>545</v>
      </c>
      <c r="D3064" t="s">
        <v>227</v>
      </c>
      <c r="E3064" t="str">
        <f>INDEX('State Codes'!$E$7:$E$70,MATCH(INDEX('State Codes'!$C$7:$C$70,MATCH('County Climates'!B3064,'State Codes'!$D$7:$D$70,0),1),'State Codes'!$C$7:$C$70,0),1)</f>
        <v>Pacific Division</v>
      </c>
      <c r="F3064">
        <f>INDEX('CBECS_Table B5'!$C$6:$K$6,1,MATCH('County Climates'!E3064,'CBECS_Table B5'!$C$1:$K$1,0))</f>
        <v>13379</v>
      </c>
    </row>
    <row r="3065" spans="1:6" x14ac:dyDescent="0.25">
      <c r="A3065" t="s">
        <v>2199</v>
      </c>
      <c r="B3065" t="s">
        <v>308</v>
      </c>
      <c r="C3065" t="s">
        <v>2210</v>
      </c>
      <c r="D3065" t="s">
        <v>228</v>
      </c>
      <c r="E3065" t="str">
        <f>INDEX('State Codes'!$E$7:$E$70,MATCH(INDEX('State Codes'!$C$7:$C$70,MATCH('County Climates'!B3065,'State Codes'!$D$7:$D$70,0),1),'State Codes'!$C$7:$C$70,0),1)</f>
        <v>Pacific Division</v>
      </c>
      <c r="F3065">
        <f>INDEX('CBECS_Table B5'!$C$6:$K$6,1,MATCH('County Climates'!E3065,'CBECS_Table B5'!$C$1:$K$1,0))</f>
        <v>13379</v>
      </c>
    </row>
    <row r="3066" spans="1:6" x14ac:dyDescent="0.25">
      <c r="A3066" t="s">
        <v>2199</v>
      </c>
      <c r="B3066" t="s">
        <v>308</v>
      </c>
      <c r="C3066" t="s">
        <v>2211</v>
      </c>
      <c r="D3066" t="s">
        <v>227</v>
      </c>
      <c r="E3066" t="str">
        <f>INDEX('State Codes'!$E$7:$E$70,MATCH(INDEX('State Codes'!$C$7:$C$70,MATCH('County Climates'!B3066,'State Codes'!$D$7:$D$70,0),1),'State Codes'!$C$7:$C$70,0),1)</f>
        <v>Pacific Division</v>
      </c>
      <c r="F3066">
        <f>INDEX('CBECS_Table B5'!$C$6:$K$6,1,MATCH('County Climates'!E3066,'CBECS_Table B5'!$C$1:$K$1,0))</f>
        <v>13379</v>
      </c>
    </row>
    <row r="3067" spans="1:6" x14ac:dyDescent="0.25">
      <c r="A3067" t="s">
        <v>2199</v>
      </c>
      <c r="B3067" t="s">
        <v>308</v>
      </c>
      <c r="C3067" t="s">
        <v>2212</v>
      </c>
      <c r="D3067" t="s">
        <v>228</v>
      </c>
      <c r="E3067" t="str">
        <f>INDEX('State Codes'!$E$7:$E$70,MATCH(INDEX('State Codes'!$C$7:$C$70,MATCH('County Climates'!B3067,'State Codes'!$D$7:$D$70,0),1),'State Codes'!$C$7:$C$70,0),1)</f>
        <v>Pacific Division</v>
      </c>
      <c r="F3067">
        <f>INDEX('CBECS_Table B5'!$C$6:$K$6,1,MATCH('County Climates'!E3067,'CBECS_Table B5'!$C$1:$K$1,0))</f>
        <v>13379</v>
      </c>
    </row>
    <row r="3068" spans="1:6" x14ac:dyDescent="0.25">
      <c r="A3068" t="s">
        <v>2199</v>
      </c>
      <c r="B3068" t="s">
        <v>308</v>
      </c>
      <c r="C3068" t="s">
        <v>913</v>
      </c>
      <c r="D3068" t="s">
        <v>227</v>
      </c>
      <c r="E3068" t="str">
        <f>INDEX('State Codes'!$E$7:$E$70,MATCH(INDEX('State Codes'!$C$7:$C$70,MATCH('County Climates'!B3068,'State Codes'!$D$7:$D$70,0),1),'State Codes'!$C$7:$C$70,0),1)</f>
        <v>Pacific Division</v>
      </c>
      <c r="F3068">
        <f>INDEX('CBECS_Table B5'!$C$6:$K$6,1,MATCH('County Climates'!E3068,'CBECS_Table B5'!$C$1:$K$1,0))</f>
        <v>13379</v>
      </c>
    </row>
    <row r="3069" spans="1:6" x14ac:dyDescent="0.25">
      <c r="A3069" t="s">
        <v>2199</v>
      </c>
      <c r="B3069" t="s">
        <v>308</v>
      </c>
      <c r="C3069" t="s">
        <v>401</v>
      </c>
      <c r="D3069" t="s">
        <v>228</v>
      </c>
      <c r="E3069" t="str">
        <f>INDEX('State Codes'!$E$7:$E$70,MATCH(INDEX('State Codes'!$C$7:$C$70,MATCH('County Climates'!B3069,'State Codes'!$D$7:$D$70,0),1),'State Codes'!$C$7:$C$70,0),1)</f>
        <v>Pacific Division</v>
      </c>
      <c r="F3069">
        <f>INDEX('CBECS_Table B5'!$C$6:$K$6,1,MATCH('County Climates'!E3069,'CBECS_Table B5'!$C$1:$K$1,0))</f>
        <v>13379</v>
      </c>
    </row>
    <row r="3070" spans="1:6" x14ac:dyDescent="0.25">
      <c r="A3070" t="s">
        <v>2199</v>
      </c>
      <c r="B3070" t="s">
        <v>308</v>
      </c>
      <c r="C3070" t="s">
        <v>2213</v>
      </c>
      <c r="D3070" t="s">
        <v>227</v>
      </c>
      <c r="E3070" t="str">
        <f>INDEX('State Codes'!$E$7:$E$70,MATCH(INDEX('State Codes'!$C$7:$C$70,MATCH('County Climates'!B3070,'State Codes'!$D$7:$D$70,0),1),'State Codes'!$C$7:$C$70,0),1)</f>
        <v>Pacific Division</v>
      </c>
      <c r="F3070">
        <f>INDEX('CBECS_Table B5'!$C$6:$K$6,1,MATCH('County Climates'!E3070,'CBECS_Table B5'!$C$1:$K$1,0))</f>
        <v>13379</v>
      </c>
    </row>
    <row r="3071" spans="1:6" x14ac:dyDescent="0.25">
      <c r="A3071" t="s">
        <v>2199</v>
      </c>
      <c r="B3071" t="s">
        <v>308</v>
      </c>
      <c r="C3071" t="s">
        <v>2214</v>
      </c>
      <c r="D3071" t="s">
        <v>228</v>
      </c>
      <c r="E3071" t="str">
        <f>INDEX('State Codes'!$E$7:$E$70,MATCH(INDEX('State Codes'!$C$7:$C$70,MATCH('County Climates'!B3071,'State Codes'!$D$7:$D$70,0),1),'State Codes'!$C$7:$C$70,0),1)</f>
        <v>Pacific Division</v>
      </c>
      <c r="F3071">
        <f>INDEX('CBECS_Table B5'!$C$6:$K$6,1,MATCH('County Climates'!E3071,'CBECS_Table B5'!$C$1:$K$1,0))</f>
        <v>13379</v>
      </c>
    </row>
    <row r="3072" spans="1:6" x14ac:dyDescent="0.25">
      <c r="A3072" t="s">
        <v>2199</v>
      </c>
      <c r="B3072" t="s">
        <v>308</v>
      </c>
      <c r="C3072" t="s">
        <v>2215</v>
      </c>
      <c r="D3072" t="s">
        <v>227</v>
      </c>
      <c r="E3072" t="str">
        <f>INDEX('State Codes'!$E$7:$E$70,MATCH(INDEX('State Codes'!$C$7:$C$70,MATCH('County Climates'!B3072,'State Codes'!$D$7:$D$70,0),1),'State Codes'!$C$7:$C$70,0),1)</f>
        <v>Pacific Division</v>
      </c>
      <c r="F3072">
        <f>INDEX('CBECS_Table B5'!$C$6:$K$6,1,MATCH('County Climates'!E3072,'CBECS_Table B5'!$C$1:$K$1,0))</f>
        <v>13379</v>
      </c>
    </row>
    <row r="3073" spans="1:6" x14ac:dyDescent="0.25">
      <c r="A3073" t="s">
        <v>2199</v>
      </c>
      <c r="B3073" t="s">
        <v>308</v>
      </c>
      <c r="C3073" t="s">
        <v>2216</v>
      </c>
      <c r="D3073" t="s">
        <v>228</v>
      </c>
      <c r="E3073" t="str">
        <f>INDEX('State Codes'!$E$7:$E$70,MATCH(INDEX('State Codes'!$C$7:$C$70,MATCH('County Climates'!B3073,'State Codes'!$D$7:$D$70,0),1),'State Codes'!$C$7:$C$70,0),1)</f>
        <v>Pacific Division</v>
      </c>
      <c r="F3073">
        <f>INDEX('CBECS_Table B5'!$C$6:$K$6,1,MATCH('County Climates'!E3073,'CBECS_Table B5'!$C$1:$K$1,0))</f>
        <v>13379</v>
      </c>
    </row>
    <row r="3074" spans="1:6" x14ac:dyDescent="0.25">
      <c r="A3074" t="s">
        <v>2199</v>
      </c>
      <c r="B3074" t="s">
        <v>308</v>
      </c>
      <c r="C3074" t="s">
        <v>1627</v>
      </c>
      <c r="D3074" t="s">
        <v>228</v>
      </c>
      <c r="E3074" t="str">
        <f>INDEX('State Codes'!$E$7:$E$70,MATCH(INDEX('State Codes'!$C$7:$C$70,MATCH('County Climates'!B3074,'State Codes'!$D$7:$D$70,0),1),'State Codes'!$C$7:$C$70,0),1)</f>
        <v>Pacific Division</v>
      </c>
      <c r="F3074">
        <f>INDEX('CBECS_Table B5'!$C$6:$K$6,1,MATCH('County Climates'!E3074,'CBECS_Table B5'!$C$1:$K$1,0))</f>
        <v>13379</v>
      </c>
    </row>
    <row r="3075" spans="1:6" x14ac:dyDescent="0.25">
      <c r="A3075" t="s">
        <v>2199</v>
      </c>
      <c r="B3075" t="s">
        <v>308</v>
      </c>
      <c r="C3075" t="s">
        <v>926</v>
      </c>
      <c r="D3075" t="s">
        <v>227</v>
      </c>
      <c r="E3075" t="str">
        <f>INDEX('State Codes'!$E$7:$E$70,MATCH(INDEX('State Codes'!$C$7:$C$70,MATCH('County Climates'!B3075,'State Codes'!$D$7:$D$70,0),1),'State Codes'!$C$7:$C$70,0),1)</f>
        <v>Pacific Division</v>
      </c>
      <c r="F3075">
        <f>INDEX('CBECS_Table B5'!$C$6:$K$6,1,MATCH('County Climates'!E3075,'CBECS_Table B5'!$C$1:$K$1,0))</f>
        <v>13379</v>
      </c>
    </row>
    <row r="3076" spans="1:6" x14ac:dyDescent="0.25">
      <c r="A3076" t="s">
        <v>2199</v>
      </c>
      <c r="B3076" t="s">
        <v>308</v>
      </c>
      <c r="C3076" t="s">
        <v>2217</v>
      </c>
      <c r="D3076" t="s">
        <v>227</v>
      </c>
      <c r="E3076" t="str">
        <f>INDEX('State Codes'!$E$7:$E$70,MATCH(INDEX('State Codes'!$C$7:$C$70,MATCH('County Climates'!B3076,'State Codes'!$D$7:$D$70,0),1),'State Codes'!$C$7:$C$70,0),1)</f>
        <v>Pacific Division</v>
      </c>
      <c r="F3076">
        <f>INDEX('CBECS_Table B5'!$C$6:$K$6,1,MATCH('County Climates'!E3076,'CBECS_Table B5'!$C$1:$K$1,0))</f>
        <v>13379</v>
      </c>
    </row>
    <row r="3077" spans="1:6" x14ac:dyDescent="0.25">
      <c r="A3077" t="s">
        <v>2218</v>
      </c>
      <c r="B3077" t="s">
        <v>2219</v>
      </c>
      <c r="C3077" t="s">
        <v>2220</v>
      </c>
      <c r="D3077" t="s">
        <v>229</v>
      </c>
      <c r="E3077" t="str">
        <f>INDEX('State Codes'!$E$7:$E$70,MATCH(INDEX('State Codes'!$C$7:$C$70,MATCH('County Climates'!B3077,'State Codes'!$D$7:$D$70,0),1),'State Codes'!$C$7:$C$70,0),1)</f>
        <v>East North Central Division</v>
      </c>
      <c r="F3077">
        <f>INDEX('CBECS_Table B5'!$C$6:$K$6,1,MATCH('County Climates'!E3077,'CBECS_Table B5'!$C$1:$K$1,0))</f>
        <v>12742</v>
      </c>
    </row>
    <row r="3078" spans="1:6" x14ac:dyDescent="0.25">
      <c r="A3078" t="s">
        <v>2218</v>
      </c>
      <c r="B3078" t="s">
        <v>2219</v>
      </c>
      <c r="C3078" t="s">
        <v>2221</v>
      </c>
      <c r="D3078" t="s">
        <v>228</v>
      </c>
      <c r="E3078" t="str">
        <f>INDEX('State Codes'!$E$7:$E$70,MATCH(INDEX('State Codes'!$C$7:$C$70,MATCH('County Climates'!B3078,'State Codes'!$D$7:$D$70,0),1),'State Codes'!$C$7:$C$70,0),1)</f>
        <v>East North Central Division</v>
      </c>
      <c r="F3078">
        <f>INDEX('CBECS_Table B5'!$C$6:$K$6,1,MATCH('County Climates'!E3078,'CBECS_Table B5'!$C$1:$K$1,0))</f>
        <v>12742</v>
      </c>
    </row>
    <row r="3079" spans="1:6" x14ac:dyDescent="0.25">
      <c r="A3079" t="s">
        <v>2218</v>
      </c>
      <c r="B3079" t="s">
        <v>2219</v>
      </c>
      <c r="C3079" t="s">
        <v>788</v>
      </c>
      <c r="D3079" t="s">
        <v>228</v>
      </c>
      <c r="E3079" t="str">
        <f>INDEX('State Codes'!$E$7:$E$70,MATCH(INDEX('State Codes'!$C$7:$C$70,MATCH('County Climates'!B3079,'State Codes'!$D$7:$D$70,0),1),'State Codes'!$C$7:$C$70,0),1)</f>
        <v>East North Central Division</v>
      </c>
      <c r="F3079">
        <f>INDEX('CBECS_Table B5'!$C$6:$K$6,1,MATCH('County Climates'!E3079,'CBECS_Table B5'!$C$1:$K$1,0))</f>
        <v>12742</v>
      </c>
    </row>
    <row r="3080" spans="1:6" x14ac:dyDescent="0.25">
      <c r="A3080" t="s">
        <v>2218</v>
      </c>
      <c r="B3080" t="s">
        <v>2219</v>
      </c>
      <c r="C3080" t="s">
        <v>530</v>
      </c>
      <c r="D3080" t="s">
        <v>228</v>
      </c>
      <c r="E3080" t="str">
        <f>INDEX('State Codes'!$E$7:$E$70,MATCH(INDEX('State Codes'!$C$7:$C$70,MATCH('County Climates'!B3080,'State Codes'!$D$7:$D$70,0),1),'State Codes'!$C$7:$C$70,0),1)</f>
        <v>East North Central Division</v>
      </c>
      <c r="F3080">
        <f>INDEX('CBECS_Table B5'!$C$6:$K$6,1,MATCH('County Climates'!E3080,'CBECS_Table B5'!$C$1:$K$1,0))</f>
        <v>12742</v>
      </c>
    </row>
    <row r="3081" spans="1:6" x14ac:dyDescent="0.25">
      <c r="A3081" t="s">
        <v>2218</v>
      </c>
      <c r="B3081" t="s">
        <v>2219</v>
      </c>
      <c r="C3081" t="s">
        <v>457</v>
      </c>
      <c r="D3081" t="s">
        <v>228</v>
      </c>
      <c r="E3081" t="str">
        <f>INDEX('State Codes'!$E$7:$E$70,MATCH(INDEX('State Codes'!$C$7:$C$70,MATCH('County Climates'!B3081,'State Codes'!$D$7:$D$70,0),1),'State Codes'!$C$7:$C$70,0),1)</f>
        <v>East North Central Division</v>
      </c>
      <c r="F3081">
        <f>INDEX('CBECS_Table B5'!$C$6:$K$6,1,MATCH('County Climates'!E3081,'CBECS_Table B5'!$C$1:$K$1,0))</f>
        <v>12742</v>
      </c>
    </row>
    <row r="3082" spans="1:6" x14ac:dyDescent="0.25">
      <c r="A3082" t="s">
        <v>2218</v>
      </c>
      <c r="B3082" t="s">
        <v>2219</v>
      </c>
      <c r="C3082" t="s">
        <v>460</v>
      </c>
      <c r="D3082" t="s">
        <v>228</v>
      </c>
      <c r="E3082" t="str">
        <f>INDEX('State Codes'!$E$7:$E$70,MATCH(INDEX('State Codes'!$C$7:$C$70,MATCH('County Climates'!B3082,'State Codes'!$D$7:$D$70,0),1),'State Codes'!$C$7:$C$70,0),1)</f>
        <v>East North Central Division</v>
      </c>
      <c r="F3082">
        <f>INDEX('CBECS_Table B5'!$C$6:$K$6,1,MATCH('County Climates'!E3082,'CBECS_Table B5'!$C$1:$K$1,0))</f>
        <v>12742</v>
      </c>
    </row>
    <row r="3083" spans="1:6" x14ac:dyDescent="0.25">
      <c r="A3083" t="s">
        <v>2218</v>
      </c>
      <c r="B3083" t="s">
        <v>2219</v>
      </c>
      <c r="C3083" t="s">
        <v>2222</v>
      </c>
      <c r="D3083" t="s">
        <v>228</v>
      </c>
      <c r="E3083" t="str">
        <f>INDEX('State Codes'!$E$7:$E$70,MATCH(INDEX('State Codes'!$C$7:$C$70,MATCH('County Climates'!B3083,'State Codes'!$D$7:$D$70,0),1),'State Codes'!$C$7:$C$70,0),1)</f>
        <v>East North Central Division</v>
      </c>
      <c r="F3083">
        <f>INDEX('CBECS_Table B5'!$C$6:$K$6,1,MATCH('County Climates'!E3083,'CBECS_Table B5'!$C$1:$K$1,0))</f>
        <v>12742</v>
      </c>
    </row>
    <row r="3084" spans="1:6" x14ac:dyDescent="0.25">
      <c r="A3084" t="s">
        <v>2218</v>
      </c>
      <c r="B3084" t="s">
        <v>2219</v>
      </c>
      <c r="C3084" t="s">
        <v>465</v>
      </c>
      <c r="D3084" t="s">
        <v>228</v>
      </c>
      <c r="E3084" t="str">
        <f>INDEX('State Codes'!$E$7:$E$70,MATCH(INDEX('State Codes'!$C$7:$C$70,MATCH('County Climates'!B3084,'State Codes'!$D$7:$D$70,0),1),'State Codes'!$C$7:$C$70,0),1)</f>
        <v>East North Central Division</v>
      </c>
      <c r="F3084">
        <f>INDEX('CBECS_Table B5'!$C$6:$K$6,1,MATCH('County Climates'!E3084,'CBECS_Table B5'!$C$1:$K$1,0))</f>
        <v>12742</v>
      </c>
    </row>
    <row r="3085" spans="1:6" x14ac:dyDescent="0.25">
      <c r="A3085" t="s">
        <v>2218</v>
      </c>
      <c r="B3085" t="s">
        <v>2219</v>
      </c>
      <c r="C3085" t="s">
        <v>2223</v>
      </c>
      <c r="D3085" t="s">
        <v>228</v>
      </c>
      <c r="E3085" t="str">
        <f>INDEX('State Codes'!$E$7:$E$70,MATCH(INDEX('State Codes'!$C$7:$C$70,MATCH('County Climates'!B3085,'State Codes'!$D$7:$D$70,0),1),'State Codes'!$C$7:$C$70,0),1)</f>
        <v>East North Central Division</v>
      </c>
      <c r="F3085">
        <f>INDEX('CBECS_Table B5'!$C$6:$K$6,1,MATCH('County Climates'!E3085,'CBECS_Table B5'!$C$1:$K$1,0))</f>
        <v>12742</v>
      </c>
    </row>
    <row r="3086" spans="1:6" x14ac:dyDescent="0.25">
      <c r="A3086" t="s">
        <v>2218</v>
      </c>
      <c r="B3086" t="s">
        <v>2219</v>
      </c>
      <c r="C3086" t="s">
        <v>369</v>
      </c>
      <c r="D3086" t="s">
        <v>229</v>
      </c>
      <c r="E3086" t="str">
        <f>INDEX('State Codes'!$E$7:$E$70,MATCH(INDEX('State Codes'!$C$7:$C$70,MATCH('County Climates'!B3086,'State Codes'!$D$7:$D$70,0),1),'State Codes'!$C$7:$C$70,0),1)</f>
        <v>East North Central Division</v>
      </c>
      <c r="F3086">
        <f>INDEX('CBECS_Table B5'!$C$6:$K$6,1,MATCH('County Climates'!E3086,'CBECS_Table B5'!$C$1:$K$1,0))</f>
        <v>12742</v>
      </c>
    </row>
    <row r="3087" spans="1:6" x14ac:dyDescent="0.25">
      <c r="A3087" t="s">
        <v>2218</v>
      </c>
      <c r="B3087" t="s">
        <v>2219</v>
      </c>
      <c r="C3087" t="s">
        <v>1023</v>
      </c>
      <c r="D3087" t="s">
        <v>228</v>
      </c>
      <c r="E3087" t="str">
        <f>INDEX('State Codes'!$E$7:$E$70,MATCH(INDEX('State Codes'!$C$7:$C$70,MATCH('County Climates'!B3087,'State Codes'!$D$7:$D$70,0),1),'State Codes'!$C$7:$C$70,0),1)</f>
        <v>East North Central Division</v>
      </c>
      <c r="F3087">
        <f>INDEX('CBECS_Table B5'!$C$6:$K$6,1,MATCH('County Climates'!E3087,'CBECS_Table B5'!$C$1:$K$1,0))</f>
        <v>12742</v>
      </c>
    </row>
    <row r="3088" spans="1:6" x14ac:dyDescent="0.25">
      <c r="A3088" t="s">
        <v>2218</v>
      </c>
      <c r="B3088" t="s">
        <v>2219</v>
      </c>
      <c r="C3088" t="s">
        <v>2224</v>
      </c>
      <c r="D3088" t="s">
        <v>228</v>
      </c>
      <c r="E3088" t="str">
        <f>INDEX('State Codes'!$E$7:$E$70,MATCH(INDEX('State Codes'!$C$7:$C$70,MATCH('County Climates'!B3088,'State Codes'!$D$7:$D$70,0),1),'State Codes'!$C$7:$C$70,0),1)</f>
        <v>East North Central Division</v>
      </c>
      <c r="F3088">
        <f>INDEX('CBECS_Table B5'!$C$6:$K$6,1,MATCH('County Climates'!E3088,'CBECS_Table B5'!$C$1:$K$1,0))</f>
        <v>12742</v>
      </c>
    </row>
    <row r="3089" spans="1:6" x14ac:dyDescent="0.25">
      <c r="A3089" t="s">
        <v>2218</v>
      </c>
      <c r="B3089" t="s">
        <v>2219</v>
      </c>
      <c r="C3089" t="s">
        <v>2023</v>
      </c>
      <c r="D3089" t="s">
        <v>229</v>
      </c>
      <c r="E3089" t="str">
        <f>INDEX('State Codes'!$E$7:$E$70,MATCH(INDEX('State Codes'!$C$7:$C$70,MATCH('County Climates'!B3089,'State Codes'!$D$7:$D$70,0),1),'State Codes'!$C$7:$C$70,0),1)</f>
        <v>East North Central Division</v>
      </c>
      <c r="F3089">
        <f>INDEX('CBECS_Table B5'!$C$6:$K$6,1,MATCH('County Climates'!E3089,'CBECS_Table B5'!$C$1:$K$1,0))</f>
        <v>12742</v>
      </c>
    </row>
    <row r="3090" spans="1:6" x14ac:dyDescent="0.25">
      <c r="A3090" t="s">
        <v>2218</v>
      </c>
      <c r="B3090" t="s">
        <v>2219</v>
      </c>
      <c r="C3090" t="s">
        <v>2225</v>
      </c>
      <c r="D3090" t="s">
        <v>228</v>
      </c>
      <c r="E3090" t="str">
        <f>INDEX('State Codes'!$E$7:$E$70,MATCH(INDEX('State Codes'!$C$7:$C$70,MATCH('County Climates'!B3090,'State Codes'!$D$7:$D$70,0),1),'State Codes'!$C$7:$C$70,0),1)</f>
        <v>East North Central Division</v>
      </c>
      <c r="F3090">
        <f>INDEX('CBECS_Table B5'!$C$6:$K$6,1,MATCH('County Climates'!E3090,'CBECS_Table B5'!$C$1:$K$1,0))</f>
        <v>12742</v>
      </c>
    </row>
    <row r="3091" spans="1:6" x14ac:dyDescent="0.25">
      <c r="A3091" t="s">
        <v>2218</v>
      </c>
      <c r="B3091" t="s">
        <v>2219</v>
      </c>
      <c r="C3091" t="s">
        <v>1104</v>
      </c>
      <c r="D3091" t="s">
        <v>229</v>
      </c>
      <c r="E3091" t="str">
        <f>INDEX('State Codes'!$E$7:$E$70,MATCH(INDEX('State Codes'!$C$7:$C$70,MATCH('County Climates'!B3091,'State Codes'!$D$7:$D$70,0),1),'State Codes'!$C$7:$C$70,0),1)</f>
        <v>East North Central Division</v>
      </c>
      <c r="F3091">
        <f>INDEX('CBECS_Table B5'!$C$6:$K$6,1,MATCH('County Climates'!E3091,'CBECS_Table B5'!$C$1:$K$1,0))</f>
        <v>12742</v>
      </c>
    </row>
    <row r="3092" spans="1:6" x14ac:dyDescent="0.25">
      <c r="A3092" t="s">
        <v>2218</v>
      </c>
      <c r="B3092" t="s">
        <v>2219</v>
      </c>
      <c r="C3092" t="s">
        <v>316</v>
      </c>
      <c r="D3092" t="s">
        <v>228</v>
      </c>
      <c r="E3092" t="str">
        <f>INDEX('State Codes'!$E$7:$E$70,MATCH(INDEX('State Codes'!$C$7:$C$70,MATCH('County Climates'!B3092,'State Codes'!$D$7:$D$70,0),1),'State Codes'!$C$7:$C$70,0),1)</f>
        <v>East North Central Division</v>
      </c>
      <c r="F3092">
        <f>INDEX('CBECS_Table B5'!$C$6:$K$6,1,MATCH('County Climates'!E3092,'CBECS_Table B5'!$C$1:$K$1,0))</f>
        <v>12742</v>
      </c>
    </row>
    <row r="3093" spans="1:6" x14ac:dyDescent="0.25">
      <c r="A3093" t="s">
        <v>2218</v>
      </c>
      <c r="B3093" t="s">
        <v>2219</v>
      </c>
      <c r="C3093" t="s">
        <v>1655</v>
      </c>
      <c r="D3093" t="s">
        <v>228</v>
      </c>
      <c r="E3093" t="str">
        <f>INDEX('State Codes'!$E$7:$E$70,MATCH(INDEX('State Codes'!$C$7:$C$70,MATCH('County Climates'!B3093,'State Codes'!$D$7:$D$70,0),1),'State Codes'!$C$7:$C$70,0),1)</f>
        <v>East North Central Division</v>
      </c>
      <c r="F3093">
        <f>INDEX('CBECS_Table B5'!$C$6:$K$6,1,MATCH('County Climates'!E3093,'CBECS_Table B5'!$C$1:$K$1,0))</f>
        <v>12742</v>
      </c>
    </row>
    <row r="3094" spans="1:6" x14ac:dyDescent="0.25">
      <c r="A3094" t="s">
        <v>2218</v>
      </c>
      <c r="B3094" t="s">
        <v>2219</v>
      </c>
      <c r="C3094" t="s">
        <v>2226</v>
      </c>
      <c r="D3094" t="s">
        <v>228</v>
      </c>
      <c r="E3094" t="str">
        <f>INDEX('State Codes'!$E$7:$E$70,MATCH(INDEX('State Codes'!$C$7:$C$70,MATCH('County Climates'!B3094,'State Codes'!$D$7:$D$70,0),1),'State Codes'!$C$7:$C$70,0),1)</f>
        <v>East North Central Division</v>
      </c>
      <c r="F3094">
        <f>INDEX('CBECS_Table B5'!$C$6:$K$6,1,MATCH('County Climates'!E3094,'CBECS_Table B5'!$C$1:$K$1,0))</f>
        <v>12742</v>
      </c>
    </row>
    <row r="3095" spans="1:6" x14ac:dyDescent="0.25">
      <c r="A3095" t="s">
        <v>2218</v>
      </c>
      <c r="B3095" t="s">
        <v>2219</v>
      </c>
      <c r="C3095" t="s">
        <v>615</v>
      </c>
      <c r="D3095" t="s">
        <v>228</v>
      </c>
      <c r="E3095" t="str">
        <f>INDEX('State Codes'!$E$7:$E$70,MATCH(INDEX('State Codes'!$C$7:$C$70,MATCH('County Climates'!B3095,'State Codes'!$D$7:$D$70,0),1),'State Codes'!$C$7:$C$70,0),1)</f>
        <v>East North Central Division</v>
      </c>
      <c r="F3095">
        <f>INDEX('CBECS_Table B5'!$C$6:$K$6,1,MATCH('County Climates'!E3095,'CBECS_Table B5'!$C$1:$K$1,0))</f>
        <v>12742</v>
      </c>
    </row>
    <row r="3096" spans="1:6" x14ac:dyDescent="0.25">
      <c r="A3096" t="s">
        <v>2218</v>
      </c>
      <c r="B3096" t="s">
        <v>2219</v>
      </c>
      <c r="C3096" t="s">
        <v>1271</v>
      </c>
      <c r="D3096" t="s">
        <v>229</v>
      </c>
      <c r="E3096" t="str">
        <f>INDEX('State Codes'!$E$7:$E$70,MATCH(INDEX('State Codes'!$C$7:$C$70,MATCH('County Climates'!B3096,'State Codes'!$D$7:$D$70,0),1),'State Codes'!$C$7:$C$70,0),1)</f>
        <v>East North Central Division</v>
      </c>
      <c r="F3096">
        <f>INDEX('CBECS_Table B5'!$C$6:$K$6,1,MATCH('County Climates'!E3096,'CBECS_Table B5'!$C$1:$K$1,0))</f>
        <v>12742</v>
      </c>
    </row>
    <row r="3097" spans="1:6" x14ac:dyDescent="0.25">
      <c r="A3097" t="s">
        <v>2218</v>
      </c>
      <c r="B3097" t="s">
        <v>2219</v>
      </c>
      <c r="C3097" t="s">
        <v>279</v>
      </c>
      <c r="D3097" t="s">
        <v>228</v>
      </c>
      <c r="E3097" t="str">
        <f>INDEX('State Codes'!$E$7:$E$70,MATCH(INDEX('State Codes'!$C$7:$C$70,MATCH('County Climates'!B3097,'State Codes'!$D$7:$D$70,0),1),'State Codes'!$C$7:$C$70,0),1)</f>
        <v>East North Central Division</v>
      </c>
      <c r="F3097">
        <f>INDEX('CBECS_Table B5'!$C$6:$K$6,1,MATCH('County Climates'!E3097,'CBECS_Table B5'!$C$1:$K$1,0))</f>
        <v>12742</v>
      </c>
    </row>
    <row r="3098" spans="1:6" x14ac:dyDescent="0.25">
      <c r="A3098" t="s">
        <v>2218</v>
      </c>
      <c r="B3098" t="s">
        <v>2219</v>
      </c>
      <c r="C3098" t="s">
        <v>280</v>
      </c>
      <c r="D3098" t="s">
        <v>228</v>
      </c>
      <c r="E3098" t="str">
        <f>INDEX('State Codes'!$E$7:$E$70,MATCH(INDEX('State Codes'!$C$7:$C$70,MATCH('County Climates'!B3098,'State Codes'!$D$7:$D$70,0),1),'State Codes'!$C$7:$C$70,0),1)</f>
        <v>East North Central Division</v>
      </c>
      <c r="F3098">
        <f>INDEX('CBECS_Table B5'!$C$6:$K$6,1,MATCH('County Climates'!E3098,'CBECS_Table B5'!$C$1:$K$1,0))</f>
        <v>12742</v>
      </c>
    </row>
    <row r="3099" spans="1:6" x14ac:dyDescent="0.25">
      <c r="A3099" t="s">
        <v>2218</v>
      </c>
      <c r="B3099" t="s">
        <v>2219</v>
      </c>
      <c r="C3099" t="s">
        <v>1392</v>
      </c>
      <c r="D3099" t="s">
        <v>228</v>
      </c>
      <c r="E3099" t="str">
        <f>INDEX('State Codes'!$E$7:$E$70,MATCH(INDEX('State Codes'!$C$7:$C$70,MATCH('County Climates'!B3099,'State Codes'!$D$7:$D$70,0),1),'State Codes'!$C$7:$C$70,0),1)</f>
        <v>East North Central Division</v>
      </c>
      <c r="F3099">
        <f>INDEX('CBECS_Table B5'!$C$6:$K$6,1,MATCH('County Climates'!E3099,'CBECS_Table B5'!$C$1:$K$1,0))</f>
        <v>12742</v>
      </c>
    </row>
    <row r="3100" spans="1:6" x14ac:dyDescent="0.25">
      <c r="A3100" t="s">
        <v>2218</v>
      </c>
      <c r="B3100" t="s">
        <v>2219</v>
      </c>
      <c r="C3100" t="s">
        <v>2227</v>
      </c>
      <c r="D3100" t="s">
        <v>228</v>
      </c>
      <c r="E3100" t="str">
        <f>INDEX('State Codes'!$E$7:$E$70,MATCH(INDEX('State Codes'!$C$7:$C$70,MATCH('County Climates'!B3100,'State Codes'!$D$7:$D$70,0),1),'State Codes'!$C$7:$C$70,0),1)</f>
        <v>East North Central Division</v>
      </c>
      <c r="F3100">
        <f>INDEX('CBECS_Table B5'!$C$6:$K$6,1,MATCH('County Climates'!E3100,'CBECS_Table B5'!$C$1:$K$1,0))</f>
        <v>12742</v>
      </c>
    </row>
    <row r="3101" spans="1:6" x14ac:dyDescent="0.25">
      <c r="A3101" t="s">
        <v>2218</v>
      </c>
      <c r="B3101" t="s">
        <v>2219</v>
      </c>
      <c r="C3101" t="s">
        <v>2228</v>
      </c>
      <c r="D3101" t="s">
        <v>228</v>
      </c>
      <c r="E3101" t="str">
        <f>INDEX('State Codes'!$E$7:$E$70,MATCH(INDEX('State Codes'!$C$7:$C$70,MATCH('County Climates'!B3101,'State Codes'!$D$7:$D$70,0),1),'State Codes'!$C$7:$C$70,0),1)</f>
        <v>East North Central Division</v>
      </c>
      <c r="F3101">
        <f>INDEX('CBECS_Table B5'!$C$6:$K$6,1,MATCH('County Climates'!E3101,'CBECS_Table B5'!$C$1:$K$1,0))</f>
        <v>12742</v>
      </c>
    </row>
    <row r="3102" spans="1:6" x14ac:dyDescent="0.25">
      <c r="A3102" t="s">
        <v>2218</v>
      </c>
      <c r="B3102" t="s">
        <v>2219</v>
      </c>
      <c r="C3102" t="s">
        <v>2229</v>
      </c>
      <c r="D3102" t="s">
        <v>228</v>
      </c>
      <c r="E3102" t="str">
        <f>INDEX('State Codes'!$E$7:$E$70,MATCH(INDEX('State Codes'!$C$7:$C$70,MATCH('County Climates'!B3102,'State Codes'!$D$7:$D$70,0),1),'State Codes'!$C$7:$C$70,0),1)</f>
        <v>East North Central Division</v>
      </c>
      <c r="F3102">
        <f>INDEX('CBECS_Table B5'!$C$6:$K$6,1,MATCH('County Climates'!E3102,'CBECS_Table B5'!$C$1:$K$1,0))</f>
        <v>12742</v>
      </c>
    </row>
    <row r="3103" spans="1:6" x14ac:dyDescent="0.25">
      <c r="A3103" t="s">
        <v>2218</v>
      </c>
      <c r="B3103" t="s">
        <v>2219</v>
      </c>
      <c r="C3103" t="s">
        <v>323</v>
      </c>
      <c r="D3103" t="s">
        <v>228</v>
      </c>
      <c r="E3103" t="str">
        <f>INDEX('State Codes'!$E$7:$E$70,MATCH(INDEX('State Codes'!$C$7:$C$70,MATCH('County Climates'!B3103,'State Codes'!$D$7:$D$70,0),1),'State Codes'!$C$7:$C$70,0),1)</f>
        <v>East North Central Division</v>
      </c>
      <c r="F3103">
        <f>INDEX('CBECS_Table B5'!$C$6:$K$6,1,MATCH('County Climates'!E3103,'CBECS_Table B5'!$C$1:$K$1,0))</f>
        <v>12742</v>
      </c>
    </row>
    <row r="3104" spans="1:6" x14ac:dyDescent="0.25">
      <c r="A3104" t="s">
        <v>2218</v>
      </c>
      <c r="B3104" t="s">
        <v>2219</v>
      </c>
      <c r="C3104" t="s">
        <v>2230</v>
      </c>
      <c r="D3104" t="s">
        <v>229</v>
      </c>
      <c r="E3104" t="str">
        <f>INDEX('State Codes'!$E$7:$E$70,MATCH(INDEX('State Codes'!$C$7:$C$70,MATCH('County Climates'!B3104,'State Codes'!$D$7:$D$70,0),1),'State Codes'!$C$7:$C$70,0),1)</f>
        <v>East North Central Division</v>
      </c>
      <c r="F3104">
        <f>INDEX('CBECS_Table B5'!$C$6:$K$6,1,MATCH('County Climates'!E3104,'CBECS_Table B5'!$C$1:$K$1,0))</f>
        <v>12742</v>
      </c>
    </row>
    <row r="3105" spans="1:6" x14ac:dyDescent="0.25">
      <c r="A3105" t="s">
        <v>2218</v>
      </c>
      <c r="B3105" t="s">
        <v>2219</v>
      </c>
      <c r="C3105" t="s">
        <v>324</v>
      </c>
      <c r="D3105" t="s">
        <v>229</v>
      </c>
      <c r="E3105" t="str">
        <f>INDEX('State Codes'!$E$7:$E$70,MATCH(INDEX('State Codes'!$C$7:$C$70,MATCH('County Climates'!B3105,'State Codes'!$D$7:$D$70,0),1),'State Codes'!$C$7:$C$70,0),1)</f>
        <v>East North Central Division</v>
      </c>
      <c r="F3105">
        <f>INDEX('CBECS_Table B5'!$C$6:$K$6,1,MATCH('County Climates'!E3105,'CBECS_Table B5'!$C$1:$K$1,0))</f>
        <v>12742</v>
      </c>
    </row>
    <row r="3106" spans="1:6" x14ac:dyDescent="0.25">
      <c r="A3106" t="s">
        <v>2218</v>
      </c>
      <c r="B3106" t="s">
        <v>2219</v>
      </c>
      <c r="C3106" t="s">
        <v>2231</v>
      </c>
      <c r="D3106" t="s">
        <v>228</v>
      </c>
      <c r="E3106" t="str">
        <f>INDEX('State Codes'!$E$7:$E$70,MATCH(INDEX('State Codes'!$C$7:$C$70,MATCH('County Climates'!B3106,'State Codes'!$D$7:$D$70,0),1),'State Codes'!$C$7:$C$70,0),1)</f>
        <v>East North Central Division</v>
      </c>
      <c r="F3106">
        <f>INDEX('CBECS_Table B5'!$C$6:$K$6,1,MATCH('County Climates'!E3106,'CBECS_Table B5'!$C$1:$K$1,0))</f>
        <v>12742</v>
      </c>
    </row>
    <row r="3107" spans="1:6" x14ac:dyDescent="0.25">
      <c r="A3107" t="s">
        <v>2218</v>
      </c>
      <c r="B3107" t="s">
        <v>2219</v>
      </c>
      <c r="C3107" t="s">
        <v>2232</v>
      </c>
      <c r="D3107" t="s">
        <v>228</v>
      </c>
      <c r="E3107" t="str">
        <f>INDEX('State Codes'!$E$7:$E$70,MATCH(INDEX('State Codes'!$C$7:$C$70,MATCH('County Climates'!B3107,'State Codes'!$D$7:$D$70,0),1),'State Codes'!$C$7:$C$70,0),1)</f>
        <v>East North Central Division</v>
      </c>
      <c r="F3107">
        <f>INDEX('CBECS_Table B5'!$C$6:$K$6,1,MATCH('County Climates'!E3107,'CBECS_Table B5'!$C$1:$K$1,0))</f>
        <v>12742</v>
      </c>
    </row>
    <row r="3108" spans="1:6" x14ac:dyDescent="0.25">
      <c r="A3108" t="s">
        <v>2218</v>
      </c>
      <c r="B3108" t="s">
        <v>2219</v>
      </c>
      <c r="C3108" t="s">
        <v>2233</v>
      </c>
      <c r="D3108" t="s">
        <v>228</v>
      </c>
      <c r="E3108" t="str">
        <f>INDEX('State Codes'!$E$7:$E$70,MATCH(INDEX('State Codes'!$C$7:$C$70,MATCH('County Climates'!B3108,'State Codes'!$D$7:$D$70,0),1),'State Codes'!$C$7:$C$70,0),1)</f>
        <v>East North Central Division</v>
      </c>
      <c r="F3108">
        <f>INDEX('CBECS_Table B5'!$C$6:$K$6,1,MATCH('County Climates'!E3108,'CBECS_Table B5'!$C$1:$K$1,0))</f>
        <v>12742</v>
      </c>
    </row>
    <row r="3109" spans="1:6" x14ac:dyDescent="0.25">
      <c r="A3109" t="s">
        <v>2218</v>
      </c>
      <c r="B3109" t="s">
        <v>2219</v>
      </c>
      <c r="C3109" t="s">
        <v>1728</v>
      </c>
      <c r="D3109" t="s">
        <v>228</v>
      </c>
      <c r="E3109" t="str">
        <f>INDEX('State Codes'!$E$7:$E$70,MATCH(INDEX('State Codes'!$C$7:$C$70,MATCH('County Climates'!B3109,'State Codes'!$D$7:$D$70,0),1),'State Codes'!$C$7:$C$70,0),1)</f>
        <v>East North Central Division</v>
      </c>
      <c r="F3109">
        <f>INDEX('CBECS_Table B5'!$C$6:$K$6,1,MATCH('County Climates'!E3109,'CBECS_Table B5'!$C$1:$K$1,0))</f>
        <v>12742</v>
      </c>
    </row>
    <row r="3110" spans="1:6" x14ac:dyDescent="0.25">
      <c r="A3110" t="s">
        <v>2218</v>
      </c>
      <c r="B3110" t="s">
        <v>2219</v>
      </c>
      <c r="C3110" t="s">
        <v>1730</v>
      </c>
      <c r="D3110" t="s">
        <v>228</v>
      </c>
      <c r="E3110" t="str">
        <f>INDEX('State Codes'!$E$7:$E$70,MATCH(INDEX('State Codes'!$C$7:$C$70,MATCH('County Climates'!B3110,'State Codes'!$D$7:$D$70,0),1),'State Codes'!$C$7:$C$70,0),1)</f>
        <v>East North Central Division</v>
      </c>
      <c r="F3110">
        <f>INDEX('CBECS_Table B5'!$C$6:$K$6,1,MATCH('County Climates'!E3110,'CBECS_Table B5'!$C$1:$K$1,0))</f>
        <v>12742</v>
      </c>
    </row>
    <row r="3111" spans="1:6" x14ac:dyDescent="0.25">
      <c r="A3111" t="s">
        <v>2218</v>
      </c>
      <c r="B3111" t="s">
        <v>2219</v>
      </c>
      <c r="C3111" t="s">
        <v>2234</v>
      </c>
      <c r="D3111" t="s">
        <v>228</v>
      </c>
      <c r="E3111" t="str">
        <f>INDEX('State Codes'!$E$7:$E$70,MATCH(INDEX('State Codes'!$C$7:$C$70,MATCH('County Climates'!B3111,'State Codes'!$D$7:$D$70,0),1),'State Codes'!$C$7:$C$70,0),1)</f>
        <v>East North Central Division</v>
      </c>
      <c r="F3111">
        <f>INDEX('CBECS_Table B5'!$C$6:$K$6,1,MATCH('County Climates'!E3111,'CBECS_Table B5'!$C$1:$K$1,0))</f>
        <v>12742</v>
      </c>
    </row>
    <row r="3112" spans="1:6" x14ac:dyDescent="0.25">
      <c r="A3112" t="s">
        <v>2218</v>
      </c>
      <c r="B3112" t="s">
        <v>2219</v>
      </c>
      <c r="C3112" t="s">
        <v>293</v>
      </c>
      <c r="D3112" t="s">
        <v>228</v>
      </c>
      <c r="E3112" t="str">
        <f>INDEX('State Codes'!$E$7:$E$70,MATCH(INDEX('State Codes'!$C$7:$C$70,MATCH('County Climates'!B3112,'State Codes'!$D$7:$D$70,0),1),'State Codes'!$C$7:$C$70,0),1)</f>
        <v>East North Central Division</v>
      </c>
      <c r="F3112">
        <f>INDEX('CBECS_Table B5'!$C$6:$K$6,1,MATCH('County Climates'!E3112,'CBECS_Table B5'!$C$1:$K$1,0))</f>
        <v>12742</v>
      </c>
    </row>
    <row r="3113" spans="1:6" x14ac:dyDescent="0.25">
      <c r="A3113" t="s">
        <v>2218</v>
      </c>
      <c r="B3113" t="s">
        <v>2219</v>
      </c>
      <c r="C3113" t="s">
        <v>2235</v>
      </c>
      <c r="D3113" t="s">
        <v>228</v>
      </c>
      <c r="E3113" t="str">
        <f>INDEX('State Codes'!$E$7:$E$70,MATCH(INDEX('State Codes'!$C$7:$C$70,MATCH('County Climates'!B3113,'State Codes'!$D$7:$D$70,0),1),'State Codes'!$C$7:$C$70,0),1)</f>
        <v>East North Central Division</v>
      </c>
      <c r="F3113">
        <f>INDEX('CBECS_Table B5'!$C$6:$K$6,1,MATCH('County Climates'!E3113,'CBECS_Table B5'!$C$1:$K$1,0))</f>
        <v>12742</v>
      </c>
    </row>
    <row r="3114" spans="1:6" x14ac:dyDescent="0.25">
      <c r="A3114" t="s">
        <v>2218</v>
      </c>
      <c r="B3114" t="s">
        <v>2219</v>
      </c>
      <c r="C3114" t="s">
        <v>963</v>
      </c>
      <c r="D3114" t="s">
        <v>229</v>
      </c>
      <c r="E3114" t="str">
        <f>INDEX('State Codes'!$E$7:$E$70,MATCH(INDEX('State Codes'!$C$7:$C$70,MATCH('County Climates'!B3114,'State Codes'!$D$7:$D$70,0),1),'State Codes'!$C$7:$C$70,0),1)</f>
        <v>East North Central Division</v>
      </c>
      <c r="F3114">
        <f>INDEX('CBECS_Table B5'!$C$6:$K$6,1,MATCH('County Climates'!E3114,'CBECS_Table B5'!$C$1:$K$1,0))</f>
        <v>12742</v>
      </c>
    </row>
    <row r="3115" spans="1:6" x14ac:dyDescent="0.25">
      <c r="A3115" t="s">
        <v>2218</v>
      </c>
      <c r="B3115" t="s">
        <v>2219</v>
      </c>
      <c r="C3115" t="s">
        <v>2236</v>
      </c>
      <c r="D3115" t="s">
        <v>228</v>
      </c>
      <c r="E3115" t="str">
        <f>INDEX('State Codes'!$E$7:$E$70,MATCH(INDEX('State Codes'!$C$7:$C$70,MATCH('County Climates'!B3115,'State Codes'!$D$7:$D$70,0),1),'State Codes'!$C$7:$C$70,0),1)</f>
        <v>East North Central Division</v>
      </c>
      <c r="F3115">
        <f>INDEX('CBECS_Table B5'!$C$6:$K$6,1,MATCH('County Climates'!E3115,'CBECS_Table B5'!$C$1:$K$1,0))</f>
        <v>12742</v>
      </c>
    </row>
    <row r="3116" spans="1:6" x14ac:dyDescent="0.25">
      <c r="A3116" t="s">
        <v>2218</v>
      </c>
      <c r="B3116" t="s">
        <v>2219</v>
      </c>
      <c r="C3116" t="s">
        <v>2237</v>
      </c>
      <c r="D3116" t="s">
        <v>228</v>
      </c>
      <c r="E3116" t="str">
        <f>INDEX('State Codes'!$E$7:$E$70,MATCH(INDEX('State Codes'!$C$7:$C$70,MATCH('County Climates'!B3116,'State Codes'!$D$7:$D$70,0),1),'State Codes'!$C$7:$C$70,0),1)</f>
        <v>East North Central Division</v>
      </c>
      <c r="F3116">
        <f>INDEX('CBECS_Table B5'!$C$6:$K$6,1,MATCH('County Climates'!E3116,'CBECS_Table B5'!$C$1:$K$1,0))</f>
        <v>12742</v>
      </c>
    </row>
    <row r="3117" spans="1:6" x14ac:dyDescent="0.25">
      <c r="A3117" t="s">
        <v>2218</v>
      </c>
      <c r="B3117" t="s">
        <v>2219</v>
      </c>
      <c r="C3117" t="s">
        <v>2238</v>
      </c>
      <c r="D3117" t="s">
        <v>228</v>
      </c>
      <c r="E3117" t="str">
        <f>INDEX('State Codes'!$E$7:$E$70,MATCH(INDEX('State Codes'!$C$7:$C$70,MATCH('County Climates'!B3117,'State Codes'!$D$7:$D$70,0),1),'State Codes'!$C$7:$C$70,0),1)</f>
        <v>East North Central Division</v>
      </c>
      <c r="F3117">
        <f>INDEX('CBECS_Table B5'!$C$6:$K$6,1,MATCH('County Climates'!E3117,'CBECS_Table B5'!$C$1:$K$1,0))</f>
        <v>12742</v>
      </c>
    </row>
    <row r="3118" spans="1:6" x14ac:dyDescent="0.25">
      <c r="A3118" t="s">
        <v>2218</v>
      </c>
      <c r="B3118" t="s">
        <v>2219</v>
      </c>
      <c r="C3118" t="s">
        <v>913</v>
      </c>
      <c r="D3118" t="s">
        <v>228</v>
      </c>
      <c r="E3118" t="str">
        <f>INDEX('State Codes'!$E$7:$E$70,MATCH(INDEX('State Codes'!$C$7:$C$70,MATCH('County Climates'!B3118,'State Codes'!$D$7:$D$70,0),1),'State Codes'!$C$7:$C$70,0),1)</f>
        <v>East North Central Division</v>
      </c>
      <c r="F3118">
        <f>INDEX('CBECS_Table B5'!$C$6:$K$6,1,MATCH('County Climates'!E3118,'CBECS_Table B5'!$C$1:$K$1,0))</f>
        <v>12742</v>
      </c>
    </row>
    <row r="3119" spans="1:6" x14ac:dyDescent="0.25">
      <c r="A3119" t="s">
        <v>2218</v>
      </c>
      <c r="B3119" t="s">
        <v>2219</v>
      </c>
      <c r="C3119" t="s">
        <v>335</v>
      </c>
      <c r="D3119" t="s">
        <v>228</v>
      </c>
      <c r="E3119" t="str">
        <f>INDEX('State Codes'!$E$7:$E$70,MATCH(INDEX('State Codes'!$C$7:$C$70,MATCH('County Climates'!B3119,'State Codes'!$D$7:$D$70,0),1),'State Codes'!$C$7:$C$70,0),1)</f>
        <v>East North Central Division</v>
      </c>
      <c r="F3119">
        <f>INDEX('CBECS_Table B5'!$C$6:$K$6,1,MATCH('County Climates'!E3119,'CBECS_Table B5'!$C$1:$K$1,0))</f>
        <v>12742</v>
      </c>
    </row>
    <row r="3120" spans="1:6" x14ac:dyDescent="0.25">
      <c r="A3120" t="s">
        <v>2218</v>
      </c>
      <c r="B3120" t="s">
        <v>2219</v>
      </c>
      <c r="C3120" t="s">
        <v>1047</v>
      </c>
      <c r="D3120" t="s">
        <v>228</v>
      </c>
      <c r="E3120" t="str">
        <f>INDEX('State Codes'!$E$7:$E$70,MATCH(INDEX('State Codes'!$C$7:$C$70,MATCH('County Climates'!B3120,'State Codes'!$D$7:$D$70,0),1),'State Codes'!$C$7:$C$70,0),1)</f>
        <v>East North Central Division</v>
      </c>
      <c r="F3120">
        <f>INDEX('CBECS_Table B5'!$C$6:$K$6,1,MATCH('County Climates'!E3120,'CBECS_Table B5'!$C$1:$K$1,0))</f>
        <v>12742</v>
      </c>
    </row>
    <row r="3121" spans="1:6" x14ac:dyDescent="0.25">
      <c r="A3121" t="s">
        <v>2218</v>
      </c>
      <c r="B3121" t="s">
        <v>2219</v>
      </c>
      <c r="C3121" t="s">
        <v>2239</v>
      </c>
      <c r="D3121" t="s">
        <v>229</v>
      </c>
      <c r="E3121" t="str">
        <f>INDEX('State Codes'!$E$7:$E$70,MATCH(INDEX('State Codes'!$C$7:$C$70,MATCH('County Climates'!B3121,'State Codes'!$D$7:$D$70,0),1),'State Codes'!$C$7:$C$70,0),1)</f>
        <v>East North Central Division</v>
      </c>
      <c r="F3121">
        <f>INDEX('CBECS_Table B5'!$C$6:$K$6,1,MATCH('County Climates'!E3121,'CBECS_Table B5'!$C$1:$K$1,0))</f>
        <v>12742</v>
      </c>
    </row>
    <row r="3122" spans="1:6" x14ac:dyDescent="0.25">
      <c r="A3122" t="s">
        <v>2218</v>
      </c>
      <c r="B3122" t="s">
        <v>2219</v>
      </c>
      <c r="C3122" t="s">
        <v>2240</v>
      </c>
      <c r="D3122" t="s">
        <v>228</v>
      </c>
      <c r="E3122" t="str">
        <f>INDEX('State Codes'!$E$7:$E$70,MATCH(INDEX('State Codes'!$C$7:$C$70,MATCH('County Climates'!B3122,'State Codes'!$D$7:$D$70,0),1),'State Codes'!$C$7:$C$70,0),1)</f>
        <v>East North Central Division</v>
      </c>
      <c r="F3122">
        <f>INDEX('CBECS_Table B5'!$C$6:$K$6,1,MATCH('County Climates'!E3122,'CBECS_Table B5'!$C$1:$K$1,0))</f>
        <v>12742</v>
      </c>
    </row>
    <row r="3123" spans="1:6" x14ac:dyDescent="0.25">
      <c r="A3123" t="s">
        <v>2218</v>
      </c>
      <c r="B3123" t="s">
        <v>2219</v>
      </c>
      <c r="C3123" t="s">
        <v>557</v>
      </c>
      <c r="D3123" t="s">
        <v>228</v>
      </c>
      <c r="E3123" t="str">
        <f>INDEX('State Codes'!$E$7:$E$70,MATCH(INDEX('State Codes'!$C$7:$C$70,MATCH('County Climates'!B3123,'State Codes'!$D$7:$D$70,0),1),'State Codes'!$C$7:$C$70,0),1)</f>
        <v>East North Central Division</v>
      </c>
      <c r="F3123">
        <f>INDEX('CBECS_Table B5'!$C$6:$K$6,1,MATCH('County Climates'!E3123,'CBECS_Table B5'!$C$1:$K$1,0))</f>
        <v>12742</v>
      </c>
    </row>
    <row r="3124" spans="1:6" x14ac:dyDescent="0.25">
      <c r="A3124" t="s">
        <v>2218</v>
      </c>
      <c r="B3124" t="s">
        <v>2219</v>
      </c>
      <c r="C3124" t="s">
        <v>916</v>
      </c>
      <c r="D3124" t="s">
        <v>228</v>
      </c>
      <c r="E3124" t="str">
        <f>INDEX('State Codes'!$E$7:$E$70,MATCH(INDEX('State Codes'!$C$7:$C$70,MATCH('County Climates'!B3124,'State Codes'!$D$7:$D$70,0),1),'State Codes'!$C$7:$C$70,0),1)</f>
        <v>East North Central Division</v>
      </c>
      <c r="F3124">
        <f>INDEX('CBECS_Table B5'!$C$6:$K$6,1,MATCH('County Climates'!E3124,'CBECS_Table B5'!$C$1:$K$1,0))</f>
        <v>12742</v>
      </c>
    </row>
    <row r="3125" spans="1:6" x14ac:dyDescent="0.25">
      <c r="A3125" t="s">
        <v>2218</v>
      </c>
      <c r="B3125" t="s">
        <v>2219</v>
      </c>
      <c r="C3125" t="s">
        <v>2131</v>
      </c>
      <c r="D3125" t="s">
        <v>228</v>
      </c>
      <c r="E3125" t="str">
        <f>INDEX('State Codes'!$E$7:$E$70,MATCH(INDEX('State Codes'!$C$7:$C$70,MATCH('County Climates'!B3125,'State Codes'!$D$7:$D$70,0),1),'State Codes'!$C$7:$C$70,0),1)</f>
        <v>East North Central Division</v>
      </c>
      <c r="F3125">
        <f>INDEX('CBECS_Table B5'!$C$6:$K$6,1,MATCH('County Climates'!E3125,'CBECS_Table B5'!$C$1:$K$1,0))</f>
        <v>12742</v>
      </c>
    </row>
    <row r="3126" spans="1:6" x14ac:dyDescent="0.25">
      <c r="A3126" t="s">
        <v>2218</v>
      </c>
      <c r="B3126" t="s">
        <v>2219</v>
      </c>
      <c r="C3126" t="s">
        <v>2241</v>
      </c>
      <c r="D3126" t="s">
        <v>228</v>
      </c>
      <c r="E3126" t="str">
        <f>INDEX('State Codes'!$E$7:$E$70,MATCH(INDEX('State Codes'!$C$7:$C$70,MATCH('County Climates'!B3126,'State Codes'!$D$7:$D$70,0),1),'State Codes'!$C$7:$C$70,0),1)</f>
        <v>East North Central Division</v>
      </c>
      <c r="F3126">
        <f>INDEX('CBECS_Table B5'!$C$6:$K$6,1,MATCH('County Climates'!E3126,'CBECS_Table B5'!$C$1:$K$1,0))</f>
        <v>12742</v>
      </c>
    </row>
    <row r="3127" spans="1:6" x14ac:dyDescent="0.25">
      <c r="A3127" t="s">
        <v>2218</v>
      </c>
      <c r="B3127" t="s">
        <v>2219</v>
      </c>
      <c r="C3127" t="s">
        <v>2242</v>
      </c>
      <c r="D3127" t="s">
        <v>229</v>
      </c>
      <c r="E3127" t="str">
        <f>INDEX('State Codes'!$E$7:$E$70,MATCH(INDEX('State Codes'!$C$7:$C$70,MATCH('County Climates'!B3127,'State Codes'!$D$7:$D$70,0),1),'State Codes'!$C$7:$C$70,0),1)</f>
        <v>East North Central Division</v>
      </c>
      <c r="F3127">
        <f>INDEX('CBECS_Table B5'!$C$6:$K$6,1,MATCH('County Climates'!E3127,'CBECS_Table B5'!$C$1:$K$1,0))</f>
        <v>12742</v>
      </c>
    </row>
    <row r="3128" spans="1:6" x14ac:dyDescent="0.25">
      <c r="A3128" t="s">
        <v>2218</v>
      </c>
      <c r="B3128" t="s">
        <v>2219</v>
      </c>
      <c r="C3128" t="s">
        <v>2243</v>
      </c>
      <c r="D3128" t="s">
        <v>228</v>
      </c>
      <c r="E3128" t="str">
        <f>INDEX('State Codes'!$E$7:$E$70,MATCH(INDEX('State Codes'!$C$7:$C$70,MATCH('County Climates'!B3128,'State Codes'!$D$7:$D$70,0),1),'State Codes'!$C$7:$C$70,0),1)</f>
        <v>East North Central Division</v>
      </c>
      <c r="F3128">
        <f>INDEX('CBECS_Table B5'!$C$6:$K$6,1,MATCH('County Climates'!E3128,'CBECS_Table B5'!$C$1:$K$1,0))</f>
        <v>12742</v>
      </c>
    </row>
    <row r="3129" spans="1:6" x14ac:dyDescent="0.25">
      <c r="A3129" t="s">
        <v>2218</v>
      </c>
      <c r="B3129" t="s">
        <v>2219</v>
      </c>
      <c r="C3129" t="s">
        <v>2244</v>
      </c>
      <c r="D3129" t="s">
        <v>228</v>
      </c>
      <c r="E3129" t="str">
        <f>INDEX('State Codes'!$E$7:$E$70,MATCH(INDEX('State Codes'!$C$7:$C$70,MATCH('County Climates'!B3129,'State Codes'!$D$7:$D$70,0),1),'State Codes'!$C$7:$C$70,0),1)</f>
        <v>East North Central Division</v>
      </c>
      <c r="F3129">
        <f>INDEX('CBECS_Table B5'!$C$6:$K$6,1,MATCH('County Climates'!E3129,'CBECS_Table B5'!$C$1:$K$1,0))</f>
        <v>12742</v>
      </c>
    </row>
    <row r="3130" spans="1:6" x14ac:dyDescent="0.25">
      <c r="A3130" t="s">
        <v>2218</v>
      </c>
      <c r="B3130" t="s">
        <v>2219</v>
      </c>
      <c r="C3130" t="s">
        <v>2245</v>
      </c>
      <c r="D3130" t="s">
        <v>228</v>
      </c>
      <c r="E3130" t="str">
        <f>INDEX('State Codes'!$E$7:$E$70,MATCH(INDEX('State Codes'!$C$7:$C$70,MATCH('County Climates'!B3130,'State Codes'!$D$7:$D$70,0),1),'State Codes'!$C$7:$C$70,0),1)</f>
        <v>East North Central Division</v>
      </c>
      <c r="F3130">
        <f>INDEX('CBECS_Table B5'!$C$6:$K$6,1,MATCH('County Climates'!E3130,'CBECS_Table B5'!$C$1:$K$1,0))</f>
        <v>12742</v>
      </c>
    </row>
    <row r="3131" spans="1:6" x14ac:dyDescent="0.25">
      <c r="A3131" t="s">
        <v>2218</v>
      </c>
      <c r="B3131" t="s">
        <v>2219</v>
      </c>
      <c r="C3131" t="s">
        <v>705</v>
      </c>
      <c r="D3131" t="s">
        <v>229</v>
      </c>
      <c r="E3131" t="str">
        <f>INDEX('State Codes'!$E$7:$E$70,MATCH(INDEX('State Codes'!$C$7:$C$70,MATCH('County Climates'!B3131,'State Codes'!$D$7:$D$70,0),1),'State Codes'!$C$7:$C$70,0),1)</f>
        <v>East North Central Division</v>
      </c>
      <c r="F3131">
        <f>INDEX('CBECS_Table B5'!$C$6:$K$6,1,MATCH('County Climates'!E3131,'CBECS_Table B5'!$C$1:$K$1,0))</f>
        <v>12742</v>
      </c>
    </row>
    <row r="3132" spans="1:6" x14ac:dyDescent="0.25">
      <c r="A3132" t="s">
        <v>2218</v>
      </c>
      <c r="B3132" t="s">
        <v>2219</v>
      </c>
      <c r="C3132" t="s">
        <v>2246</v>
      </c>
      <c r="D3132" t="s">
        <v>228</v>
      </c>
      <c r="E3132" t="str">
        <f>INDEX('State Codes'!$E$7:$E$70,MATCH(INDEX('State Codes'!$C$7:$C$70,MATCH('County Climates'!B3132,'State Codes'!$D$7:$D$70,0),1),'State Codes'!$C$7:$C$70,0),1)</f>
        <v>East North Central Division</v>
      </c>
      <c r="F3132">
        <f>INDEX('CBECS_Table B5'!$C$6:$K$6,1,MATCH('County Climates'!E3132,'CBECS_Table B5'!$C$1:$K$1,0))</f>
        <v>12742</v>
      </c>
    </row>
    <row r="3133" spans="1:6" x14ac:dyDescent="0.25">
      <c r="A3133" t="s">
        <v>2218</v>
      </c>
      <c r="B3133" t="s">
        <v>2219</v>
      </c>
      <c r="C3133" t="s">
        <v>711</v>
      </c>
      <c r="D3133" t="s">
        <v>228</v>
      </c>
      <c r="E3133" t="str">
        <f>INDEX('State Codes'!$E$7:$E$70,MATCH(INDEX('State Codes'!$C$7:$C$70,MATCH('County Climates'!B3133,'State Codes'!$D$7:$D$70,0),1),'State Codes'!$C$7:$C$70,0),1)</f>
        <v>East North Central Division</v>
      </c>
      <c r="F3133">
        <f>INDEX('CBECS_Table B5'!$C$6:$K$6,1,MATCH('County Climates'!E3133,'CBECS_Table B5'!$C$1:$K$1,0))</f>
        <v>12742</v>
      </c>
    </row>
    <row r="3134" spans="1:6" x14ac:dyDescent="0.25">
      <c r="A3134" t="s">
        <v>2218</v>
      </c>
      <c r="B3134" t="s">
        <v>2219</v>
      </c>
      <c r="C3134" t="s">
        <v>2247</v>
      </c>
      <c r="D3134" t="s">
        <v>229</v>
      </c>
      <c r="E3134" t="str">
        <f>INDEX('State Codes'!$E$7:$E$70,MATCH(INDEX('State Codes'!$C$7:$C$70,MATCH('County Climates'!B3134,'State Codes'!$D$7:$D$70,0),1),'State Codes'!$C$7:$C$70,0),1)</f>
        <v>East North Central Division</v>
      </c>
      <c r="F3134">
        <f>INDEX('CBECS_Table B5'!$C$6:$K$6,1,MATCH('County Climates'!E3134,'CBECS_Table B5'!$C$1:$K$1,0))</f>
        <v>12742</v>
      </c>
    </row>
    <row r="3135" spans="1:6" x14ac:dyDescent="0.25">
      <c r="A3135" t="s">
        <v>2218</v>
      </c>
      <c r="B3135" t="s">
        <v>2219</v>
      </c>
      <c r="C3135" t="s">
        <v>2039</v>
      </c>
      <c r="D3135" t="s">
        <v>228</v>
      </c>
      <c r="E3135" t="str">
        <f>INDEX('State Codes'!$E$7:$E$70,MATCH(INDEX('State Codes'!$C$7:$C$70,MATCH('County Climates'!B3135,'State Codes'!$D$7:$D$70,0),1),'State Codes'!$C$7:$C$70,0),1)</f>
        <v>East North Central Division</v>
      </c>
      <c r="F3135">
        <f>INDEX('CBECS_Table B5'!$C$6:$K$6,1,MATCH('County Climates'!E3135,'CBECS_Table B5'!$C$1:$K$1,0))</f>
        <v>12742</v>
      </c>
    </row>
    <row r="3136" spans="1:6" x14ac:dyDescent="0.25">
      <c r="A3136" t="s">
        <v>2218</v>
      </c>
      <c r="B3136" t="s">
        <v>2219</v>
      </c>
      <c r="C3136" t="s">
        <v>2248</v>
      </c>
      <c r="D3136" t="s">
        <v>229</v>
      </c>
      <c r="E3136" t="str">
        <f>INDEX('State Codes'!$E$7:$E$70,MATCH(INDEX('State Codes'!$C$7:$C$70,MATCH('County Climates'!B3136,'State Codes'!$D$7:$D$70,0),1),'State Codes'!$C$7:$C$70,0),1)</f>
        <v>East North Central Division</v>
      </c>
      <c r="F3136">
        <f>INDEX('CBECS_Table B5'!$C$6:$K$6,1,MATCH('County Climates'!E3136,'CBECS_Table B5'!$C$1:$K$1,0))</f>
        <v>12742</v>
      </c>
    </row>
    <row r="3137" spans="1:6" x14ac:dyDescent="0.25">
      <c r="A3137" t="s">
        <v>2218</v>
      </c>
      <c r="B3137" t="s">
        <v>2219</v>
      </c>
      <c r="C3137" t="s">
        <v>308</v>
      </c>
      <c r="D3137" t="s">
        <v>228</v>
      </c>
      <c r="E3137" t="str">
        <f>INDEX('State Codes'!$E$7:$E$70,MATCH(INDEX('State Codes'!$C$7:$C$70,MATCH('County Climates'!B3137,'State Codes'!$D$7:$D$70,0),1),'State Codes'!$C$7:$C$70,0),1)</f>
        <v>East North Central Division</v>
      </c>
      <c r="F3137">
        <f>INDEX('CBECS_Table B5'!$C$6:$K$6,1,MATCH('County Climates'!E3137,'CBECS_Table B5'!$C$1:$K$1,0))</f>
        <v>12742</v>
      </c>
    </row>
    <row r="3138" spans="1:6" x14ac:dyDescent="0.25">
      <c r="A3138" t="s">
        <v>2218</v>
      </c>
      <c r="B3138" t="s">
        <v>2219</v>
      </c>
      <c r="C3138" t="s">
        <v>2249</v>
      </c>
      <c r="D3138" t="s">
        <v>228</v>
      </c>
      <c r="E3138" t="str">
        <f>INDEX('State Codes'!$E$7:$E$70,MATCH(INDEX('State Codes'!$C$7:$C$70,MATCH('County Climates'!B3138,'State Codes'!$D$7:$D$70,0),1),'State Codes'!$C$7:$C$70,0),1)</f>
        <v>East North Central Division</v>
      </c>
      <c r="F3138">
        <f>INDEX('CBECS_Table B5'!$C$6:$K$6,1,MATCH('County Climates'!E3138,'CBECS_Table B5'!$C$1:$K$1,0))</f>
        <v>12742</v>
      </c>
    </row>
    <row r="3139" spans="1:6" x14ac:dyDescent="0.25">
      <c r="A3139" t="s">
        <v>2218</v>
      </c>
      <c r="B3139" t="s">
        <v>2219</v>
      </c>
      <c r="C3139" t="s">
        <v>2250</v>
      </c>
      <c r="D3139" t="s">
        <v>228</v>
      </c>
      <c r="E3139" t="str">
        <f>INDEX('State Codes'!$E$7:$E$70,MATCH(INDEX('State Codes'!$C$7:$C$70,MATCH('County Climates'!B3139,'State Codes'!$D$7:$D$70,0),1),'State Codes'!$C$7:$C$70,0),1)</f>
        <v>East North Central Division</v>
      </c>
      <c r="F3139">
        <f>INDEX('CBECS_Table B5'!$C$6:$K$6,1,MATCH('County Climates'!E3139,'CBECS_Table B5'!$C$1:$K$1,0))</f>
        <v>12742</v>
      </c>
    </row>
    <row r="3140" spans="1:6" x14ac:dyDescent="0.25">
      <c r="A3140" t="s">
        <v>2218</v>
      </c>
      <c r="B3140" t="s">
        <v>2219</v>
      </c>
      <c r="C3140" t="s">
        <v>2251</v>
      </c>
      <c r="D3140" t="s">
        <v>228</v>
      </c>
      <c r="E3140" t="str">
        <f>INDEX('State Codes'!$E$7:$E$70,MATCH(INDEX('State Codes'!$C$7:$C$70,MATCH('County Climates'!B3140,'State Codes'!$D$7:$D$70,0),1),'State Codes'!$C$7:$C$70,0),1)</f>
        <v>East North Central Division</v>
      </c>
      <c r="F3140">
        <f>INDEX('CBECS_Table B5'!$C$6:$K$6,1,MATCH('County Climates'!E3140,'CBECS_Table B5'!$C$1:$K$1,0))</f>
        <v>12742</v>
      </c>
    </row>
    <row r="3141" spans="1:6" x14ac:dyDescent="0.25">
      <c r="A3141" t="s">
        <v>2218</v>
      </c>
      <c r="B3141" t="s">
        <v>2219</v>
      </c>
      <c r="C3141" t="s">
        <v>569</v>
      </c>
      <c r="D3141" t="s">
        <v>228</v>
      </c>
      <c r="E3141" t="str">
        <f>INDEX('State Codes'!$E$7:$E$70,MATCH(INDEX('State Codes'!$C$7:$C$70,MATCH('County Climates'!B3141,'State Codes'!$D$7:$D$70,0),1),'State Codes'!$C$7:$C$70,0),1)</f>
        <v>East North Central Division</v>
      </c>
      <c r="F3141">
        <f>INDEX('CBECS_Table B5'!$C$6:$K$6,1,MATCH('County Climates'!E3141,'CBECS_Table B5'!$C$1:$K$1,0))</f>
        <v>12742</v>
      </c>
    </row>
  </sheetData>
  <autoFilter ref="A1:F3141" xr:uid="{00000000-0009-0000-0000-000003000000}"/>
  <mergeCells count="2">
    <mergeCell ref="L14:S14"/>
    <mergeCell ref="K14:K15"/>
  </mergeCells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4"/>
  <sheetViews>
    <sheetView workbookViewId="0">
      <selection activeCell="J6" sqref="J6"/>
    </sheetView>
  </sheetViews>
  <sheetFormatPr defaultRowHeight="15" x14ac:dyDescent="0.25"/>
  <cols>
    <col min="1" max="1" width="28.7109375" customWidth="1"/>
    <col min="2" max="11" width="7.7109375" style="30" customWidth="1"/>
  </cols>
  <sheetData>
    <row r="1" spans="1:11" ht="30" x14ac:dyDescent="0.25">
      <c r="A1" s="29" t="s">
        <v>2287</v>
      </c>
      <c r="C1" s="30" t="str">
        <f>C5&amp;" Division"</f>
        <v>New England Division</v>
      </c>
      <c r="D1" s="30" t="str">
        <f t="shared" ref="D1:K1" si="0">D5&amp;" Division"</f>
        <v>Middle Atlantic Division</v>
      </c>
      <c r="E1" s="30" t="str">
        <f t="shared" si="0"/>
        <v>East North Central Division</v>
      </c>
      <c r="F1" s="30" t="str">
        <f t="shared" si="0"/>
        <v>West North Central Division</v>
      </c>
      <c r="G1" s="30" t="str">
        <f t="shared" si="0"/>
        <v>South Atlantic Division</v>
      </c>
      <c r="H1" s="30" t="str">
        <f t="shared" si="0"/>
        <v>East South Central Division</v>
      </c>
      <c r="I1" s="30" t="str">
        <f t="shared" si="0"/>
        <v>West South Central Division</v>
      </c>
      <c r="J1" s="30" t="str">
        <f t="shared" si="0"/>
        <v>mountain Division</v>
      </c>
      <c r="K1" s="30" t="str">
        <f t="shared" si="0"/>
        <v>Pacific Division</v>
      </c>
    </row>
    <row r="2" spans="1:11" ht="25.5" customHeight="1" x14ac:dyDescent="0.25">
      <c r="A2" s="134" t="s">
        <v>2288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</row>
    <row r="3" spans="1:11" ht="23.25" customHeight="1" thickBot="1" x14ac:dyDescent="0.3">
      <c r="A3" s="32"/>
      <c r="B3" s="136" t="s">
        <v>2289</v>
      </c>
      <c r="C3" s="136"/>
      <c r="D3" s="136"/>
      <c r="E3" s="136"/>
      <c r="F3" s="136"/>
      <c r="G3" s="137"/>
      <c r="H3" s="137"/>
      <c r="I3" s="137"/>
      <c r="J3" s="137"/>
      <c r="K3" s="137"/>
    </row>
    <row r="4" spans="1:11" ht="28.5" customHeight="1" x14ac:dyDescent="0.25">
      <c r="A4" s="32"/>
      <c r="B4" s="33"/>
      <c r="C4" s="138" t="s">
        <v>2290</v>
      </c>
      <c r="D4" s="139"/>
      <c r="E4" s="140" t="s">
        <v>2291</v>
      </c>
      <c r="F4" s="141"/>
      <c r="G4" s="140" t="s">
        <v>2292</v>
      </c>
      <c r="H4" s="141"/>
      <c r="I4" s="141"/>
      <c r="J4" s="142" t="s">
        <v>2293</v>
      </c>
      <c r="K4" s="143"/>
    </row>
    <row r="5" spans="1:11" ht="52.5" customHeight="1" thickBot="1" x14ac:dyDescent="0.3">
      <c r="A5" s="34"/>
      <c r="B5" s="35" t="s">
        <v>2294</v>
      </c>
      <c r="C5" s="35" t="s">
        <v>2295</v>
      </c>
      <c r="D5" s="35" t="s">
        <v>2296</v>
      </c>
      <c r="E5" s="35" t="s">
        <v>2297</v>
      </c>
      <c r="F5" s="35" t="s">
        <v>2298</v>
      </c>
      <c r="G5" s="35" t="s">
        <v>2299</v>
      </c>
      <c r="H5" s="35" t="s">
        <v>2300</v>
      </c>
      <c r="I5" s="35" t="s">
        <v>2301</v>
      </c>
      <c r="J5" s="35" t="s">
        <v>2564</v>
      </c>
      <c r="K5" s="35" t="s">
        <v>2211</v>
      </c>
    </row>
    <row r="6" spans="1:11" ht="24" customHeight="1" thickTop="1" x14ac:dyDescent="0.25">
      <c r="A6" s="36" t="s">
        <v>2302</v>
      </c>
      <c r="B6" s="37">
        <v>87093</v>
      </c>
      <c r="C6" s="37">
        <v>4302</v>
      </c>
      <c r="D6" s="37">
        <v>11232</v>
      </c>
      <c r="E6" s="37">
        <v>12742</v>
      </c>
      <c r="F6" s="37">
        <v>6178</v>
      </c>
      <c r="G6" s="37">
        <v>17981</v>
      </c>
      <c r="H6" s="37">
        <v>4904</v>
      </c>
      <c r="I6" s="37">
        <v>11394</v>
      </c>
      <c r="J6" s="37">
        <v>4981</v>
      </c>
      <c r="K6" s="37">
        <v>13379</v>
      </c>
    </row>
    <row r="7" spans="1:11" ht="24" customHeight="1" x14ac:dyDescent="0.25">
      <c r="A7" s="38" t="s">
        <v>2303</v>
      </c>
      <c r="B7" s="39" t="s">
        <v>28</v>
      </c>
      <c r="C7" s="39" t="s">
        <v>28</v>
      </c>
      <c r="D7" s="39" t="s">
        <v>28</v>
      </c>
      <c r="E7" s="39" t="s">
        <v>28</v>
      </c>
      <c r="F7" s="39" t="s">
        <v>28</v>
      </c>
      <c r="G7" s="39" t="s">
        <v>28</v>
      </c>
      <c r="H7" s="39" t="s">
        <v>28</v>
      </c>
      <c r="I7" s="39" t="s">
        <v>28</v>
      </c>
      <c r="J7" s="39" t="s">
        <v>28</v>
      </c>
      <c r="K7" s="39" t="s">
        <v>28</v>
      </c>
    </row>
    <row r="8" spans="1:11" ht="15" customHeight="1" x14ac:dyDescent="0.25">
      <c r="A8" s="40" t="s">
        <v>2304</v>
      </c>
      <c r="B8" s="41">
        <v>8041</v>
      </c>
      <c r="C8" s="41">
        <v>405</v>
      </c>
      <c r="D8" s="41">
        <v>652</v>
      </c>
      <c r="E8" s="41">
        <v>1066</v>
      </c>
      <c r="F8" s="41">
        <v>792</v>
      </c>
      <c r="G8" s="41">
        <v>1564</v>
      </c>
      <c r="H8" s="41">
        <v>613</v>
      </c>
      <c r="I8" s="41">
        <v>1206</v>
      </c>
      <c r="J8" s="41">
        <v>528</v>
      </c>
      <c r="K8" s="41">
        <v>1216</v>
      </c>
    </row>
    <row r="9" spans="1:11" ht="15" customHeight="1" x14ac:dyDescent="0.25">
      <c r="A9" s="40" t="s">
        <v>2305</v>
      </c>
      <c r="B9" s="41">
        <v>8900</v>
      </c>
      <c r="C9" s="41">
        <v>541</v>
      </c>
      <c r="D9" s="41">
        <v>707</v>
      </c>
      <c r="E9" s="41">
        <v>1062</v>
      </c>
      <c r="F9" s="41">
        <v>810</v>
      </c>
      <c r="G9" s="41">
        <v>1764</v>
      </c>
      <c r="H9" s="41">
        <v>606</v>
      </c>
      <c r="I9" s="41">
        <v>1164</v>
      </c>
      <c r="J9" s="41">
        <v>504</v>
      </c>
      <c r="K9" s="41">
        <v>1741</v>
      </c>
    </row>
    <row r="10" spans="1:11" ht="15" customHeight="1" x14ac:dyDescent="0.25">
      <c r="A10" s="40" t="s">
        <v>2306</v>
      </c>
      <c r="B10" s="41">
        <v>14105</v>
      </c>
      <c r="C10" s="41">
        <v>901</v>
      </c>
      <c r="D10" s="41">
        <v>1507</v>
      </c>
      <c r="E10" s="41">
        <v>1823</v>
      </c>
      <c r="F10" s="41">
        <v>1065</v>
      </c>
      <c r="G10" s="41">
        <v>2709</v>
      </c>
      <c r="H10" s="41">
        <v>769</v>
      </c>
      <c r="I10" s="41">
        <v>1732</v>
      </c>
      <c r="J10" s="41">
        <v>990</v>
      </c>
      <c r="K10" s="41">
        <v>2609</v>
      </c>
    </row>
    <row r="11" spans="1:11" ht="15" customHeight="1" x14ac:dyDescent="0.25">
      <c r="A11" s="40" t="s">
        <v>2307</v>
      </c>
      <c r="B11" s="41">
        <v>11917</v>
      </c>
      <c r="C11" s="41">
        <v>642</v>
      </c>
      <c r="D11" s="41">
        <v>1002</v>
      </c>
      <c r="E11" s="41">
        <v>2040</v>
      </c>
      <c r="F11" s="41">
        <v>989</v>
      </c>
      <c r="G11" s="41">
        <v>2273</v>
      </c>
      <c r="H11" s="41">
        <v>501</v>
      </c>
      <c r="I11" s="41">
        <v>1755</v>
      </c>
      <c r="J11" s="41">
        <v>467</v>
      </c>
      <c r="K11" s="41">
        <v>2249</v>
      </c>
    </row>
    <row r="12" spans="1:11" ht="15" customHeight="1" x14ac:dyDescent="0.25">
      <c r="A12" s="40" t="s">
        <v>2308</v>
      </c>
      <c r="B12" s="41">
        <v>13918</v>
      </c>
      <c r="C12" s="41">
        <v>598</v>
      </c>
      <c r="D12" s="41">
        <v>2078</v>
      </c>
      <c r="E12" s="41">
        <v>1809</v>
      </c>
      <c r="F12" s="41">
        <v>920</v>
      </c>
      <c r="G12" s="41">
        <v>3049</v>
      </c>
      <c r="H12" s="41">
        <v>1002</v>
      </c>
      <c r="I12" s="41">
        <v>2088</v>
      </c>
      <c r="J12" s="41">
        <v>725</v>
      </c>
      <c r="K12" s="41">
        <v>1648</v>
      </c>
    </row>
    <row r="13" spans="1:11" ht="15" customHeight="1" x14ac:dyDescent="0.25">
      <c r="A13" s="40" t="s">
        <v>2309</v>
      </c>
      <c r="B13" s="41">
        <v>12415</v>
      </c>
      <c r="C13" s="41">
        <v>418</v>
      </c>
      <c r="D13" s="41">
        <v>2124</v>
      </c>
      <c r="E13" s="41">
        <v>1771</v>
      </c>
      <c r="F13" s="41">
        <v>628</v>
      </c>
      <c r="G13" s="41">
        <v>2817</v>
      </c>
      <c r="H13" s="41">
        <v>578</v>
      </c>
      <c r="I13" s="41">
        <v>1756</v>
      </c>
      <c r="J13" s="41">
        <v>447</v>
      </c>
      <c r="K13" s="41">
        <v>1875</v>
      </c>
    </row>
    <row r="14" spans="1:11" ht="15" customHeight="1" x14ac:dyDescent="0.25">
      <c r="A14" s="40" t="s">
        <v>2310</v>
      </c>
      <c r="B14" s="41">
        <v>10724</v>
      </c>
      <c r="C14" s="41">
        <v>597</v>
      </c>
      <c r="D14" s="41">
        <v>1636</v>
      </c>
      <c r="E14" s="41">
        <v>2129</v>
      </c>
      <c r="F14" s="41">
        <v>597</v>
      </c>
      <c r="G14" s="41">
        <v>2089</v>
      </c>
      <c r="H14" s="41">
        <v>503</v>
      </c>
      <c r="I14" s="41">
        <v>1089</v>
      </c>
      <c r="J14" s="41">
        <v>774</v>
      </c>
      <c r="K14" s="41">
        <v>1310</v>
      </c>
    </row>
    <row r="15" spans="1:11" ht="15" customHeight="1" x14ac:dyDescent="0.25">
      <c r="A15" s="40" t="s">
        <v>2311</v>
      </c>
      <c r="B15" s="41">
        <v>7074</v>
      </c>
      <c r="C15" s="41" t="s">
        <v>2312</v>
      </c>
      <c r="D15" s="41">
        <v>1526</v>
      </c>
      <c r="E15" s="41">
        <v>1042</v>
      </c>
      <c r="F15" s="41">
        <v>376</v>
      </c>
      <c r="G15" s="41">
        <v>1715</v>
      </c>
      <c r="H15" s="41" t="s">
        <v>2312</v>
      </c>
      <c r="I15" s="41">
        <v>604</v>
      </c>
      <c r="J15" s="41">
        <v>546</v>
      </c>
      <c r="K15" s="41">
        <v>731</v>
      </c>
    </row>
    <row r="16" spans="1:11" ht="24" customHeight="1" x14ac:dyDescent="0.25">
      <c r="A16" s="38" t="s">
        <v>2313</v>
      </c>
      <c r="B16" s="39" t="s">
        <v>28</v>
      </c>
      <c r="C16" s="39" t="s">
        <v>28</v>
      </c>
      <c r="D16" s="39" t="s">
        <v>28</v>
      </c>
      <c r="E16" s="39" t="s">
        <v>28</v>
      </c>
      <c r="F16" s="39" t="s">
        <v>28</v>
      </c>
      <c r="G16" s="39" t="s">
        <v>28</v>
      </c>
      <c r="H16" s="39" t="s">
        <v>28</v>
      </c>
      <c r="I16" s="39" t="s">
        <v>28</v>
      </c>
      <c r="J16" s="39" t="s">
        <v>28</v>
      </c>
      <c r="K16" s="39" t="s">
        <v>28</v>
      </c>
    </row>
    <row r="17" spans="1:11" ht="15" customHeight="1" x14ac:dyDescent="0.25">
      <c r="A17" s="40" t="s">
        <v>2314</v>
      </c>
      <c r="B17" s="41">
        <v>12239</v>
      </c>
      <c r="C17" s="41">
        <v>642</v>
      </c>
      <c r="D17" s="41">
        <v>1414</v>
      </c>
      <c r="E17" s="41">
        <v>2205</v>
      </c>
      <c r="F17" s="41">
        <v>968</v>
      </c>
      <c r="G17" s="41">
        <v>2840</v>
      </c>
      <c r="H17" s="41">
        <v>469</v>
      </c>
      <c r="I17" s="41">
        <v>1853</v>
      </c>
      <c r="J17" s="41">
        <v>783</v>
      </c>
      <c r="K17" s="41">
        <v>1065</v>
      </c>
    </row>
    <row r="18" spans="1:11" x14ac:dyDescent="0.25">
      <c r="A18" s="40" t="s">
        <v>2315</v>
      </c>
      <c r="B18" s="41">
        <v>1252</v>
      </c>
      <c r="C18" s="41" t="s">
        <v>2312</v>
      </c>
      <c r="D18" s="41" t="s">
        <v>2312</v>
      </c>
      <c r="E18" s="41" t="s">
        <v>2312</v>
      </c>
      <c r="F18" s="41" t="s">
        <v>2312</v>
      </c>
      <c r="G18" s="41">
        <v>188</v>
      </c>
      <c r="H18" s="41" t="s">
        <v>2312</v>
      </c>
      <c r="I18" s="41" t="s">
        <v>2312</v>
      </c>
      <c r="J18" s="41" t="s">
        <v>2312</v>
      </c>
      <c r="K18" s="41">
        <v>304</v>
      </c>
    </row>
    <row r="19" spans="1:11" x14ac:dyDescent="0.25">
      <c r="A19" s="40" t="s">
        <v>2316</v>
      </c>
      <c r="B19" s="41">
        <v>1819</v>
      </c>
      <c r="C19" s="41" t="s">
        <v>2312</v>
      </c>
      <c r="D19" s="41">
        <v>162</v>
      </c>
      <c r="E19" s="41">
        <v>217</v>
      </c>
      <c r="F19" s="41">
        <v>153</v>
      </c>
      <c r="G19" s="41">
        <v>396</v>
      </c>
      <c r="H19" s="41">
        <v>150</v>
      </c>
      <c r="I19" s="41">
        <v>225</v>
      </c>
      <c r="J19" s="41">
        <v>104</v>
      </c>
      <c r="K19" s="41">
        <v>282</v>
      </c>
    </row>
    <row r="20" spans="1:11" x14ac:dyDescent="0.25">
      <c r="A20" s="40" t="s">
        <v>2317</v>
      </c>
      <c r="B20" s="41">
        <v>4155</v>
      </c>
      <c r="C20" s="41">
        <v>274</v>
      </c>
      <c r="D20" s="41">
        <v>792</v>
      </c>
      <c r="E20" s="41">
        <v>549</v>
      </c>
      <c r="F20" s="41">
        <v>313</v>
      </c>
      <c r="G20" s="41">
        <v>662</v>
      </c>
      <c r="H20" s="41">
        <v>271</v>
      </c>
      <c r="I20" s="41">
        <v>508</v>
      </c>
      <c r="J20" s="41">
        <v>289</v>
      </c>
      <c r="K20" s="41">
        <v>497</v>
      </c>
    </row>
    <row r="21" spans="1:11" x14ac:dyDescent="0.25">
      <c r="A21" s="42" t="s">
        <v>2318</v>
      </c>
      <c r="B21" s="41">
        <v>2374</v>
      </c>
      <c r="C21" s="41">
        <v>169</v>
      </c>
      <c r="D21" s="41">
        <v>369</v>
      </c>
      <c r="E21" s="41">
        <v>359</v>
      </c>
      <c r="F21" s="41">
        <v>137</v>
      </c>
      <c r="G21" s="41">
        <v>405</v>
      </c>
      <c r="H21" s="41">
        <v>184</v>
      </c>
      <c r="I21" s="41">
        <v>304</v>
      </c>
      <c r="J21" s="41">
        <v>132</v>
      </c>
      <c r="K21" s="41">
        <v>315</v>
      </c>
    </row>
    <row r="22" spans="1:11" x14ac:dyDescent="0.25">
      <c r="A22" s="42" t="s">
        <v>2319</v>
      </c>
      <c r="B22" s="41">
        <v>1781</v>
      </c>
      <c r="C22" s="41" t="s">
        <v>2312</v>
      </c>
      <c r="D22" s="41">
        <v>423</v>
      </c>
      <c r="E22" s="41">
        <v>190</v>
      </c>
      <c r="F22" s="41">
        <v>176</v>
      </c>
      <c r="G22" s="41">
        <v>257</v>
      </c>
      <c r="H22" s="41" t="s">
        <v>2312</v>
      </c>
      <c r="I22" s="41">
        <v>204</v>
      </c>
      <c r="J22" s="41">
        <v>157</v>
      </c>
      <c r="K22" s="41">
        <v>182</v>
      </c>
    </row>
    <row r="23" spans="1:11" x14ac:dyDescent="0.25">
      <c r="A23" s="40" t="s">
        <v>2320</v>
      </c>
      <c r="B23" s="41">
        <v>5826</v>
      </c>
      <c r="C23" s="41" t="s">
        <v>2312</v>
      </c>
      <c r="D23" s="41">
        <v>800</v>
      </c>
      <c r="E23" s="41">
        <v>673</v>
      </c>
      <c r="F23" s="41">
        <v>384</v>
      </c>
      <c r="G23" s="41">
        <v>1217</v>
      </c>
      <c r="H23" s="41">
        <v>486</v>
      </c>
      <c r="I23" s="41">
        <v>599</v>
      </c>
      <c r="J23" s="41">
        <v>519</v>
      </c>
      <c r="K23" s="41">
        <v>940</v>
      </c>
    </row>
    <row r="24" spans="1:11" x14ac:dyDescent="0.25">
      <c r="A24" s="40" t="s">
        <v>2321</v>
      </c>
      <c r="B24" s="41">
        <v>11330</v>
      </c>
      <c r="C24" s="41">
        <v>463</v>
      </c>
      <c r="D24" s="41">
        <v>1190</v>
      </c>
      <c r="E24" s="41">
        <v>1488</v>
      </c>
      <c r="F24" s="41">
        <v>644</v>
      </c>
      <c r="G24" s="41">
        <v>2746</v>
      </c>
      <c r="H24" s="41">
        <v>736</v>
      </c>
      <c r="I24" s="41">
        <v>1247</v>
      </c>
      <c r="J24" s="41">
        <v>727</v>
      </c>
      <c r="K24" s="41">
        <v>2088</v>
      </c>
    </row>
    <row r="25" spans="1:11" ht="15" customHeight="1" x14ac:dyDescent="0.25">
      <c r="A25" s="42" t="s">
        <v>2322</v>
      </c>
      <c r="B25" s="41">
        <v>5439</v>
      </c>
      <c r="C25" s="41" t="s">
        <v>2312</v>
      </c>
      <c r="D25" s="41">
        <v>672</v>
      </c>
      <c r="E25" s="41">
        <v>748</v>
      </c>
      <c r="F25" s="41">
        <v>394</v>
      </c>
      <c r="G25" s="41">
        <v>1052</v>
      </c>
      <c r="H25" s="41" t="s">
        <v>2312</v>
      </c>
      <c r="I25" s="41">
        <v>693</v>
      </c>
      <c r="J25" s="41">
        <v>307</v>
      </c>
      <c r="K25" s="41">
        <v>1030</v>
      </c>
    </row>
    <row r="26" spans="1:11" ht="15" customHeight="1" x14ac:dyDescent="0.25">
      <c r="A26" s="42" t="s">
        <v>2323</v>
      </c>
      <c r="B26" s="41">
        <v>5890</v>
      </c>
      <c r="C26" s="41" t="s">
        <v>2312</v>
      </c>
      <c r="D26" s="41">
        <v>518</v>
      </c>
      <c r="E26" s="41">
        <v>740</v>
      </c>
      <c r="F26" s="41">
        <v>250</v>
      </c>
      <c r="G26" s="41">
        <v>1694</v>
      </c>
      <c r="H26" s="41" t="s">
        <v>2312</v>
      </c>
      <c r="I26" s="41">
        <v>554</v>
      </c>
      <c r="J26" s="41">
        <v>420</v>
      </c>
      <c r="K26" s="41">
        <v>1058</v>
      </c>
    </row>
    <row r="27" spans="1:11" ht="15" customHeight="1" x14ac:dyDescent="0.25">
      <c r="A27" s="40" t="s">
        <v>2324</v>
      </c>
      <c r="B27" s="41">
        <v>15952</v>
      </c>
      <c r="C27" s="41">
        <v>738</v>
      </c>
      <c r="D27" s="41">
        <v>2965</v>
      </c>
      <c r="E27" s="41">
        <v>2430</v>
      </c>
      <c r="F27" s="41">
        <v>904</v>
      </c>
      <c r="G27" s="41">
        <v>3183</v>
      </c>
      <c r="H27" s="41">
        <v>694</v>
      </c>
      <c r="I27" s="41">
        <v>1625</v>
      </c>
      <c r="J27" s="41">
        <v>852</v>
      </c>
      <c r="K27" s="41">
        <v>2562</v>
      </c>
    </row>
    <row r="28" spans="1:11" ht="15" customHeight="1" x14ac:dyDescent="0.25">
      <c r="A28" s="40" t="s">
        <v>2325</v>
      </c>
      <c r="B28" s="41">
        <v>5559</v>
      </c>
      <c r="C28" s="41">
        <v>350</v>
      </c>
      <c r="D28" s="41">
        <v>603</v>
      </c>
      <c r="E28" s="41">
        <v>1196</v>
      </c>
      <c r="F28" s="41">
        <v>390</v>
      </c>
      <c r="G28" s="41">
        <v>904</v>
      </c>
      <c r="H28" s="41">
        <v>330</v>
      </c>
      <c r="I28" s="41">
        <v>769</v>
      </c>
      <c r="J28" s="41">
        <v>321</v>
      </c>
      <c r="K28" s="41">
        <v>697</v>
      </c>
    </row>
    <row r="29" spans="1:11" ht="15" customHeight="1" x14ac:dyDescent="0.25">
      <c r="A29" s="40" t="s">
        <v>2326</v>
      </c>
      <c r="B29" s="41">
        <v>1440</v>
      </c>
      <c r="C29" s="41" t="s">
        <v>2312</v>
      </c>
      <c r="D29" s="41" t="s">
        <v>2312</v>
      </c>
      <c r="E29" s="41" t="s">
        <v>2312</v>
      </c>
      <c r="F29" s="41" t="s">
        <v>2312</v>
      </c>
      <c r="G29" s="41" t="s">
        <v>2312</v>
      </c>
      <c r="H29" s="41" t="s">
        <v>2312</v>
      </c>
      <c r="I29" s="41" t="s">
        <v>2312</v>
      </c>
      <c r="J29" s="41" t="s">
        <v>2312</v>
      </c>
      <c r="K29" s="41" t="s">
        <v>2312</v>
      </c>
    </row>
    <row r="30" spans="1:11" ht="15" customHeight="1" x14ac:dyDescent="0.25">
      <c r="A30" s="40" t="s">
        <v>2327</v>
      </c>
      <c r="B30" s="41">
        <v>4557</v>
      </c>
      <c r="C30" s="41" t="s">
        <v>2312</v>
      </c>
      <c r="D30" s="41">
        <v>613</v>
      </c>
      <c r="E30" s="41">
        <v>547</v>
      </c>
      <c r="F30" s="41">
        <v>378</v>
      </c>
      <c r="G30" s="41">
        <v>857</v>
      </c>
      <c r="H30" s="41">
        <v>614</v>
      </c>
      <c r="I30" s="41">
        <v>540</v>
      </c>
      <c r="J30" s="41">
        <v>214</v>
      </c>
      <c r="K30" s="41">
        <v>511</v>
      </c>
    </row>
    <row r="31" spans="1:11" ht="15" customHeight="1" x14ac:dyDescent="0.25">
      <c r="A31" s="40" t="s">
        <v>2328</v>
      </c>
      <c r="B31" s="41">
        <v>4630</v>
      </c>
      <c r="C31" s="41">
        <v>255</v>
      </c>
      <c r="D31" s="41">
        <v>568</v>
      </c>
      <c r="E31" s="41">
        <v>847</v>
      </c>
      <c r="F31" s="41">
        <v>625</v>
      </c>
      <c r="G31" s="41">
        <v>741</v>
      </c>
      <c r="H31" s="41">
        <v>318</v>
      </c>
      <c r="I31" s="41">
        <v>583</v>
      </c>
      <c r="J31" s="41" t="s">
        <v>2312</v>
      </c>
      <c r="K31" s="41">
        <v>578</v>
      </c>
    </row>
    <row r="32" spans="1:11" ht="15" customHeight="1" x14ac:dyDescent="0.25">
      <c r="A32" s="40" t="s">
        <v>2329</v>
      </c>
      <c r="B32" s="41">
        <v>13077</v>
      </c>
      <c r="C32" s="41">
        <v>521</v>
      </c>
      <c r="D32" s="41">
        <v>1240</v>
      </c>
      <c r="E32" s="41">
        <v>1570</v>
      </c>
      <c r="F32" s="41">
        <v>960</v>
      </c>
      <c r="G32" s="41">
        <v>2832</v>
      </c>
      <c r="H32" s="41" t="s">
        <v>2312</v>
      </c>
      <c r="I32" s="41">
        <v>1919</v>
      </c>
      <c r="J32" s="41">
        <v>591</v>
      </c>
      <c r="K32" s="41">
        <v>2938</v>
      </c>
    </row>
    <row r="33" spans="1:11" ht="15" customHeight="1" x14ac:dyDescent="0.25">
      <c r="A33" s="40" t="s">
        <v>2330</v>
      </c>
      <c r="B33" s="41">
        <v>2002</v>
      </c>
      <c r="C33" s="41" t="s">
        <v>2312</v>
      </c>
      <c r="D33" s="41" t="s">
        <v>2312</v>
      </c>
      <c r="E33" s="41" t="s">
        <v>2312</v>
      </c>
      <c r="F33" s="41" t="s">
        <v>2312</v>
      </c>
      <c r="G33" s="41">
        <v>568</v>
      </c>
      <c r="H33" s="41" t="s">
        <v>2312</v>
      </c>
      <c r="I33" s="41" t="s">
        <v>2312</v>
      </c>
      <c r="J33" s="41" t="s">
        <v>2312</v>
      </c>
      <c r="K33" s="41">
        <v>345</v>
      </c>
    </row>
    <row r="34" spans="1:11" ht="15" customHeight="1" x14ac:dyDescent="0.25">
      <c r="A34" s="40" t="s">
        <v>2331</v>
      </c>
      <c r="B34" s="41">
        <v>3256</v>
      </c>
      <c r="C34" s="41" t="s">
        <v>2312</v>
      </c>
      <c r="D34" s="41" t="s">
        <v>2312</v>
      </c>
      <c r="E34" s="41">
        <v>345</v>
      </c>
      <c r="F34" s="41">
        <v>191</v>
      </c>
      <c r="G34" s="41">
        <v>546</v>
      </c>
      <c r="H34" s="41" t="s">
        <v>2312</v>
      </c>
      <c r="I34" s="41">
        <v>934</v>
      </c>
      <c r="J34" s="41" t="s">
        <v>2312</v>
      </c>
      <c r="K34" s="41">
        <v>396</v>
      </c>
    </row>
    <row r="35" spans="1:11" ht="24" customHeight="1" x14ac:dyDescent="0.25">
      <c r="A35" s="43" t="s">
        <v>2332</v>
      </c>
      <c r="B35" s="39" t="s">
        <v>28</v>
      </c>
      <c r="C35" s="39" t="s">
        <v>28</v>
      </c>
      <c r="D35" s="39" t="s">
        <v>28</v>
      </c>
      <c r="E35" s="39" t="s">
        <v>28</v>
      </c>
      <c r="F35" s="39" t="s">
        <v>28</v>
      </c>
      <c r="G35" s="39" t="s">
        <v>28</v>
      </c>
      <c r="H35" s="39" t="s">
        <v>28</v>
      </c>
      <c r="I35" s="39" t="s">
        <v>28</v>
      </c>
      <c r="J35" s="39" t="s">
        <v>28</v>
      </c>
      <c r="K35" s="39" t="s">
        <v>28</v>
      </c>
    </row>
    <row r="36" spans="1:11" ht="15" customHeight="1" x14ac:dyDescent="0.25">
      <c r="A36" s="40" t="s">
        <v>2333</v>
      </c>
      <c r="B36" s="41">
        <v>3983</v>
      </c>
      <c r="C36" s="41">
        <v>692</v>
      </c>
      <c r="D36" s="41">
        <v>940</v>
      </c>
      <c r="E36" s="41">
        <v>642</v>
      </c>
      <c r="F36" s="41">
        <v>398</v>
      </c>
      <c r="G36" s="41">
        <v>425</v>
      </c>
      <c r="H36" s="41">
        <v>278</v>
      </c>
      <c r="I36" s="41">
        <v>279</v>
      </c>
      <c r="J36" s="41" t="s">
        <v>2312</v>
      </c>
      <c r="K36" s="41">
        <v>225</v>
      </c>
    </row>
    <row r="37" spans="1:11" ht="15" customHeight="1" x14ac:dyDescent="0.25">
      <c r="A37" s="40" t="s">
        <v>2334</v>
      </c>
      <c r="B37" s="41">
        <v>6025</v>
      </c>
      <c r="C37" s="41">
        <v>428</v>
      </c>
      <c r="D37" s="41">
        <v>1530</v>
      </c>
      <c r="E37" s="41">
        <v>1373</v>
      </c>
      <c r="F37" s="41">
        <v>396</v>
      </c>
      <c r="G37" s="41">
        <v>690</v>
      </c>
      <c r="H37" s="41">
        <v>219</v>
      </c>
      <c r="I37" s="41">
        <v>593</v>
      </c>
      <c r="J37" s="41">
        <v>144</v>
      </c>
      <c r="K37" s="41">
        <v>651</v>
      </c>
    </row>
    <row r="38" spans="1:11" ht="15" customHeight="1" x14ac:dyDescent="0.25">
      <c r="A38" s="40" t="s">
        <v>2335</v>
      </c>
      <c r="B38" s="41">
        <v>7381</v>
      </c>
      <c r="C38" s="41">
        <v>349</v>
      </c>
      <c r="D38" s="41">
        <v>1233</v>
      </c>
      <c r="E38" s="41">
        <v>1154</v>
      </c>
      <c r="F38" s="41">
        <v>508</v>
      </c>
      <c r="G38" s="41">
        <v>1515</v>
      </c>
      <c r="H38" s="41">
        <v>268</v>
      </c>
      <c r="I38" s="41">
        <v>850</v>
      </c>
      <c r="J38" s="41">
        <v>325</v>
      </c>
      <c r="K38" s="41">
        <v>1179</v>
      </c>
    </row>
    <row r="39" spans="1:11" ht="15" customHeight="1" x14ac:dyDescent="0.25">
      <c r="A39" s="40" t="s">
        <v>2336</v>
      </c>
      <c r="B39" s="41">
        <v>10362</v>
      </c>
      <c r="C39" s="41">
        <v>481</v>
      </c>
      <c r="D39" s="41">
        <v>1759</v>
      </c>
      <c r="E39" s="41">
        <v>1488</v>
      </c>
      <c r="F39" s="41">
        <v>1198</v>
      </c>
      <c r="G39" s="41">
        <v>1699</v>
      </c>
      <c r="H39" s="41">
        <v>699</v>
      </c>
      <c r="I39" s="41">
        <v>1101</v>
      </c>
      <c r="J39" s="41">
        <v>406</v>
      </c>
      <c r="K39" s="41">
        <v>1532</v>
      </c>
    </row>
    <row r="40" spans="1:11" ht="15" customHeight="1" x14ac:dyDescent="0.25">
      <c r="A40" s="40" t="s">
        <v>2337</v>
      </c>
      <c r="B40" s="41">
        <v>10846</v>
      </c>
      <c r="C40" s="41">
        <v>502</v>
      </c>
      <c r="D40" s="41">
        <v>1450</v>
      </c>
      <c r="E40" s="41">
        <v>1865</v>
      </c>
      <c r="F40" s="41">
        <v>754</v>
      </c>
      <c r="G40" s="41">
        <v>1703</v>
      </c>
      <c r="H40" s="41">
        <v>555</v>
      </c>
      <c r="I40" s="41">
        <v>1435</v>
      </c>
      <c r="J40" s="41">
        <v>802</v>
      </c>
      <c r="K40" s="41">
        <v>1780</v>
      </c>
    </row>
    <row r="41" spans="1:11" ht="15" customHeight="1" x14ac:dyDescent="0.25">
      <c r="A41" s="40" t="s">
        <v>2338</v>
      </c>
      <c r="B41" s="41">
        <v>15230</v>
      </c>
      <c r="C41" s="41">
        <v>572</v>
      </c>
      <c r="D41" s="41">
        <v>1170</v>
      </c>
      <c r="E41" s="41">
        <v>1655</v>
      </c>
      <c r="F41" s="41">
        <v>962</v>
      </c>
      <c r="G41" s="41">
        <v>3584</v>
      </c>
      <c r="H41" s="41">
        <v>940</v>
      </c>
      <c r="I41" s="41">
        <v>2419</v>
      </c>
      <c r="J41" s="41">
        <v>981</v>
      </c>
      <c r="K41" s="41">
        <v>2948</v>
      </c>
    </row>
    <row r="42" spans="1:11" ht="15" customHeight="1" x14ac:dyDescent="0.25">
      <c r="A42" s="40" t="s">
        <v>2339</v>
      </c>
      <c r="B42" s="41">
        <v>13803</v>
      </c>
      <c r="C42" s="41">
        <v>485</v>
      </c>
      <c r="D42" s="41">
        <v>1560</v>
      </c>
      <c r="E42" s="41">
        <v>1942</v>
      </c>
      <c r="F42" s="41">
        <v>856</v>
      </c>
      <c r="G42" s="41">
        <v>2798</v>
      </c>
      <c r="H42" s="41">
        <v>1213</v>
      </c>
      <c r="I42" s="41">
        <v>2161</v>
      </c>
      <c r="J42" s="41">
        <v>804</v>
      </c>
      <c r="K42" s="41">
        <v>1984</v>
      </c>
    </row>
    <row r="43" spans="1:11" ht="15" customHeight="1" x14ac:dyDescent="0.25">
      <c r="A43" s="40" t="s">
        <v>2340</v>
      </c>
      <c r="B43" s="41">
        <v>7215</v>
      </c>
      <c r="C43" s="41">
        <v>343</v>
      </c>
      <c r="D43" s="41">
        <v>637</v>
      </c>
      <c r="E43" s="41">
        <v>1090</v>
      </c>
      <c r="F43" s="41">
        <v>405</v>
      </c>
      <c r="G43" s="41">
        <v>1919</v>
      </c>
      <c r="H43" s="41">
        <v>208</v>
      </c>
      <c r="I43" s="41">
        <v>1187</v>
      </c>
      <c r="J43" s="41">
        <v>419</v>
      </c>
      <c r="K43" s="41">
        <v>1007</v>
      </c>
    </row>
    <row r="44" spans="1:11" ht="15" customHeight="1" x14ac:dyDescent="0.25">
      <c r="A44" s="40" t="s">
        <v>2341</v>
      </c>
      <c r="B44" s="41">
        <v>6524</v>
      </c>
      <c r="C44" s="41" t="s">
        <v>2312</v>
      </c>
      <c r="D44" s="41">
        <v>267</v>
      </c>
      <c r="E44" s="41">
        <v>860</v>
      </c>
      <c r="F44" s="41">
        <v>375</v>
      </c>
      <c r="G44" s="41">
        <v>1923</v>
      </c>
      <c r="H44" s="41">
        <v>312</v>
      </c>
      <c r="I44" s="41">
        <v>605</v>
      </c>
      <c r="J44" s="41">
        <v>667</v>
      </c>
      <c r="K44" s="41" t="s">
        <v>2312</v>
      </c>
    </row>
    <row r="45" spans="1:11" ht="15" customHeight="1" x14ac:dyDescent="0.25">
      <c r="A45" s="40" t="s">
        <v>2342</v>
      </c>
      <c r="B45" s="41">
        <v>5723</v>
      </c>
      <c r="C45" s="41">
        <v>217</v>
      </c>
      <c r="D45" s="41">
        <v>685</v>
      </c>
      <c r="E45" s="41">
        <v>672</v>
      </c>
      <c r="F45" s="41">
        <v>325</v>
      </c>
      <c r="G45" s="41">
        <v>1725</v>
      </c>
      <c r="H45" s="41">
        <v>212</v>
      </c>
      <c r="I45" s="41">
        <v>765</v>
      </c>
      <c r="J45" s="41">
        <v>329</v>
      </c>
      <c r="K45" s="41">
        <v>793</v>
      </c>
    </row>
    <row r="46" spans="1:11" ht="24" customHeight="1" x14ac:dyDescent="0.25">
      <c r="A46" s="43" t="s">
        <v>2343</v>
      </c>
      <c r="B46" s="39" t="s">
        <v>28</v>
      </c>
      <c r="C46" s="39" t="s">
        <v>28</v>
      </c>
      <c r="D46" s="39" t="s">
        <v>28</v>
      </c>
      <c r="E46" s="39" t="s">
        <v>28</v>
      </c>
      <c r="F46" s="39" t="s">
        <v>28</v>
      </c>
      <c r="G46" s="39" t="s">
        <v>28</v>
      </c>
      <c r="H46" s="39" t="s">
        <v>28</v>
      </c>
      <c r="I46" s="39" t="s">
        <v>28</v>
      </c>
      <c r="J46" s="39" t="s">
        <v>28</v>
      </c>
      <c r="K46" s="39" t="s">
        <v>28</v>
      </c>
    </row>
    <row r="47" spans="1:11" ht="15" customHeight="1" x14ac:dyDescent="0.25">
      <c r="A47" s="40" t="s">
        <v>2344</v>
      </c>
      <c r="B47" s="41">
        <v>39809</v>
      </c>
      <c r="C47" s="41">
        <v>1083</v>
      </c>
      <c r="D47" s="41">
        <v>2782</v>
      </c>
      <c r="E47" s="41">
        <v>4975</v>
      </c>
      <c r="F47" s="41">
        <v>2677</v>
      </c>
      <c r="G47" s="41">
        <v>9191</v>
      </c>
      <c r="H47" s="41">
        <v>2639</v>
      </c>
      <c r="I47" s="41">
        <v>6702</v>
      </c>
      <c r="J47" s="41">
        <v>2575</v>
      </c>
      <c r="K47" s="41">
        <v>7186</v>
      </c>
    </row>
    <row r="48" spans="1:11" ht="15" customHeight="1" x14ac:dyDescent="0.25">
      <c r="A48" s="44" t="s">
        <v>2345</v>
      </c>
      <c r="B48" s="41">
        <v>20206</v>
      </c>
      <c r="C48" s="41">
        <v>1281</v>
      </c>
      <c r="D48" s="41">
        <v>2816</v>
      </c>
      <c r="E48" s="41">
        <v>3206</v>
      </c>
      <c r="F48" s="41">
        <v>1661</v>
      </c>
      <c r="G48" s="41">
        <v>3825</v>
      </c>
      <c r="H48" s="41">
        <v>1084</v>
      </c>
      <c r="I48" s="41">
        <v>2063</v>
      </c>
      <c r="J48" s="41">
        <v>1153</v>
      </c>
      <c r="K48" s="41">
        <v>3116</v>
      </c>
    </row>
    <row r="49" spans="1:11" ht="15" customHeight="1" x14ac:dyDescent="0.25">
      <c r="A49" s="44" t="s">
        <v>2346</v>
      </c>
      <c r="B49" s="41">
        <v>8140</v>
      </c>
      <c r="C49" s="41">
        <v>965</v>
      </c>
      <c r="D49" s="41">
        <v>1456</v>
      </c>
      <c r="E49" s="41">
        <v>1708</v>
      </c>
      <c r="F49" s="41">
        <v>899</v>
      </c>
      <c r="G49" s="41">
        <v>992</v>
      </c>
      <c r="H49" s="41">
        <v>344</v>
      </c>
      <c r="I49" s="41">
        <v>692</v>
      </c>
      <c r="J49" s="41">
        <v>274</v>
      </c>
      <c r="K49" s="41">
        <v>809</v>
      </c>
    </row>
    <row r="50" spans="1:11" ht="15" customHeight="1" x14ac:dyDescent="0.25">
      <c r="A50" s="40" t="s">
        <v>2347</v>
      </c>
      <c r="B50" s="41">
        <v>13535</v>
      </c>
      <c r="C50" s="41">
        <v>782</v>
      </c>
      <c r="D50" s="41">
        <v>2626</v>
      </c>
      <c r="E50" s="41">
        <v>2085</v>
      </c>
      <c r="F50" s="41">
        <v>829</v>
      </c>
      <c r="G50" s="41">
        <v>2913</v>
      </c>
      <c r="H50" s="41">
        <v>705</v>
      </c>
      <c r="I50" s="41">
        <v>1396</v>
      </c>
      <c r="J50" s="41">
        <v>498</v>
      </c>
      <c r="K50" s="41">
        <v>1700</v>
      </c>
    </row>
    <row r="51" spans="1:11" ht="15" customHeight="1" x14ac:dyDescent="0.25">
      <c r="A51" s="44" t="s">
        <v>2348</v>
      </c>
      <c r="B51" s="41">
        <v>5404</v>
      </c>
      <c r="C51" s="41" t="s">
        <v>2312</v>
      </c>
      <c r="D51" s="41">
        <v>1552</v>
      </c>
      <c r="E51" s="41">
        <v>767</v>
      </c>
      <c r="F51" s="41" t="s">
        <v>2312</v>
      </c>
      <c r="G51" s="41">
        <v>1061</v>
      </c>
      <c r="H51" s="41" t="s">
        <v>2312</v>
      </c>
      <c r="I51" s="41">
        <v>541</v>
      </c>
      <c r="J51" s="41" t="s">
        <v>2312</v>
      </c>
      <c r="K51" s="41">
        <v>568</v>
      </c>
    </row>
    <row r="52" spans="1:11" ht="33.950000000000003" customHeight="1" x14ac:dyDescent="0.25">
      <c r="A52" s="43" t="s">
        <v>2349</v>
      </c>
      <c r="B52" s="39" t="s">
        <v>28</v>
      </c>
      <c r="C52" s="39" t="s">
        <v>28</v>
      </c>
      <c r="D52" s="39" t="s">
        <v>28</v>
      </c>
      <c r="E52" s="39" t="s">
        <v>28</v>
      </c>
      <c r="F52" s="39" t="s">
        <v>28</v>
      </c>
      <c r="G52" s="39" t="s">
        <v>28</v>
      </c>
      <c r="H52" s="39" t="s">
        <v>28</v>
      </c>
      <c r="I52" s="39" t="s">
        <v>28</v>
      </c>
      <c r="J52" s="39" t="s">
        <v>28</v>
      </c>
      <c r="K52" s="39" t="s">
        <v>28</v>
      </c>
    </row>
    <row r="53" spans="1:11" ht="15" customHeight="1" x14ac:dyDescent="0.25">
      <c r="A53" s="40" t="s">
        <v>2350</v>
      </c>
      <c r="B53" s="41">
        <v>32120</v>
      </c>
      <c r="C53" s="41">
        <v>1857</v>
      </c>
      <c r="D53" s="41">
        <v>6054</v>
      </c>
      <c r="E53" s="41">
        <v>5439</v>
      </c>
      <c r="F53" s="41">
        <v>2115</v>
      </c>
      <c r="G53" s="41">
        <v>6484</v>
      </c>
      <c r="H53" s="41">
        <v>1236</v>
      </c>
      <c r="I53" s="41">
        <v>3302</v>
      </c>
      <c r="J53" s="41">
        <v>1700</v>
      </c>
      <c r="K53" s="41">
        <v>3932</v>
      </c>
    </row>
    <row r="54" spans="1:11" ht="15" customHeight="1" x14ac:dyDescent="0.25">
      <c r="A54" s="44" t="s">
        <v>2351</v>
      </c>
      <c r="B54" s="41" t="s">
        <v>28</v>
      </c>
      <c r="C54" s="41" t="s">
        <v>28</v>
      </c>
      <c r="D54" s="41" t="s">
        <v>28</v>
      </c>
      <c r="E54" s="41" t="s">
        <v>28</v>
      </c>
      <c r="F54" s="41" t="s">
        <v>28</v>
      </c>
      <c r="G54" s="41" t="s">
        <v>28</v>
      </c>
      <c r="H54" s="41" t="s">
        <v>28</v>
      </c>
      <c r="I54" s="41" t="s">
        <v>28</v>
      </c>
      <c r="J54" s="41" t="s">
        <v>28</v>
      </c>
      <c r="K54" s="41" t="s">
        <v>28</v>
      </c>
    </row>
    <row r="55" spans="1:11" ht="15" customHeight="1" x14ac:dyDescent="0.25">
      <c r="A55" s="42" t="s">
        <v>2344</v>
      </c>
      <c r="B55" s="41">
        <v>11158</v>
      </c>
      <c r="C55" s="41">
        <v>944</v>
      </c>
      <c r="D55" s="41">
        <v>1636</v>
      </c>
      <c r="E55" s="41">
        <v>2252</v>
      </c>
      <c r="F55" s="41">
        <v>968</v>
      </c>
      <c r="G55" s="41">
        <v>1948</v>
      </c>
      <c r="H55" s="41">
        <v>440</v>
      </c>
      <c r="I55" s="41">
        <v>1277</v>
      </c>
      <c r="J55" s="41">
        <v>486</v>
      </c>
      <c r="K55" s="41">
        <v>1207</v>
      </c>
    </row>
    <row r="56" spans="1:11" ht="15" customHeight="1" x14ac:dyDescent="0.25">
      <c r="A56" s="42" t="s">
        <v>2352</v>
      </c>
      <c r="B56" s="41">
        <v>12817</v>
      </c>
      <c r="C56" s="41">
        <v>713</v>
      </c>
      <c r="D56" s="41">
        <v>2432</v>
      </c>
      <c r="E56" s="41">
        <v>1993</v>
      </c>
      <c r="F56" s="41">
        <v>788</v>
      </c>
      <c r="G56" s="41">
        <v>2839</v>
      </c>
      <c r="H56" s="41">
        <v>476</v>
      </c>
      <c r="I56" s="41">
        <v>1295</v>
      </c>
      <c r="J56" s="41">
        <v>563</v>
      </c>
      <c r="K56" s="41">
        <v>1718</v>
      </c>
    </row>
    <row r="57" spans="1:11" ht="15" customHeight="1" x14ac:dyDescent="0.25">
      <c r="A57" s="42" t="s">
        <v>2353</v>
      </c>
      <c r="B57" s="41">
        <v>8145</v>
      </c>
      <c r="C57" s="41">
        <v>200</v>
      </c>
      <c r="D57" s="41">
        <v>1986</v>
      </c>
      <c r="E57" s="41">
        <v>1195</v>
      </c>
      <c r="F57" s="41">
        <v>359</v>
      </c>
      <c r="G57" s="41">
        <v>1697</v>
      </c>
      <c r="H57" s="41">
        <v>320</v>
      </c>
      <c r="I57" s="41">
        <v>730</v>
      </c>
      <c r="J57" s="41">
        <v>651</v>
      </c>
      <c r="K57" s="41">
        <v>1007</v>
      </c>
    </row>
    <row r="58" spans="1:11" ht="15" customHeight="1" x14ac:dyDescent="0.25">
      <c r="A58" s="44" t="s">
        <v>2354</v>
      </c>
      <c r="B58" s="41">
        <v>3654</v>
      </c>
      <c r="C58" s="41" t="s">
        <v>2312</v>
      </c>
      <c r="D58" s="41">
        <v>785</v>
      </c>
      <c r="E58" s="41">
        <v>731</v>
      </c>
      <c r="F58" s="41" t="s">
        <v>2312</v>
      </c>
      <c r="G58" s="41">
        <v>646</v>
      </c>
      <c r="H58" s="41" t="s">
        <v>2312</v>
      </c>
      <c r="I58" s="41">
        <v>283</v>
      </c>
      <c r="J58" s="41" t="s">
        <v>2312</v>
      </c>
      <c r="K58" s="41">
        <v>461</v>
      </c>
    </row>
    <row r="59" spans="1:11" ht="24" customHeight="1" x14ac:dyDescent="0.25">
      <c r="A59" s="43" t="s">
        <v>2355</v>
      </c>
      <c r="B59" s="39" t="s">
        <v>28</v>
      </c>
      <c r="C59" s="39" t="s">
        <v>28</v>
      </c>
      <c r="D59" s="39" t="s">
        <v>28</v>
      </c>
      <c r="E59" s="39" t="s">
        <v>28</v>
      </c>
      <c r="F59" s="39" t="s">
        <v>28</v>
      </c>
      <c r="G59" s="39" t="s">
        <v>28</v>
      </c>
      <c r="H59" s="39" t="s">
        <v>28</v>
      </c>
      <c r="I59" s="39" t="s">
        <v>28</v>
      </c>
      <c r="J59" s="39" t="s">
        <v>28</v>
      </c>
      <c r="K59" s="39" t="s">
        <v>28</v>
      </c>
    </row>
    <row r="60" spans="1:11" ht="15" customHeight="1" x14ac:dyDescent="0.25">
      <c r="A60" s="40" t="s">
        <v>2356</v>
      </c>
      <c r="B60" s="45">
        <v>17751</v>
      </c>
      <c r="C60" s="45">
        <v>1017</v>
      </c>
      <c r="D60" s="45">
        <v>1675</v>
      </c>
      <c r="E60" s="45">
        <v>2663</v>
      </c>
      <c r="F60" s="45">
        <v>1623</v>
      </c>
      <c r="G60" s="45">
        <v>3033</v>
      </c>
      <c r="H60" s="45">
        <v>1266</v>
      </c>
      <c r="I60" s="45">
        <v>3037</v>
      </c>
      <c r="J60" s="45">
        <v>968</v>
      </c>
      <c r="K60" s="45">
        <v>2470</v>
      </c>
    </row>
    <row r="61" spans="1:11" ht="15" customHeight="1" x14ac:dyDescent="0.25">
      <c r="A61" s="44" t="s">
        <v>2357</v>
      </c>
      <c r="B61" s="45">
        <v>8973</v>
      </c>
      <c r="C61" s="45">
        <v>496</v>
      </c>
      <c r="D61" s="45">
        <v>786</v>
      </c>
      <c r="E61" s="45">
        <v>1110</v>
      </c>
      <c r="F61" s="45">
        <v>800</v>
      </c>
      <c r="G61" s="45">
        <v>1751</v>
      </c>
      <c r="H61" s="45">
        <v>491</v>
      </c>
      <c r="I61" s="45">
        <v>1312</v>
      </c>
      <c r="J61" s="45">
        <v>565</v>
      </c>
      <c r="K61" s="45">
        <v>1662</v>
      </c>
    </row>
    <row r="62" spans="1:11" ht="15" customHeight="1" x14ac:dyDescent="0.25">
      <c r="A62" s="44" t="s">
        <v>2358</v>
      </c>
      <c r="B62" s="45">
        <v>9623</v>
      </c>
      <c r="C62" s="45">
        <v>439</v>
      </c>
      <c r="D62" s="45">
        <v>951</v>
      </c>
      <c r="E62" s="45">
        <v>1232</v>
      </c>
      <c r="F62" s="45">
        <v>648</v>
      </c>
      <c r="G62" s="45">
        <v>1935</v>
      </c>
      <c r="H62" s="45">
        <v>573</v>
      </c>
      <c r="I62" s="45">
        <v>1307</v>
      </c>
      <c r="J62" s="45">
        <v>560</v>
      </c>
      <c r="K62" s="45">
        <v>1978</v>
      </c>
    </row>
    <row r="63" spans="1:11" ht="15" customHeight="1" x14ac:dyDescent="0.25">
      <c r="A63" s="40" t="s">
        <v>2359</v>
      </c>
      <c r="B63" s="45">
        <v>14514</v>
      </c>
      <c r="C63" s="45">
        <v>546</v>
      </c>
      <c r="D63" s="45">
        <v>1358</v>
      </c>
      <c r="E63" s="45">
        <v>2270</v>
      </c>
      <c r="F63" s="45">
        <v>1102</v>
      </c>
      <c r="G63" s="45">
        <v>3001</v>
      </c>
      <c r="H63" s="45">
        <v>964</v>
      </c>
      <c r="I63" s="45">
        <v>1646</v>
      </c>
      <c r="J63" s="45">
        <v>858</v>
      </c>
      <c r="K63" s="45">
        <v>2771</v>
      </c>
    </row>
    <row r="64" spans="1:11" ht="15" customHeight="1" x14ac:dyDescent="0.25">
      <c r="A64" s="44" t="s">
        <v>2360</v>
      </c>
      <c r="B64" s="45">
        <v>13476</v>
      </c>
      <c r="C64" s="45">
        <v>657</v>
      </c>
      <c r="D64" s="45">
        <v>1728</v>
      </c>
      <c r="E64" s="45">
        <v>2147</v>
      </c>
      <c r="F64" s="45">
        <v>614</v>
      </c>
      <c r="G64" s="45">
        <v>3490</v>
      </c>
      <c r="H64" s="45">
        <v>764</v>
      </c>
      <c r="I64" s="45">
        <v>1821</v>
      </c>
      <c r="J64" s="45">
        <v>597</v>
      </c>
      <c r="K64" s="45">
        <v>1657</v>
      </c>
    </row>
    <row r="65" spans="1:11" ht="15" customHeight="1" x14ac:dyDescent="0.25">
      <c r="A65" s="44" t="s">
        <v>2361</v>
      </c>
      <c r="B65" s="45">
        <v>10941</v>
      </c>
      <c r="C65" s="45">
        <v>686</v>
      </c>
      <c r="D65" s="45">
        <v>1843</v>
      </c>
      <c r="E65" s="45">
        <v>1548</v>
      </c>
      <c r="F65" s="45">
        <v>766</v>
      </c>
      <c r="G65" s="45">
        <v>2622</v>
      </c>
      <c r="H65" s="45">
        <v>447</v>
      </c>
      <c r="I65" s="45">
        <v>1094</v>
      </c>
      <c r="J65" s="45">
        <v>689</v>
      </c>
      <c r="K65" s="45">
        <v>1246</v>
      </c>
    </row>
    <row r="66" spans="1:11" ht="15" customHeight="1" x14ac:dyDescent="0.25">
      <c r="A66" s="44" t="s">
        <v>2362</v>
      </c>
      <c r="B66" s="45">
        <v>11815</v>
      </c>
      <c r="C66" s="45">
        <v>460</v>
      </c>
      <c r="D66" s="45">
        <v>2892</v>
      </c>
      <c r="E66" s="45">
        <v>1771</v>
      </c>
      <c r="F66" s="45">
        <v>626</v>
      </c>
      <c r="G66" s="45">
        <v>2150</v>
      </c>
      <c r="H66" s="45">
        <v>399</v>
      </c>
      <c r="I66" s="45">
        <v>1178</v>
      </c>
      <c r="J66" s="45">
        <v>745</v>
      </c>
      <c r="K66" s="45">
        <v>1595</v>
      </c>
    </row>
    <row r="67" spans="1:11" ht="24" customHeight="1" x14ac:dyDescent="0.25">
      <c r="A67" s="43" t="s">
        <v>2363</v>
      </c>
      <c r="B67" s="46" t="s">
        <v>28</v>
      </c>
      <c r="C67" s="46" t="s">
        <v>28</v>
      </c>
      <c r="D67" s="46" t="s">
        <v>28</v>
      </c>
      <c r="E67" s="46" t="s">
        <v>28</v>
      </c>
      <c r="F67" s="46" t="s">
        <v>28</v>
      </c>
      <c r="G67" s="46" t="s">
        <v>28</v>
      </c>
      <c r="H67" s="46" t="s">
        <v>28</v>
      </c>
      <c r="I67" s="46" t="s">
        <v>28</v>
      </c>
      <c r="J67" s="46" t="s">
        <v>28</v>
      </c>
      <c r="K67" s="46" t="s">
        <v>28</v>
      </c>
    </row>
    <row r="68" spans="1:11" ht="15" customHeight="1" x14ac:dyDescent="0.25">
      <c r="A68" s="40" t="s">
        <v>2364</v>
      </c>
      <c r="B68" s="45">
        <v>8220</v>
      </c>
      <c r="C68" s="45">
        <v>392</v>
      </c>
      <c r="D68" s="45">
        <v>781</v>
      </c>
      <c r="E68" s="45">
        <v>1329</v>
      </c>
      <c r="F68" s="45">
        <v>697</v>
      </c>
      <c r="G68" s="45">
        <v>1161</v>
      </c>
      <c r="H68" s="45">
        <v>698</v>
      </c>
      <c r="I68" s="45">
        <v>1648</v>
      </c>
      <c r="J68" s="45">
        <v>564</v>
      </c>
      <c r="K68" s="45">
        <v>950</v>
      </c>
    </row>
    <row r="69" spans="1:11" ht="15" customHeight="1" x14ac:dyDescent="0.25">
      <c r="A69" s="44" t="s">
        <v>2365</v>
      </c>
      <c r="B69" s="45">
        <v>15828</v>
      </c>
      <c r="C69" s="45">
        <v>830</v>
      </c>
      <c r="D69" s="45">
        <v>1531</v>
      </c>
      <c r="E69" s="45">
        <v>1988</v>
      </c>
      <c r="F69" s="45">
        <v>1060</v>
      </c>
      <c r="G69" s="45">
        <v>2901</v>
      </c>
      <c r="H69" s="45">
        <v>1269</v>
      </c>
      <c r="I69" s="45">
        <v>2618</v>
      </c>
      <c r="J69" s="45">
        <v>896</v>
      </c>
      <c r="K69" s="45">
        <v>2734</v>
      </c>
    </row>
    <row r="70" spans="1:11" ht="15" customHeight="1" x14ac:dyDescent="0.25">
      <c r="A70" s="44" t="s">
        <v>2366</v>
      </c>
      <c r="B70" s="45">
        <v>20529</v>
      </c>
      <c r="C70" s="45">
        <v>910</v>
      </c>
      <c r="D70" s="45">
        <v>2435</v>
      </c>
      <c r="E70" s="45">
        <v>2736</v>
      </c>
      <c r="F70" s="45">
        <v>1636</v>
      </c>
      <c r="G70" s="45">
        <v>5097</v>
      </c>
      <c r="H70" s="45">
        <v>876</v>
      </c>
      <c r="I70" s="45">
        <v>2522</v>
      </c>
      <c r="J70" s="45">
        <v>1161</v>
      </c>
      <c r="K70" s="45">
        <v>3158</v>
      </c>
    </row>
    <row r="71" spans="1:11" ht="15" customHeight="1" x14ac:dyDescent="0.25">
      <c r="A71" s="40" t="s">
        <v>2367</v>
      </c>
      <c r="B71" s="45">
        <v>15867</v>
      </c>
      <c r="C71" s="45">
        <v>984</v>
      </c>
      <c r="D71" s="45">
        <v>2329</v>
      </c>
      <c r="E71" s="45">
        <v>2591</v>
      </c>
      <c r="F71" s="45">
        <v>1037</v>
      </c>
      <c r="G71" s="45">
        <v>3459</v>
      </c>
      <c r="H71" s="45">
        <v>476</v>
      </c>
      <c r="I71" s="45">
        <v>1339</v>
      </c>
      <c r="J71" s="45">
        <v>807</v>
      </c>
      <c r="K71" s="45">
        <v>2844</v>
      </c>
    </row>
    <row r="72" spans="1:11" ht="15" customHeight="1" x14ac:dyDescent="0.25">
      <c r="A72" s="44" t="s">
        <v>2368</v>
      </c>
      <c r="B72" s="45">
        <v>9395</v>
      </c>
      <c r="C72" s="45">
        <v>530</v>
      </c>
      <c r="D72" s="45">
        <v>1351</v>
      </c>
      <c r="E72" s="45">
        <v>1606</v>
      </c>
      <c r="F72" s="45">
        <v>821</v>
      </c>
      <c r="G72" s="45">
        <v>1846</v>
      </c>
      <c r="H72" s="45">
        <v>503</v>
      </c>
      <c r="I72" s="45">
        <v>789</v>
      </c>
      <c r="J72" s="45">
        <v>409</v>
      </c>
      <c r="K72" s="45">
        <v>1539</v>
      </c>
    </row>
    <row r="73" spans="1:11" ht="15" customHeight="1" x14ac:dyDescent="0.25">
      <c r="A73" s="44" t="s">
        <v>2369</v>
      </c>
      <c r="B73" s="41">
        <v>17253</v>
      </c>
      <c r="C73" s="41">
        <v>655</v>
      </c>
      <c r="D73" s="41">
        <v>2806</v>
      </c>
      <c r="E73" s="41">
        <v>2491</v>
      </c>
      <c r="F73" s="41">
        <v>927</v>
      </c>
      <c r="G73" s="41">
        <v>3518</v>
      </c>
      <c r="H73" s="41">
        <v>1082</v>
      </c>
      <c r="I73" s="41">
        <v>2477</v>
      </c>
      <c r="J73" s="41">
        <v>1144</v>
      </c>
      <c r="K73" s="41">
        <v>2155</v>
      </c>
    </row>
    <row r="74" spans="1:11" ht="24" customHeight="1" x14ac:dyDescent="0.25">
      <c r="A74" s="43" t="s">
        <v>2370</v>
      </c>
      <c r="B74" s="46" t="s">
        <v>28</v>
      </c>
      <c r="C74" s="46" t="s">
        <v>28</v>
      </c>
      <c r="D74" s="46" t="s">
        <v>28</v>
      </c>
      <c r="E74" s="46" t="s">
        <v>28</v>
      </c>
      <c r="F74" s="46" t="s">
        <v>28</v>
      </c>
      <c r="G74" s="46" t="s">
        <v>28</v>
      </c>
      <c r="H74" s="46" t="s">
        <v>28</v>
      </c>
      <c r="I74" s="46" t="s">
        <v>28</v>
      </c>
      <c r="J74" s="46" t="s">
        <v>28</v>
      </c>
      <c r="K74" s="46" t="s">
        <v>28</v>
      </c>
    </row>
    <row r="75" spans="1:11" ht="15" customHeight="1" x14ac:dyDescent="0.25">
      <c r="A75" s="40" t="s">
        <v>2371</v>
      </c>
      <c r="B75" s="45">
        <v>67550</v>
      </c>
      <c r="C75" s="45">
        <v>3314</v>
      </c>
      <c r="D75" s="45">
        <v>8599</v>
      </c>
      <c r="E75" s="45">
        <v>9494</v>
      </c>
      <c r="F75" s="45">
        <v>4683</v>
      </c>
      <c r="G75" s="45">
        <v>14128</v>
      </c>
      <c r="H75" s="45">
        <v>3498</v>
      </c>
      <c r="I75" s="45">
        <v>8815</v>
      </c>
      <c r="J75" s="45">
        <v>3633</v>
      </c>
      <c r="K75" s="45">
        <v>11386</v>
      </c>
    </row>
    <row r="76" spans="1:11" ht="15" customHeight="1" x14ac:dyDescent="0.25">
      <c r="A76" s="42" t="s">
        <v>2372</v>
      </c>
      <c r="B76" s="45">
        <v>30637</v>
      </c>
      <c r="C76" s="45">
        <v>1499</v>
      </c>
      <c r="D76" s="45">
        <v>3954</v>
      </c>
      <c r="E76" s="45">
        <v>4649</v>
      </c>
      <c r="F76" s="45">
        <v>2690</v>
      </c>
      <c r="G76" s="45">
        <v>5746</v>
      </c>
      <c r="H76" s="45">
        <v>1975</v>
      </c>
      <c r="I76" s="45">
        <v>4397</v>
      </c>
      <c r="J76" s="45">
        <v>1539</v>
      </c>
      <c r="K76" s="45">
        <v>4187</v>
      </c>
    </row>
    <row r="77" spans="1:11" ht="15" customHeight="1" x14ac:dyDescent="0.25">
      <c r="A77" s="42" t="s">
        <v>2373</v>
      </c>
      <c r="B77" s="45">
        <v>26115</v>
      </c>
      <c r="C77" s="45">
        <v>1111</v>
      </c>
      <c r="D77" s="45">
        <v>3319</v>
      </c>
      <c r="E77" s="45">
        <v>3356</v>
      </c>
      <c r="F77" s="45">
        <v>1364</v>
      </c>
      <c r="G77" s="45">
        <v>5971</v>
      </c>
      <c r="H77" s="45">
        <v>1111</v>
      </c>
      <c r="I77" s="45">
        <v>3023</v>
      </c>
      <c r="J77" s="45">
        <v>1394</v>
      </c>
      <c r="K77" s="45">
        <v>5466</v>
      </c>
    </row>
    <row r="78" spans="1:11" ht="15" customHeight="1" x14ac:dyDescent="0.25">
      <c r="A78" s="42" t="s">
        <v>2374</v>
      </c>
      <c r="B78" s="45">
        <v>8873</v>
      </c>
      <c r="C78" s="45">
        <v>604</v>
      </c>
      <c r="D78" s="45">
        <v>1182</v>
      </c>
      <c r="E78" s="45">
        <v>1246</v>
      </c>
      <c r="F78" s="45">
        <v>521</v>
      </c>
      <c r="G78" s="45">
        <v>2071</v>
      </c>
      <c r="H78" s="45">
        <v>330</v>
      </c>
      <c r="I78" s="45">
        <v>840</v>
      </c>
      <c r="J78" s="45">
        <v>532</v>
      </c>
      <c r="K78" s="45">
        <v>1546</v>
      </c>
    </row>
    <row r="79" spans="1:11" ht="15" customHeight="1" x14ac:dyDescent="0.25">
      <c r="A79" s="42" t="s">
        <v>2375</v>
      </c>
      <c r="B79" s="45">
        <v>1925</v>
      </c>
      <c r="C79" s="45" t="s">
        <v>2312</v>
      </c>
      <c r="D79" s="45" t="s">
        <v>2312</v>
      </c>
      <c r="E79" s="45" t="s">
        <v>2312</v>
      </c>
      <c r="F79" s="45" t="s">
        <v>2312</v>
      </c>
      <c r="G79" s="45">
        <v>338</v>
      </c>
      <c r="H79" s="45" t="s">
        <v>2312</v>
      </c>
      <c r="I79" s="45">
        <v>555</v>
      </c>
      <c r="J79" s="45" t="s">
        <v>2312</v>
      </c>
      <c r="K79" s="45">
        <v>187</v>
      </c>
    </row>
    <row r="80" spans="1:11" ht="15" customHeight="1" x14ac:dyDescent="0.25">
      <c r="A80" s="44" t="s">
        <v>2376</v>
      </c>
      <c r="B80" s="45">
        <v>19543</v>
      </c>
      <c r="C80" s="45">
        <v>988</v>
      </c>
      <c r="D80" s="45">
        <v>2634</v>
      </c>
      <c r="E80" s="45">
        <v>3247</v>
      </c>
      <c r="F80" s="45">
        <v>1495</v>
      </c>
      <c r="G80" s="45">
        <v>3853</v>
      </c>
      <c r="H80" s="45">
        <v>1406</v>
      </c>
      <c r="I80" s="45">
        <v>2580</v>
      </c>
      <c r="J80" s="45">
        <v>1348</v>
      </c>
      <c r="K80" s="45">
        <v>1993</v>
      </c>
    </row>
    <row r="81" spans="1:11" ht="15" customHeight="1" x14ac:dyDescent="0.25">
      <c r="A81" s="42" t="s">
        <v>2377</v>
      </c>
      <c r="B81" s="45">
        <v>1573</v>
      </c>
      <c r="C81" s="45" t="s">
        <v>2312</v>
      </c>
      <c r="D81" s="45" t="s">
        <v>2312</v>
      </c>
      <c r="E81" s="45" t="s">
        <v>2312</v>
      </c>
      <c r="F81" s="45" t="s">
        <v>2312</v>
      </c>
      <c r="G81" s="45">
        <v>666</v>
      </c>
      <c r="H81" s="45" t="s">
        <v>2312</v>
      </c>
      <c r="I81" s="45" t="s">
        <v>2312</v>
      </c>
      <c r="J81" s="45" t="s">
        <v>2312</v>
      </c>
      <c r="K81" s="45" t="s">
        <v>2312</v>
      </c>
    </row>
    <row r="82" spans="1:11" ht="15" customHeight="1" x14ac:dyDescent="0.25">
      <c r="A82" s="42" t="s">
        <v>238</v>
      </c>
      <c r="B82" s="45">
        <v>5539</v>
      </c>
      <c r="C82" s="45" t="s">
        <v>2312</v>
      </c>
      <c r="D82" s="45">
        <v>948</v>
      </c>
      <c r="E82" s="45">
        <v>780</v>
      </c>
      <c r="F82" s="45" t="s">
        <v>2312</v>
      </c>
      <c r="G82" s="45">
        <v>715</v>
      </c>
      <c r="H82" s="45" t="s">
        <v>2312</v>
      </c>
      <c r="I82" s="45">
        <v>660</v>
      </c>
      <c r="J82" s="45">
        <v>502</v>
      </c>
      <c r="K82" s="45">
        <v>620</v>
      </c>
    </row>
    <row r="83" spans="1:11" ht="15" customHeight="1" x14ac:dyDescent="0.25">
      <c r="A83" s="42" t="s">
        <v>2378</v>
      </c>
      <c r="B83" s="45">
        <v>12431</v>
      </c>
      <c r="C83" s="45">
        <v>752</v>
      </c>
      <c r="D83" s="45">
        <v>1461</v>
      </c>
      <c r="E83" s="45">
        <v>2262</v>
      </c>
      <c r="F83" s="45">
        <v>1048</v>
      </c>
      <c r="G83" s="45">
        <v>2472</v>
      </c>
      <c r="H83" s="45">
        <v>580</v>
      </c>
      <c r="I83" s="45">
        <v>1840</v>
      </c>
      <c r="J83" s="45">
        <v>766</v>
      </c>
      <c r="K83" s="45">
        <v>1249</v>
      </c>
    </row>
    <row r="84" spans="1:11" ht="45.95" customHeight="1" x14ac:dyDescent="0.25">
      <c r="A84" s="43" t="s">
        <v>2379</v>
      </c>
      <c r="B84" s="46" t="s">
        <v>28</v>
      </c>
      <c r="C84" s="46" t="s">
        <v>28</v>
      </c>
      <c r="D84" s="46" t="s">
        <v>28</v>
      </c>
      <c r="E84" s="46" t="s">
        <v>28</v>
      </c>
      <c r="F84" s="46" t="s">
        <v>28</v>
      </c>
      <c r="G84" s="46" t="s">
        <v>28</v>
      </c>
      <c r="H84" s="46" t="s">
        <v>28</v>
      </c>
      <c r="I84" s="46" t="s">
        <v>28</v>
      </c>
      <c r="J84" s="46" t="s">
        <v>28</v>
      </c>
      <c r="K84" s="46" t="s">
        <v>28</v>
      </c>
    </row>
    <row r="85" spans="1:11" ht="15" customHeight="1" x14ac:dyDescent="0.25">
      <c r="A85" s="40" t="s">
        <v>2380</v>
      </c>
      <c r="B85" s="45">
        <v>73702</v>
      </c>
      <c r="C85" s="45">
        <v>3625</v>
      </c>
      <c r="D85" s="45">
        <v>9679</v>
      </c>
      <c r="E85" s="45">
        <v>11275</v>
      </c>
      <c r="F85" s="45">
        <v>5539</v>
      </c>
      <c r="G85" s="45">
        <v>14565</v>
      </c>
      <c r="H85" s="45">
        <v>4191</v>
      </c>
      <c r="I85" s="45">
        <v>10015</v>
      </c>
      <c r="J85" s="45">
        <v>4277</v>
      </c>
      <c r="K85" s="45">
        <v>10534</v>
      </c>
    </row>
    <row r="86" spans="1:11" ht="15" customHeight="1" x14ac:dyDescent="0.25">
      <c r="A86" s="44" t="s">
        <v>2381</v>
      </c>
      <c r="B86" s="45">
        <v>11309</v>
      </c>
      <c r="C86" s="45">
        <v>528</v>
      </c>
      <c r="D86" s="45">
        <v>1291</v>
      </c>
      <c r="E86" s="45">
        <v>1205</v>
      </c>
      <c r="F86" s="45">
        <v>518</v>
      </c>
      <c r="G86" s="45">
        <v>2840</v>
      </c>
      <c r="H86" s="45">
        <v>546</v>
      </c>
      <c r="I86" s="45">
        <v>1154</v>
      </c>
      <c r="J86" s="45">
        <v>625</v>
      </c>
      <c r="K86" s="45">
        <v>2600</v>
      </c>
    </row>
    <row r="87" spans="1:11" ht="15" customHeight="1" x14ac:dyDescent="0.25">
      <c r="A87" s="44" t="s">
        <v>2382</v>
      </c>
      <c r="B87" s="45">
        <v>1250</v>
      </c>
      <c r="C87" s="45" t="s">
        <v>2312</v>
      </c>
      <c r="D87" s="45" t="s">
        <v>2312</v>
      </c>
      <c r="E87" s="45" t="s">
        <v>2312</v>
      </c>
      <c r="F87" s="45" t="s">
        <v>2312</v>
      </c>
      <c r="G87" s="45">
        <v>377</v>
      </c>
      <c r="H87" s="45" t="s">
        <v>2312</v>
      </c>
      <c r="I87" s="45" t="s">
        <v>2312</v>
      </c>
      <c r="J87" s="45" t="s">
        <v>2312</v>
      </c>
      <c r="K87" s="45" t="s">
        <v>2312</v>
      </c>
    </row>
    <row r="88" spans="1:11" ht="15" customHeight="1" x14ac:dyDescent="0.25">
      <c r="A88" s="40" t="s">
        <v>2383</v>
      </c>
      <c r="B88" s="45">
        <v>832</v>
      </c>
      <c r="C88" s="45" t="s">
        <v>2312</v>
      </c>
      <c r="D88" s="45" t="s">
        <v>2312</v>
      </c>
      <c r="E88" s="45" t="s">
        <v>2312</v>
      </c>
      <c r="F88" s="45" t="s">
        <v>2312</v>
      </c>
      <c r="G88" s="45" t="s">
        <v>2312</v>
      </c>
      <c r="H88" s="45" t="s">
        <v>2312</v>
      </c>
      <c r="I88" s="45" t="s">
        <v>2312</v>
      </c>
      <c r="J88" s="45" t="s">
        <v>2312</v>
      </c>
      <c r="K88" s="45" t="s">
        <v>2312</v>
      </c>
    </row>
    <row r="89" spans="1:11" ht="33.950000000000003" customHeight="1" x14ac:dyDescent="0.25">
      <c r="A89" s="43" t="s">
        <v>2384</v>
      </c>
      <c r="B89" s="46" t="s">
        <v>28</v>
      </c>
      <c r="C89" s="46" t="s">
        <v>28</v>
      </c>
      <c r="D89" s="46" t="s">
        <v>28</v>
      </c>
      <c r="E89" s="46" t="s">
        <v>28</v>
      </c>
      <c r="F89" s="46" t="s">
        <v>28</v>
      </c>
      <c r="G89" s="46" t="s">
        <v>28</v>
      </c>
      <c r="H89" s="46" t="s">
        <v>28</v>
      </c>
      <c r="I89" s="46" t="s">
        <v>28</v>
      </c>
      <c r="J89" s="46" t="s">
        <v>28</v>
      </c>
      <c r="K89" s="46" t="s">
        <v>28</v>
      </c>
    </row>
    <row r="90" spans="1:11" ht="15" customHeight="1" x14ac:dyDescent="0.25">
      <c r="A90" s="40" t="s">
        <v>2380</v>
      </c>
      <c r="B90" s="45">
        <v>76271</v>
      </c>
      <c r="C90" s="45">
        <v>3714</v>
      </c>
      <c r="D90" s="45">
        <v>9853</v>
      </c>
      <c r="E90" s="45">
        <v>11466</v>
      </c>
      <c r="F90" s="45">
        <v>5693</v>
      </c>
      <c r="G90" s="45">
        <v>15171</v>
      </c>
      <c r="H90" s="45">
        <v>4330</v>
      </c>
      <c r="I90" s="45">
        <v>10301</v>
      </c>
      <c r="J90" s="45">
        <v>4490</v>
      </c>
      <c r="K90" s="45">
        <v>11252</v>
      </c>
    </row>
    <row r="91" spans="1:11" ht="15" customHeight="1" x14ac:dyDescent="0.25">
      <c r="A91" s="44" t="s">
        <v>2381</v>
      </c>
      <c r="B91" s="45">
        <v>8256</v>
      </c>
      <c r="C91" s="45">
        <v>429</v>
      </c>
      <c r="D91" s="45">
        <v>965</v>
      </c>
      <c r="E91" s="45">
        <v>917</v>
      </c>
      <c r="F91" s="45">
        <v>357</v>
      </c>
      <c r="G91" s="45">
        <v>2088</v>
      </c>
      <c r="H91" s="45">
        <v>384</v>
      </c>
      <c r="I91" s="45">
        <v>854</v>
      </c>
      <c r="J91" s="45">
        <v>394</v>
      </c>
      <c r="K91" s="45">
        <v>1869</v>
      </c>
    </row>
    <row r="92" spans="1:11" ht="15" customHeight="1" x14ac:dyDescent="0.25">
      <c r="A92" s="44" t="s">
        <v>2382</v>
      </c>
      <c r="B92" s="45">
        <v>880</v>
      </c>
      <c r="C92" s="45" t="s">
        <v>2312</v>
      </c>
      <c r="D92" s="45" t="s">
        <v>2312</v>
      </c>
      <c r="E92" s="45" t="s">
        <v>2312</v>
      </c>
      <c r="F92" s="45" t="s">
        <v>2312</v>
      </c>
      <c r="G92" s="45">
        <v>215</v>
      </c>
      <c r="H92" s="45" t="s">
        <v>2312</v>
      </c>
      <c r="I92" s="45" t="s">
        <v>2312</v>
      </c>
      <c r="J92" s="45" t="s">
        <v>2312</v>
      </c>
      <c r="K92" s="45" t="s">
        <v>2312</v>
      </c>
    </row>
    <row r="93" spans="1:11" ht="15" customHeight="1" x14ac:dyDescent="0.25">
      <c r="A93" s="40" t="s">
        <v>2383</v>
      </c>
      <c r="B93" s="45">
        <v>1686</v>
      </c>
      <c r="C93" s="45" t="s">
        <v>2312</v>
      </c>
      <c r="D93" s="45" t="s">
        <v>2312</v>
      </c>
      <c r="E93" s="45" t="s">
        <v>2312</v>
      </c>
      <c r="F93" s="45" t="s">
        <v>2312</v>
      </c>
      <c r="G93" s="45">
        <v>507</v>
      </c>
      <c r="H93" s="45" t="s">
        <v>2312</v>
      </c>
      <c r="I93" s="45" t="s">
        <v>2312</v>
      </c>
      <c r="J93" s="45" t="s">
        <v>2312</v>
      </c>
      <c r="K93" s="45" t="s">
        <v>2312</v>
      </c>
    </row>
    <row r="94" spans="1:11" ht="24" customHeight="1" x14ac:dyDescent="0.25">
      <c r="A94" s="43" t="s">
        <v>2385</v>
      </c>
      <c r="B94" s="46" t="s">
        <v>28</v>
      </c>
      <c r="C94" s="46" t="s">
        <v>28</v>
      </c>
      <c r="D94" s="46" t="s">
        <v>28</v>
      </c>
      <c r="E94" s="46" t="s">
        <v>28</v>
      </c>
      <c r="F94" s="46" t="s">
        <v>28</v>
      </c>
      <c r="G94" s="46" t="s">
        <v>28</v>
      </c>
      <c r="H94" s="46" t="s">
        <v>28</v>
      </c>
      <c r="I94" s="46" t="s">
        <v>28</v>
      </c>
      <c r="J94" s="46" t="s">
        <v>28</v>
      </c>
      <c r="K94" s="46" t="s">
        <v>28</v>
      </c>
    </row>
    <row r="95" spans="1:11" ht="15" customHeight="1" x14ac:dyDescent="0.25">
      <c r="A95" s="40" t="s">
        <v>2344</v>
      </c>
      <c r="B95" s="45">
        <v>54994</v>
      </c>
      <c r="C95" s="45">
        <v>2724</v>
      </c>
      <c r="D95" s="45">
        <v>6803</v>
      </c>
      <c r="E95" s="45">
        <v>8202</v>
      </c>
      <c r="F95" s="45">
        <v>4301</v>
      </c>
      <c r="G95" s="45">
        <v>10895</v>
      </c>
      <c r="H95" s="45">
        <v>3293</v>
      </c>
      <c r="I95" s="45">
        <v>7554</v>
      </c>
      <c r="J95" s="45">
        <v>2972</v>
      </c>
      <c r="K95" s="45">
        <v>8250</v>
      </c>
    </row>
    <row r="96" spans="1:11" ht="15" customHeight="1" x14ac:dyDescent="0.25">
      <c r="A96" s="44" t="s">
        <v>2386</v>
      </c>
      <c r="B96" s="45">
        <v>17756</v>
      </c>
      <c r="C96" s="45">
        <v>916</v>
      </c>
      <c r="D96" s="45">
        <v>2389</v>
      </c>
      <c r="E96" s="45">
        <v>2890</v>
      </c>
      <c r="F96" s="45">
        <v>1317</v>
      </c>
      <c r="G96" s="45">
        <v>3711</v>
      </c>
      <c r="H96" s="45">
        <v>1014</v>
      </c>
      <c r="I96" s="45">
        <v>1777</v>
      </c>
      <c r="J96" s="45">
        <v>1096</v>
      </c>
      <c r="K96" s="45">
        <v>2646</v>
      </c>
    </row>
    <row r="97" spans="1:11" ht="15" customHeight="1" x14ac:dyDescent="0.25">
      <c r="A97" s="44" t="s">
        <v>2387</v>
      </c>
      <c r="B97" s="45">
        <v>4425</v>
      </c>
      <c r="C97" s="45" t="s">
        <v>2312</v>
      </c>
      <c r="D97" s="45">
        <v>611</v>
      </c>
      <c r="E97" s="45">
        <v>583</v>
      </c>
      <c r="F97" s="45" t="s">
        <v>2312</v>
      </c>
      <c r="G97" s="45">
        <v>1007</v>
      </c>
      <c r="H97" s="45" t="s">
        <v>2312</v>
      </c>
      <c r="I97" s="45">
        <v>551</v>
      </c>
      <c r="J97" s="45" t="s">
        <v>2312</v>
      </c>
      <c r="K97" s="45">
        <v>879</v>
      </c>
    </row>
    <row r="98" spans="1:11" ht="15" customHeight="1" x14ac:dyDescent="0.25">
      <c r="A98" s="40" t="s">
        <v>2388</v>
      </c>
      <c r="B98" s="45">
        <v>3704</v>
      </c>
      <c r="C98" s="45" t="s">
        <v>2312</v>
      </c>
      <c r="D98" s="45">
        <v>572</v>
      </c>
      <c r="E98" s="45">
        <v>369</v>
      </c>
      <c r="F98" s="45" t="s">
        <v>2312</v>
      </c>
      <c r="G98" s="45">
        <v>1025</v>
      </c>
      <c r="H98" s="45" t="s">
        <v>2312</v>
      </c>
      <c r="I98" s="45">
        <v>397</v>
      </c>
      <c r="J98" s="45">
        <v>243</v>
      </c>
      <c r="K98" s="45">
        <v>574</v>
      </c>
    </row>
    <row r="99" spans="1:11" ht="15" customHeight="1" x14ac:dyDescent="0.25">
      <c r="A99" s="44" t="s">
        <v>2389</v>
      </c>
      <c r="B99" s="45">
        <v>3821</v>
      </c>
      <c r="C99" s="45" t="s">
        <v>2312</v>
      </c>
      <c r="D99" s="45">
        <v>701</v>
      </c>
      <c r="E99" s="45">
        <v>435</v>
      </c>
      <c r="F99" s="45" t="s">
        <v>2312</v>
      </c>
      <c r="G99" s="45">
        <v>992</v>
      </c>
      <c r="H99" s="45" t="s">
        <v>2312</v>
      </c>
      <c r="I99" s="45">
        <v>316</v>
      </c>
      <c r="J99" s="45" t="s">
        <v>2312</v>
      </c>
      <c r="K99" s="45">
        <v>778</v>
      </c>
    </row>
    <row r="100" spans="1:11" ht="15" customHeight="1" x14ac:dyDescent="0.25">
      <c r="A100" s="44" t="s">
        <v>2390</v>
      </c>
      <c r="B100" s="41">
        <v>2393</v>
      </c>
      <c r="C100" s="41" t="s">
        <v>2312</v>
      </c>
      <c r="D100" s="41" t="s">
        <v>2312</v>
      </c>
      <c r="E100" s="41" t="s">
        <v>2312</v>
      </c>
      <c r="F100" s="41" t="s">
        <v>2312</v>
      </c>
      <c r="G100" s="41">
        <v>350</v>
      </c>
      <c r="H100" s="41" t="s">
        <v>2312</v>
      </c>
      <c r="I100" s="41">
        <v>798</v>
      </c>
      <c r="J100" s="41" t="s">
        <v>2312</v>
      </c>
      <c r="K100" s="41">
        <v>252</v>
      </c>
    </row>
    <row r="101" spans="1:11" ht="24" customHeight="1" x14ac:dyDescent="0.25">
      <c r="A101" s="43" t="s">
        <v>2391</v>
      </c>
      <c r="B101" s="41" t="s">
        <v>28</v>
      </c>
      <c r="C101" s="41" t="s">
        <v>28</v>
      </c>
      <c r="D101" s="41" t="s">
        <v>28</v>
      </c>
      <c r="E101" s="41" t="s">
        <v>28</v>
      </c>
      <c r="F101" s="41" t="s">
        <v>28</v>
      </c>
      <c r="G101" s="41" t="s">
        <v>28</v>
      </c>
      <c r="H101" s="41" t="s">
        <v>28</v>
      </c>
      <c r="I101" s="41" t="s">
        <v>28</v>
      </c>
      <c r="J101" s="41" t="s">
        <v>28</v>
      </c>
      <c r="K101" s="41" t="s">
        <v>28</v>
      </c>
    </row>
    <row r="102" spans="1:11" ht="15" customHeight="1" x14ac:dyDescent="0.25">
      <c r="A102" s="40" t="s">
        <v>2392</v>
      </c>
      <c r="B102" s="41">
        <v>52275</v>
      </c>
      <c r="C102" s="41">
        <v>2236</v>
      </c>
      <c r="D102" s="41">
        <v>6793</v>
      </c>
      <c r="E102" s="41">
        <v>8593</v>
      </c>
      <c r="F102" s="41">
        <v>4029</v>
      </c>
      <c r="G102" s="41">
        <v>10431</v>
      </c>
      <c r="H102" s="41">
        <v>3027</v>
      </c>
      <c r="I102" s="41">
        <v>6746</v>
      </c>
      <c r="J102" s="41">
        <v>2796</v>
      </c>
      <c r="K102" s="41">
        <v>7624</v>
      </c>
    </row>
    <row r="103" spans="1:11" ht="15" customHeight="1" x14ac:dyDescent="0.25">
      <c r="A103" s="44" t="s">
        <v>2393</v>
      </c>
      <c r="B103" s="41">
        <v>4616</v>
      </c>
      <c r="C103" s="41" t="s">
        <v>2312</v>
      </c>
      <c r="D103" s="41">
        <v>372</v>
      </c>
      <c r="E103" s="41">
        <v>646</v>
      </c>
      <c r="F103" s="41">
        <v>381</v>
      </c>
      <c r="G103" s="41">
        <v>794</v>
      </c>
      <c r="H103" s="41" t="s">
        <v>2312</v>
      </c>
      <c r="I103" s="41">
        <v>952</v>
      </c>
      <c r="J103" s="41">
        <v>362</v>
      </c>
      <c r="K103" s="41">
        <v>732</v>
      </c>
    </row>
    <row r="104" spans="1:11" ht="15" customHeight="1" x14ac:dyDescent="0.25">
      <c r="A104" s="44" t="s">
        <v>2394</v>
      </c>
      <c r="B104" s="41">
        <v>4068</v>
      </c>
      <c r="C104" s="41">
        <v>295</v>
      </c>
      <c r="D104" s="41">
        <v>443</v>
      </c>
      <c r="E104" s="41">
        <v>336</v>
      </c>
      <c r="F104" s="41">
        <v>323</v>
      </c>
      <c r="G104" s="41">
        <v>734</v>
      </c>
      <c r="H104" s="41" t="s">
        <v>2312</v>
      </c>
      <c r="I104" s="41">
        <v>757</v>
      </c>
      <c r="J104" s="41" t="s">
        <v>2312</v>
      </c>
      <c r="K104" s="41">
        <v>415</v>
      </c>
    </row>
    <row r="105" spans="1:11" ht="15" customHeight="1" x14ac:dyDescent="0.25">
      <c r="A105" s="40" t="s">
        <v>2395</v>
      </c>
      <c r="B105" s="41">
        <v>3456</v>
      </c>
      <c r="C105" s="41" t="s">
        <v>2312</v>
      </c>
      <c r="D105" s="41">
        <v>634</v>
      </c>
      <c r="E105" s="41">
        <v>414</v>
      </c>
      <c r="F105" s="41" t="s">
        <v>2312</v>
      </c>
      <c r="G105" s="41">
        <v>694</v>
      </c>
      <c r="H105" s="41" t="s">
        <v>2312</v>
      </c>
      <c r="I105" s="41">
        <v>400</v>
      </c>
      <c r="J105" s="41" t="s">
        <v>2312</v>
      </c>
      <c r="K105" s="41">
        <v>708</v>
      </c>
    </row>
    <row r="106" spans="1:11" ht="15" customHeight="1" x14ac:dyDescent="0.25">
      <c r="A106" s="44" t="s">
        <v>2396</v>
      </c>
      <c r="B106" s="41">
        <v>5159</v>
      </c>
      <c r="C106" s="41" t="s">
        <v>2312</v>
      </c>
      <c r="D106" s="41">
        <v>605</v>
      </c>
      <c r="E106" s="41">
        <v>635</v>
      </c>
      <c r="F106" s="41">
        <v>341</v>
      </c>
      <c r="G106" s="41">
        <v>1404</v>
      </c>
      <c r="H106" s="41" t="s">
        <v>2312</v>
      </c>
      <c r="I106" s="41">
        <v>486</v>
      </c>
      <c r="J106" s="41">
        <v>369</v>
      </c>
      <c r="K106" s="41">
        <v>812</v>
      </c>
    </row>
    <row r="107" spans="1:11" ht="15" customHeight="1" x14ac:dyDescent="0.25">
      <c r="A107" s="44" t="s">
        <v>2397</v>
      </c>
      <c r="B107" s="41">
        <v>3212</v>
      </c>
      <c r="C107" s="41" t="s">
        <v>2312</v>
      </c>
      <c r="D107" s="41" t="s">
        <v>2312</v>
      </c>
      <c r="E107" s="41">
        <v>341</v>
      </c>
      <c r="F107" s="41" t="s">
        <v>2312</v>
      </c>
      <c r="G107" s="41">
        <v>736</v>
      </c>
      <c r="H107" s="41" t="s">
        <v>2312</v>
      </c>
      <c r="I107" s="41">
        <v>557</v>
      </c>
      <c r="J107" s="41" t="s">
        <v>2312</v>
      </c>
      <c r="K107" s="41">
        <v>690</v>
      </c>
    </row>
    <row r="108" spans="1:11" ht="15" customHeight="1" x14ac:dyDescent="0.25">
      <c r="A108" s="40" t="s">
        <v>2398</v>
      </c>
      <c r="B108" s="41">
        <v>1932</v>
      </c>
      <c r="C108" s="41" t="s">
        <v>2312</v>
      </c>
      <c r="D108" s="41" t="s">
        <v>2312</v>
      </c>
      <c r="E108" s="41" t="s">
        <v>2312</v>
      </c>
      <c r="F108" s="41" t="s">
        <v>2312</v>
      </c>
      <c r="G108" s="41">
        <v>423</v>
      </c>
      <c r="H108" s="41" t="s">
        <v>2312</v>
      </c>
      <c r="I108" s="41">
        <v>238</v>
      </c>
      <c r="J108" s="41" t="s">
        <v>2312</v>
      </c>
      <c r="K108" s="41">
        <v>347</v>
      </c>
    </row>
    <row r="109" spans="1:11" ht="15" customHeight="1" x14ac:dyDescent="0.25">
      <c r="A109" s="44" t="s">
        <v>2399</v>
      </c>
      <c r="B109" s="41">
        <v>3362</v>
      </c>
      <c r="C109" s="41">
        <v>302</v>
      </c>
      <c r="D109" s="41">
        <v>828</v>
      </c>
      <c r="E109" s="41">
        <v>396</v>
      </c>
      <c r="F109" s="41">
        <v>187</v>
      </c>
      <c r="G109" s="41">
        <v>634</v>
      </c>
      <c r="H109" s="41">
        <v>150</v>
      </c>
      <c r="I109" s="41">
        <v>284</v>
      </c>
      <c r="J109" s="41">
        <v>212</v>
      </c>
      <c r="K109" s="41">
        <v>370</v>
      </c>
    </row>
    <row r="110" spans="1:11" ht="15" customHeight="1" x14ac:dyDescent="0.25">
      <c r="A110" s="44" t="s">
        <v>2400</v>
      </c>
      <c r="B110" s="41">
        <v>1295</v>
      </c>
      <c r="C110" s="41" t="s">
        <v>2312</v>
      </c>
      <c r="D110" s="41" t="s">
        <v>2312</v>
      </c>
      <c r="E110" s="41" t="s">
        <v>2312</v>
      </c>
      <c r="F110" s="41" t="s">
        <v>2312</v>
      </c>
      <c r="G110" s="41">
        <v>345</v>
      </c>
      <c r="H110" s="41" t="s">
        <v>2312</v>
      </c>
      <c r="I110" s="41" t="s">
        <v>2312</v>
      </c>
      <c r="J110" s="41" t="s">
        <v>2312</v>
      </c>
      <c r="K110" s="41" t="s">
        <v>2312</v>
      </c>
    </row>
    <row r="111" spans="1:11" ht="15" customHeight="1" x14ac:dyDescent="0.25">
      <c r="A111" s="40" t="s">
        <v>2401</v>
      </c>
      <c r="B111" s="41">
        <v>554</v>
      </c>
      <c r="C111" s="41" t="s">
        <v>2402</v>
      </c>
      <c r="D111" s="41" t="s">
        <v>2312</v>
      </c>
      <c r="E111" s="41" t="s">
        <v>2312</v>
      </c>
      <c r="F111" s="41" t="s">
        <v>2312</v>
      </c>
      <c r="G111" s="41" t="s">
        <v>2312</v>
      </c>
      <c r="H111" s="41" t="s">
        <v>2312</v>
      </c>
      <c r="I111" s="41" t="s">
        <v>2312</v>
      </c>
      <c r="J111" s="41" t="s">
        <v>2312</v>
      </c>
      <c r="K111" s="41" t="s">
        <v>2312</v>
      </c>
    </row>
    <row r="112" spans="1:11" ht="15" customHeight="1" x14ac:dyDescent="0.25">
      <c r="A112" s="44" t="s">
        <v>2403</v>
      </c>
      <c r="B112" s="41">
        <v>2107</v>
      </c>
      <c r="C112" s="41" t="s">
        <v>2312</v>
      </c>
      <c r="D112" s="41">
        <v>517</v>
      </c>
      <c r="E112" s="41" t="s">
        <v>2312</v>
      </c>
      <c r="F112" s="41" t="s">
        <v>2312</v>
      </c>
      <c r="G112" s="41">
        <v>524</v>
      </c>
      <c r="H112" s="41" t="s">
        <v>2312</v>
      </c>
      <c r="I112" s="41" t="s">
        <v>2312</v>
      </c>
      <c r="J112" s="41" t="s">
        <v>2312</v>
      </c>
      <c r="K112" s="41">
        <v>263</v>
      </c>
    </row>
    <row r="113" spans="1:11" ht="15" customHeight="1" x14ac:dyDescent="0.25">
      <c r="A113" s="44" t="s">
        <v>2383</v>
      </c>
      <c r="B113" s="41">
        <v>5057</v>
      </c>
      <c r="C113" s="41">
        <v>273</v>
      </c>
      <c r="D113" s="41">
        <v>356</v>
      </c>
      <c r="E113" s="41">
        <v>820</v>
      </c>
      <c r="F113" s="41">
        <v>265</v>
      </c>
      <c r="G113" s="41">
        <v>1188</v>
      </c>
      <c r="H113" s="41" t="s">
        <v>2312</v>
      </c>
      <c r="I113" s="41">
        <v>622</v>
      </c>
      <c r="J113" s="41">
        <v>220</v>
      </c>
      <c r="K113" s="41">
        <v>1173</v>
      </c>
    </row>
    <row r="114" spans="1:11" ht="24" customHeight="1" x14ac:dyDescent="0.25">
      <c r="A114" s="43" t="s">
        <v>2404</v>
      </c>
      <c r="B114" s="46" t="s">
        <v>28</v>
      </c>
      <c r="C114" s="46" t="s">
        <v>28</v>
      </c>
      <c r="D114" s="46" t="s">
        <v>28</v>
      </c>
      <c r="E114" s="46" t="s">
        <v>28</v>
      </c>
      <c r="F114" s="46" t="s">
        <v>28</v>
      </c>
      <c r="G114" s="46" t="s">
        <v>28</v>
      </c>
      <c r="H114" s="46" t="s">
        <v>28</v>
      </c>
      <c r="I114" s="46" t="s">
        <v>28</v>
      </c>
      <c r="J114" s="46" t="s">
        <v>28</v>
      </c>
      <c r="K114" s="46" t="s">
        <v>28</v>
      </c>
    </row>
    <row r="115" spans="1:11" ht="15" customHeight="1" x14ac:dyDescent="0.25">
      <c r="A115" s="40" t="s">
        <v>2405</v>
      </c>
      <c r="B115" s="45">
        <v>40463</v>
      </c>
      <c r="C115" s="45">
        <v>1999</v>
      </c>
      <c r="D115" s="45">
        <v>5650</v>
      </c>
      <c r="E115" s="45">
        <v>6298</v>
      </c>
      <c r="F115" s="45">
        <v>2753</v>
      </c>
      <c r="G115" s="45">
        <v>8486</v>
      </c>
      <c r="H115" s="45">
        <v>2693</v>
      </c>
      <c r="I115" s="45">
        <v>5499</v>
      </c>
      <c r="J115" s="45">
        <v>2411</v>
      </c>
      <c r="K115" s="45">
        <v>4673</v>
      </c>
    </row>
    <row r="116" spans="1:11" ht="15" customHeight="1" x14ac:dyDescent="0.25">
      <c r="A116" s="44" t="s">
        <v>2406</v>
      </c>
      <c r="B116" s="45">
        <v>20726</v>
      </c>
      <c r="C116" s="45">
        <v>615</v>
      </c>
      <c r="D116" s="45">
        <v>2993</v>
      </c>
      <c r="E116" s="45">
        <v>2942</v>
      </c>
      <c r="F116" s="45">
        <v>1069</v>
      </c>
      <c r="G116" s="45">
        <v>4768</v>
      </c>
      <c r="H116" s="45">
        <v>1011</v>
      </c>
      <c r="I116" s="45">
        <v>2374</v>
      </c>
      <c r="J116" s="45">
        <v>1164</v>
      </c>
      <c r="K116" s="45">
        <v>3791</v>
      </c>
    </row>
    <row r="117" spans="1:11" ht="15" customHeight="1" x14ac:dyDescent="0.25">
      <c r="A117" s="44" t="s">
        <v>2407</v>
      </c>
      <c r="B117" s="45">
        <v>8693</v>
      </c>
      <c r="C117" s="45" t="s">
        <v>2312</v>
      </c>
      <c r="D117" s="45">
        <v>632</v>
      </c>
      <c r="E117" s="45">
        <v>1173</v>
      </c>
      <c r="F117" s="45">
        <v>521</v>
      </c>
      <c r="G117" s="45">
        <v>1799</v>
      </c>
      <c r="H117" s="45" t="s">
        <v>2312</v>
      </c>
      <c r="I117" s="45">
        <v>1008</v>
      </c>
      <c r="J117" s="45" t="s">
        <v>2312</v>
      </c>
      <c r="K117" s="45">
        <v>2446</v>
      </c>
    </row>
    <row r="118" spans="1:11" ht="15" customHeight="1" x14ac:dyDescent="0.25">
      <c r="A118" s="40" t="s">
        <v>2408</v>
      </c>
      <c r="B118" s="45">
        <v>5750</v>
      </c>
      <c r="C118" s="45">
        <v>915</v>
      </c>
      <c r="D118" s="45">
        <v>674</v>
      </c>
      <c r="E118" s="45">
        <v>867</v>
      </c>
      <c r="F118" s="45">
        <v>528</v>
      </c>
      <c r="G118" s="45">
        <v>658</v>
      </c>
      <c r="H118" s="45">
        <v>275</v>
      </c>
      <c r="I118" s="45">
        <v>456</v>
      </c>
      <c r="J118" s="45">
        <v>211</v>
      </c>
      <c r="K118" s="45">
        <v>1166</v>
      </c>
    </row>
    <row r="119" spans="1:11" ht="15" customHeight="1" x14ac:dyDescent="0.25">
      <c r="A119" s="44" t="s">
        <v>2409</v>
      </c>
      <c r="B119" s="45">
        <v>8673</v>
      </c>
      <c r="C119" s="45">
        <v>347</v>
      </c>
      <c r="D119" s="45">
        <v>673</v>
      </c>
      <c r="E119" s="45">
        <v>930</v>
      </c>
      <c r="F119" s="45">
        <v>1220</v>
      </c>
      <c r="G119" s="45">
        <v>1842</v>
      </c>
      <c r="H119" s="45">
        <v>538</v>
      </c>
      <c r="I119" s="45">
        <v>1865</v>
      </c>
      <c r="J119" s="45">
        <v>500</v>
      </c>
      <c r="K119" s="45">
        <v>757</v>
      </c>
    </row>
    <row r="120" spans="1:11" ht="15" customHeight="1" x14ac:dyDescent="0.25">
      <c r="A120" s="44" t="s">
        <v>2410</v>
      </c>
      <c r="B120" s="41">
        <v>1340</v>
      </c>
      <c r="C120" s="41" t="s">
        <v>2312</v>
      </c>
      <c r="D120" s="41">
        <v>419</v>
      </c>
      <c r="E120" s="41" t="s">
        <v>2312</v>
      </c>
      <c r="F120" s="41" t="s">
        <v>2402</v>
      </c>
      <c r="G120" s="41" t="s">
        <v>2312</v>
      </c>
      <c r="H120" s="41" t="s">
        <v>2312</v>
      </c>
      <c r="I120" s="41" t="s">
        <v>2312</v>
      </c>
      <c r="J120" s="41" t="s">
        <v>2312</v>
      </c>
      <c r="K120" s="41">
        <v>272</v>
      </c>
    </row>
    <row r="121" spans="1:11" ht="15" customHeight="1" x14ac:dyDescent="0.25">
      <c r="A121" s="44" t="s">
        <v>2383</v>
      </c>
      <c r="B121" s="41">
        <v>856</v>
      </c>
      <c r="C121" s="41" t="s">
        <v>2312</v>
      </c>
      <c r="D121" s="41" t="s">
        <v>2312</v>
      </c>
      <c r="E121" s="41" t="s">
        <v>2312</v>
      </c>
      <c r="F121" s="41" t="s">
        <v>2312</v>
      </c>
      <c r="G121" s="41" t="s">
        <v>2312</v>
      </c>
      <c r="H121" s="41" t="s">
        <v>2312</v>
      </c>
      <c r="I121" s="41" t="s">
        <v>2312</v>
      </c>
      <c r="J121" s="41" t="s">
        <v>2312</v>
      </c>
      <c r="K121" s="41" t="s">
        <v>2312</v>
      </c>
    </row>
    <row r="122" spans="1:11" ht="15" customHeight="1" x14ac:dyDescent="0.25">
      <c r="A122" s="44" t="s">
        <v>2411</v>
      </c>
      <c r="B122" s="41">
        <v>592</v>
      </c>
      <c r="C122" s="41" t="s">
        <v>2312</v>
      </c>
      <c r="D122" s="41" t="s">
        <v>2312</v>
      </c>
      <c r="E122" s="41" t="s">
        <v>2312</v>
      </c>
      <c r="F122" s="41" t="s">
        <v>2312</v>
      </c>
      <c r="G122" s="41" t="s">
        <v>2312</v>
      </c>
      <c r="H122" s="41" t="s">
        <v>2312</v>
      </c>
      <c r="I122" s="41" t="s">
        <v>2312</v>
      </c>
      <c r="J122" s="41" t="s">
        <v>2312</v>
      </c>
      <c r="K122" s="41" t="s">
        <v>2312</v>
      </c>
    </row>
    <row r="123" spans="1:11" ht="24" customHeight="1" x14ac:dyDescent="0.25">
      <c r="A123" s="43" t="s">
        <v>2412</v>
      </c>
      <c r="B123" s="46" t="s">
        <v>28</v>
      </c>
      <c r="C123" s="46" t="s">
        <v>28</v>
      </c>
      <c r="D123" s="46" t="s">
        <v>28</v>
      </c>
      <c r="E123" s="46" t="s">
        <v>28</v>
      </c>
      <c r="F123" s="46" t="s">
        <v>28</v>
      </c>
      <c r="G123" s="46" t="s">
        <v>28</v>
      </c>
      <c r="H123" s="46" t="s">
        <v>28</v>
      </c>
      <c r="I123" s="46" t="s">
        <v>28</v>
      </c>
      <c r="J123" s="46" t="s">
        <v>28</v>
      </c>
      <c r="K123" s="46" t="s">
        <v>28</v>
      </c>
    </row>
    <row r="124" spans="1:11" ht="15" customHeight="1" x14ac:dyDescent="0.25">
      <c r="A124" s="44" t="s">
        <v>2413</v>
      </c>
      <c r="B124" s="45">
        <v>15916</v>
      </c>
      <c r="C124" s="45">
        <v>548</v>
      </c>
      <c r="D124" s="45">
        <v>1077</v>
      </c>
      <c r="E124" s="45">
        <v>1630</v>
      </c>
      <c r="F124" s="45">
        <v>1634</v>
      </c>
      <c r="G124" s="45">
        <v>3905</v>
      </c>
      <c r="H124" s="45">
        <v>1369</v>
      </c>
      <c r="I124" s="45">
        <v>3020</v>
      </c>
      <c r="J124" s="45">
        <v>956</v>
      </c>
      <c r="K124" s="45">
        <v>1776</v>
      </c>
    </row>
    <row r="125" spans="1:11" ht="15" customHeight="1" x14ac:dyDescent="0.25">
      <c r="A125" s="40" t="s">
        <v>2414</v>
      </c>
      <c r="B125" s="41">
        <v>25817</v>
      </c>
      <c r="C125" s="41">
        <v>1755</v>
      </c>
      <c r="D125" s="41">
        <v>4125</v>
      </c>
      <c r="E125" s="41">
        <v>5361</v>
      </c>
      <c r="F125" s="41">
        <v>2141</v>
      </c>
      <c r="G125" s="41">
        <v>4388</v>
      </c>
      <c r="H125" s="41">
        <v>1387</v>
      </c>
      <c r="I125" s="41">
        <v>1968</v>
      </c>
      <c r="J125" s="41">
        <v>1841</v>
      </c>
      <c r="K125" s="41">
        <v>2851</v>
      </c>
    </row>
    <row r="126" spans="1:11" ht="15" customHeight="1" x14ac:dyDescent="0.25">
      <c r="A126" s="40" t="s">
        <v>2415</v>
      </c>
      <c r="B126" s="45">
        <v>21835</v>
      </c>
      <c r="C126" s="45">
        <v>684</v>
      </c>
      <c r="D126" s="45">
        <v>3098</v>
      </c>
      <c r="E126" s="45">
        <v>2894</v>
      </c>
      <c r="F126" s="45">
        <v>1104</v>
      </c>
      <c r="G126" s="45">
        <v>4714</v>
      </c>
      <c r="H126" s="45">
        <v>880</v>
      </c>
      <c r="I126" s="45">
        <v>3296</v>
      </c>
      <c r="J126" s="45">
        <v>1169</v>
      </c>
      <c r="K126" s="45">
        <v>3995</v>
      </c>
    </row>
    <row r="127" spans="1:11" ht="15" customHeight="1" x14ac:dyDescent="0.25">
      <c r="A127" s="44" t="s">
        <v>2416</v>
      </c>
      <c r="B127" s="45">
        <v>4306</v>
      </c>
      <c r="C127" s="45" t="s">
        <v>2312</v>
      </c>
      <c r="D127" s="45">
        <v>591</v>
      </c>
      <c r="E127" s="45">
        <v>288</v>
      </c>
      <c r="F127" s="45" t="s">
        <v>2312</v>
      </c>
      <c r="G127" s="45">
        <v>1065</v>
      </c>
      <c r="H127" s="45" t="s">
        <v>2312</v>
      </c>
      <c r="I127" s="45" t="s">
        <v>2312</v>
      </c>
      <c r="J127" s="45">
        <v>187</v>
      </c>
      <c r="K127" s="45">
        <v>1022</v>
      </c>
    </row>
    <row r="128" spans="1:11" ht="27.95" customHeight="1" x14ac:dyDescent="0.25">
      <c r="A128" s="44" t="s">
        <v>2417</v>
      </c>
      <c r="B128" s="45">
        <v>1139</v>
      </c>
      <c r="C128" s="45" t="s">
        <v>2312</v>
      </c>
      <c r="D128" s="45" t="s">
        <v>2312</v>
      </c>
      <c r="E128" s="45" t="s">
        <v>2312</v>
      </c>
      <c r="F128" s="45" t="s">
        <v>2312</v>
      </c>
      <c r="G128" s="45">
        <v>268</v>
      </c>
      <c r="H128" s="45" t="s">
        <v>2312</v>
      </c>
      <c r="I128" s="45" t="s">
        <v>2312</v>
      </c>
      <c r="J128" s="45" t="s">
        <v>2312</v>
      </c>
      <c r="K128" s="45">
        <v>428</v>
      </c>
    </row>
    <row r="129" spans="1:11" ht="27.95" customHeight="1" x14ac:dyDescent="0.25">
      <c r="A129" s="44" t="s">
        <v>2418</v>
      </c>
      <c r="B129" s="45">
        <v>15104</v>
      </c>
      <c r="C129" s="45">
        <v>864</v>
      </c>
      <c r="D129" s="45">
        <v>1805</v>
      </c>
      <c r="E129" s="45">
        <v>2191</v>
      </c>
      <c r="F129" s="45">
        <v>1077</v>
      </c>
      <c r="G129" s="45">
        <v>2964</v>
      </c>
      <c r="H129" s="45">
        <v>992</v>
      </c>
      <c r="I129" s="45">
        <v>1887</v>
      </c>
      <c r="J129" s="45">
        <v>681</v>
      </c>
      <c r="K129" s="45">
        <v>2643</v>
      </c>
    </row>
    <row r="130" spans="1:11" ht="15" customHeight="1" x14ac:dyDescent="0.25">
      <c r="A130" s="44" t="s">
        <v>2419</v>
      </c>
      <c r="B130" s="41">
        <v>1642</v>
      </c>
      <c r="C130" s="41" t="s">
        <v>2312</v>
      </c>
      <c r="D130" s="41">
        <v>288</v>
      </c>
      <c r="E130" s="41" t="s">
        <v>2312</v>
      </c>
      <c r="F130" s="41" t="s">
        <v>2312</v>
      </c>
      <c r="G130" s="41">
        <v>490</v>
      </c>
      <c r="H130" s="41" t="s">
        <v>2312</v>
      </c>
      <c r="I130" s="41" t="s">
        <v>2312</v>
      </c>
      <c r="J130" s="41" t="s">
        <v>2312</v>
      </c>
      <c r="K130" s="41">
        <v>332</v>
      </c>
    </row>
    <row r="131" spans="1:11" ht="15" customHeight="1" x14ac:dyDescent="0.25">
      <c r="A131" s="44" t="s">
        <v>2383</v>
      </c>
      <c r="B131" s="41">
        <v>678</v>
      </c>
      <c r="C131" s="41" t="s">
        <v>2312</v>
      </c>
      <c r="D131" s="41" t="s">
        <v>2312</v>
      </c>
      <c r="E131" s="41" t="s">
        <v>2312</v>
      </c>
      <c r="F131" s="41" t="s">
        <v>2312</v>
      </c>
      <c r="G131" s="41" t="s">
        <v>2312</v>
      </c>
      <c r="H131" s="41" t="s">
        <v>2312</v>
      </c>
      <c r="I131" s="41" t="s">
        <v>2312</v>
      </c>
      <c r="J131" s="41" t="s">
        <v>2312</v>
      </c>
      <c r="K131" s="41" t="s">
        <v>2312</v>
      </c>
    </row>
    <row r="132" spans="1:11" ht="15" customHeight="1" x14ac:dyDescent="0.25">
      <c r="A132" s="44" t="s">
        <v>2411</v>
      </c>
      <c r="B132" s="41">
        <v>657</v>
      </c>
      <c r="C132" s="41" t="s">
        <v>2312</v>
      </c>
      <c r="D132" s="41" t="s">
        <v>2312</v>
      </c>
      <c r="E132" s="41" t="s">
        <v>2312</v>
      </c>
      <c r="F132" s="41" t="s">
        <v>2312</v>
      </c>
      <c r="G132" s="41" t="s">
        <v>2312</v>
      </c>
      <c r="H132" s="41" t="s">
        <v>2312</v>
      </c>
      <c r="I132" s="41" t="s">
        <v>2312</v>
      </c>
      <c r="J132" s="41" t="s">
        <v>2312</v>
      </c>
      <c r="K132" s="41" t="s">
        <v>2312</v>
      </c>
    </row>
    <row r="133" spans="1:11" ht="24" customHeight="1" x14ac:dyDescent="0.25">
      <c r="A133" s="43" t="s">
        <v>2420</v>
      </c>
      <c r="B133" s="46" t="s">
        <v>28</v>
      </c>
      <c r="C133" s="46" t="s">
        <v>28</v>
      </c>
      <c r="D133" s="46" t="s">
        <v>28</v>
      </c>
      <c r="E133" s="46" t="s">
        <v>28</v>
      </c>
      <c r="F133" s="46" t="s">
        <v>28</v>
      </c>
      <c r="G133" s="46" t="s">
        <v>28</v>
      </c>
      <c r="H133" s="46" t="s">
        <v>28</v>
      </c>
      <c r="I133" s="46" t="s">
        <v>28</v>
      </c>
      <c r="J133" s="46" t="s">
        <v>28</v>
      </c>
      <c r="K133" s="46" t="s">
        <v>28</v>
      </c>
    </row>
    <row r="134" spans="1:11" ht="15" customHeight="1" x14ac:dyDescent="0.25">
      <c r="A134" s="40" t="s">
        <v>2421</v>
      </c>
      <c r="B134" s="45" t="s">
        <v>28</v>
      </c>
      <c r="C134" s="45" t="s">
        <v>28</v>
      </c>
      <c r="D134" s="45" t="s">
        <v>28</v>
      </c>
      <c r="E134" s="45" t="s">
        <v>28</v>
      </c>
      <c r="F134" s="45" t="s">
        <v>28</v>
      </c>
      <c r="G134" s="45" t="s">
        <v>28</v>
      </c>
      <c r="H134" s="45" t="s">
        <v>28</v>
      </c>
      <c r="I134" s="45" t="s">
        <v>28</v>
      </c>
      <c r="J134" s="45" t="s">
        <v>28</v>
      </c>
      <c r="K134" s="45" t="s">
        <v>28</v>
      </c>
    </row>
    <row r="135" spans="1:11" ht="15" customHeight="1" x14ac:dyDescent="0.25">
      <c r="A135" s="42" t="s">
        <v>2422</v>
      </c>
      <c r="B135" s="45">
        <v>49623</v>
      </c>
      <c r="C135" s="45">
        <v>2157</v>
      </c>
      <c r="D135" s="45">
        <v>7905</v>
      </c>
      <c r="E135" s="45">
        <v>7483</v>
      </c>
      <c r="F135" s="45">
        <v>3091</v>
      </c>
      <c r="G135" s="45">
        <v>10067</v>
      </c>
      <c r="H135" s="45">
        <v>2046</v>
      </c>
      <c r="I135" s="45">
        <v>6007</v>
      </c>
      <c r="J135" s="45">
        <v>2767</v>
      </c>
      <c r="K135" s="45">
        <v>8099</v>
      </c>
    </row>
    <row r="136" spans="1:11" ht="15" customHeight="1" x14ac:dyDescent="0.25">
      <c r="A136" s="42" t="s">
        <v>2423</v>
      </c>
      <c r="B136" s="45">
        <v>23853</v>
      </c>
      <c r="C136" s="45">
        <v>1012</v>
      </c>
      <c r="D136" s="45">
        <v>1530</v>
      </c>
      <c r="E136" s="45">
        <v>3112</v>
      </c>
      <c r="F136" s="45">
        <v>1897</v>
      </c>
      <c r="G136" s="45">
        <v>5282</v>
      </c>
      <c r="H136" s="45">
        <v>1817</v>
      </c>
      <c r="I136" s="45">
        <v>3906</v>
      </c>
      <c r="J136" s="45">
        <v>1589</v>
      </c>
      <c r="K136" s="45">
        <v>3709</v>
      </c>
    </row>
    <row r="137" spans="1:11" ht="15" customHeight="1" x14ac:dyDescent="0.25">
      <c r="A137" s="42" t="s">
        <v>2424</v>
      </c>
      <c r="B137" s="45">
        <v>13617</v>
      </c>
      <c r="C137" s="45">
        <v>1133</v>
      </c>
      <c r="D137" s="45">
        <v>1798</v>
      </c>
      <c r="E137" s="45">
        <v>2146</v>
      </c>
      <c r="F137" s="45">
        <v>1190</v>
      </c>
      <c r="G137" s="45">
        <v>2631</v>
      </c>
      <c r="H137" s="45">
        <v>1041</v>
      </c>
      <c r="I137" s="45">
        <v>1481</v>
      </c>
      <c r="J137" s="45">
        <v>625</v>
      </c>
      <c r="K137" s="45">
        <v>1572</v>
      </c>
    </row>
    <row r="138" spans="1:11" ht="15" customHeight="1" x14ac:dyDescent="0.25">
      <c r="A138" s="44" t="s">
        <v>2425</v>
      </c>
      <c r="B138" s="45">
        <v>19630</v>
      </c>
      <c r="C138" s="45">
        <v>742</v>
      </c>
      <c r="D138" s="45">
        <v>2639</v>
      </c>
      <c r="E138" s="45">
        <v>2545</v>
      </c>
      <c r="F138" s="45">
        <v>1121</v>
      </c>
      <c r="G138" s="45">
        <v>3879</v>
      </c>
      <c r="H138" s="45">
        <v>1345</v>
      </c>
      <c r="I138" s="45">
        <v>2306</v>
      </c>
      <c r="J138" s="45">
        <v>1510</v>
      </c>
      <c r="K138" s="45">
        <v>3544</v>
      </c>
    </row>
    <row r="139" spans="1:11" ht="45.95" customHeight="1" x14ac:dyDescent="0.25">
      <c r="A139" s="43" t="s">
        <v>2426</v>
      </c>
      <c r="B139" s="46" t="s">
        <v>28</v>
      </c>
      <c r="C139" s="46" t="s">
        <v>28</v>
      </c>
      <c r="D139" s="46" t="s">
        <v>28</v>
      </c>
      <c r="E139" s="46" t="s">
        <v>28</v>
      </c>
      <c r="F139" s="46" t="s">
        <v>28</v>
      </c>
      <c r="G139" s="46" t="s">
        <v>28</v>
      </c>
      <c r="H139" s="46" t="s">
        <v>28</v>
      </c>
      <c r="I139" s="46" t="s">
        <v>28</v>
      </c>
      <c r="J139" s="46" t="s">
        <v>28</v>
      </c>
      <c r="K139" s="46" t="s">
        <v>28</v>
      </c>
    </row>
    <row r="140" spans="1:11" ht="15" customHeight="1" x14ac:dyDescent="0.25">
      <c r="A140" s="40" t="s">
        <v>2427</v>
      </c>
      <c r="B140" s="45">
        <v>42216</v>
      </c>
      <c r="C140" s="45">
        <v>2625</v>
      </c>
      <c r="D140" s="45">
        <v>6639</v>
      </c>
      <c r="E140" s="45">
        <v>6653</v>
      </c>
      <c r="F140" s="45">
        <v>3443</v>
      </c>
      <c r="G140" s="45">
        <v>7251</v>
      </c>
      <c r="H140" s="45">
        <v>2752</v>
      </c>
      <c r="I140" s="45">
        <v>5390</v>
      </c>
      <c r="J140" s="45">
        <v>2245</v>
      </c>
      <c r="K140" s="45">
        <v>5217</v>
      </c>
    </row>
    <row r="141" spans="1:11" ht="15" customHeight="1" x14ac:dyDescent="0.25">
      <c r="A141" s="42" t="s">
        <v>2428</v>
      </c>
      <c r="B141" s="45">
        <v>13022</v>
      </c>
      <c r="C141" s="45">
        <v>815</v>
      </c>
      <c r="D141" s="45">
        <v>1759</v>
      </c>
      <c r="E141" s="45">
        <v>2501</v>
      </c>
      <c r="F141" s="45">
        <v>1580</v>
      </c>
      <c r="G141" s="45">
        <v>2353</v>
      </c>
      <c r="H141" s="45">
        <v>778</v>
      </c>
      <c r="I141" s="45">
        <v>1478</v>
      </c>
      <c r="J141" s="45">
        <v>855</v>
      </c>
      <c r="K141" s="45">
        <v>902</v>
      </c>
    </row>
    <row r="142" spans="1:11" ht="15" customHeight="1" x14ac:dyDescent="0.25">
      <c r="A142" s="42" t="s">
        <v>2429</v>
      </c>
      <c r="B142" s="45">
        <v>1753</v>
      </c>
      <c r="C142" s="45" t="s">
        <v>2312</v>
      </c>
      <c r="D142" s="45" t="s">
        <v>2312</v>
      </c>
      <c r="E142" s="45" t="s">
        <v>2312</v>
      </c>
      <c r="F142" s="45" t="s">
        <v>2312</v>
      </c>
      <c r="G142" s="45">
        <v>344</v>
      </c>
      <c r="H142" s="45" t="s">
        <v>2312</v>
      </c>
      <c r="I142" s="45" t="s">
        <v>2312</v>
      </c>
      <c r="J142" s="45" t="s">
        <v>2312</v>
      </c>
      <c r="K142" s="45" t="s">
        <v>2312</v>
      </c>
    </row>
    <row r="143" spans="1:11" ht="15" customHeight="1" x14ac:dyDescent="0.25">
      <c r="A143" s="42" t="s">
        <v>2430</v>
      </c>
      <c r="B143" s="45">
        <v>20917</v>
      </c>
      <c r="C143" s="45">
        <v>1388</v>
      </c>
      <c r="D143" s="45">
        <v>4072</v>
      </c>
      <c r="E143" s="45">
        <v>3267</v>
      </c>
      <c r="F143" s="45">
        <v>2131</v>
      </c>
      <c r="G143" s="45">
        <v>2865</v>
      </c>
      <c r="H143" s="45">
        <v>1647</v>
      </c>
      <c r="I143" s="45">
        <v>2450</v>
      </c>
      <c r="J143" s="45">
        <v>1063</v>
      </c>
      <c r="K143" s="45">
        <v>2034</v>
      </c>
    </row>
    <row r="144" spans="1:11" ht="15" customHeight="1" x14ac:dyDescent="0.25">
      <c r="A144" s="42" t="s">
        <v>2431</v>
      </c>
      <c r="B144" s="41">
        <v>4230</v>
      </c>
      <c r="C144" s="41">
        <v>264</v>
      </c>
      <c r="D144" s="41">
        <v>646</v>
      </c>
      <c r="E144" s="41">
        <v>605</v>
      </c>
      <c r="F144" s="41">
        <v>468</v>
      </c>
      <c r="G144" s="41">
        <v>773</v>
      </c>
      <c r="H144" s="41">
        <v>300</v>
      </c>
      <c r="I144" s="41">
        <v>369</v>
      </c>
      <c r="J144" s="41" t="s">
        <v>2312</v>
      </c>
      <c r="K144" s="41">
        <v>647</v>
      </c>
    </row>
    <row r="145" spans="1:11" ht="15" customHeight="1" x14ac:dyDescent="0.25">
      <c r="A145" s="42" t="s">
        <v>2432</v>
      </c>
      <c r="B145" s="41">
        <v>21340</v>
      </c>
      <c r="C145" s="41">
        <v>1431</v>
      </c>
      <c r="D145" s="41">
        <v>3589</v>
      </c>
      <c r="E145" s="41">
        <v>3577</v>
      </c>
      <c r="F145" s="41">
        <v>1625</v>
      </c>
      <c r="G145" s="41">
        <v>3346</v>
      </c>
      <c r="H145" s="41">
        <v>1228</v>
      </c>
      <c r="I145" s="41">
        <v>2280</v>
      </c>
      <c r="J145" s="41">
        <v>1418</v>
      </c>
      <c r="K145" s="41">
        <v>2848</v>
      </c>
    </row>
    <row r="146" spans="1:11" ht="15" customHeight="1" x14ac:dyDescent="0.25">
      <c r="A146" s="42" t="s">
        <v>2433</v>
      </c>
      <c r="B146" s="41">
        <v>12265</v>
      </c>
      <c r="C146" s="41">
        <v>1095</v>
      </c>
      <c r="D146" s="41">
        <v>2308</v>
      </c>
      <c r="E146" s="41">
        <v>2027</v>
      </c>
      <c r="F146" s="41">
        <v>1013</v>
      </c>
      <c r="G146" s="41">
        <v>2079</v>
      </c>
      <c r="H146" s="41">
        <v>584</v>
      </c>
      <c r="I146" s="41">
        <v>1109</v>
      </c>
      <c r="J146" s="41">
        <v>770</v>
      </c>
      <c r="K146" s="41">
        <v>1278</v>
      </c>
    </row>
    <row r="147" spans="1:11" ht="15" customHeight="1" x14ac:dyDescent="0.25">
      <c r="A147" s="42" t="s">
        <v>2434</v>
      </c>
      <c r="B147" s="41">
        <v>26779</v>
      </c>
      <c r="C147" s="41">
        <v>1570</v>
      </c>
      <c r="D147" s="41">
        <v>4908</v>
      </c>
      <c r="E147" s="41">
        <v>4574</v>
      </c>
      <c r="F147" s="41">
        <v>1967</v>
      </c>
      <c r="G147" s="41">
        <v>4584</v>
      </c>
      <c r="H147" s="41">
        <v>1437</v>
      </c>
      <c r="I147" s="41">
        <v>3342</v>
      </c>
      <c r="J147" s="41">
        <v>1561</v>
      </c>
      <c r="K147" s="41">
        <v>2837</v>
      </c>
    </row>
    <row r="148" spans="1:11" ht="15" customHeight="1" x14ac:dyDescent="0.25">
      <c r="A148" s="42" t="s">
        <v>2435</v>
      </c>
      <c r="B148" s="41">
        <v>25503</v>
      </c>
      <c r="C148" s="41">
        <v>1666</v>
      </c>
      <c r="D148" s="41">
        <v>4343</v>
      </c>
      <c r="E148" s="41">
        <v>4115</v>
      </c>
      <c r="F148" s="41">
        <v>1989</v>
      </c>
      <c r="G148" s="41">
        <v>4151</v>
      </c>
      <c r="H148" s="41">
        <v>1440</v>
      </c>
      <c r="I148" s="41">
        <v>3238</v>
      </c>
      <c r="J148" s="41">
        <v>1496</v>
      </c>
      <c r="K148" s="41">
        <v>3065</v>
      </c>
    </row>
    <row r="149" spans="1:11" ht="15" customHeight="1" x14ac:dyDescent="0.25">
      <c r="A149" s="42" t="s">
        <v>2436</v>
      </c>
      <c r="B149" s="41">
        <v>16160</v>
      </c>
      <c r="C149" s="41">
        <v>1172</v>
      </c>
      <c r="D149" s="41">
        <v>2796</v>
      </c>
      <c r="E149" s="41">
        <v>2625</v>
      </c>
      <c r="F149" s="41">
        <v>1378</v>
      </c>
      <c r="G149" s="41">
        <v>2571</v>
      </c>
      <c r="H149" s="41">
        <v>979</v>
      </c>
      <c r="I149" s="41">
        <v>1932</v>
      </c>
      <c r="J149" s="41">
        <v>986</v>
      </c>
      <c r="K149" s="41">
        <v>1721</v>
      </c>
    </row>
    <row r="150" spans="1:11" ht="15" customHeight="1" x14ac:dyDescent="0.25">
      <c r="A150" s="42" t="s">
        <v>2437</v>
      </c>
      <c r="B150" s="41">
        <v>13828</v>
      </c>
      <c r="C150" s="41">
        <v>1023</v>
      </c>
      <c r="D150" s="41">
        <v>2355</v>
      </c>
      <c r="E150" s="41">
        <v>2294</v>
      </c>
      <c r="F150" s="41">
        <v>1153</v>
      </c>
      <c r="G150" s="41">
        <v>2371</v>
      </c>
      <c r="H150" s="41">
        <v>825</v>
      </c>
      <c r="I150" s="41">
        <v>1433</v>
      </c>
      <c r="J150" s="41">
        <v>782</v>
      </c>
      <c r="K150" s="41">
        <v>1593</v>
      </c>
    </row>
    <row r="151" spans="1:11" ht="15" customHeight="1" x14ac:dyDescent="0.25">
      <c r="A151" s="42" t="s">
        <v>2438</v>
      </c>
      <c r="B151" s="41">
        <v>7607</v>
      </c>
      <c r="C151" s="41">
        <v>581</v>
      </c>
      <c r="D151" s="41">
        <v>1168</v>
      </c>
      <c r="E151" s="41">
        <v>1268</v>
      </c>
      <c r="F151" s="41">
        <v>929</v>
      </c>
      <c r="G151" s="41">
        <v>1159</v>
      </c>
      <c r="H151" s="41">
        <v>409</v>
      </c>
      <c r="I151" s="41">
        <v>790</v>
      </c>
      <c r="J151" s="41" t="s">
        <v>2312</v>
      </c>
      <c r="K151" s="41">
        <v>821</v>
      </c>
    </row>
    <row r="152" spans="1:11" ht="15" customHeight="1" x14ac:dyDescent="0.25">
      <c r="A152" s="42" t="s">
        <v>2439</v>
      </c>
      <c r="B152" s="41">
        <v>17196</v>
      </c>
      <c r="C152" s="41">
        <v>1368</v>
      </c>
      <c r="D152" s="41">
        <v>3234</v>
      </c>
      <c r="E152" s="41">
        <v>2613</v>
      </c>
      <c r="F152" s="41">
        <v>1201</v>
      </c>
      <c r="G152" s="41">
        <v>2782</v>
      </c>
      <c r="H152" s="41">
        <v>900</v>
      </c>
      <c r="I152" s="41">
        <v>2193</v>
      </c>
      <c r="J152" s="41">
        <v>912</v>
      </c>
      <c r="K152" s="41">
        <v>1994</v>
      </c>
    </row>
    <row r="153" spans="1:11" ht="15" customHeight="1" x14ac:dyDescent="0.25">
      <c r="A153" s="42" t="s">
        <v>2440</v>
      </c>
      <c r="B153" s="41">
        <v>3913</v>
      </c>
      <c r="C153" s="41">
        <v>300</v>
      </c>
      <c r="D153" s="41">
        <v>432</v>
      </c>
      <c r="E153" s="41">
        <v>628</v>
      </c>
      <c r="F153" s="41">
        <v>258</v>
      </c>
      <c r="G153" s="41">
        <v>695</v>
      </c>
      <c r="H153" s="41" t="s">
        <v>2312</v>
      </c>
      <c r="I153" s="41" t="s">
        <v>2312</v>
      </c>
      <c r="J153" s="41" t="s">
        <v>2312</v>
      </c>
      <c r="K153" s="41">
        <v>717</v>
      </c>
    </row>
    <row r="154" spans="1:11" ht="15" customHeight="1" x14ac:dyDescent="0.25">
      <c r="A154" s="42" t="s">
        <v>2383</v>
      </c>
      <c r="B154" s="41">
        <v>848</v>
      </c>
      <c r="C154" s="41" t="s">
        <v>2312</v>
      </c>
      <c r="D154" s="41" t="s">
        <v>2312</v>
      </c>
      <c r="E154" s="41" t="s">
        <v>2312</v>
      </c>
      <c r="F154" s="41" t="s">
        <v>2312</v>
      </c>
      <c r="G154" s="41" t="s">
        <v>2312</v>
      </c>
      <c r="H154" s="41" t="s">
        <v>2312</v>
      </c>
      <c r="I154" s="41" t="s">
        <v>2312</v>
      </c>
      <c r="J154" s="41" t="s">
        <v>2312</v>
      </c>
      <c r="K154" s="41" t="s">
        <v>2312</v>
      </c>
    </row>
    <row r="155" spans="1:11" ht="15" customHeight="1" x14ac:dyDescent="0.25">
      <c r="A155" s="44" t="s">
        <v>2441</v>
      </c>
      <c r="B155" s="41">
        <v>39154</v>
      </c>
      <c r="C155" s="41">
        <v>1460</v>
      </c>
      <c r="D155" s="41">
        <v>3909</v>
      </c>
      <c r="E155" s="41">
        <v>5416</v>
      </c>
      <c r="F155" s="41">
        <v>2409</v>
      </c>
      <c r="G155" s="41">
        <v>9005</v>
      </c>
      <c r="H155" s="41">
        <v>1940</v>
      </c>
      <c r="I155" s="41">
        <v>5240</v>
      </c>
      <c r="J155" s="41">
        <v>2406</v>
      </c>
      <c r="K155" s="41">
        <v>7370</v>
      </c>
    </row>
    <row r="156" spans="1:11" ht="15" customHeight="1" x14ac:dyDescent="0.25">
      <c r="A156" s="44" t="s">
        <v>2442</v>
      </c>
      <c r="B156" s="41">
        <v>5723</v>
      </c>
      <c r="C156" s="41">
        <v>217</v>
      </c>
      <c r="D156" s="41">
        <v>685</v>
      </c>
      <c r="E156" s="41">
        <v>672</v>
      </c>
      <c r="F156" s="41">
        <v>325</v>
      </c>
      <c r="G156" s="41">
        <v>1725</v>
      </c>
      <c r="H156" s="41">
        <v>212</v>
      </c>
      <c r="I156" s="41">
        <v>765</v>
      </c>
      <c r="J156" s="41">
        <v>329</v>
      </c>
      <c r="K156" s="41">
        <v>793</v>
      </c>
    </row>
    <row r="157" spans="1:11" ht="33.950000000000003" customHeight="1" x14ac:dyDescent="0.25">
      <c r="A157" s="43" t="s">
        <v>2443</v>
      </c>
      <c r="B157" s="46" t="s">
        <v>28</v>
      </c>
      <c r="C157" s="46" t="s">
        <v>28</v>
      </c>
      <c r="D157" s="46" t="s">
        <v>28</v>
      </c>
      <c r="E157" s="46" t="s">
        <v>28</v>
      </c>
      <c r="F157" s="46" t="s">
        <v>28</v>
      </c>
      <c r="G157" s="46" t="s">
        <v>28</v>
      </c>
      <c r="H157" s="46" t="s">
        <v>28</v>
      </c>
      <c r="I157" s="46" t="s">
        <v>28</v>
      </c>
      <c r="J157" s="46" t="s">
        <v>28</v>
      </c>
      <c r="K157" s="46" t="s">
        <v>28</v>
      </c>
    </row>
    <row r="158" spans="1:11" ht="15" customHeight="1" x14ac:dyDescent="0.25">
      <c r="A158" s="40" t="s">
        <v>2444</v>
      </c>
      <c r="B158" s="45">
        <v>84869</v>
      </c>
      <c r="C158" s="45">
        <v>4192</v>
      </c>
      <c r="D158" s="45">
        <v>11099</v>
      </c>
      <c r="E158" s="45">
        <v>12544</v>
      </c>
      <c r="F158" s="45">
        <v>6016</v>
      </c>
      <c r="G158" s="45">
        <v>17608</v>
      </c>
      <c r="H158" s="45">
        <v>4824</v>
      </c>
      <c r="I158" s="45">
        <v>10594</v>
      </c>
      <c r="J158" s="45">
        <v>4812</v>
      </c>
      <c r="K158" s="45">
        <v>13180</v>
      </c>
    </row>
    <row r="159" spans="1:11" ht="15" customHeight="1" x14ac:dyDescent="0.25">
      <c r="A159" s="44" t="s">
        <v>2445</v>
      </c>
      <c r="B159" s="45">
        <v>58725</v>
      </c>
      <c r="C159" s="45">
        <v>2241</v>
      </c>
      <c r="D159" s="45">
        <v>8827</v>
      </c>
      <c r="E159" s="45">
        <v>10790</v>
      </c>
      <c r="F159" s="45">
        <v>4236</v>
      </c>
      <c r="G159" s="45">
        <v>9984</v>
      </c>
      <c r="H159" s="45">
        <v>3436</v>
      </c>
      <c r="I159" s="45">
        <v>6480</v>
      </c>
      <c r="J159" s="45">
        <v>3766</v>
      </c>
      <c r="K159" s="45">
        <v>8966</v>
      </c>
    </row>
    <row r="160" spans="1:11" ht="15" customHeight="1" x14ac:dyDescent="0.25">
      <c r="A160" s="44" t="s">
        <v>2446</v>
      </c>
      <c r="B160" s="45">
        <v>20200</v>
      </c>
      <c r="C160" s="45">
        <v>1866</v>
      </c>
      <c r="D160" s="45">
        <v>4213</v>
      </c>
      <c r="E160" s="45">
        <v>2619</v>
      </c>
      <c r="F160" s="45">
        <v>1316</v>
      </c>
      <c r="G160" s="45">
        <v>4419</v>
      </c>
      <c r="H160" s="45">
        <v>797</v>
      </c>
      <c r="I160" s="45">
        <v>1835</v>
      </c>
      <c r="J160" s="45">
        <v>1092</v>
      </c>
      <c r="K160" s="45">
        <v>2043</v>
      </c>
    </row>
    <row r="161" spans="1:11" ht="15" customHeight="1" x14ac:dyDescent="0.25">
      <c r="A161" s="40" t="s">
        <v>2447</v>
      </c>
      <c r="B161" s="45">
        <v>5964</v>
      </c>
      <c r="C161" s="45" t="s">
        <v>2312</v>
      </c>
      <c r="D161" s="45">
        <v>1628</v>
      </c>
      <c r="E161" s="45">
        <v>574</v>
      </c>
      <c r="F161" s="45">
        <v>332</v>
      </c>
      <c r="G161" s="45">
        <v>1159</v>
      </c>
      <c r="H161" s="45" t="s">
        <v>2312</v>
      </c>
      <c r="I161" s="45">
        <v>646</v>
      </c>
      <c r="J161" s="45">
        <v>482</v>
      </c>
      <c r="K161" s="45">
        <v>404</v>
      </c>
    </row>
    <row r="162" spans="1:11" ht="15" customHeight="1" x14ac:dyDescent="0.25">
      <c r="A162" s="44" t="s">
        <v>2448</v>
      </c>
      <c r="B162" s="45">
        <v>4608</v>
      </c>
      <c r="C162" s="45" t="s">
        <v>2312</v>
      </c>
      <c r="D162" s="45">
        <v>656</v>
      </c>
      <c r="E162" s="45">
        <v>420</v>
      </c>
      <c r="F162" s="45" t="s">
        <v>2312</v>
      </c>
      <c r="G162" s="45">
        <v>1202</v>
      </c>
      <c r="H162" s="45" t="s">
        <v>2312</v>
      </c>
      <c r="I162" s="45">
        <v>773</v>
      </c>
      <c r="J162" s="45" t="s">
        <v>2312</v>
      </c>
      <c r="K162" s="45">
        <v>329</v>
      </c>
    </row>
    <row r="163" spans="1:11" ht="15" customHeight="1" x14ac:dyDescent="0.25">
      <c r="A163" s="44" t="s">
        <v>2449</v>
      </c>
      <c r="B163" s="41">
        <v>7706</v>
      </c>
      <c r="C163" s="41">
        <v>861</v>
      </c>
      <c r="D163" s="41">
        <v>885</v>
      </c>
      <c r="E163" s="41">
        <v>829</v>
      </c>
      <c r="F163" s="41">
        <v>1080</v>
      </c>
      <c r="G163" s="41">
        <v>1476</v>
      </c>
      <c r="H163" s="41">
        <v>470</v>
      </c>
      <c r="I163" s="41">
        <v>621</v>
      </c>
      <c r="J163" s="41">
        <v>503</v>
      </c>
      <c r="K163" s="41">
        <v>982</v>
      </c>
    </row>
    <row r="164" spans="1:11" ht="15" customHeight="1" x14ac:dyDescent="0.25">
      <c r="A164" s="44" t="s">
        <v>2383</v>
      </c>
      <c r="B164" s="41">
        <v>3826</v>
      </c>
      <c r="C164" s="41">
        <v>397</v>
      </c>
      <c r="D164" s="41">
        <v>691</v>
      </c>
      <c r="E164" s="41">
        <v>532</v>
      </c>
      <c r="F164" s="41">
        <v>267</v>
      </c>
      <c r="G164" s="41">
        <v>554</v>
      </c>
      <c r="H164" s="41" t="s">
        <v>2312</v>
      </c>
      <c r="I164" s="41" t="s">
        <v>2312</v>
      </c>
      <c r="J164" s="41">
        <v>403</v>
      </c>
      <c r="K164" s="41">
        <v>631</v>
      </c>
    </row>
    <row r="165" spans="1:11" ht="33.950000000000003" customHeight="1" x14ac:dyDescent="0.25">
      <c r="A165" s="43" t="s">
        <v>2450</v>
      </c>
      <c r="B165" s="46" t="s">
        <v>28</v>
      </c>
      <c r="C165" s="46" t="s">
        <v>28</v>
      </c>
      <c r="D165" s="46" t="s">
        <v>28</v>
      </c>
      <c r="E165" s="46" t="s">
        <v>28</v>
      </c>
      <c r="F165" s="46" t="s">
        <v>28</v>
      </c>
      <c r="G165" s="46" t="s">
        <v>28</v>
      </c>
      <c r="H165" s="46" t="s">
        <v>28</v>
      </c>
      <c r="I165" s="46" t="s">
        <v>28</v>
      </c>
      <c r="J165" s="46" t="s">
        <v>28</v>
      </c>
      <c r="K165" s="46" t="s">
        <v>28</v>
      </c>
    </row>
    <row r="166" spans="1:11" ht="15" customHeight="1" x14ac:dyDescent="0.25">
      <c r="A166" s="40" t="s">
        <v>2444</v>
      </c>
      <c r="B166" s="45">
        <v>49030</v>
      </c>
      <c r="C166" s="45">
        <v>1848</v>
      </c>
      <c r="D166" s="45">
        <v>5428</v>
      </c>
      <c r="E166" s="45">
        <v>5687</v>
      </c>
      <c r="F166" s="45">
        <v>2951</v>
      </c>
      <c r="G166" s="45">
        <v>12514</v>
      </c>
      <c r="H166" s="45">
        <v>3170</v>
      </c>
      <c r="I166" s="45">
        <v>6874</v>
      </c>
      <c r="J166" s="45">
        <v>2791</v>
      </c>
      <c r="K166" s="45">
        <v>7768</v>
      </c>
    </row>
    <row r="167" spans="1:11" ht="15" customHeight="1" x14ac:dyDescent="0.25">
      <c r="A167" s="44" t="s">
        <v>2445</v>
      </c>
      <c r="B167" s="45">
        <v>49511</v>
      </c>
      <c r="C167" s="45">
        <v>1990</v>
      </c>
      <c r="D167" s="45">
        <v>7362</v>
      </c>
      <c r="E167" s="45">
        <v>10122</v>
      </c>
      <c r="F167" s="45">
        <v>3909</v>
      </c>
      <c r="G167" s="45">
        <v>7309</v>
      </c>
      <c r="H167" s="45">
        <v>2662</v>
      </c>
      <c r="I167" s="45">
        <v>5467</v>
      </c>
      <c r="J167" s="45">
        <v>3180</v>
      </c>
      <c r="K167" s="45">
        <v>7509</v>
      </c>
    </row>
    <row r="168" spans="1:11" ht="15" customHeight="1" x14ac:dyDescent="0.25">
      <c r="A168" s="44" t="s">
        <v>2446</v>
      </c>
      <c r="B168" s="45">
        <v>4351</v>
      </c>
      <c r="C168" s="45">
        <v>1270</v>
      </c>
      <c r="D168" s="45">
        <v>1581</v>
      </c>
      <c r="E168" s="45">
        <v>292</v>
      </c>
      <c r="F168" s="45">
        <v>375</v>
      </c>
      <c r="G168" s="45">
        <v>458</v>
      </c>
      <c r="H168" s="45" t="s">
        <v>2312</v>
      </c>
      <c r="I168" s="45" t="s">
        <v>2312</v>
      </c>
      <c r="J168" s="45" t="s">
        <v>2312</v>
      </c>
      <c r="K168" s="45" t="s">
        <v>2312</v>
      </c>
    </row>
    <row r="169" spans="1:11" ht="15" customHeight="1" x14ac:dyDescent="0.25">
      <c r="A169" s="40" t="s">
        <v>2447</v>
      </c>
      <c r="B169" s="45">
        <v>5925</v>
      </c>
      <c r="C169" s="45" t="s">
        <v>2312</v>
      </c>
      <c r="D169" s="45">
        <v>1628</v>
      </c>
      <c r="E169" s="45">
        <v>574</v>
      </c>
      <c r="F169" s="45">
        <v>332</v>
      </c>
      <c r="G169" s="45">
        <v>1148</v>
      </c>
      <c r="H169" s="45" t="s">
        <v>2312</v>
      </c>
      <c r="I169" s="45">
        <v>637</v>
      </c>
      <c r="J169" s="45">
        <v>482</v>
      </c>
      <c r="K169" s="45">
        <v>385</v>
      </c>
    </row>
    <row r="170" spans="1:11" ht="15" customHeight="1" x14ac:dyDescent="0.25">
      <c r="A170" s="44" t="s">
        <v>2449</v>
      </c>
      <c r="B170" s="41">
        <v>3067</v>
      </c>
      <c r="C170" s="41">
        <v>314</v>
      </c>
      <c r="D170" s="41">
        <v>339</v>
      </c>
      <c r="E170" s="41">
        <v>280</v>
      </c>
      <c r="F170" s="41">
        <v>723</v>
      </c>
      <c r="G170" s="41">
        <v>498</v>
      </c>
      <c r="H170" s="41">
        <v>218</v>
      </c>
      <c r="I170" s="41" t="s">
        <v>2312</v>
      </c>
      <c r="J170" s="41">
        <v>141</v>
      </c>
      <c r="K170" s="41">
        <v>343</v>
      </c>
    </row>
    <row r="171" spans="1:11" ht="15" customHeight="1" x14ac:dyDescent="0.25">
      <c r="A171" s="44" t="s">
        <v>2383</v>
      </c>
      <c r="B171" s="41">
        <v>1010</v>
      </c>
      <c r="C171" s="41" t="s">
        <v>2312</v>
      </c>
      <c r="D171" s="41" t="s">
        <v>2312</v>
      </c>
      <c r="E171" s="41" t="s">
        <v>2312</v>
      </c>
      <c r="F171" s="41" t="s">
        <v>2312</v>
      </c>
      <c r="G171" s="41" t="s">
        <v>2312</v>
      </c>
      <c r="H171" s="41" t="s">
        <v>2312</v>
      </c>
      <c r="I171" s="41" t="s">
        <v>2312</v>
      </c>
      <c r="J171" s="41" t="s">
        <v>2312</v>
      </c>
      <c r="K171" s="41" t="s">
        <v>2312</v>
      </c>
    </row>
    <row r="172" spans="1:11" ht="33.950000000000003" customHeight="1" x14ac:dyDescent="0.25">
      <c r="A172" s="43" t="s">
        <v>2451</v>
      </c>
      <c r="B172" s="46" t="s">
        <v>28</v>
      </c>
      <c r="C172" s="46" t="s">
        <v>28</v>
      </c>
      <c r="D172" s="46" t="s">
        <v>28</v>
      </c>
      <c r="E172" s="46" t="s">
        <v>28</v>
      </c>
      <c r="F172" s="46" t="s">
        <v>28</v>
      </c>
      <c r="G172" s="46" t="s">
        <v>28</v>
      </c>
      <c r="H172" s="46" t="s">
        <v>28</v>
      </c>
      <c r="I172" s="46" t="s">
        <v>28</v>
      </c>
      <c r="J172" s="46" t="s">
        <v>28</v>
      </c>
      <c r="K172" s="46" t="s">
        <v>28</v>
      </c>
    </row>
    <row r="173" spans="1:11" ht="15" customHeight="1" x14ac:dyDescent="0.25">
      <c r="A173" s="40" t="s">
        <v>2444</v>
      </c>
      <c r="B173" s="45">
        <v>26205</v>
      </c>
      <c r="C173" s="45">
        <v>468</v>
      </c>
      <c r="D173" s="45">
        <v>1720</v>
      </c>
      <c r="E173" s="45">
        <v>1702</v>
      </c>
      <c r="F173" s="45">
        <v>1281</v>
      </c>
      <c r="G173" s="45">
        <v>8533</v>
      </c>
      <c r="H173" s="45">
        <v>1982</v>
      </c>
      <c r="I173" s="45">
        <v>4604</v>
      </c>
      <c r="J173" s="45">
        <v>1122</v>
      </c>
      <c r="K173" s="45">
        <v>4794</v>
      </c>
    </row>
    <row r="174" spans="1:11" ht="15" customHeight="1" x14ac:dyDescent="0.25">
      <c r="A174" s="44" t="s">
        <v>2445</v>
      </c>
      <c r="B174" s="45">
        <v>42988</v>
      </c>
      <c r="C174" s="45">
        <v>1811</v>
      </c>
      <c r="D174" s="45">
        <v>6555</v>
      </c>
      <c r="E174" s="45">
        <v>9587</v>
      </c>
      <c r="F174" s="45">
        <v>3497</v>
      </c>
      <c r="G174" s="45">
        <v>5694</v>
      </c>
      <c r="H174" s="45">
        <v>2067</v>
      </c>
      <c r="I174" s="45">
        <v>4551</v>
      </c>
      <c r="J174" s="45">
        <v>2893</v>
      </c>
      <c r="K174" s="45">
        <v>6333</v>
      </c>
    </row>
    <row r="175" spans="1:11" ht="15" customHeight="1" x14ac:dyDescent="0.25">
      <c r="A175" s="44" t="s">
        <v>2446</v>
      </c>
      <c r="B175" s="45">
        <v>2542</v>
      </c>
      <c r="C175" s="45">
        <v>1099</v>
      </c>
      <c r="D175" s="45">
        <v>889</v>
      </c>
      <c r="E175" s="45" t="s">
        <v>2312</v>
      </c>
      <c r="F175" s="45" t="s">
        <v>2312</v>
      </c>
      <c r="G175" s="45">
        <v>245</v>
      </c>
      <c r="H175" s="45" t="s">
        <v>2312</v>
      </c>
      <c r="I175" s="45" t="s">
        <v>2312</v>
      </c>
      <c r="J175" s="45" t="s">
        <v>2312</v>
      </c>
      <c r="K175" s="45" t="s">
        <v>2312</v>
      </c>
    </row>
    <row r="176" spans="1:11" ht="15" customHeight="1" x14ac:dyDescent="0.25">
      <c r="A176" s="40" t="s">
        <v>2447</v>
      </c>
      <c r="B176" s="45">
        <v>5797</v>
      </c>
      <c r="C176" s="45" t="s">
        <v>2312</v>
      </c>
      <c r="D176" s="45">
        <v>1601</v>
      </c>
      <c r="E176" s="45">
        <v>532</v>
      </c>
      <c r="F176" s="45">
        <v>332</v>
      </c>
      <c r="G176" s="45">
        <v>1089</v>
      </c>
      <c r="H176" s="45" t="s">
        <v>2312</v>
      </c>
      <c r="I176" s="45">
        <v>637</v>
      </c>
      <c r="J176" s="45">
        <v>482</v>
      </c>
      <c r="K176" s="45">
        <v>385</v>
      </c>
    </row>
    <row r="177" spans="1:11" ht="15" customHeight="1" x14ac:dyDescent="0.25">
      <c r="A177" s="44" t="s">
        <v>2449</v>
      </c>
      <c r="B177" s="41">
        <v>1948</v>
      </c>
      <c r="C177" s="41">
        <v>204</v>
      </c>
      <c r="D177" s="41" t="s">
        <v>2312</v>
      </c>
      <c r="E177" s="41" t="s">
        <v>2312</v>
      </c>
      <c r="F177" s="41">
        <v>517</v>
      </c>
      <c r="G177" s="41">
        <v>307</v>
      </c>
      <c r="H177" s="41">
        <v>193</v>
      </c>
      <c r="I177" s="41" t="s">
        <v>2312</v>
      </c>
      <c r="J177" s="41" t="s">
        <v>2312</v>
      </c>
      <c r="K177" s="41" t="s">
        <v>2312</v>
      </c>
    </row>
    <row r="178" spans="1:11" ht="15" customHeight="1" x14ac:dyDescent="0.25">
      <c r="A178" s="44" t="s">
        <v>2383</v>
      </c>
      <c r="B178" s="41">
        <v>598</v>
      </c>
      <c r="C178" s="41" t="s">
        <v>2312</v>
      </c>
      <c r="D178" s="41" t="s">
        <v>2312</v>
      </c>
      <c r="E178" s="41" t="s">
        <v>2312</v>
      </c>
      <c r="F178" s="41" t="s">
        <v>2312</v>
      </c>
      <c r="G178" s="41" t="s">
        <v>2312</v>
      </c>
      <c r="H178" s="41" t="s">
        <v>2312</v>
      </c>
      <c r="I178" s="41" t="s">
        <v>2312</v>
      </c>
      <c r="J178" s="41" t="s">
        <v>2312</v>
      </c>
      <c r="K178" s="41" t="s">
        <v>2312</v>
      </c>
    </row>
    <row r="179" spans="1:11" ht="33.950000000000003" customHeight="1" x14ac:dyDescent="0.25">
      <c r="A179" s="43" t="s">
        <v>2452</v>
      </c>
      <c r="B179" s="46" t="s">
        <v>28</v>
      </c>
      <c r="C179" s="46" t="s">
        <v>28</v>
      </c>
      <c r="D179" s="46" t="s">
        <v>28</v>
      </c>
      <c r="E179" s="46" t="s">
        <v>28</v>
      </c>
      <c r="F179" s="46" t="s">
        <v>28</v>
      </c>
      <c r="G179" s="46" t="s">
        <v>28</v>
      </c>
      <c r="H179" s="46" t="s">
        <v>28</v>
      </c>
      <c r="I179" s="46" t="s">
        <v>28</v>
      </c>
      <c r="J179" s="46" t="s">
        <v>28</v>
      </c>
      <c r="K179" s="46" t="s">
        <v>28</v>
      </c>
    </row>
    <row r="180" spans="1:11" ht="15" customHeight="1" x14ac:dyDescent="0.25">
      <c r="A180" s="40" t="s">
        <v>2444</v>
      </c>
      <c r="B180" s="45">
        <v>76034</v>
      </c>
      <c r="C180" s="45">
        <v>3317</v>
      </c>
      <c r="D180" s="45">
        <v>9986</v>
      </c>
      <c r="E180" s="45">
        <v>11474</v>
      </c>
      <c r="F180" s="45">
        <v>5352</v>
      </c>
      <c r="G180" s="45">
        <v>16368</v>
      </c>
      <c r="H180" s="45">
        <v>4307</v>
      </c>
      <c r="I180" s="45">
        <v>9275</v>
      </c>
      <c r="J180" s="45">
        <v>4205</v>
      </c>
      <c r="K180" s="45">
        <v>11749</v>
      </c>
    </row>
    <row r="181" spans="1:11" ht="15" customHeight="1" x14ac:dyDescent="0.25">
      <c r="A181" s="44" t="s">
        <v>2445</v>
      </c>
      <c r="B181" s="45">
        <v>732</v>
      </c>
      <c r="C181" s="45" t="s">
        <v>2312</v>
      </c>
      <c r="D181" s="45">
        <v>216</v>
      </c>
      <c r="E181" s="45" t="s">
        <v>2312</v>
      </c>
      <c r="F181" s="45" t="s">
        <v>2312</v>
      </c>
      <c r="G181" s="45" t="s">
        <v>2312</v>
      </c>
      <c r="H181" s="45" t="s">
        <v>2312</v>
      </c>
      <c r="I181" s="45" t="s">
        <v>2312</v>
      </c>
      <c r="J181" s="45" t="s">
        <v>2312</v>
      </c>
      <c r="K181" s="45" t="s">
        <v>2312</v>
      </c>
    </row>
    <row r="182" spans="1:11" ht="15" customHeight="1" x14ac:dyDescent="0.25">
      <c r="A182" s="44" t="s">
        <v>2448</v>
      </c>
      <c r="B182" s="45">
        <v>4608</v>
      </c>
      <c r="C182" s="45" t="s">
        <v>2312</v>
      </c>
      <c r="D182" s="45">
        <v>656</v>
      </c>
      <c r="E182" s="45">
        <v>420</v>
      </c>
      <c r="F182" s="45" t="s">
        <v>2312</v>
      </c>
      <c r="G182" s="45">
        <v>1202</v>
      </c>
      <c r="H182" s="45" t="s">
        <v>2312</v>
      </c>
      <c r="I182" s="45">
        <v>773</v>
      </c>
      <c r="J182" s="45" t="s">
        <v>2312</v>
      </c>
      <c r="K182" s="45">
        <v>329</v>
      </c>
    </row>
    <row r="183" spans="1:11" ht="33.950000000000003" customHeight="1" x14ac:dyDescent="0.25">
      <c r="A183" s="43" t="s">
        <v>2453</v>
      </c>
      <c r="B183" s="46" t="s">
        <v>28</v>
      </c>
      <c r="C183" s="46" t="s">
        <v>28</v>
      </c>
      <c r="D183" s="46" t="s">
        <v>28</v>
      </c>
      <c r="E183" s="46" t="s">
        <v>28</v>
      </c>
      <c r="F183" s="46" t="s">
        <v>28</v>
      </c>
      <c r="G183" s="46" t="s">
        <v>28</v>
      </c>
      <c r="H183" s="46" t="s">
        <v>28</v>
      </c>
      <c r="I183" s="46" t="s">
        <v>28</v>
      </c>
      <c r="J183" s="46" t="s">
        <v>28</v>
      </c>
      <c r="K183" s="46" t="s">
        <v>28</v>
      </c>
    </row>
    <row r="184" spans="1:11" ht="15" customHeight="1" x14ac:dyDescent="0.25">
      <c r="A184" s="40" t="s">
        <v>2444</v>
      </c>
      <c r="B184" s="45">
        <v>42755</v>
      </c>
      <c r="C184" s="45">
        <v>1939</v>
      </c>
      <c r="D184" s="45">
        <v>4622</v>
      </c>
      <c r="E184" s="45">
        <v>4914</v>
      </c>
      <c r="F184" s="45">
        <v>3020</v>
      </c>
      <c r="G184" s="45">
        <v>11163</v>
      </c>
      <c r="H184" s="45">
        <v>2900</v>
      </c>
      <c r="I184" s="45">
        <v>5386</v>
      </c>
      <c r="J184" s="45">
        <v>2000</v>
      </c>
      <c r="K184" s="45">
        <v>6810</v>
      </c>
    </row>
    <row r="185" spans="1:11" ht="15" customHeight="1" x14ac:dyDescent="0.25">
      <c r="A185" s="44" t="s">
        <v>2445</v>
      </c>
      <c r="B185" s="45">
        <v>39523</v>
      </c>
      <c r="C185" s="45">
        <v>1492</v>
      </c>
      <c r="D185" s="45">
        <v>6042</v>
      </c>
      <c r="E185" s="45">
        <v>7910</v>
      </c>
      <c r="F185" s="45">
        <v>2705</v>
      </c>
      <c r="G185" s="45">
        <v>5651</v>
      </c>
      <c r="H185" s="45">
        <v>2103</v>
      </c>
      <c r="I185" s="45">
        <v>4504</v>
      </c>
      <c r="J185" s="45">
        <v>2665</v>
      </c>
      <c r="K185" s="45">
        <v>6452</v>
      </c>
    </row>
    <row r="186" spans="1:11" ht="15" customHeight="1" x14ac:dyDescent="0.25">
      <c r="A186" s="44" t="s">
        <v>2446</v>
      </c>
      <c r="B186" s="45">
        <v>1911</v>
      </c>
      <c r="C186" s="45">
        <v>693</v>
      </c>
      <c r="D186" s="45">
        <v>708</v>
      </c>
      <c r="E186" s="45" t="s">
        <v>2312</v>
      </c>
      <c r="F186" s="45" t="s">
        <v>2312</v>
      </c>
      <c r="G186" s="45" t="s">
        <v>2312</v>
      </c>
      <c r="H186" s="45" t="s">
        <v>2312</v>
      </c>
      <c r="I186" s="45" t="s">
        <v>2312</v>
      </c>
      <c r="J186" s="45" t="s">
        <v>2312</v>
      </c>
      <c r="K186" s="45" t="s">
        <v>2312</v>
      </c>
    </row>
    <row r="187" spans="1:11" ht="15" customHeight="1" x14ac:dyDescent="0.25">
      <c r="A187" s="40" t="s">
        <v>2447</v>
      </c>
      <c r="B187" s="45">
        <v>4551</v>
      </c>
      <c r="C187" s="45" t="s">
        <v>2312</v>
      </c>
      <c r="D187" s="45">
        <v>1383</v>
      </c>
      <c r="E187" s="45">
        <v>470</v>
      </c>
      <c r="F187" s="45" t="s">
        <v>2312</v>
      </c>
      <c r="G187" s="45">
        <v>944</v>
      </c>
      <c r="H187" s="45" t="s">
        <v>2312</v>
      </c>
      <c r="I187" s="45" t="s">
        <v>2312</v>
      </c>
      <c r="J187" s="45" t="s">
        <v>2312</v>
      </c>
      <c r="K187" s="45">
        <v>243</v>
      </c>
    </row>
    <row r="188" spans="1:11" ht="15" customHeight="1" x14ac:dyDescent="0.25">
      <c r="A188" s="44" t="s">
        <v>2449</v>
      </c>
      <c r="B188" s="41">
        <v>1575</v>
      </c>
      <c r="C188" s="41">
        <v>233</v>
      </c>
      <c r="D188" s="41" t="s">
        <v>2312</v>
      </c>
      <c r="E188" s="41" t="s">
        <v>2312</v>
      </c>
      <c r="F188" s="41">
        <v>251</v>
      </c>
      <c r="G188" s="41">
        <v>353</v>
      </c>
      <c r="H188" s="41" t="s">
        <v>2312</v>
      </c>
      <c r="I188" s="41" t="s">
        <v>2312</v>
      </c>
      <c r="J188" s="41" t="s">
        <v>2312</v>
      </c>
      <c r="K188" s="41" t="s">
        <v>2312</v>
      </c>
    </row>
    <row r="189" spans="1:11" ht="33.950000000000003" customHeight="1" x14ac:dyDescent="0.25">
      <c r="A189" s="43" t="s">
        <v>2454</v>
      </c>
      <c r="B189" s="46" t="s">
        <v>28</v>
      </c>
      <c r="C189" s="46" t="s">
        <v>28</v>
      </c>
      <c r="D189" s="46" t="s">
        <v>28</v>
      </c>
      <c r="E189" s="46" t="s">
        <v>28</v>
      </c>
      <c r="F189" s="46" t="s">
        <v>28</v>
      </c>
      <c r="G189" s="46" t="s">
        <v>28</v>
      </c>
      <c r="H189" s="46" t="s">
        <v>28</v>
      </c>
      <c r="I189" s="46" t="s">
        <v>28</v>
      </c>
      <c r="J189" s="46" t="s">
        <v>28</v>
      </c>
      <c r="K189" s="46" t="s">
        <v>28</v>
      </c>
    </row>
    <row r="190" spans="1:11" ht="15" customHeight="1" x14ac:dyDescent="0.25">
      <c r="A190" s="40" t="s">
        <v>2444</v>
      </c>
      <c r="B190" s="45">
        <v>25151</v>
      </c>
      <c r="C190" s="45">
        <v>1143</v>
      </c>
      <c r="D190" s="45">
        <v>3534</v>
      </c>
      <c r="E190" s="45">
        <v>4211</v>
      </c>
      <c r="F190" s="45">
        <v>1949</v>
      </c>
      <c r="G190" s="45">
        <v>5446</v>
      </c>
      <c r="H190" s="45">
        <v>1544</v>
      </c>
      <c r="I190" s="45">
        <v>2822</v>
      </c>
      <c r="J190" s="45">
        <v>1522</v>
      </c>
      <c r="K190" s="45">
        <v>2981</v>
      </c>
    </row>
    <row r="191" spans="1:11" ht="15" customHeight="1" x14ac:dyDescent="0.25">
      <c r="A191" s="44" t="s">
        <v>2445</v>
      </c>
      <c r="B191" s="45">
        <v>24770</v>
      </c>
      <c r="C191" s="45">
        <v>1015</v>
      </c>
      <c r="D191" s="45">
        <v>4341</v>
      </c>
      <c r="E191" s="45">
        <v>4293</v>
      </c>
      <c r="F191" s="45">
        <v>1349</v>
      </c>
      <c r="G191" s="45">
        <v>4427</v>
      </c>
      <c r="H191" s="45">
        <v>1487</v>
      </c>
      <c r="I191" s="45">
        <v>2658</v>
      </c>
      <c r="J191" s="45">
        <v>1694</v>
      </c>
      <c r="K191" s="45">
        <v>3506</v>
      </c>
    </row>
    <row r="192" spans="1:11" ht="15" customHeight="1" x14ac:dyDescent="0.25">
      <c r="A192" s="44" t="s">
        <v>2449</v>
      </c>
      <c r="B192" s="45">
        <v>2001</v>
      </c>
      <c r="C192" s="45">
        <v>486</v>
      </c>
      <c r="D192" s="45">
        <v>293</v>
      </c>
      <c r="E192" s="45" t="s">
        <v>2312</v>
      </c>
      <c r="F192" s="45">
        <v>211</v>
      </c>
      <c r="G192" s="45">
        <v>510</v>
      </c>
      <c r="H192" s="45" t="s">
        <v>2312</v>
      </c>
      <c r="I192" s="45" t="s">
        <v>2312</v>
      </c>
      <c r="J192" s="45" t="s">
        <v>2312</v>
      </c>
      <c r="K192" s="45" t="s">
        <v>2312</v>
      </c>
    </row>
    <row r="193" spans="1:11" ht="33.950000000000003" customHeight="1" x14ac:dyDescent="0.25">
      <c r="A193" s="43" t="s">
        <v>2455</v>
      </c>
      <c r="B193" s="46" t="s">
        <v>28</v>
      </c>
      <c r="C193" s="46" t="s">
        <v>28</v>
      </c>
      <c r="D193" s="46" t="s">
        <v>28</v>
      </c>
      <c r="E193" s="46" t="s">
        <v>28</v>
      </c>
      <c r="F193" s="46" t="s">
        <v>28</v>
      </c>
      <c r="G193" s="46" t="s">
        <v>28</v>
      </c>
      <c r="H193" s="46" t="s">
        <v>28</v>
      </c>
      <c r="I193" s="46" t="s">
        <v>28</v>
      </c>
      <c r="J193" s="46" t="s">
        <v>28</v>
      </c>
      <c r="K193" s="46" t="s">
        <v>28</v>
      </c>
    </row>
    <row r="194" spans="1:11" ht="15" customHeight="1" x14ac:dyDescent="0.25">
      <c r="A194" s="40" t="s">
        <v>2456</v>
      </c>
      <c r="B194" s="45">
        <v>80078</v>
      </c>
      <c r="C194" s="45">
        <v>4090</v>
      </c>
      <c r="D194" s="45">
        <v>10963</v>
      </c>
      <c r="E194" s="45">
        <v>12240</v>
      </c>
      <c r="F194" s="45">
        <v>5815</v>
      </c>
      <c r="G194" s="45">
        <v>15883</v>
      </c>
      <c r="H194" s="45">
        <v>4692</v>
      </c>
      <c r="I194" s="45">
        <v>9923</v>
      </c>
      <c r="J194" s="45">
        <v>4704</v>
      </c>
      <c r="K194" s="45">
        <v>11767</v>
      </c>
    </row>
    <row r="195" spans="1:11" ht="15" customHeight="1" x14ac:dyDescent="0.25">
      <c r="A195" s="44" t="s">
        <v>2457</v>
      </c>
      <c r="B195" s="45">
        <v>79294</v>
      </c>
      <c r="C195" s="45">
        <v>3482</v>
      </c>
      <c r="D195" s="45">
        <v>10467</v>
      </c>
      <c r="E195" s="45">
        <v>11675</v>
      </c>
      <c r="F195" s="45">
        <v>5469</v>
      </c>
      <c r="G195" s="45">
        <v>17094</v>
      </c>
      <c r="H195" s="45">
        <v>4710</v>
      </c>
      <c r="I195" s="45">
        <v>9931</v>
      </c>
      <c r="J195" s="45">
        <v>4489</v>
      </c>
      <c r="K195" s="45">
        <v>11978</v>
      </c>
    </row>
    <row r="196" spans="1:11" ht="15" customHeight="1" x14ac:dyDescent="0.25">
      <c r="A196" s="44" t="s">
        <v>2458</v>
      </c>
      <c r="B196" s="45">
        <v>79015</v>
      </c>
      <c r="C196" s="45">
        <v>3915</v>
      </c>
      <c r="D196" s="45">
        <v>10718</v>
      </c>
      <c r="E196" s="45">
        <v>12082</v>
      </c>
      <c r="F196" s="45">
        <v>5510</v>
      </c>
      <c r="G196" s="45">
        <v>16144</v>
      </c>
      <c r="H196" s="45">
        <v>4598</v>
      </c>
      <c r="I196" s="45">
        <v>9519</v>
      </c>
      <c r="J196" s="45">
        <v>4440</v>
      </c>
      <c r="K196" s="45">
        <v>12089</v>
      </c>
    </row>
    <row r="197" spans="1:11" ht="15" customHeight="1" x14ac:dyDescent="0.25">
      <c r="A197" s="40" t="s">
        <v>2459</v>
      </c>
      <c r="B197" s="45">
        <v>38546</v>
      </c>
      <c r="C197" s="45">
        <v>2053</v>
      </c>
      <c r="D197" s="45">
        <v>6124</v>
      </c>
      <c r="E197" s="45">
        <v>6175</v>
      </c>
      <c r="F197" s="45">
        <v>2551</v>
      </c>
      <c r="G197" s="45">
        <v>7925</v>
      </c>
      <c r="H197" s="45">
        <v>2255</v>
      </c>
      <c r="I197" s="45">
        <v>4201</v>
      </c>
      <c r="J197" s="45">
        <v>2420</v>
      </c>
      <c r="K197" s="45">
        <v>4842</v>
      </c>
    </row>
    <row r="198" spans="1:11" ht="15" customHeight="1" x14ac:dyDescent="0.25">
      <c r="A198" s="44" t="s">
        <v>2460</v>
      </c>
      <c r="B198" s="41">
        <v>5078</v>
      </c>
      <c r="C198" s="41">
        <v>391</v>
      </c>
      <c r="D198" s="41">
        <v>669</v>
      </c>
      <c r="E198" s="41">
        <v>807</v>
      </c>
      <c r="F198" s="41">
        <v>365</v>
      </c>
      <c r="G198" s="41">
        <v>821</v>
      </c>
      <c r="H198" s="41" t="s">
        <v>2312</v>
      </c>
      <c r="I198" s="41">
        <v>705</v>
      </c>
      <c r="J198" s="41" t="s">
        <v>2312</v>
      </c>
      <c r="K198" s="41">
        <v>999</v>
      </c>
    </row>
    <row r="199" spans="1:11" ht="27.95" customHeight="1" x14ac:dyDescent="0.25">
      <c r="A199" s="44" t="s">
        <v>2461</v>
      </c>
      <c r="B199" s="41">
        <v>25642</v>
      </c>
      <c r="C199" s="41">
        <v>1456</v>
      </c>
      <c r="D199" s="41">
        <v>4767</v>
      </c>
      <c r="E199" s="41">
        <v>3912</v>
      </c>
      <c r="F199" s="41">
        <v>1445</v>
      </c>
      <c r="G199" s="41">
        <v>5901</v>
      </c>
      <c r="H199" s="41">
        <v>1075</v>
      </c>
      <c r="I199" s="41">
        <v>2401</v>
      </c>
      <c r="J199" s="41">
        <v>1635</v>
      </c>
      <c r="K199" s="41">
        <v>3049</v>
      </c>
    </row>
    <row r="200" spans="1:11" ht="24" customHeight="1" x14ac:dyDescent="0.25">
      <c r="A200" s="43" t="s">
        <v>2462</v>
      </c>
      <c r="B200" s="46" t="s">
        <v>28</v>
      </c>
      <c r="C200" s="46" t="s">
        <v>28</v>
      </c>
      <c r="D200" s="46" t="s">
        <v>28</v>
      </c>
      <c r="E200" s="46" t="s">
        <v>28</v>
      </c>
      <c r="F200" s="46" t="s">
        <v>28</v>
      </c>
      <c r="G200" s="46" t="s">
        <v>28</v>
      </c>
      <c r="H200" s="46" t="s">
        <v>28</v>
      </c>
      <c r="I200" s="46" t="s">
        <v>28</v>
      </c>
      <c r="J200" s="46" t="s">
        <v>28</v>
      </c>
      <c r="K200" s="46" t="s">
        <v>28</v>
      </c>
    </row>
    <row r="201" spans="1:11" ht="15" customHeight="1" x14ac:dyDescent="0.25">
      <c r="A201" s="40" t="s">
        <v>2463</v>
      </c>
      <c r="B201" s="45">
        <v>7015</v>
      </c>
      <c r="C201" s="45">
        <v>212</v>
      </c>
      <c r="D201" s="45">
        <v>269</v>
      </c>
      <c r="E201" s="45">
        <v>502</v>
      </c>
      <c r="F201" s="45">
        <v>362</v>
      </c>
      <c r="G201" s="45">
        <v>2098</v>
      </c>
      <c r="H201" s="45">
        <v>212</v>
      </c>
      <c r="I201" s="45">
        <v>1471</v>
      </c>
      <c r="J201" s="45">
        <v>277</v>
      </c>
      <c r="K201" s="45">
        <v>1612</v>
      </c>
    </row>
    <row r="202" spans="1:11" ht="15" customHeight="1" x14ac:dyDescent="0.25">
      <c r="A202" s="44" t="s">
        <v>2464</v>
      </c>
      <c r="B202" s="45">
        <v>10130</v>
      </c>
      <c r="C202" s="45" t="s">
        <v>2312</v>
      </c>
      <c r="D202" s="45">
        <v>757</v>
      </c>
      <c r="E202" s="45">
        <v>734</v>
      </c>
      <c r="F202" s="45">
        <v>576</v>
      </c>
      <c r="G202" s="45">
        <v>2193</v>
      </c>
      <c r="H202" s="45">
        <v>469</v>
      </c>
      <c r="I202" s="45">
        <v>1317</v>
      </c>
      <c r="J202" s="45">
        <v>592</v>
      </c>
      <c r="K202" s="45">
        <v>3117</v>
      </c>
    </row>
    <row r="203" spans="1:11" ht="15" customHeight="1" x14ac:dyDescent="0.25">
      <c r="A203" s="44" t="s">
        <v>2465</v>
      </c>
      <c r="B203" s="45">
        <v>14650</v>
      </c>
      <c r="C203" s="45">
        <v>805</v>
      </c>
      <c r="D203" s="45">
        <v>2068</v>
      </c>
      <c r="E203" s="45">
        <v>1545</v>
      </c>
      <c r="F203" s="45">
        <v>694</v>
      </c>
      <c r="G203" s="45">
        <v>3098</v>
      </c>
      <c r="H203" s="45">
        <v>1236</v>
      </c>
      <c r="I203" s="45">
        <v>1883</v>
      </c>
      <c r="J203" s="45">
        <v>658</v>
      </c>
      <c r="K203" s="45">
        <v>2662</v>
      </c>
    </row>
    <row r="204" spans="1:11" ht="15" customHeight="1" x14ac:dyDescent="0.25">
      <c r="A204" s="47" t="s">
        <v>2466</v>
      </c>
      <c r="B204" s="45">
        <v>55298</v>
      </c>
      <c r="C204" s="45">
        <v>2910</v>
      </c>
      <c r="D204" s="45">
        <v>8138</v>
      </c>
      <c r="E204" s="45">
        <v>9961</v>
      </c>
      <c r="F204" s="45">
        <v>4545</v>
      </c>
      <c r="G204" s="45">
        <v>10592</v>
      </c>
      <c r="H204" s="45">
        <v>2987</v>
      </c>
      <c r="I204" s="45">
        <v>6724</v>
      </c>
      <c r="J204" s="45">
        <v>3453</v>
      </c>
      <c r="K204" s="45">
        <v>5988</v>
      </c>
    </row>
    <row r="205" spans="1:11" ht="24" customHeight="1" x14ac:dyDescent="0.25">
      <c r="A205" s="43" t="s">
        <v>2467</v>
      </c>
      <c r="B205" s="46" t="s">
        <v>28</v>
      </c>
      <c r="C205" s="46" t="s">
        <v>28</v>
      </c>
      <c r="D205" s="46" t="s">
        <v>28</v>
      </c>
      <c r="E205" s="46" t="s">
        <v>28</v>
      </c>
      <c r="F205" s="46" t="s">
        <v>28</v>
      </c>
      <c r="G205" s="46" t="s">
        <v>28</v>
      </c>
      <c r="H205" s="46" t="s">
        <v>28</v>
      </c>
      <c r="I205" s="46" t="s">
        <v>28</v>
      </c>
      <c r="J205" s="46" t="s">
        <v>28</v>
      </c>
      <c r="K205" s="46" t="s">
        <v>28</v>
      </c>
    </row>
    <row r="206" spans="1:11" ht="15" customHeight="1" x14ac:dyDescent="0.25">
      <c r="A206" s="40" t="s">
        <v>2468</v>
      </c>
      <c r="B206" s="45">
        <v>7799</v>
      </c>
      <c r="C206" s="45">
        <v>819</v>
      </c>
      <c r="D206" s="45">
        <v>765</v>
      </c>
      <c r="E206" s="45">
        <v>1067</v>
      </c>
      <c r="F206" s="45">
        <v>709</v>
      </c>
      <c r="G206" s="45">
        <v>887</v>
      </c>
      <c r="H206" s="45">
        <v>194</v>
      </c>
      <c r="I206" s="45">
        <v>1464</v>
      </c>
      <c r="J206" s="45">
        <v>492</v>
      </c>
      <c r="K206" s="45">
        <v>1402</v>
      </c>
    </row>
    <row r="207" spans="1:11" ht="15" customHeight="1" x14ac:dyDescent="0.25">
      <c r="A207" s="44" t="s">
        <v>2464</v>
      </c>
      <c r="B207" s="45">
        <v>18891</v>
      </c>
      <c r="C207" s="45">
        <v>1019</v>
      </c>
      <c r="D207" s="45">
        <v>2539</v>
      </c>
      <c r="E207" s="45">
        <v>3289</v>
      </c>
      <c r="F207" s="45">
        <v>1451</v>
      </c>
      <c r="G207" s="45">
        <v>3237</v>
      </c>
      <c r="H207" s="45">
        <v>969</v>
      </c>
      <c r="I207" s="45">
        <v>1982</v>
      </c>
      <c r="J207" s="45">
        <v>828</v>
      </c>
      <c r="K207" s="45">
        <v>3576</v>
      </c>
    </row>
    <row r="208" spans="1:11" ht="15" customHeight="1" x14ac:dyDescent="0.25">
      <c r="A208" s="44" t="s">
        <v>2465</v>
      </c>
      <c r="B208" s="45">
        <v>22728</v>
      </c>
      <c r="C208" s="45">
        <v>1323</v>
      </c>
      <c r="D208" s="45">
        <v>3758</v>
      </c>
      <c r="E208" s="45">
        <v>3408</v>
      </c>
      <c r="F208" s="45">
        <v>1289</v>
      </c>
      <c r="G208" s="45">
        <v>4695</v>
      </c>
      <c r="H208" s="45">
        <v>1642</v>
      </c>
      <c r="I208" s="45">
        <v>2126</v>
      </c>
      <c r="J208" s="45">
        <v>1054</v>
      </c>
      <c r="K208" s="45">
        <v>3434</v>
      </c>
    </row>
    <row r="209" spans="1:11" ht="15" customHeight="1" x14ac:dyDescent="0.25">
      <c r="A209" s="47" t="s">
        <v>2466</v>
      </c>
      <c r="B209" s="45">
        <v>37676</v>
      </c>
      <c r="C209" s="45">
        <v>1141</v>
      </c>
      <c r="D209" s="45">
        <v>4170</v>
      </c>
      <c r="E209" s="45">
        <v>4977</v>
      </c>
      <c r="F209" s="45">
        <v>2728</v>
      </c>
      <c r="G209" s="45">
        <v>9162</v>
      </c>
      <c r="H209" s="45">
        <v>2098</v>
      </c>
      <c r="I209" s="45">
        <v>5823</v>
      </c>
      <c r="J209" s="45">
        <v>2608</v>
      </c>
      <c r="K209" s="45">
        <v>4968</v>
      </c>
    </row>
    <row r="210" spans="1:11" ht="24" customHeight="1" x14ac:dyDescent="0.25">
      <c r="A210" s="43" t="s">
        <v>2469</v>
      </c>
      <c r="B210" s="46" t="s">
        <v>28</v>
      </c>
      <c r="C210" s="46" t="s">
        <v>28</v>
      </c>
      <c r="D210" s="46" t="s">
        <v>28</v>
      </c>
      <c r="E210" s="46" t="s">
        <v>28</v>
      </c>
      <c r="F210" s="46" t="s">
        <v>28</v>
      </c>
      <c r="G210" s="46" t="s">
        <v>28</v>
      </c>
      <c r="H210" s="46" t="s">
        <v>28</v>
      </c>
      <c r="I210" s="46" t="s">
        <v>28</v>
      </c>
      <c r="J210" s="46" t="s">
        <v>28</v>
      </c>
      <c r="K210" s="46" t="s">
        <v>28</v>
      </c>
    </row>
    <row r="211" spans="1:11" ht="15" customHeight="1" x14ac:dyDescent="0.25">
      <c r="A211" s="40" t="s">
        <v>2470</v>
      </c>
      <c r="B211" s="45">
        <v>322</v>
      </c>
      <c r="C211" s="45" t="s">
        <v>2402</v>
      </c>
      <c r="D211" s="45" t="s">
        <v>2312</v>
      </c>
      <c r="E211" s="45" t="s">
        <v>2312</v>
      </c>
      <c r="F211" s="45" t="s">
        <v>2312</v>
      </c>
      <c r="G211" s="45" t="s">
        <v>2312</v>
      </c>
      <c r="H211" s="45" t="s">
        <v>2312</v>
      </c>
      <c r="I211" s="45" t="s">
        <v>2312</v>
      </c>
      <c r="J211" s="45" t="s">
        <v>2312</v>
      </c>
      <c r="K211" s="45" t="s">
        <v>2312</v>
      </c>
    </row>
    <row r="212" spans="1:11" ht="15" customHeight="1" x14ac:dyDescent="0.25">
      <c r="A212" s="44" t="s">
        <v>2464</v>
      </c>
      <c r="B212" s="45">
        <v>12628</v>
      </c>
      <c r="C212" s="45">
        <v>677</v>
      </c>
      <c r="D212" s="45">
        <v>1420</v>
      </c>
      <c r="E212" s="45">
        <v>1840</v>
      </c>
      <c r="F212" s="45">
        <v>1030</v>
      </c>
      <c r="G212" s="45">
        <v>2375</v>
      </c>
      <c r="H212" s="45">
        <v>817</v>
      </c>
      <c r="I212" s="45">
        <v>1562</v>
      </c>
      <c r="J212" s="45">
        <v>541</v>
      </c>
      <c r="K212" s="45">
        <v>2366</v>
      </c>
    </row>
    <row r="213" spans="1:11" ht="15" customHeight="1" x14ac:dyDescent="0.25">
      <c r="A213" s="44" t="s">
        <v>2465</v>
      </c>
      <c r="B213" s="45">
        <v>34814</v>
      </c>
      <c r="C213" s="45">
        <v>2099</v>
      </c>
      <c r="D213" s="45">
        <v>4189</v>
      </c>
      <c r="E213" s="45">
        <v>5616</v>
      </c>
      <c r="F213" s="45">
        <v>2315</v>
      </c>
      <c r="G213" s="45">
        <v>7284</v>
      </c>
      <c r="H213" s="45">
        <v>1665</v>
      </c>
      <c r="I213" s="45">
        <v>4339</v>
      </c>
      <c r="J213" s="45">
        <v>1847</v>
      </c>
      <c r="K213" s="45">
        <v>5460</v>
      </c>
    </row>
    <row r="214" spans="1:11" ht="15" customHeight="1" x14ac:dyDescent="0.25">
      <c r="A214" s="47" t="s">
        <v>2466</v>
      </c>
      <c r="B214" s="45">
        <v>35726</v>
      </c>
      <c r="C214" s="45">
        <v>1286</v>
      </c>
      <c r="D214" s="45">
        <v>5384</v>
      </c>
      <c r="E214" s="45">
        <v>4794</v>
      </c>
      <c r="F214" s="45">
        <v>2472</v>
      </c>
      <c r="G214" s="45">
        <v>7734</v>
      </c>
      <c r="H214" s="45">
        <v>2233</v>
      </c>
      <c r="I214" s="45">
        <v>4438</v>
      </c>
      <c r="J214" s="45">
        <v>2279</v>
      </c>
      <c r="K214" s="45">
        <v>5107</v>
      </c>
    </row>
    <row r="215" spans="1:11" ht="27.95" customHeight="1" x14ac:dyDescent="0.25">
      <c r="A215" s="47" t="s">
        <v>2471</v>
      </c>
      <c r="B215" s="45">
        <v>3603</v>
      </c>
      <c r="C215" s="45" t="s">
        <v>2312</v>
      </c>
      <c r="D215" s="45" t="s">
        <v>2312</v>
      </c>
      <c r="E215" s="45">
        <v>444</v>
      </c>
      <c r="F215" s="45">
        <v>329</v>
      </c>
      <c r="G215" s="45">
        <v>527</v>
      </c>
      <c r="H215" s="45" t="s">
        <v>2312</v>
      </c>
      <c r="I215" s="45">
        <v>1003</v>
      </c>
      <c r="J215" s="45">
        <v>270</v>
      </c>
      <c r="K215" s="45">
        <v>413</v>
      </c>
    </row>
    <row r="216" spans="1:11" ht="24" customHeight="1" x14ac:dyDescent="0.25">
      <c r="A216" s="43" t="s">
        <v>2472</v>
      </c>
      <c r="B216" s="46" t="s">
        <v>28</v>
      </c>
      <c r="C216" s="46" t="s">
        <v>28</v>
      </c>
      <c r="D216" s="46" t="s">
        <v>28</v>
      </c>
      <c r="E216" s="46" t="s">
        <v>28</v>
      </c>
      <c r="F216" s="46" t="s">
        <v>28</v>
      </c>
      <c r="G216" s="46" t="s">
        <v>28</v>
      </c>
      <c r="H216" s="46" t="s">
        <v>28</v>
      </c>
      <c r="I216" s="46" t="s">
        <v>28</v>
      </c>
      <c r="J216" s="46" t="s">
        <v>28</v>
      </c>
      <c r="K216" s="46" t="s">
        <v>28</v>
      </c>
    </row>
    <row r="217" spans="1:11" ht="15" customHeight="1" x14ac:dyDescent="0.25">
      <c r="A217" s="40" t="s">
        <v>2470</v>
      </c>
      <c r="B217" s="45">
        <v>24746</v>
      </c>
      <c r="C217" s="45">
        <v>1396</v>
      </c>
      <c r="D217" s="45">
        <v>2481</v>
      </c>
      <c r="E217" s="45">
        <v>3411</v>
      </c>
      <c r="F217" s="45">
        <v>2183</v>
      </c>
      <c r="G217" s="45">
        <v>4457</v>
      </c>
      <c r="H217" s="45">
        <v>1460</v>
      </c>
      <c r="I217" s="45">
        <v>3202</v>
      </c>
      <c r="J217" s="45">
        <v>1502</v>
      </c>
      <c r="K217" s="45">
        <v>4654</v>
      </c>
    </row>
    <row r="218" spans="1:11" ht="15" customHeight="1" x14ac:dyDescent="0.25">
      <c r="A218" s="44" t="s">
        <v>2464</v>
      </c>
      <c r="B218" s="45">
        <v>50753</v>
      </c>
      <c r="C218" s="45">
        <v>2499</v>
      </c>
      <c r="D218" s="45">
        <v>6801</v>
      </c>
      <c r="E218" s="45">
        <v>7930</v>
      </c>
      <c r="F218" s="45">
        <v>3534</v>
      </c>
      <c r="G218" s="45">
        <v>11570</v>
      </c>
      <c r="H218" s="45">
        <v>2771</v>
      </c>
      <c r="I218" s="45">
        <v>5841</v>
      </c>
      <c r="J218" s="45">
        <v>2591</v>
      </c>
      <c r="K218" s="45">
        <v>7217</v>
      </c>
    </row>
    <row r="219" spans="1:11" ht="15" customHeight="1" x14ac:dyDescent="0.25">
      <c r="A219" s="44" t="s">
        <v>2473</v>
      </c>
      <c r="B219" s="45">
        <v>6926</v>
      </c>
      <c r="C219" s="45">
        <v>287</v>
      </c>
      <c r="D219" s="45">
        <v>1514</v>
      </c>
      <c r="E219" s="45">
        <v>719</v>
      </c>
      <c r="F219" s="45">
        <v>234</v>
      </c>
      <c r="G219" s="45">
        <v>1118</v>
      </c>
      <c r="H219" s="45">
        <v>381</v>
      </c>
      <c r="I219" s="45">
        <v>1069</v>
      </c>
      <c r="J219" s="45">
        <v>572</v>
      </c>
      <c r="K219" s="45">
        <v>1033</v>
      </c>
    </row>
    <row r="220" spans="1:11" ht="27.95" customHeight="1" x14ac:dyDescent="0.25">
      <c r="A220" s="47" t="s">
        <v>2474</v>
      </c>
      <c r="B220" s="45">
        <v>2443</v>
      </c>
      <c r="C220" s="45" t="s">
        <v>2312</v>
      </c>
      <c r="D220" s="45">
        <v>303</v>
      </c>
      <c r="E220" s="45">
        <v>484</v>
      </c>
      <c r="F220" s="45" t="s">
        <v>2312</v>
      </c>
      <c r="G220" s="45">
        <v>462</v>
      </c>
      <c r="H220" s="45" t="s">
        <v>2312</v>
      </c>
      <c r="I220" s="45">
        <v>483</v>
      </c>
      <c r="J220" s="45" t="s">
        <v>2312</v>
      </c>
      <c r="K220" s="45">
        <v>276</v>
      </c>
    </row>
    <row r="221" spans="1:11" ht="15" customHeight="1" x14ac:dyDescent="0.25">
      <c r="A221" s="47" t="s">
        <v>2475</v>
      </c>
      <c r="B221" s="45">
        <v>2225</v>
      </c>
      <c r="C221" s="45" t="s">
        <v>2312</v>
      </c>
      <c r="D221" s="45" t="s">
        <v>2312</v>
      </c>
      <c r="E221" s="45" t="s">
        <v>2312</v>
      </c>
      <c r="F221" s="45">
        <v>162</v>
      </c>
      <c r="G221" s="45">
        <v>373</v>
      </c>
      <c r="H221" s="45" t="s">
        <v>2312</v>
      </c>
      <c r="I221" s="45">
        <v>800</v>
      </c>
      <c r="J221" s="45" t="s">
        <v>2312</v>
      </c>
      <c r="K221" s="45">
        <v>199</v>
      </c>
    </row>
    <row r="222" spans="1:11" ht="33.950000000000003" customHeight="1" x14ac:dyDescent="0.25">
      <c r="A222" s="43" t="s">
        <v>2476</v>
      </c>
      <c r="B222" s="46" t="s">
        <v>28</v>
      </c>
      <c r="C222" s="46" t="s">
        <v>28</v>
      </c>
      <c r="D222" s="46" t="s">
        <v>28</v>
      </c>
      <c r="E222" s="46" t="s">
        <v>28</v>
      </c>
      <c r="F222" s="46" t="s">
        <v>28</v>
      </c>
      <c r="G222" s="46" t="s">
        <v>28</v>
      </c>
      <c r="H222" s="46" t="s">
        <v>28</v>
      </c>
      <c r="I222" s="46" t="s">
        <v>28</v>
      </c>
      <c r="J222" s="46" t="s">
        <v>28</v>
      </c>
      <c r="K222" s="46" t="s">
        <v>28</v>
      </c>
    </row>
    <row r="223" spans="1:11" ht="15" customHeight="1" x14ac:dyDescent="0.25">
      <c r="A223" s="40" t="s">
        <v>2477</v>
      </c>
      <c r="B223" s="45">
        <v>11846</v>
      </c>
      <c r="C223" s="45">
        <v>400</v>
      </c>
      <c r="D223" s="45">
        <v>998</v>
      </c>
      <c r="E223" s="45">
        <v>632</v>
      </c>
      <c r="F223" s="45">
        <v>436</v>
      </c>
      <c r="G223" s="45">
        <v>4909</v>
      </c>
      <c r="H223" s="45">
        <v>844</v>
      </c>
      <c r="I223" s="45">
        <v>1174</v>
      </c>
      <c r="J223" s="45">
        <v>498</v>
      </c>
      <c r="K223" s="45">
        <v>1955</v>
      </c>
    </row>
    <row r="224" spans="1:11" ht="15" customHeight="1" x14ac:dyDescent="0.25">
      <c r="A224" s="44" t="s">
        <v>2478</v>
      </c>
      <c r="B224" s="45">
        <v>8654</v>
      </c>
      <c r="C224" s="45">
        <v>323</v>
      </c>
      <c r="D224" s="45">
        <v>922</v>
      </c>
      <c r="E224" s="45">
        <v>1756</v>
      </c>
      <c r="F224" s="45">
        <v>755</v>
      </c>
      <c r="G224" s="45">
        <v>1234</v>
      </c>
      <c r="H224" s="45">
        <v>530</v>
      </c>
      <c r="I224" s="45">
        <v>1599</v>
      </c>
      <c r="J224" s="45">
        <v>554</v>
      </c>
      <c r="K224" s="45">
        <v>983</v>
      </c>
    </row>
    <row r="225" spans="1:11" ht="15" customHeight="1" x14ac:dyDescent="0.25">
      <c r="A225" s="44" t="s">
        <v>2479</v>
      </c>
      <c r="B225" s="45">
        <v>20766</v>
      </c>
      <c r="C225" s="45">
        <v>1529</v>
      </c>
      <c r="D225" s="45">
        <v>3389</v>
      </c>
      <c r="E225" s="45">
        <v>3668</v>
      </c>
      <c r="F225" s="45">
        <v>2066</v>
      </c>
      <c r="G225" s="45">
        <v>3328</v>
      </c>
      <c r="H225" s="45">
        <v>1295</v>
      </c>
      <c r="I225" s="45">
        <v>1896</v>
      </c>
      <c r="J225" s="45">
        <v>1197</v>
      </c>
      <c r="K225" s="45">
        <v>2397</v>
      </c>
    </row>
    <row r="226" spans="1:11" ht="15" customHeight="1" x14ac:dyDescent="0.25">
      <c r="A226" s="44" t="s">
        <v>2447</v>
      </c>
      <c r="B226" s="45">
        <v>5925</v>
      </c>
      <c r="C226" s="45" t="s">
        <v>2312</v>
      </c>
      <c r="D226" s="45">
        <v>1628</v>
      </c>
      <c r="E226" s="45">
        <v>574</v>
      </c>
      <c r="F226" s="45">
        <v>332</v>
      </c>
      <c r="G226" s="45">
        <v>1148</v>
      </c>
      <c r="H226" s="45" t="s">
        <v>2312</v>
      </c>
      <c r="I226" s="45">
        <v>637</v>
      </c>
      <c r="J226" s="45">
        <v>482</v>
      </c>
      <c r="K226" s="45">
        <v>385</v>
      </c>
    </row>
    <row r="227" spans="1:11" ht="15" customHeight="1" x14ac:dyDescent="0.25">
      <c r="A227" s="44" t="s">
        <v>2480</v>
      </c>
      <c r="B227" s="45">
        <v>22443</v>
      </c>
      <c r="C227" s="45">
        <v>1823</v>
      </c>
      <c r="D227" s="45">
        <v>4624</v>
      </c>
      <c r="E227" s="45">
        <v>5083</v>
      </c>
      <c r="F227" s="45">
        <v>1583</v>
      </c>
      <c r="G227" s="45">
        <v>3247</v>
      </c>
      <c r="H227" s="45">
        <v>1077</v>
      </c>
      <c r="I227" s="45">
        <v>1460</v>
      </c>
      <c r="J227" s="45">
        <v>1150</v>
      </c>
      <c r="K227" s="45">
        <v>2395</v>
      </c>
    </row>
    <row r="228" spans="1:11" ht="15" customHeight="1" x14ac:dyDescent="0.25">
      <c r="A228" s="44" t="s">
        <v>2481</v>
      </c>
      <c r="B228" s="45">
        <v>49188</v>
      </c>
      <c r="C228" s="45">
        <v>1769</v>
      </c>
      <c r="D228" s="45">
        <v>5417</v>
      </c>
      <c r="E228" s="45">
        <v>7347</v>
      </c>
      <c r="F228" s="45">
        <v>3547</v>
      </c>
      <c r="G228" s="45">
        <v>10168</v>
      </c>
      <c r="H228" s="45">
        <v>3136</v>
      </c>
      <c r="I228" s="45">
        <v>6745</v>
      </c>
      <c r="J228" s="45">
        <v>2967</v>
      </c>
      <c r="K228" s="45">
        <v>8092</v>
      </c>
    </row>
    <row r="229" spans="1:11" ht="15" customHeight="1" x14ac:dyDescent="0.25">
      <c r="A229" s="44" t="s">
        <v>2383</v>
      </c>
      <c r="B229" s="45">
        <v>1574</v>
      </c>
      <c r="C229" s="45" t="s">
        <v>2312</v>
      </c>
      <c r="D229" s="45" t="s">
        <v>2312</v>
      </c>
      <c r="E229" s="45" t="s">
        <v>2312</v>
      </c>
      <c r="F229" s="45" t="s">
        <v>2312</v>
      </c>
      <c r="G229" s="45" t="s">
        <v>2312</v>
      </c>
      <c r="H229" s="45" t="s">
        <v>2312</v>
      </c>
      <c r="I229" s="45" t="s">
        <v>2312</v>
      </c>
      <c r="J229" s="45" t="s">
        <v>2312</v>
      </c>
      <c r="K229" s="45">
        <v>242</v>
      </c>
    </row>
    <row r="230" spans="1:11" ht="33.950000000000003" customHeight="1" x14ac:dyDescent="0.25">
      <c r="A230" s="43" t="s">
        <v>2482</v>
      </c>
      <c r="B230" s="46" t="s">
        <v>28</v>
      </c>
      <c r="C230" s="46" t="s">
        <v>28</v>
      </c>
      <c r="D230" s="46" t="s">
        <v>28</v>
      </c>
      <c r="E230" s="46" t="s">
        <v>28</v>
      </c>
      <c r="F230" s="46" t="s">
        <v>28</v>
      </c>
      <c r="G230" s="46" t="s">
        <v>28</v>
      </c>
      <c r="H230" s="46" t="s">
        <v>28</v>
      </c>
      <c r="I230" s="46" t="s">
        <v>28</v>
      </c>
      <c r="J230" s="46" t="s">
        <v>28</v>
      </c>
      <c r="K230" s="46" t="s">
        <v>28</v>
      </c>
    </row>
    <row r="231" spans="1:11" ht="27.95" customHeight="1" x14ac:dyDescent="0.25">
      <c r="A231" s="40" t="s">
        <v>2483</v>
      </c>
      <c r="B231" s="45">
        <v>14765</v>
      </c>
      <c r="C231" s="45">
        <v>451</v>
      </c>
      <c r="D231" s="45">
        <v>1244</v>
      </c>
      <c r="E231" s="45">
        <v>2854</v>
      </c>
      <c r="F231" s="45">
        <v>1493</v>
      </c>
      <c r="G231" s="45">
        <v>2574</v>
      </c>
      <c r="H231" s="45">
        <v>891</v>
      </c>
      <c r="I231" s="45">
        <v>2429</v>
      </c>
      <c r="J231" s="45">
        <v>668</v>
      </c>
      <c r="K231" s="45">
        <v>2160</v>
      </c>
    </row>
    <row r="232" spans="1:11" ht="15" customHeight="1" x14ac:dyDescent="0.25">
      <c r="A232" s="40" t="s">
        <v>2477</v>
      </c>
      <c r="B232" s="45">
        <v>12538</v>
      </c>
      <c r="C232" s="45">
        <v>388</v>
      </c>
      <c r="D232" s="45">
        <v>1103</v>
      </c>
      <c r="E232" s="45">
        <v>604</v>
      </c>
      <c r="F232" s="45">
        <v>421</v>
      </c>
      <c r="G232" s="45">
        <v>4925</v>
      </c>
      <c r="H232" s="45">
        <v>839</v>
      </c>
      <c r="I232" s="45">
        <v>1344</v>
      </c>
      <c r="J232" s="45">
        <v>672</v>
      </c>
      <c r="K232" s="45">
        <v>2244</v>
      </c>
    </row>
    <row r="233" spans="1:11" ht="15" customHeight="1" x14ac:dyDescent="0.25">
      <c r="A233" s="44" t="s">
        <v>2484</v>
      </c>
      <c r="B233" s="45">
        <v>12420</v>
      </c>
      <c r="C233" s="45">
        <v>1035</v>
      </c>
      <c r="D233" s="45">
        <v>2810</v>
      </c>
      <c r="E233" s="45">
        <v>1806</v>
      </c>
      <c r="F233" s="45">
        <v>779</v>
      </c>
      <c r="G233" s="45">
        <v>2484</v>
      </c>
      <c r="H233" s="45">
        <v>808</v>
      </c>
      <c r="I233" s="45">
        <v>971</v>
      </c>
      <c r="J233" s="45">
        <v>565</v>
      </c>
      <c r="K233" s="45">
        <v>1162</v>
      </c>
    </row>
    <row r="234" spans="1:11" ht="15" customHeight="1" x14ac:dyDescent="0.25">
      <c r="A234" s="44" t="s">
        <v>2448</v>
      </c>
      <c r="B234" s="41">
        <v>4608</v>
      </c>
      <c r="C234" s="41" t="s">
        <v>2312</v>
      </c>
      <c r="D234" s="41">
        <v>656</v>
      </c>
      <c r="E234" s="41">
        <v>420</v>
      </c>
      <c r="F234" s="41" t="s">
        <v>2312</v>
      </c>
      <c r="G234" s="41">
        <v>1202</v>
      </c>
      <c r="H234" s="41" t="s">
        <v>2312</v>
      </c>
      <c r="I234" s="41">
        <v>773</v>
      </c>
      <c r="J234" s="41" t="s">
        <v>2312</v>
      </c>
      <c r="K234" s="41">
        <v>329</v>
      </c>
    </row>
    <row r="235" spans="1:11" ht="15" customHeight="1" x14ac:dyDescent="0.25">
      <c r="A235" s="44" t="s">
        <v>2485</v>
      </c>
      <c r="B235" s="41">
        <v>17041</v>
      </c>
      <c r="C235" s="41">
        <v>783</v>
      </c>
      <c r="D235" s="41">
        <v>2706</v>
      </c>
      <c r="E235" s="41">
        <v>3484</v>
      </c>
      <c r="F235" s="41">
        <v>991</v>
      </c>
      <c r="G235" s="41">
        <v>3884</v>
      </c>
      <c r="H235" s="41">
        <v>831</v>
      </c>
      <c r="I235" s="41">
        <v>1746</v>
      </c>
      <c r="J235" s="41">
        <v>920</v>
      </c>
      <c r="K235" s="41">
        <v>1697</v>
      </c>
    </row>
    <row r="236" spans="1:11" ht="15" customHeight="1" x14ac:dyDescent="0.25">
      <c r="A236" s="44" t="s">
        <v>2486</v>
      </c>
      <c r="B236" s="41">
        <v>45153</v>
      </c>
      <c r="C236" s="41">
        <v>2062</v>
      </c>
      <c r="D236" s="41">
        <v>6635</v>
      </c>
      <c r="E236" s="41">
        <v>6839</v>
      </c>
      <c r="F236" s="41">
        <v>2977</v>
      </c>
      <c r="G236" s="41">
        <v>9119</v>
      </c>
      <c r="H236" s="41">
        <v>2686</v>
      </c>
      <c r="I236" s="41">
        <v>5379</v>
      </c>
      <c r="J236" s="41">
        <v>2314</v>
      </c>
      <c r="K236" s="41">
        <v>7141</v>
      </c>
    </row>
    <row r="237" spans="1:11" ht="15" customHeight="1" x14ac:dyDescent="0.25">
      <c r="A237" s="44" t="s">
        <v>2487</v>
      </c>
      <c r="B237" s="41">
        <v>1918</v>
      </c>
      <c r="C237" s="41" t="s">
        <v>2312</v>
      </c>
      <c r="D237" s="41" t="s">
        <v>2312</v>
      </c>
      <c r="E237" s="41" t="s">
        <v>2312</v>
      </c>
      <c r="F237" s="41" t="s">
        <v>2402</v>
      </c>
      <c r="G237" s="41" t="s">
        <v>2312</v>
      </c>
      <c r="H237" s="41" t="s">
        <v>2402</v>
      </c>
      <c r="I237" s="41" t="s">
        <v>2312</v>
      </c>
      <c r="J237" s="41">
        <v>722</v>
      </c>
      <c r="K237" s="41">
        <v>617</v>
      </c>
    </row>
    <row r="238" spans="1:11" ht="15" customHeight="1" x14ac:dyDescent="0.25">
      <c r="A238" s="44" t="s">
        <v>2383</v>
      </c>
      <c r="B238" s="41">
        <v>328</v>
      </c>
      <c r="C238" s="41" t="s">
        <v>2312</v>
      </c>
      <c r="D238" s="41" t="s">
        <v>2312</v>
      </c>
      <c r="E238" s="41" t="s">
        <v>2312</v>
      </c>
      <c r="F238" s="41" t="s">
        <v>2312</v>
      </c>
      <c r="G238" s="41" t="s">
        <v>2312</v>
      </c>
      <c r="H238" s="41" t="s">
        <v>2402</v>
      </c>
      <c r="I238" s="41" t="s">
        <v>2312</v>
      </c>
      <c r="J238" s="41" t="s">
        <v>2312</v>
      </c>
      <c r="K238" s="41" t="s">
        <v>2312</v>
      </c>
    </row>
    <row r="239" spans="1:11" ht="33.950000000000003" customHeight="1" x14ac:dyDescent="0.25">
      <c r="A239" s="43" t="s">
        <v>2488</v>
      </c>
      <c r="B239" s="46" t="s">
        <v>28</v>
      </c>
      <c r="C239" s="46" t="s">
        <v>28</v>
      </c>
      <c r="D239" s="46" t="s">
        <v>28</v>
      </c>
      <c r="E239" s="46" t="s">
        <v>28</v>
      </c>
      <c r="F239" s="46" t="s">
        <v>28</v>
      </c>
      <c r="G239" s="46" t="s">
        <v>28</v>
      </c>
      <c r="H239" s="46" t="s">
        <v>28</v>
      </c>
      <c r="I239" s="46" t="s">
        <v>28</v>
      </c>
      <c r="J239" s="46" t="s">
        <v>28</v>
      </c>
      <c r="K239" s="46" t="s">
        <v>28</v>
      </c>
    </row>
    <row r="240" spans="1:11" ht="15" customHeight="1" x14ac:dyDescent="0.25">
      <c r="A240" s="40" t="s">
        <v>2489</v>
      </c>
      <c r="B240" s="45">
        <v>27558</v>
      </c>
      <c r="C240" s="45">
        <v>1646</v>
      </c>
      <c r="D240" s="45">
        <v>3709</v>
      </c>
      <c r="E240" s="45">
        <v>4404</v>
      </c>
      <c r="F240" s="45">
        <v>2482</v>
      </c>
      <c r="G240" s="45">
        <v>5204</v>
      </c>
      <c r="H240" s="45">
        <v>1616</v>
      </c>
      <c r="I240" s="45">
        <v>3228</v>
      </c>
      <c r="J240" s="45">
        <v>1365</v>
      </c>
      <c r="K240" s="45">
        <v>3903</v>
      </c>
    </row>
    <row r="241" spans="1:11" ht="15" customHeight="1" x14ac:dyDescent="0.25">
      <c r="A241" s="40" t="s">
        <v>2490</v>
      </c>
      <c r="B241" s="45">
        <v>30702</v>
      </c>
      <c r="C241" s="45">
        <v>1516</v>
      </c>
      <c r="D241" s="45">
        <v>4798</v>
      </c>
      <c r="E241" s="45">
        <v>4620</v>
      </c>
      <c r="F241" s="45">
        <v>2591</v>
      </c>
      <c r="G241" s="45">
        <v>6455</v>
      </c>
      <c r="H241" s="45">
        <v>1755</v>
      </c>
      <c r="I241" s="45">
        <v>3458</v>
      </c>
      <c r="J241" s="45">
        <v>1440</v>
      </c>
      <c r="K241" s="45">
        <v>4070</v>
      </c>
    </row>
    <row r="242" spans="1:11" ht="24" customHeight="1" x14ac:dyDescent="0.25">
      <c r="A242" s="43" t="s">
        <v>2491</v>
      </c>
      <c r="B242" s="46" t="s">
        <v>28</v>
      </c>
      <c r="C242" s="46" t="s">
        <v>28</v>
      </c>
      <c r="D242" s="46" t="s">
        <v>28</v>
      </c>
      <c r="E242" s="46" t="s">
        <v>28</v>
      </c>
      <c r="F242" s="46" t="s">
        <v>28</v>
      </c>
      <c r="G242" s="46" t="s">
        <v>28</v>
      </c>
      <c r="H242" s="46" t="s">
        <v>28</v>
      </c>
      <c r="I242" s="46" t="s">
        <v>28</v>
      </c>
      <c r="J242" s="46" t="s">
        <v>28</v>
      </c>
      <c r="K242" s="46" t="s">
        <v>28</v>
      </c>
    </row>
    <row r="243" spans="1:11" ht="15" customHeight="1" x14ac:dyDescent="0.25">
      <c r="A243" s="40" t="s">
        <v>2492</v>
      </c>
      <c r="B243" s="45">
        <v>47534</v>
      </c>
      <c r="C243" s="45">
        <v>2487</v>
      </c>
      <c r="D243" s="45">
        <v>6641</v>
      </c>
      <c r="E243" s="45">
        <v>7606</v>
      </c>
      <c r="F243" s="45">
        <v>3710</v>
      </c>
      <c r="G243" s="45">
        <v>8889</v>
      </c>
      <c r="H243" s="45">
        <v>2745</v>
      </c>
      <c r="I243" s="45">
        <v>5826</v>
      </c>
      <c r="J243" s="45">
        <v>2573</v>
      </c>
      <c r="K243" s="45">
        <v>7058</v>
      </c>
    </row>
    <row r="244" spans="1:11" ht="15" customHeight="1" x14ac:dyDescent="0.25">
      <c r="A244" s="40" t="s">
        <v>2493</v>
      </c>
      <c r="B244" s="45">
        <v>12688</v>
      </c>
      <c r="C244" s="45">
        <v>586</v>
      </c>
      <c r="D244" s="45">
        <v>1797</v>
      </c>
      <c r="E244" s="45">
        <v>1671</v>
      </c>
      <c r="F244" s="45">
        <v>663</v>
      </c>
      <c r="G244" s="45">
        <v>3030</v>
      </c>
      <c r="H244" s="45">
        <v>437</v>
      </c>
      <c r="I244" s="45">
        <v>1471</v>
      </c>
      <c r="J244" s="45">
        <v>699</v>
      </c>
      <c r="K244" s="45">
        <v>2333</v>
      </c>
    </row>
    <row r="245" spans="1:11" ht="27.95" customHeight="1" x14ac:dyDescent="0.25">
      <c r="A245" s="44" t="s">
        <v>2494</v>
      </c>
      <c r="B245" s="45">
        <v>18793</v>
      </c>
      <c r="C245" s="45">
        <v>843</v>
      </c>
      <c r="D245" s="45">
        <v>2279</v>
      </c>
      <c r="E245" s="45">
        <v>2804</v>
      </c>
      <c r="F245" s="45">
        <v>1137</v>
      </c>
      <c r="G245" s="45">
        <v>4226</v>
      </c>
      <c r="H245" s="45">
        <v>1416</v>
      </c>
      <c r="I245" s="45">
        <v>2222</v>
      </c>
      <c r="J245" s="45">
        <v>1168</v>
      </c>
      <c r="K245" s="45">
        <v>2698</v>
      </c>
    </row>
    <row r="246" spans="1:11" ht="33.950000000000003" customHeight="1" x14ac:dyDescent="0.25">
      <c r="A246" s="43" t="s">
        <v>2495</v>
      </c>
      <c r="B246" s="46" t="s">
        <v>28</v>
      </c>
      <c r="C246" s="46" t="s">
        <v>28</v>
      </c>
      <c r="D246" s="46" t="s">
        <v>28</v>
      </c>
      <c r="E246" s="46" t="s">
        <v>28</v>
      </c>
      <c r="F246" s="46" t="s">
        <v>28</v>
      </c>
      <c r="G246" s="46" t="s">
        <v>28</v>
      </c>
      <c r="H246" s="46" t="s">
        <v>28</v>
      </c>
      <c r="I246" s="46" t="s">
        <v>28</v>
      </c>
      <c r="J246" s="46" t="s">
        <v>28</v>
      </c>
      <c r="K246" s="46" t="s">
        <v>28</v>
      </c>
    </row>
    <row r="247" spans="1:11" ht="15" customHeight="1" x14ac:dyDescent="0.25">
      <c r="A247" s="40" t="s">
        <v>2496</v>
      </c>
      <c r="B247" s="45">
        <v>38406</v>
      </c>
      <c r="C247" s="45">
        <v>2046</v>
      </c>
      <c r="D247" s="45">
        <v>5520</v>
      </c>
      <c r="E247" s="45">
        <v>6180</v>
      </c>
      <c r="F247" s="45">
        <v>2858</v>
      </c>
      <c r="G247" s="45">
        <v>7828</v>
      </c>
      <c r="H247" s="45">
        <v>2468</v>
      </c>
      <c r="I247" s="45">
        <v>4286</v>
      </c>
      <c r="J247" s="45">
        <v>2253</v>
      </c>
      <c r="K247" s="45">
        <v>4969</v>
      </c>
    </row>
    <row r="248" spans="1:11" ht="15" customHeight="1" x14ac:dyDescent="0.25">
      <c r="A248" s="40" t="s">
        <v>2497</v>
      </c>
      <c r="B248" s="45">
        <v>80081</v>
      </c>
      <c r="C248" s="45">
        <v>3771</v>
      </c>
      <c r="D248" s="45">
        <v>10702</v>
      </c>
      <c r="E248" s="45">
        <v>11880</v>
      </c>
      <c r="F248" s="45">
        <v>5634</v>
      </c>
      <c r="G248" s="45">
        <v>16888</v>
      </c>
      <c r="H248" s="45">
        <v>4573</v>
      </c>
      <c r="I248" s="45">
        <v>9901</v>
      </c>
      <c r="J248" s="45">
        <v>4529</v>
      </c>
      <c r="K248" s="45">
        <v>12203</v>
      </c>
    </row>
    <row r="249" spans="1:11" ht="15" customHeight="1" x14ac:dyDescent="0.25">
      <c r="A249" s="44" t="s">
        <v>2498</v>
      </c>
      <c r="B249" s="45">
        <v>53816</v>
      </c>
      <c r="C249" s="45">
        <v>2886</v>
      </c>
      <c r="D249" s="45">
        <v>7886</v>
      </c>
      <c r="E249" s="45">
        <v>8336</v>
      </c>
      <c r="F249" s="45">
        <v>3505</v>
      </c>
      <c r="G249" s="45">
        <v>10855</v>
      </c>
      <c r="H249" s="45">
        <v>2923</v>
      </c>
      <c r="I249" s="45">
        <v>6263</v>
      </c>
      <c r="J249" s="45">
        <v>3007</v>
      </c>
      <c r="K249" s="45">
        <v>8156</v>
      </c>
    </row>
    <row r="250" spans="1:11" ht="15" customHeight="1" x14ac:dyDescent="0.25">
      <c r="A250" s="40" t="s">
        <v>2499</v>
      </c>
      <c r="B250" s="45">
        <v>23396</v>
      </c>
      <c r="C250" s="45">
        <v>1161</v>
      </c>
      <c r="D250" s="45">
        <v>3349</v>
      </c>
      <c r="E250" s="45">
        <v>4102</v>
      </c>
      <c r="F250" s="45">
        <v>1255</v>
      </c>
      <c r="G250" s="45">
        <v>5325</v>
      </c>
      <c r="H250" s="45">
        <v>1182</v>
      </c>
      <c r="I250" s="45">
        <v>2841</v>
      </c>
      <c r="J250" s="45">
        <v>1314</v>
      </c>
      <c r="K250" s="45">
        <v>2868</v>
      </c>
    </row>
    <row r="251" spans="1:11" ht="15" customHeight="1" x14ac:dyDescent="0.25">
      <c r="A251" s="40" t="s">
        <v>2500</v>
      </c>
      <c r="B251" s="45">
        <v>28059</v>
      </c>
      <c r="C251" s="45">
        <v>1494</v>
      </c>
      <c r="D251" s="45">
        <v>3774</v>
      </c>
      <c r="E251" s="45">
        <v>4590</v>
      </c>
      <c r="F251" s="45">
        <v>1578</v>
      </c>
      <c r="G251" s="45">
        <v>6161</v>
      </c>
      <c r="H251" s="45">
        <v>1349</v>
      </c>
      <c r="I251" s="45">
        <v>3459</v>
      </c>
      <c r="J251" s="45">
        <v>1663</v>
      </c>
      <c r="K251" s="45">
        <v>3990</v>
      </c>
    </row>
    <row r="252" spans="1:11" ht="15" customHeight="1" x14ac:dyDescent="0.25">
      <c r="A252" s="44" t="s">
        <v>2501</v>
      </c>
      <c r="B252" s="45">
        <v>22071</v>
      </c>
      <c r="C252" s="45">
        <v>1363</v>
      </c>
      <c r="D252" s="45">
        <v>3388</v>
      </c>
      <c r="E252" s="45">
        <v>3759</v>
      </c>
      <c r="F252" s="45">
        <v>1389</v>
      </c>
      <c r="G252" s="45">
        <v>4553</v>
      </c>
      <c r="H252" s="45">
        <v>1232</v>
      </c>
      <c r="I252" s="45">
        <v>1774</v>
      </c>
      <c r="J252" s="45">
        <v>1513</v>
      </c>
      <c r="K252" s="45">
        <v>3099</v>
      </c>
    </row>
    <row r="253" spans="1:11" ht="15" customHeight="1" x14ac:dyDescent="0.25">
      <c r="A253" s="44" t="s">
        <v>2383</v>
      </c>
      <c r="B253" s="45">
        <v>446</v>
      </c>
      <c r="C253" s="45" t="s">
        <v>2312</v>
      </c>
      <c r="D253" s="45" t="s">
        <v>2312</v>
      </c>
      <c r="E253" s="45" t="s">
        <v>2312</v>
      </c>
      <c r="F253" s="45" t="s">
        <v>2312</v>
      </c>
      <c r="G253" s="45" t="s">
        <v>2312</v>
      </c>
      <c r="H253" s="45" t="s">
        <v>2312</v>
      </c>
      <c r="I253" s="45" t="s">
        <v>2312</v>
      </c>
      <c r="J253" s="45" t="s">
        <v>2312</v>
      </c>
      <c r="K253" s="45" t="s">
        <v>2312</v>
      </c>
    </row>
    <row r="254" spans="1:11" ht="33.950000000000003" customHeight="1" x14ac:dyDescent="0.25">
      <c r="A254" s="43" t="s">
        <v>2502</v>
      </c>
      <c r="B254" s="46" t="s">
        <v>28</v>
      </c>
      <c r="C254" s="46" t="s">
        <v>28</v>
      </c>
      <c r="D254" s="46" t="s">
        <v>28</v>
      </c>
      <c r="E254" s="46" t="s">
        <v>28</v>
      </c>
      <c r="F254" s="46" t="s">
        <v>28</v>
      </c>
      <c r="G254" s="46" t="s">
        <v>28</v>
      </c>
      <c r="H254" s="46" t="s">
        <v>28</v>
      </c>
      <c r="I254" s="46" t="s">
        <v>28</v>
      </c>
      <c r="J254" s="46" t="s">
        <v>28</v>
      </c>
      <c r="K254" s="46" t="s">
        <v>28</v>
      </c>
    </row>
    <row r="255" spans="1:11" ht="15" customHeight="1" x14ac:dyDescent="0.25">
      <c r="A255" s="40" t="s">
        <v>2503</v>
      </c>
      <c r="B255" s="45">
        <v>73645</v>
      </c>
      <c r="C255" s="45">
        <v>3568</v>
      </c>
      <c r="D255" s="45">
        <v>10044</v>
      </c>
      <c r="E255" s="45">
        <v>11374</v>
      </c>
      <c r="F255" s="45">
        <v>5196</v>
      </c>
      <c r="G255" s="45">
        <v>15268</v>
      </c>
      <c r="H255" s="45">
        <v>4498</v>
      </c>
      <c r="I255" s="45">
        <v>8989</v>
      </c>
      <c r="J255" s="45">
        <v>4179</v>
      </c>
      <c r="K255" s="45">
        <v>10530</v>
      </c>
    </row>
    <row r="256" spans="1:11" ht="15" customHeight="1" x14ac:dyDescent="0.25">
      <c r="A256" s="42" t="s">
        <v>2504</v>
      </c>
      <c r="B256" s="45">
        <v>28361</v>
      </c>
      <c r="C256" s="45">
        <v>1424</v>
      </c>
      <c r="D256" s="45">
        <v>4445</v>
      </c>
      <c r="E256" s="45">
        <v>4481</v>
      </c>
      <c r="F256" s="45">
        <v>1850</v>
      </c>
      <c r="G256" s="45">
        <v>6399</v>
      </c>
      <c r="H256" s="45">
        <v>1199</v>
      </c>
      <c r="I256" s="45">
        <v>3179</v>
      </c>
      <c r="J256" s="45">
        <v>1898</v>
      </c>
      <c r="K256" s="45">
        <v>3486</v>
      </c>
    </row>
    <row r="257" spans="1:11" ht="15" customHeight="1" x14ac:dyDescent="0.25">
      <c r="A257" s="42" t="s">
        <v>2505</v>
      </c>
      <c r="B257" s="45">
        <v>28719</v>
      </c>
      <c r="C257" s="45">
        <v>1524</v>
      </c>
      <c r="D257" s="45">
        <v>4542</v>
      </c>
      <c r="E257" s="45">
        <v>4820</v>
      </c>
      <c r="F257" s="45">
        <v>1983</v>
      </c>
      <c r="G257" s="45">
        <v>5711</v>
      </c>
      <c r="H257" s="45">
        <v>1596</v>
      </c>
      <c r="I257" s="45">
        <v>3079</v>
      </c>
      <c r="J257" s="45">
        <v>1740</v>
      </c>
      <c r="K257" s="45">
        <v>3725</v>
      </c>
    </row>
    <row r="258" spans="1:11" ht="15" customHeight="1" x14ac:dyDescent="0.25">
      <c r="A258" s="42" t="s">
        <v>2506</v>
      </c>
      <c r="B258" s="45">
        <v>4171</v>
      </c>
      <c r="C258" s="45" t="s">
        <v>2312</v>
      </c>
      <c r="D258" s="45">
        <v>430</v>
      </c>
      <c r="E258" s="45">
        <v>695</v>
      </c>
      <c r="F258" s="45" t="s">
        <v>2312</v>
      </c>
      <c r="G258" s="45">
        <v>1049</v>
      </c>
      <c r="H258" s="45" t="s">
        <v>2312</v>
      </c>
      <c r="I258" s="45">
        <v>316</v>
      </c>
      <c r="J258" s="45" t="s">
        <v>2312</v>
      </c>
      <c r="K258" s="45">
        <v>676</v>
      </c>
    </row>
    <row r="259" spans="1:11" ht="15" customHeight="1" x14ac:dyDescent="0.25">
      <c r="A259" s="42" t="s">
        <v>2507</v>
      </c>
      <c r="B259" s="45">
        <v>32734</v>
      </c>
      <c r="C259" s="45">
        <v>1240</v>
      </c>
      <c r="D259" s="45">
        <v>4333</v>
      </c>
      <c r="E259" s="45">
        <v>4666</v>
      </c>
      <c r="F259" s="45">
        <v>1932</v>
      </c>
      <c r="G259" s="45">
        <v>7957</v>
      </c>
      <c r="H259" s="45">
        <v>2457</v>
      </c>
      <c r="I259" s="45">
        <v>4102</v>
      </c>
      <c r="J259" s="45">
        <v>2093</v>
      </c>
      <c r="K259" s="45">
        <v>3955</v>
      </c>
    </row>
    <row r="260" spans="1:11" ht="15" customHeight="1" x14ac:dyDescent="0.25">
      <c r="A260" s="42" t="s">
        <v>2508</v>
      </c>
      <c r="B260" s="45">
        <v>62381</v>
      </c>
      <c r="C260" s="45">
        <v>3081</v>
      </c>
      <c r="D260" s="45">
        <v>8354</v>
      </c>
      <c r="E260" s="45">
        <v>9850</v>
      </c>
      <c r="F260" s="45">
        <v>4407</v>
      </c>
      <c r="G260" s="45">
        <v>13129</v>
      </c>
      <c r="H260" s="45">
        <v>3747</v>
      </c>
      <c r="I260" s="45">
        <v>7312</v>
      </c>
      <c r="J260" s="45">
        <v>3323</v>
      </c>
      <c r="K260" s="45">
        <v>9176</v>
      </c>
    </row>
    <row r="261" spans="1:11" ht="15" customHeight="1" x14ac:dyDescent="0.25">
      <c r="A261" s="42" t="s">
        <v>2509</v>
      </c>
      <c r="B261" s="45">
        <v>43936</v>
      </c>
      <c r="C261" s="45">
        <v>1902</v>
      </c>
      <c r="D261" s="45">
        <v>6546</v>
      </c>
      <c r="E261" s="45">
        <v>6685</v>
      </c>
      <c r="F261" s="45">
        <v>2988</v>
      </c>
      <c r="G261" s="45">
        <v>9706</v>
      </c>
      <c r="H261" s="45">
        <v>2702</v>
      </c>
      <c r="I261" s="45">
        <v>5219</v>
      </c>
      <c r="J261" s="45">
        <v>2529</v>
      </c>
      <c r="K261" s="45">
        <v>5659</v>
      </c>
    </row>
    <row r="262" spans="1:11" ht="15" customHeight="1" x14ac:dyDescent="0.25">
      <c r="A262" s="44" t="s">
        <v>2510</v>
      </c>
      <c r="B262" s="41">
        <v>13448</v>
      </c>
      <c r="C262" s="41">
        <v>734</v>
      </c>
      <c r="D262" s="41">
        <v>1189</v>
      </c>
      <c r="E262" s="41">
        <v>1368</v>
      </c>
      <c r="F262" s="41">
        <v>982</v>
      </c>
      <c r="G262" s="41">
        <v>2713</v>
      </c>
      <c r="H262" s="41">
        <v>406</v>
      </c>
      <c r="I262" s="41">
        <v>2405</v>
      </c>
      <c r="J262" s="41">
        <v>802</v>
      </c>
      <c r="K262" s="41">
        <v>2849</v>
      </c>
    </row>
    <row r="263" spans="1:11" ht="33.950000000000003" customHeight="1" x14ac:dyDescent="0.25">
      <c r="A263" s="43" t="s">
        <v>2511</v>
      </c>
      <c r="B263" s="46" t="s">
        <v>28</v>
      </c>
      <c r="C263" s="46" t="s">
        <v>28</v>
      </c>
      <c r="D263" s="46" t="s">
        <v>28</v>
      </c>
      <c r="E263" s="46" t="s">
        <v>28</v>
      </c>
      <c r="F263" s="46" t="s">
        <v>28</v>
      </c>
      <c r="G263" s="46" t="s">
        <v>28</v>
      </c>
      <c r="H263" s="46" t="s">
        <v>28</v>
      </c>
      <c r="I263" s="46" t="s">
        <v>28</v>
      </c>
      <c r="J263" s="46" t="s">
        <v>28</v>
      </c>
      <c r="K263" s="46" t="s">
        <v>28</v>
      </c>
    </row>
    <row r="264" spans="1:11" ht="15" customHeight="1" x14ac:dyDescent="0.25">
      <c r="A264" s="40" t="s">
        <v>2512</v>
      </c>
      <c r="B264" s="45">
        <v>77063</v>
      </c>
      <c r="C264" s="45">
        <v>3686</v>
      </c>
      <c r="D264" s="45">
        <v>10430</v>
      </c>
      <c r="E264" s="45">
        <v>11561</v>
      </c>
      <c r="F264" s="45">
        <v>5301</v>
      </c>
      <c r="G264" s="45">
        <v>16255</v>
      </c>
      <c r="H264" s="45">
        <v>4236</v>
      </c>
      <c r="I264" s="45">
        <v>9194</v>
      </c>
      <c r="J264" s="45">
        <v>4338</v>
      </c>
      <c r="K264" s="45">
        <v>12062</v>
      </c>
    </row>
    <row r="265" spans="1:11" ht="15" customHeight="1" x14ac:dyDescent="0.25">
      <c r="A265" s="42" t="s">
        <v>2513</v>
      </c>
      <c r="B265" s="45">
        <v>76160</v>
      </c>
      <c r="C265" s="45">
        <v>3645</v>
      </c>
      <c r="D265" s="45">
        <v>10310</v>
      </c>
      <c r="E265" s="45">
        <v>11436</v>
      </c>
      <c r="F265" s="45">
        <v>5192</v>
      </c>
      <c r="G265" s="45">
        <v>16079</v>
      </c>
      <c r="H265" s="45">
        <v>4156</v>
      </c>
      <c r="I265" s="45">
        <v>9111</v>
      </c>
      <c r="J265" s="45">
        <v>4261</v>
      </c>
      <c r="K265" s="45">
        <v>11968</v>
      </c>
    </row>
    <row r="266" spans="1:11" ht="15" customHeight="1" x14ac:dyDescent="0.25">
      <c r="A266" s="42" t="s">
        <v>2514</v>
      </c>
      <c r="B266" s="45">
        <v>30946</v>
      </c>
      <c r="C266" s="45">
        <v>1158</v>
      </c>
      <c r="D266" s="45">
        <v>4132</v>
      </c>
      <c r="E266" s="45">
        <v>4244</v>
      </c>
      <c r="F266" s="45">
        <v>2164</v>
      </c>
      <c r="G266" s="45">
        <v>6888</v>
      </c>
      <c r="H266" s="45">
        <v>1498</v>
      </c>
      <c r="I266" s="45">
        <v>3708</v>
      </c>
      <c r="J266" s="45">
        <v>1992</v>
      </c>
      <c r="K266" s="45">
        <v>5163</v>
      </c>
    </row>
    <row r="267" spans="1:11" ht="15" customHeight="1" x14ac:dyDescent="0.25">
      <c r="A267" s="48" t="s">
        <v>2515</v>
      </c>
      <c r="B267" s="45">
        <v>63486</v>
      </c>
      <c r="C267" s="45">
        <v>3093</v>
      </c>
      <c r="D267" s="45">
        <v>8681</v>
      </c>
      <c r="E267" s="45">
        <v>9507</v>
      </c>
      <c r="F267" s="45">
        <v>4389</v>
      </c>
      <c r="G267" s="45">
        <v>13950</v>
      </c>
      <c r="H267" s="45">
        <v>3421</v>
      </c>
      <c r="I267" s="45">
        <v>7550</v>
      </c>
      <c r="J267" s="45">
        <v>3614</v>
      </c>
      <c r="K267" s="45">
        <v>9282</v>
      </c>
    </row>
    <row r="268" spans="1:11" ht="15" customHeight="1" x14ac:dyDescent="0.25">
      <c r="A268" s="48" t="s">
        <v>2516</v>
      </c>
      <c r="B268" s="45">
        <v>53369</v>
      </c>
      <c r="C268" s="45">
        <v>2511</v>
      </c>
      <c r="D268" s="45">
        <v>7575</v>
      </c>
      <c r="E268" s="45">
        <v>7894</v>
      </c>
      <c r="F268" s="45">
        <v>3378</v>
      </c>
      <c r="G268" s="45">
        <v>11468</v>
      </c>
      <c r="H268" s="45">
        <v>2897</v>
      </c>
      <c r="I268" s="45">
        <v>6199</v>
      </c>
      <c r="J268" s="45">
        <v>3189</v>
      </c>
      <c r="K268" s="45">
        <v>8258</v>
      </c>
    </row>
    <row r="269" spans="1:11" ht="15" customHeight="1" x14ac:dyDescent="0.25">
      <c r="A269" s="48" t="s">
        <v>2517</v>
      </c>
      <c r="B269" s="45">
        <v>54256</v>
      </c>
      <c r="C269" s="45">
        <v>2696</v>
      </c>
      <c r="D269" s="45">
        <v>7622</v>
      </c>
      <c r="E269" s="45">
        <v>8535</v>
      </c>
      <c r="F269" s="45">
        <v>3624</v>
      </c>
      <c r="G269" s="45">
        <v>11789</v>
      </c>
      <c r="H269" s="45">
        <v>2681</v>
      </c>
      <c r="I269" s="45">
        <v>5990</v>
      </c>
      <c r="J269" s="45">
        <v>2952</v>
      </c>
      <c r="K269" s="45">
        <v>8367</v>
      </c>
    </row>
    <row r="270" spans="1:11" ht="15" customHeight="1" x14ac:dyDescent="0.25">
      <c r="A270" s="48" t="s">
        <v>2518</v>
      </c>
      <c r="B270" s="45">
        <v>36235</v>
      </c>
      <c r="C270" s="45">
        <v>1899</v>
      </c>
      <c r="D270" s="45">
        <v>4660</v>
      </c>
      <c r="E270" s="45">
        <v>5161</v>
      </c>
      <c r="F270" s="45">
        <v>2521</v>
      </c>
      <c r="G270" s="45">
        <v>7724</v>
      </c>
      <c r="H270" s="45">
        <v>1954</v>
      </c>
      <c r="I270" s="45">
        <v>4619</v>
      </c>
      <c r="J270" s="45">
        <v>2056</v>
      </c>
      <c r="K270" s="45">
        <v>5641</v>
      </c>
    </row>
    <row r="271" spans="1:11" ht="15" customHeight="1" x14ac:dyDescent="0.25">
      <c r="A271" s="48" t="s">
        <v>2519</v>
      </c>
      <c r="B271" s="45">
        <v>66682</v>
      </c>
      <c r="C271" s="45">
        <v>3164</v>
      </c>
      <c r="D271" s="45">
        <v>9569</v>
      </c>
      <c r="E271" s="45">
        <v>9955</v>
      </c>
      <c r="F271" s="45">
        <v>4484</v>
      </c>
      <c r="G271" s="45">
        <v>14307</v>
      </c>
      <c r="H271" s="45">
        <v>3404</v>
      </c>
      <c r="I271" s="45">
        <v>8084</v>
      </c>
      <c r="J271" s="45">
        <v>3708</v>
      </c>
      <c r="K271" s="45">
        <v>10007</v>
      </c>
    </row>
    <row r="272" spans="1:11" ht="15" customHeight="1" x14ac:dyDescent="0.25">
      <c r="A272" s="48" t="s">
        <v>2520</v>
      </c>
      <c r="B272" s="45">
        <v>59277</v>
      </c>
      <c r="C272" s="45">
        <v>2989</v>
      </c>
      <c r="D272" s="45">
        <v>8665</v>
      </c>
      <c r="E272" s="45">
        <v>9111</v>
      </c>
      <c r="F272" s="45">
        <v>3942</v>
      </c>
      <c r="G272" s="45">
        <v>12279</v>
      </c>
      <c r="H272" s="45">
        <v>3057</v>
      </c>
      <c r="I272" s="45">
        <v>6763</v>
      </c>
      <c r="J272" s="45">
        <v>3360</v>
      </c>
      <c r="K272" s="45">
        <v>9111</v>
      </c>
    </row>
    <row r="273" spans="1:11" ht="24" customHeight="1" x14ac:dyDescent="0.25">
      <c r="A273" s="43" t="s">
        <v>2521</v>
      </c>
      <c r="B273" s="39" t="s">
        <v>28</v>
      </c>
      <c r="C273" s="39" t="s">
        <v>28</v>
      </c>
      <c r="D273" s="39" t="s">
        <v>28</v>
      </c>
      <c r="E273" s="39" t="s">
        <v>28</v>
      </c>
      <c r="F273" s="39" t="s">
        <v>28</v>
      </c>
      <c r="G273" s="39" t="s">
        <v>28</v>
      </c>
      <c r="H273" s="39" t="s">
        <v>28</v>
      </c>
      <c r="I273" s="39" t="s">
        <v>28</v>
      </c>
      <c r="J273" s="39" t="s">
        <v>28</v>
      </c>
      <c r="K273" s="39" t="s">
        <v>28</v>
      </c>
    </row>
    <row r="274" spans="1:11" ht="15" customHeight="1" x14ac:dyDescent="0.25">
      <c r="A274" s="40" t="s">
        <v>2522</v>
      </c>
      <c r="B274" s="45">
        <v>10030</v>
      </c>
      <c r="C274" s="45">
        <v>616</v>
      </c>
      <c r="D274" s="45">
        <v>802</v>
      </c>
      <c r="E274" s="45">
        <v>1181</v>
      </c>
      <c r="F274" s="45">
        <v>877</v>
      </c>
      <c r="G274" s="45">
        <v>1726</v>
      </c>
      <c r="H274" s="45">
        <v>668</v>
      </c>
      <c r="I274" s="45">
        <v>2200</v>
      </c>
      <c r="J274" s="45">
        <v>643</v>
      </c>
      <c r="K274" s="45">
        <v>1317</v>
      </c>
    </row>
    <row r="275" spans="1:11" ht="15" customHeight="1" x14ac:dyDescent="0.25">
      <c r="A275" s="44" t="s">
        <v>2523</v>
      </c>
      <c r="B275" s="45">
        <v>15669</v>
      </c>
      <c r="C275" s="45">
        <v>846</v>
      </c>
      <c r="D275" s="45">
        <v>1611</v>
      </c>
      <c r="E275" s="45">
        <v>2283</v>
      </c>
      <c r="F275" s="45">
        <v>1299</v>
      </c>
      <c r="G275" s="45">
        <v>3318</v>
      </c>
      <c r="H275" s="45">
        <v>911</v>
      </c>
      <c r="I275" s="45">
        <v>2044</v>
      </c>
      <c r="J275" s="45">
        <v>782</v>
      </c>
      <c r="K275" s="45">
        <v>2575</v>
      </c>
    </row>
    <row r="276" spans="1:11" ht="15" customHeight="1" x14ac:dyDescent="0.25">
      <c r="A276" s="44" t="s">
        <v>2357</v>
      </c>
      <c r="B276" s="45">
        <v>9422</v>
      </c>
      <c r="C276" s="45" t="s">
        <v>2312</v>
      </c>
      <c r="D276" s="45">
        <v>1142</v>
      </c>
      <c r="E276" s="45">
        <v>1390</v>
      </c>
      <c r="F276" s="45">
        <v>730</v>
      </c>
      <c r="G276" s="45">
        <v>1723</v>
      </c>
      <c r="H276" s="45">
        <v>649</v>
      </c>
      <c r="I276" s="45">
        <v>1156</v>
      </c>
      <c r="J276" s="45">
        <v>515</v>
      </c>
      <c r="K276" s="45">
        <v>1866</v>
      </c>
    </row>
    <row r="277" spans="1:11" ht="15" customHeight="1" x14ac:dyDescent="0.25">
      <c r="A277" s="44" t="s">
        <v>2358</v>
      </c>
      <c r="B277" s="45">
        <v>9388</v>
      </c>
      <c r="C277" s="45">
        <v>494</v>
      </c>
      <c r="D277" s="45">
        <v>1150</v>
      </c>
      <c r="E277" s="45">
        <v>1304</v>
      </c>
      <c r="F277" s="45">
        <v>522</v>
      </c>
      <c r="G277" s="45">
        <v>1903</v>
      </c>
      <c r="H277" s="45">
        <v>649</v>
      </c>
      <c r="I277" s="45">
        <v>979</v>
      </c>
      <c r="J277" s="45">
        <v>429</v>
      </c>
      <c r="K277" s="45">
        <v>1958</v>
      </c>
    </row>
    <row r="278" spans="1:11" ht="15" customHeight="1" x14ac:dyDescent="0.25">
      <c r="A278" s="40" t="s">
        <v>2359</v>
      </c>
      <c r="B278" s="45">
        <v>13094</v>
      </c>
      <c r="C278" s="45">
        <v>717</v>
      </c>
      <c r="D278" s="45">
        <v>1610</v>
      </c>
      <c r="E278" s="45">
        <v>1633</v>
      </c>
      <c r="F278" s="45">
        <v>958</v>
      </c>
      <c r="G278" s="45">
        <v>2966</v>
      </c>
      <c r="H278" s="45">
        <v>758</v>
      </c>
      <c r="I278" s="45">
        <v>1623</v>
      </c>
      <c r="J278" s="45">
        <v>873</v>
      </c>
      <c r="K278" s="45">
        <v>1957</v>
      </c>
    </row>
    <row r="279" spans="1:11" ht="15" customHeight="1" x14ac:dyDescent="0.25">
      <c r="A279" s="44" t="s">
        <v>2360</v>
      </c>
      <c r="B279" s="45">
        <v>8284</v>
      </c>
      <c r="C279" s="45">
        <v>430</v>
      </c>
      <c r="D279" s="45">
        <v>936</v>
      </c>
      <c r="E279" s="45">
        <v>1532</v>
      </c>
      <c r="F279" s="45">
        <v>452</v>
      </c>
      <c r="G279" s="45">
        <v>1713</v>
      </c>
      <c r="H279" s="45">
        <v>456</v>
      </c>
      <c r="I279" s="45">
        <v>1074</v>
      </c>
      <c r="J279" s="45">
        <v>434</v>
      </c>
      <c r="K279" s="45">
        <v>1259</v>
      </c>
    </row>
    <row r="280" spans="1:11" ht="15" customHeight="1" x14ac:dyDescent="0.25">
      <c r="A280" s="44" t="s">
        <v>2361</v>
      </c>
      <c r="B280" s="45">
        <v>9728</v>
      </c>
      <c r="C280" s="45">
        <v>432</v>
      </c>
      <c r="D280" s="45">
        <v>1870</v>
      </c>
      <c r="E280" s="45">
        <v>1569</v>
      </c>
      <c r="F280" s="45">
        <v>634</v>
      </c>
      <c r="G280" s="45">
        <v>2156</v>
      </c>
      <c r="H280" s="45">
        <v>410</v>
      </c>
      <c r="I280" s="45">
        <v>826</v>
      </c>
      <c r="J280" s="45">
        <v>653</v>
      </c>
      <c r="K280" s="45">
        <v>1179</v>
      </c>
    </row>
    <row r="281" spans="1:11" ht="15" customHeight="1" x14ac:dyDescent="0.25">
      <c r="A281" s="44" t="s">
        <v>2362</v>
      </c>
      <c r="B281" s="45">
        <v>11478</v>
      </c>
      <c r="C281" s="45">
        <v>518</v>
      </c>
      <c r="D281" s="45">
        <v>2110</v>
      </c>
      <c r="E281" s="45">
        <v>1850</v>
      </c>
      <c r="F281" s="45">
        <v>706</v>
      </c>
      <c r="G281" s="45">
        <v>2476</v>
      </c>
      <c r="H281" s="45">
        <v>403</v>
      </c>
      <c r="I281" s="45">
        <v>1493</v>
      </c>
      <c r="J281" s="45">
        <v>653</v>
      </c>
      <c r="K281" s="45">
        <v>1268</v>
      </c>
    </row>
    <row r="282" spans="1:11" ht="24" customHeight="1" x14ac:dyDescent="0.25">
      <c r="A282" s="43" t="s">
        <v>2524</v>
      </c>
      <c r="B282" s="39" t="s">
        <v>28</v>
      </c>
      <c r="C282" s="39" t="s">
        <v>28</v>
      </c>
      <c r="D282" s="39" t="s">
        <v>28</v>
      </c>
      <c r="E282" s="39" t="s">
        <v>28</v>
      </c>
      <c r="F282" s="39" t="s">
        <v>28</v>
      </c>
      <c r="G282" s="39" t="s">
        <v>28</v>
      </c>
      <c r="H282" s="39" t="s">
        <v>28</v>
      </c>
      <c r="I282" s="39" t="s">
        <v>28</v>
      </c>
      <c r="J282" s="39" t="s">
        <v>28</v>
      </c>
      <c r="K282" s="39" t="s">
        <v>28</v>
      </c>
    </row>
    <row r="283" spans="1:11" ht="15" customHeight="1" x14ac:dyDescent="0.25">
      <c r="A283" s="40" t="s">
        <v>2522</v>
      </c>
      <c r="B283" s="45">
        <v>23607</v>
      </c>
      <c r="C283" s="45">
        <v>1208</v>
      </c>
      <c r="D283" s="45">
        <v>2552</v>
      </c>
      <c r="E283" s="45">
        <v>3235</v>
      </c>
      <c r="F283" s="45">
        <v>1789</v>
      </c>
      <c r="G283" s="45">
        <v>4031</v>
      </c>
      <c r="H283" s="45">
        <v>1483</v>
      </c>
      <c r="I283" s="45">
        <v>3845</v>
      </c>
      <c r="J283" s="45">
        <v>1367</v>
      </c>
      <c r="K283" s="45">
        <v>4097</v>
      </c>
    </row>
    <row r="284" spans="1:11" ht="15" customHeight="1" x14ac:dyDescent="0.25">
      <c r="A284" s="44" t="s">
        <v>2523</v>
      </c>
      <c r="B284" s="45">
        <v>21161</v>
      </c>
      <c r="C284" s="45">
        <v>1083</v>
      </c>
      <c r="D284" s="45">
        <v>2267</v>
      </c>
      <c r="E284" s="45">
        <v>3260</v>
      </c>
      <c r="F284" s="45">
        <v>1785</v>
      </c>
      <c r="G284" s="45">
        <v>4218</v>
      </c>
      <c r="H284" s="45">
        <v>1281</v>
      </c>
      <c r="I284" s="45">
        <v>2580</v>
      </c>
      <c r="J284" s="45">
        <v>1163</v>
      </c>
      <c r="K284" s="45">
        <v>3524</v>
      </c>
    </row>
    <row r="285" spans="1:11" ht="15" customHeight="1" x14ac:dyDescent="0.25">
      <c r="A285" s="44" t="s">
        <v>2357</v>
      </c>
      <c r="B285" s="45">
        <v>8345</v>
      </c>
      <c r="C285" s="45">
        <v>323</v>
      </c>
      <c r="D285" s="45">
        <v>1082</v>
      </c>
      <c r="E285" s="45">
        <v>1063</v>
      </c>
      <c r="F285" s="45">
        <v>415</v>
      </c>
      <c r="G285" s="45">
        <v>2003</v>
      </c>
      <c r="H285" s="45">
        <v>452</v>
      </c>
      <c r="I285" s="45">
        <v>1113</v>
      </c>
      <c r="J285" s="45">
        <v>509</v>
      </c>
      <c r="K285" s="45">
        <v>1384</v>
      </c>
    </row>
    <row r="286" spans="1:11" ht="15" customHeight="1" x14ac:dyDescent="0.25">
      <c r="A286" s="44" t="s">
        <v>2358</v>
      </c>
      <c r="B286" s="45">
        <v>8343</v>
      </c>
      <c r="C286" s="45">
        <v>521</v>
      </c>
      <c r="D286" s="45">
        <v>979</v>
      </c>
      <c r="E286" s="45">
        <v>1060</v>
      </c>
      <c r="F286" s="45">
        <v>414</v>
      </c>
      <c r="G286" s="45">
        <v>1994</v>
      </c>
      <c r="H286" s="45">
        <v>489</v>
      </c>
      <c r="I286" s="45">
        <v>904</v>
      </c>
      <c r="J286" s="45">
        <v>405</v>
      </c>
      <c r="K286" s="45">
        <v>1579</v>
      </c>
    </row>
    <row r="287" spans="1:11" ht="15" customHeight="1" x14ac:dyDescent="0.25">
      <c r="A287" s="40" t="s">
        <v>2359</v>
      </c>
      <c r="B287" s="45">
        <v>9643</v>
      </c>
      <c r="C287" s="45">
        <v>348</v>
      </c>
      <c r="D287" s="45">
        <v>1123</v>
      </c>
      <c r="E287" s="45">
        <v>1384</v>
      </c>
      <c r="F287" s="45">
        <v>811</v>
      </c>
      <c r="G287" s="45">
        <v>2362</v>
      </c>
      <c r="H287" s="45">
        <v>505</v>
      </c>
      <c r="I287" s="45">
        <v>927</v>
      </c>
      <c r="J287" s="45">
        <v>740</v>
      </c>
      <c r="K287" s="45">
        <v>1444</v>
      </c>
    </row>
    <row r="288" spans="1:11" ht="15" customHeight="1" x14ac:dyDescent="0.25">
      <c r="A288" s="44" t="s">
        <v>2360</v>
      </c>
      <c r="B288" s="45">
        <v>5234</v>
      </c>
      <c r="C288" s="45">
        <v>242</v>
      </c>
      <c r="D288" s="45">
        <v>976</v>
      </c>
      <c r="E288" s="45">
        <v>978</v>
      </c>
      <c r="F288" s="45">
        <v>334</v>
      </c>
      <c r="G288" s="45">
        <v>809</v>
      </c>
      <c r="H288" s="45">
        <v>244</v>
      </c>
      <c r="I288" s="45">
        <v>774</v>
      </c>
      <c r="J288" s="45">
        <v>309</v>
      </c>
      <c r="K288" s="45">
        <v>568</v>
      </c>
    </row>
    <row r="289" spans="1:11" ht="15" customHeight="1" x14ac:dyDescent="0.25">
      <c r="A289" s="44" t="s">
        <v>2361</v>
      </c>
      <c r="B289" s="45">
        <v>5217</v>
      </c>
      <c r="C289" s="45">
        <v>346</v>
      </c>
      <c r="D289" s="45">
        <v>1068</v>
      </c>
      <c r="E289" s="45">
        <v>711</v>
      </c>
      <c r="F289" s="45" t="s">
        <v>2312</v>
      </c>
      <c r="G289" s="45">
        <v>1078</v>
      </c>
      <c r="H289" s="45" t="s">
        <v>2312</v>
      </c>
      <c r="I289" s="45">
        <v>766</v>
      </c>
      <c r="J289" s="45">
        <v>285</v>
      </c>
      <c r="K289" s="45">
        <v>388</v>
      </c>
    </row>
    <row r="290" spans="1:11" ht="15" customHeight="1" x14ac:dyDescent="0.25">
      <c r="A290" s="44" t="s">
        <v>2362</v>
      </c>
      <c r="B290" s="45">
        <v>5542</v>
      </c>
      <c r="C290" s="45" t="s">
        <v>2312</v>
      </c>
      <c r="D290" s="45">
        <v>1185</v>
      </c>
      <c r="E290" s="45">
        <v>1051</v>
      </c>
      <c r="F290" s="45">
        <v>319</v>
      </c>
      <c r="G290" s="45">
        <v>1487</v>
      </c>
      <c r="H290" s="45" t="s">
        <v>2312</v>
      </c>
      <c r="I290" s="45">
        <v>486</v>
      </c>
      <c r="J290" s="45">
        <v>202</v>
      </c>
      <c r="K290" s="45">
        <v>395</v>
      </c>
    </row>
    <row r="291" spans="1:11" ht="24" customHeight="1" x14ac:dyDescent="0.25">
      <c r="A291" s="43" t="s">
        <v>2525</v>
      </c>
      <c r="B291" s="39" t="s">
        <v>28</v>
      </c>
      <c r="C291" s="39" t="s">
        <v>28</v>
      </c>
      <c r="D291" s="39" t="s">
        <v>28</v>
      </c>
      <c r="E291" s="39" t="s">
        <v>28</v>
      </c>
      <c r="F291" s="39" t="s">
        <v>28</v>
      </c>
      <c r="G291" s="39" t="s">
        <v>28</v>
      </c>
      <c r="H291" s="39" t="s">
        <v>28</v>
      </c>
      <c r="I291" s="39" t="s">
        <v>28</v>
      </c>
      <c r="J291" s="39" t="s">
        <v>28</v>
      </c>
      <c r="K291" s="39" t="s">
        <v>28</v>
      </c>
    </row>
    <row r="292" spans="1:11" ht="15" customHeight="1" x14ac:dyDescent="0.25">
      <c r="A292" s="40" t="s">
        <v>2522</v>
      </c>
      <c r="B292" s="45">
        <v>33724</v>
      </c>
      <c r="C292" s="45">
        <v>1790</v>
      </c>
      <c r="D292" s="45">
        <v>3657</v>
      </c>
      <c r="E292" s="45">
        <v>4848</v>
      </c>
      <c r="F292" s="45">
        <v>2800</v>
      </c>
      <c r="G292" s="45">
        <v>6513</v>
      </c>
      <c r="H292" s="45">
        <v>2007</v>
      </c>
      <c r="I292" s="45">
        <v>5195</v>
      </c>
      <c r="J292" s="45">
        <v>1792</v>
      </c>
      <c r="K292" s="45">
        <v>5122</v>
      </c>
    </row>
    <row r="293" spans="1:11" ht="15" customHeight="1" x14ac:dyDescent="0.25">
      <c r="A293" s="44" t="s">
        <v>2523</v>
      </c>
      <c r="B293" s="45">
        <v>34097</v>
      </c>
      <c r="C293" s="45">
        <v>1582</v>
      </c>
      <c r="D293" s="45">
        <v>4611</v>
      </c>
      <c r="E293" s="45">
        <v>5055</v>
      </c>
      <c r="F293" s="45">
        <v>2145</v>
      </c>
      <c r="G293" s="45">
        <v>7735</v>
      </c>
      <c r="H293" s="45">
        <v>1785</v>
      </c>
      <c r="I293" s="45">
        <v>3980</v>
      </c>
      <c r="J293" s="45">
        <v>2061</v>
      </c>
      <c r="K293" s="45">
        <v>5143</v>
      </c>
    </row>
    <row r="294" spans="1:11" ht="15" customHeight="1" x14ac:dyDescent="0.25">
      <c r="A294" s="44" t="s">
        <v>2357</v>
      </c>
      <c r="B294" s="45">
        <v>6241</v>
      </c>
      <c r="C294" s="45">
        <v>338</v>
      </c>
      <c r="D294" s="45">
        <v>755</v>
      </c>
      <c r="E294" s="45">
        <v>931</v>
      </c>
      <c r="F294" s="45">
        <v>504</v>
      </c>
      <c r="G294" s="45">
        <v>1063</v>
      </c>
      <c r="H294" s="45">
        <v>414</v>
      </c>
      <c r="I294" s="45">
        <v>749</v>
      </c>
      <c r="J294" s="45">
        <v>357</v>
      </c>
      <c r="K294" s="45">
        <v>1131</v>
      </c>
    </row>
    <row r="295" spans="1:11" ht="15" customHeight="1" x14ac:dyDescent="0.25">
      <c r="A295" s="44" t="s">
        <v>2358</v>
      </c>
      <c r="B295" s="45">
        <v>5711</v>
      </c>
      <c r="C295" s="45">
        <v>340</v>
      </c>
      <c r="D295" s="45">
        <v>777</v>
      </c>
      <c r="E295" s="45">
        <v>663</v>
      </c>
      <c r="F295" s="45">
        <v>343</v>
      </c>
      <c r="G295" s="45">
        <v>1286</v>
      </c>
      <c r="H295" s="45" t="s">
        <v>2312</v>
      </c>
      <c r="I295" s="45">
        <v>622</v>
      </c>
      <c r="J295" s="45" t="s">
        <v>2312</v>
      </c>
      <c r="K295" s="45">
        <v>899</v>
      </c>
    </row>
    <row r="296" spans="1:11" ht="15" customHeight="1" x14ac:dyDescent="0.25">
      <c r="A296" s="40" t="s">
        <v>2359</v>
      </c>
      <c r="B296" s="45">
        <v>3758</v>
      </c>
      <c r="C296" s="45" t="s">
        <v>2312</v>
      </c>
      <c r="D296" s="45">
        <v>566</v>
      </c>
      <c r="E296" s="45">
        <v>714</v>
      </c>
      <c r="F296" s="45" t="s">
        <v>2312</v>
      </c>
      <c r="G296" s="45">
        <v>696</v>
      </c>
      <c r="H296" s="45" t="s">
        <v>2312</v>
      </c>
      <c r="I296" s="45">
        <v>455</v>
      </c>
      <c r="J296" s="45">
        <v>282</v>
      </c>
      <c r="K296" s="45">
        <v>497</v>
      </c>
    </row>
    <row r="297" spans="1:11" ht="15" customHeight="1" x14ac:dyDescent="0.25">
      <c r="A297" s="40" t="s">
        <v>2526</v>
      </c>
      <c r="B297" s="45">
        <v>3562</v>
      </c>
      <c r="C297" s="45" t="s">
        <v>2312</v>
      </c>
      <c r="D297" s="45">
        <v>867</v>
      </c>
      <c r="E297" s="45">
        <v>530</v>
      </c>
      <c r="F297" s="45" t="s">
        <v>2312</v>
      </c>
      <c r="G297" s="45">
        <v>688</v>
      </c>
      <c r="H297" s="45" t="s">
        <v>2312</v>
      </c>
      <c r="I297" s="45" t="s">
        <v>2312</v>
      </c>
      <c r="J297" s="45" t="s">
        <v>2312</v>
      </c>
      <c r="K297" s="45">
        <v>589</v>
      </c>
    </row>
    <row r="298" spans="1:11" ht="24" customHeight="1" x14ac:dyDescent="0.25">
      <c r="A298" s="43" t="s">
        <v>2527</v>
      </c>
      <c r="B298" s="39" t="s">
        <v>28</v>
      </c>
      <c r="C298" s="39" t="s">
        <v>28</v>
      </c>
      <c r="D298" s="39" t="s">
        <v>28</v>
      </c>
      <c r="E298" s="39" t="s">
        <v>28</v>
      </c>
      <c r="F298" s="39" t="s">
        <v>28</v>
      </c>
      <c r="G298" s="39" t="s">
        <v>28</v>
      </c>
      <c r="H298" s="39" t="s">
        <v>28</v>
      </c>
      <c r="I298" s="39" t="s">
        <v>28</v>
      </c>
      <c r="J298" s="39" t="s">
        <v>28</v>
      </c>
      <c r="K298" s="39" t="s">
        <v>28</v>
      </c>
    </row>
    <row r="299" spans="1:11" ht="15" customHeight="1" x14ac:dyDescent="0.25">
      <c r="A299" s="40" t="s">
        <v>2522</v>
      </c>
      <c r="B299" s="45">
        <v>27816</v>
      </c>
      <c r="C299" s="45">
        <v>1312</v>
      </c>
      <c r="D299" s="45">
        <v>2568</v>
      </c>
      <c r="E299" s="45">
        <v>3630</v>
      </c>
      <c r="F299" s="45">
        <v>2236</v>
      </c>
      <c r="G299" s="45">
        <v>5702</v>
      </c>
      <c r="H299" s="45">
        <v>1847</v>
      </c>
      <c r="I299" s="45">
        <v>4631</v>
      </c>
      <c r="J299" s="45">
        <v>1621</v>
      </c>
      <c r="K299" s="45">
        <v>4269</v>
      </c>
    </row>
    <row r="300" spans="1:11" ht="15" customHeight="1" x14ac:dyDescent="0.25">
      <c r="A300" s="44" t="s">
        <v>2344</v>
      </c>
      <c r="B300" s="45">
        <v>17080</v>
      </c>
      <c r="C300" s="45">
        <v>912</v>
      </c>
      <c r="D300" s="45">
        <v>1692</v>
      </c>
      <c r="E300" s="45">
        <v>2726</v>
      </c>
      <c r="F300" s="45">
        <v>1216</v>
      </c>
      <c r="G300" s="45">
        <v>3397</v>
      </c>
      <c r="H300" s="45">
        <v>816</v>
      </c>
      <c r="I300" s="45">
        <v>1915</v>
      </c>
      <c r="J300" s="45">
        <v>1003</v>
      </c>
      <c r="K300" s="45">
        <v>3402</v>
      </c>
    </row>
    <row r="301" spans="1:11" ht="15" customHeight="1" x14ac:dyDescent="0.25">
      <c r="A301" s="44" t="s">
        <v>2528</v>
      </c>
      <c r="B301" s="45">
        <v>20312</v>
      </c>
      <c r="C301" s="45">
        <v>1017</v>
      </c>
      <c r="D301" s="45">
        <v>2564</v>
      </c>
      <c r="E301" s="45">
        <v>3003</v>
      </c>
      <c r="F301" s="45">
        <v>1581</v>
      </c>
      <c r="G301" s="45">
        <v>4073</v>
      </c>
      <c r="H301" s="45">
        <v>1247</v>
      </c>
      <c r="I301" s="45">
        <v>2743</v>
      </c>
      <c r="J301" s="45">
        <v>1137</v>
      </c>
      <c r="K301" s="45">
        <v>2948</v>
      </c>
    </row>
    <row r="302" spans="1:11" ht="15" customHeight="1" x14ac:dyDescent="0.25">
      <c r="A302" s="44" t="s">
        <v>2357</v>
      </c>
      <c r="B302" s="45">
        <v>8863</v>
      </c>
      <c r="C302" s="45">
        <v>599</v>
      </c>
      <c r="D302" s="45">
        <v>1347</v>
      </c>
      <c r="E302" s="45">
        <v>1644</v>
      </c>
      <c r="F302" s="45">
        <v>523</v>
      </c>
      <c r="G302" s="45">
        <v>1943</v>
      </c>
      <c r="H302" s="45">
        <v>456</v>
      </c>
      <c r="I302" s="45">
        <v>804</v>
      </c>
      <c r="J302" s="45">
        <v>399</v>
      </c>
      <c r="K302" s="45">
        <v>1148</v>
      </c>
    </row>
    <row r="303" spans="1:11" ht="15" customHeight="1" x14ac:dyDescent="0.25">
      <c r="A303" s="44" t="s">
        <v>2529</v>
      </c>
      <c r="B303" s="45">
        <v>13022</v>
      </c>
      <c r="C303" s="45">
        <v>461</v>
      </c>
      <c r="D303" s="45">
        <v>3062</v>
      </c>
      <c r="E303" s="45">
        <v>1739</v>
      </c>
      <c r="F303" s="45">
        <v>621</v>
      </c>
      <c r="G303" s="45">
        <v>2865</v>
      </c>
      <c r="H303" s="45">
        <v>538</v>
      </c>
      <c r="I303" s="45">
        <v>1300</v>
      </c>
      <c r="J303" s="45">
        <v>821</v>
      </c>
      <c r="K303" s="45">
        <v>1613</v>
      </c>
    </row>
    <row r="304" spans="1:11" ht="24" customHeight="1" x14ac:dyDescent="0.25">
      <c r="A304" s="43" t="s">
        <v>2530</v>
      </c>
      <c r="B304" s="39" t="s">
        <v>28</v>
      </c>
      <c r="C304" s="39" t="s">
        <v>28</v>
      </c>
      <c r="D304" s="39" t="s">
        <v>28</v>
      </c>
      <c r="E304" s="39" t="s">
        <v>28</v>
      </c>
      <c r="F304" s="39" t="s">
        <v>28</v>
      </c>
      <c r="G304" s="39" t="s">
        <v>28</v>
      </c>
      <c r="H304" s="39" t="s">
        <v>28</v>
      </c>
      <c r="I304" s="39" t="s">
        <v>28</v>
      </c>
      <c r="J304" s="39" t="s">
        <v>28</v>
      </c>
      <c r="K304" s="39" t="s">
        <v>28</v>
      </c>
    </row>
    <row r="305" spans="1:11" ht="15" customHeight="1" x14ac:dyDescent="0.25">
      <c r="A305" s="40" t="s">
        <v>2522</v>
      </c>
      <c r="B305" s="45">
        <v>24339</v>
      </c>
      <c r="C305" s="45">
        <v>1513</v>
      </c>
      <c r="D305" s="45">
        <v>2541</v>
      </c>
      <c r="E305" s="45">
        <v>3230</v>
      </c>
      <c r="F305" s="45">
        <v>1861</v>
      </c>
      <c r="G305" s="45">
        <v>4717</v>
      </c>
      <c r="H305" s="45">
        <v>1132</v>
      </c>
      <c r="I305" s="45">
        <v>3635</v>
      </c>
      <c r="J305" s="45">
        <v>1447</v>
      </c>
      <c r="K305" s="45">
        <v>4264</v>
      </c>
    </row>
    <row r="306" spans="1:11" ht="15" customHeight="1" x14ac:dyDescent="0.25">
      <c r="A306" s="44" t="s">
        <v>2344</v>
      </c>
      <c r="B306" s="45">
        <v>9990</v>
      </c>
      <c r="C306" s="45">
        <v>435</v>
      </c>
      <c r="D306" s="45">
        <v>981</v>
      </c>
      <c r="E306" s="45">
        <v>1485</v>
      </c>
      <c r="F306" s="45">
        <v>806</v>
      </c>
      <c r="G306" s="45">
        <v>2162</v>
      </c>
      <c r="H306" s="45">
        <v>740</v>
      </c>
      <c r="I306" s="45">
        <v>1374</v>
      </c>
      <c r="J306" s="45">
        <v>524</v>
      </c>
      <c r="K306" s="45">
        <v>1482</v>
      </c>
    </row>
    <row r="307" spans="1:11" ht="15" customHeight="1" x14ac:dyDescent="0.25">
      <c r="A307" s="44" t="s">
        <v>2528</v>
      </c>
      <c r="B307" s="45">
        <v>16465</v>
      </c>
      <c r="C307" s="45">
        <v>833</v>
      </c>
      <c r="D307" s="45">
        <v>2097</v>
      </c>
      <c r="E307" s="45">
        <v>2889</v>
      </c>
      <c r="F307" s="45">
        <v>1167</v>
      </c>
      <c r="G307" s="45">
        <v>3192</v>
      </c>
      <c r="H307" s="45">
        <v>964</v>
      </c>
      <c r="I307" s="45">
        <v>2158</v>
      </c>
      <c r="J307" s="45">
        <v>688</v>
      </c>
      <c r="K307" s="45">
        <v>2477</v>
      </c>
    </row>
    <row r="308" spans="1:11" ht="15" customHeight="1" x14ac:dyDescent="0.25">
      <c r="A308" s="44" t="s">
        <v>2357</v>
      </c>
      <c r="B308" s="45">
        <v>8148</v>
      </c>
      <c r="C308" s="45">
        <v>441</v>
      </c>
      <c r="D308" s="45">
        <v>1383</v>
      </c>
      <c r="E308" s="45">
        <v>839</v>
      </c>
      <c r="F308" s="45">
        <v>611</v>
      </c>
      <c r="G308" s="45">
        <v>1524</v>
      </c>
      <c r="H308" s="45">
        <v>637</v>
      </c>
      <c r="I308" s="45">
        <v>1001</v>
      </c>
      <c r="J308" s="45">
        <v>292</v>
      </c>
      <c r="K308" s="45">
        <v>1419</v>
      </c>
    </row>
    <row r="309" spans="1:11" ht="15" customHeight="1" x14ac:dyDescent="0.25">
      <c r="A309" s="44" t="s">
        <v>2358</v>
      </c>
      <c r="B309" s="45">
        <v>8168</v>
      </c>
      <c r="C309" s="45">
        <v>391</v>
      </c>
      <c r="D309" s="45">
        <v>1408</v>
      </c>
      <c r="E309" s="45">
        <v>1134</v>
      </c>
      <c r="F309" s="45">
        <v>760</v>
      </c>
      <c r="G309" s="45">
        <v>1558</v>
      </c>
      <c r="H309" s="45">
        <v>435</v>
      </c>
      <c r="I309" s="45">
        <v>1058</v>
      </c>
      <c r="J309" s="45">
        <v>488</v>
      </c>
      <c r="K309" s="45">
        <v>936</v>
      </c>
    </row>
    <row r="310" spans="1:11" ht="15" customHeight="1" x14ac:dyDescent="0.25">
      <c r="A310" s="44" t="s">
        <v>2359</v>
      </c>
      <c r="B310" s="45">
        <v>8058</v>
      </c>
      <c r="C310" s="45">
        <v>375</v>
      </c>
      <c r="D310" s="45">
        <v>1069</v>
      </c>
      <c r="E310" s="45">
        <v>1198</v>
      </c>
      <c r="F310" s="45">
        <v>470</v>
      </c>
      <c r="G310" s="45">
        <v>1973</v>
      </c>
      <c r="H310" s="45">
        <v>401</v>
      </c>
      <c r="I310" s="45">
        <v>814</v>
      </c>
      <c r="J310" s="45">
        <v>620</v>
      </c>
      <c r="K310" s="45">
        <v>1139</v>
      </c>
    </row>
    <row r="311" spans="1:11" ht="15" customHeight="1" x14ac:dyDescent="0.25">
      <c r="A311" s="44" t="s">
        <v>2360</v>
      </c>
      <c r="B311" s="45">
        <v>4378</v>
      </c>
      <c r="C311" s="45" t="s">
        <v>2312</v>
      </c>
      <c r="D311" s="45">
        <v>270</v>
      </c>
      <c r="E311" s="45">
        <v>783</v>
      </c>
      <c r="F311" s="45" t="s">
        <v>2312</v>
      </c>
      <c r="G311" s="45">
        <v>1213</v>
      </c>
      <c r="H311" s="45" t="s">
        <v>2312</v>
      </c>
      <c r="I311" s="45" t="s">
        <v>2312</v>
      </c>
      <c r="J311" s="45">
        <v>409</v>
      </c>
      <c r="K311" s="45">
        <v>622</v>
      </c>
    </row>
    <row r="312" spans="1:11" ht="15" customHeight="1" x14ac:dyDescent="0.25">
      <c r="A312" s="44" t="s">
        <v>2531</v>
      </c>
      <c r="B312" s="45">
        <v>7547</v>
      </c>
      <c r="C312" s="45">
        <v>202</v>
      </c>
      <c r="D312" s="45">
        <v>1483</v>
      </c>
      <c r="E312" s="45">
        <v>1184</v>
      </c>
      <c r="F312" s="45">
        <v>357</v>
      </c>
      <c r="G312" s="45">
        <v>1643</v>
      </c>
      <c r="H312" s="45" t="s">
        <v>2312</v>
      </c>
      <c r="I312" s="45">
        <v>672</v>
      </c>
      <c r="J312" s="45" t="s">
        <v>2312</v>
      </c>
      <c r="K312" s="45">
        <v>1039</v>
      </c>
    </row>
    <row r="313" spans="1:11" ht="45.95" customHeight="1" x14ac:dyDescent="0.25">
      <c r="A313" s="43" t="s">
        <v>2532</v>
      </c>
      <c r="B313" s="39" t="s">
        <v>28</v>
      </c>
      <c r="C313" s="39" t="s">
        <v>28</v>
      </c>
      <c r="D313" s="39" t="s">
        <v>28</v>
      </c>
      <c r="E313" s="39" t="s">
        <v>28</v>
      </c>
      <c r="F313" s="39" t="s">
        <v>28</v>
      </c>
      <c r="G313" s="39" t="s">
        <v>28</v>
      </c>
      <c r="H313" s="39" t="s">
        <v>28</v>
      </c>
      <c r="I313" s="39" t="s">
        <v>28</v>
      </c>
      <c r="J313" s="39" t="s">
        <v>28</v>
      </c>
      <c r="K313" s="39" t="s">
        <v>28</v>
      </c>
    </row>
    <row r="314" spans="1:11" ht="15" customHeight="1" x14ac:dyDescent="0.25">
      <c r="A314" s="40" t="s">
        <v>2533</v>
      </c>
      <c r="B314" s="45">
        <v>9884</v>
      </c>
      <c r="C314" s="45" t="s">
        <v>2312</v>
      </c>
      <c r="D314" s="45">
        <v>1710</v>
      </c>
      <c r="E314" s="45">
        <v>1632</v>
      </c>
      <c r="F314" s="45">
        <v>630</v>
      </c>
      <c r="G314" s="45">
        <v>2550</v>
      </c>
      <c r="H314" s="45">
        <v>329</v>
      </c>
      <c r="I314" s="45">
        <v>884</v>
      </c>
      <c r="J314" s="45">
        <v>723</v>
      </c>
      <c r="K314" s="45">
        <v>1211</v>
      </c>
    </row>
    <row r="315" spans="1:11" ht="15" customHeight="1" x14ac:dyDescent="0.25">
      <c r="A315" s="44" t="s">
        <v>2534</v>
      </c>
      <c r="B315" s="45">
        <v>9787</v>
      </c>
      <c r="C315" s="45">
        <v>335</v>
      </c>
      <c r="D315" s="45">
        <v>1416</v>
      </c>
      <c r="E315" s="45">
        <v>1299</v>
      </c>
      <c r="F315" s="45">
        <v>476</v>
      </c>
      <c r="G315" s="45">
        <v>2135</v>
      </c>
      <c r="H315" s="45">
        <v>609</v>
      </c>
      <c r="I315" s="45">
        <v>1053</v>
      </c>
      <c r="J315" s="45">
        <v>871</v>
      </c>
      <c r="K315" s="45">
        <v>1593</v>
      </c>
    </row>
    <row r="316" spans="1:11" ht="15" customHeight="1" x14ac:dyDescent="0.25">
      <c r="A316" s="44" t="s">
        <v>2535</v>
      </c>
      <c r="B316" s="45">
        <v>15222</v>
      </c>
      <c r="C316" s="45">
        <v>829</v>
      </c>
      <c r="D316" s="45">
        <v>2756</v>
      </c>
      <c r="E316" s="45">
        <v>2452</v>
      </c>
      <c r="F316" s="45">
        <v>1003</v>
      </c>
      <c r="G316" s="45">
        <v>3709</v>
      </c>
      <c r="H316" s="45">
        <v>613</v>
      </c>
      <c r="I316" s="45">
        <v>1625</v>
      </c>
      <c r="J316" s="45">
        <v>916</v>
      </c>
      <c r="K316" s="45">
        <v>1320</v>
      </c>
    </row>
    <row r="317" spans="1:11" ht="27.95" customHeight="1" x14ac:dyDescent="0.25">
      <c r="A317" s="44" t="s">
        <v>2536</v>
      </c>
      <c r="B317" s="45">
        <v>16150</v>
      </c>
      <c r="C317" s="45">
        <v>915</v>
      </c>
      <c r="D317" s="45">
        <v>2339</v>
      </c>
      <c r="E317" s="45">
        <v>2960</v>
      </c>
      <c r="F317" s="45">
        <v>993</v>
      </c>
      <c r="G317" s="45">
        <v>3867</v>
      </c>
      <c r="H317" s="45">
        <v>722</v>
      </c>
      <c r="I317" s="45">
        <v>1503</v>
      </c>
      <c r="J317" s="45">
        <v>992</v>
      </c>
      <c r="K317" s="45">
        <v>1859</v>
      </c>
    </row>
    <row r="318" spans="1:11" ht="15" customHeight="1" x14ac:dyDescent="0.25">
      <c r="A318" s="44" t="s">
        <v>2537</v>
      </c>
      <c r="B318" s="45">
        <v>14054</v>
      </c>
      <c r="C318" s="45">
        <v>776</v>
      </c>
      <c r="D318" s="45">
        <v>2329</v>
      </c>
      <c r="E318" s="45">
        <v>2282</v>
      </c>
      <c r="F318" s="45">
        <v>1130</v>
      </c>
      <c r="G318" s="45">
        <v>2551</v>
      </c>
      <c r="H318" s="45">
        <v>1072</v>
      </c>
      <c r="I318" s="45">
        <v>1498</v>
      </c>
      <c r="J318" s="45">
        <v>840</v>
      </c>
      <c r="K318" s="45">
        <v>1574</v>
      </c>
    </row>
    <row r="319" spans="1:11" ht="33.950000000000003" customHeight="1" x14ac:dyDescent="0.25">
      <c r="A319" s="43" t="s">
        <v>2538</v>
      </c>
      <c r="B319" s="39" t="s">
        <v>28</v>
      </c>
      <c r="C319" s="39" t="s">
        <v>28</v>
      </c>
      <c r="D319" s="39" t="s">
        <v>28</v>
      </c>
      <c r="E319" s="39" t="s">
        <v>28</v>
      </c>
      <c r="F319" s="39" t="s">
        <v>28</v>
      </c>
      <c r="G319" s="39" t="s">
        <v>28</v>
      </c>
      <c r="H319" s="39" t="s">
        <v>28</v>
      </c>
      <c r="I319" s="39" t="s">
        <v>28</v>
      </c>
      <c r="J319" s="39" t="s">
        <v>28</v>
      </c>
      <c r="K319" s="39" t="s">
        <v>28</v>
      </c>
    </row>
    <row r="320" spans="1:11" ht="15" customHeight="1" x14ac:dyDescent="0.25">
      <c r="A320" s="40" t="s">
        <v>2539</v>
      </c>
      <c r="B320" s="45">
        <v>11105</v>
      </c>
      <c r="C320" s="45">
        <v>491</v>
      </c>
      <c r="D320" s="45">
        <v>1887</v>
      </c>
      <c r="E320" s="45">
        <v>1743</v>
      </c>
      <c r="F320" s="45">
        <v>745</v>
      </c>
      <c r="G320" s="45">
        <v>2296</v>
      </c>
      <c r="H320" s="45">
        <v>456</v>
      </c>
      <c r="I320" s="45">
        <v>1120</v>
      </c>
      <c r="J320" s="45">
        <v>662</v>
      </c>
      <c r="K320" s="45">
        <v>1704</v>
      </c>
    </row>
    <row r="321" spans="1:11" ht="15" customHeight="1" x14ac:dyDescent="0.25">
      <c r="A321" s="44" t="s">
        <v>2540</v>
      </c>
      <c r="B321" s="45">
        <v>17723</v>
      </c>
      <c r="C321" s="45">
        <v>747</v>
      </c>
      <c r="D321" s="45">
        <v>2594</v>
      </c>
      <c r="E321" s="45">
        <v>2728</v>
      </c>
      <c r="F321" s="45">
        <v>1222</v>
      </c>
      <c r="G321" s="45">
        <v>3895</v>
      </c>
      <c r="H321" s="45">
        <v>879</v>
      </c>
      <c r="I321" s="45">
        <v>2347</v>
      </c>
      <c r="J321" s="45">
        <v>1364</v>
      </c>
      <c r="K321" s="45">
        <v>1947</v>
      </c>
    </row>
    <row r="322" spans="1:11" ht="15" customHeight="1" x14ac:dyDescent="0.25">
      <c r="A322" s="44" t="s">
        <v>2541</v>
      </c>
      <c r="B322" s="45">
        <v>14341</v>
      </c>
      <c r="C322" s="45">
        <v>834</v>
      </c>
      <c r="D322" s="45">
        <v>1877</v>
      </c>
      <c r="E322" s="45">
        <v>2236</v>
      </c>
      <c r="F322" s="45">
        <v>1102</v>
      </c>
      <c r="G322" s="45">
        <v>3187</v>
      </c>
      <c r="H322" s="45">
        <v>761</v>
      </c>
      <c r="I322" s="45">
        <v>2051</v>
      </c>
      <c r="J322" s="45">
        <v>1010</v>
      </c>
      <c r="K322" s="45">
        <v>1283</v>
      </c>
    </row>
    <row r="323" spans="1:11" s="49" customFormat="1" ht="33.950000000000003" customHeight="1" x14ac:dyDescent="0.25">
      <c r="A323" s="43" t="s">
        <v>2542</v>
      </c>
      <c r="B323" s="46" t="s">
        <v>28</v>
      </c>
      <c r="C323" s="46" t="s">
        <v>28</v>
      </c>
      <c r="D323" s="46" t="s">
        <v>28</v>
      </c>
      <c r="E323" s="46" t="s">
        <v>28</v>
      </c>
      <c r="F323" s="46" t="s">
        <v>28</v>
      </c>
      <c r="G323" s="46" t="s">
        <v>28</v>
      </c>
      <c r="H323" s="46" t="s">
        <v>28</v>
      </c>
      <c r="I323" s="46" t="s">
        <v>28</v>
      </c>
      <c r="J323" s="46" t="s">
        <v>28</v>
      </c>
      <c r="K323" s="46" t="s">
        <v>28</v>
      </c>
    </row>
    <row r="324" spans="1:11" s="49" customFormat="1" ht="15" customHeight="1" x14ac:dyDescent="0.25">
      <c r="A324" s="44" t="s">
        <v>2543</v>
      </c>
      <c r="B324" s="45">
        <v>30749</v>
      </c>
      <c r="C324" s="45">
        <v>1412</v>
      </c>
      <c r="D324" s="45">
        <v>5498</v>
      </c>
      <c r="E324" s="45">
        <v>5550</v>
      </c>
      <c r="F324" s="45">
        <v>2366</v>
      </c>
      <c r="G324" s="45">
        <v>5286</v>
      </c>
      <c r="H324" s="45">
        <v>1059</v>
      </c>
      <c r="I324" s="45">
        <v>2706</v>
      </c>
      <c r="J324" s="45">
        <v>2022</v>
      </c>
      <c r="K324" s="45">
        <v>4849</v>
      </c>
    </row>
    <row r="325" spans="1:11" s="49" customFormat="1" ht="15" customHeight="1" x14ac:dyDescent="0.25">
      <c r="A325" s="44" t="s">
        <v>2544</v>
      </c>
      <c r="B325" s="45">
        <v>69244</v>
      </c>
      <c r="C325" s="45">
        <v>3324</v>
      </c>
      <c r="D325" s="45">
        <v>9658</v>
      </c>
      <c r="E325" s="45">
        <v>10660</v>
      </c>
      <c r="F325" s="45">
        <v>4513</v>
      </c>
      <c r="G325" s="45">
        <v>14891</v>
      </c>
      <c r="H325" s="45">
        <v>3362</v>
      </c>
      <c r="I325" s="45">
        <v>8319</v>
      </c>
      <c r="J325" s="45">
        <v>3991</v>
      </c>
      <c r="K325" s="45">
        <v>10526</v>
      </c>
    </row>
    <row r="326" spans="1:11" s="49" customFormat="1" ht="15" customHeight="1" x14ac:dyDescent="0.25">
      <c r="A326" s="44" t="s">
        <v>2545</v>
      </c>
      <c r="B326" s="45">
        <v>37051</v>
      </c>
      <c r="C326" s="45">
        <v>1734</v>
      </c>
      <c r="D326" s="45">
        <v>5199</v>
      </c>
      <c r="E326" s="45">
        <v>5646</v>
      </c>
      <c r="F326" s="45">
        <v>2350</v>
      </c>
      <c r="G326" s="45">
        <v>8070</v>
      </c>
      <c r="H326" s="45">
        <v>1880</v>
      </c>
      <c r="I326" s="45">
        <v>4628</v>
      </c>
      <c r="J326" s="45">
        <v>2310</v>
      </c>
      <c r="K326" s="45">
        <v>5233</v>
      </c>
    </row>
    <row r="327" spans="1:11" s="49" customFormat="1" ht="45.95" customHeight="1" x14ac:dyDescent="0.25">
      <c r="A327" s="43" t="s">
        <v>2546</v>
      </c>
      <c r="B327" s="46" t="s">
        <v>28</v>
      </c>
      <c r="C327" s="46" t="s">
        <v>28</v>
      </c>
      <c r="D327" s="46" t="s">
        <v>28</v>
      </c>
      <c r="E327" s="46" t="s">
        <v>28</v>
      </c>
      <c r="F327" s="46" t="s">
        <v>28</v>
      </c>
      <c r="G327" s="46" t="s">
        <v>28</v>
      </c>
      <c r="H327" s="46" t="s">
        <v>28</v>
      </c>
      <c r="I327" s="46" t="s">
        <v>28</v>
      </c>
      <c r="J327" s="46" t="s">
        <v>28</v>
      </c>
      <c r="K327" s="46" t="s">
        <v>28</v>
      </c>
    </row>
    <row r="328" spans="1:11" s="49" customFormat="1" ht="15" customHeight="1" x14ac:dyDescent="0.25">
      <c r="A328" s="40" t="s">
        <v>2547</v>
      </c>
      <c r="B328" s="45">
        <v>60362</v>
      </c>
      <c r="C328" s="45">
        <v>3410</v>
      </c>
      <c r="D328" s="45">
        <v>8047</v>
      </c>
      <c r="E328" s="45">
        <v>10082</v>
      </c>
      <c r="F328" s="45">
        <v>5200</v>
      </c>
      <c r="G328" s="45">
        <v>12612</v>
      </c>
      <c r="H328" s="45">
        <v>3378</v>
      </c>
      <c r="I328" s="45">
        <v>6592</v>
      </c>
      <c r="J328" s="45">
        <v>3822</v>
      </c>
      <c r="K328" s="45">
        <v>7219</v>
      </c>
    </row>
    <row r="329" spans="1:11" s="49" customFormat="1" ht="15" customHeight="1" x14ac:dyDescent="0.25">
      <c r="A329" s="40" t="s">
        <v>2548</v>
      </c>
      <c r="B329" s="45">
        <v>45025</v>
      </c>
      <c r="C329" s="45">
        <v>1420</v>
      </c>
      <c r="D329" s="45">
        <v>4893</v>
      </c>
      <c r="E329" s="45">
        <v>6325</v>
      </c>
      <c r="F329" s="45">
        <v>2744</v>
      </c>
      <c r="G329" s="45">
        <v>9706</v>
      </c>
      <c r="H329" s="45">
        <v>2497</v>
      </c>
      <c r="I329" s="45">
        <v>6785</v>
      </c>
      <c r="J329" s="45">
        <v>2717</v>
      </c>
      <c r="K329" s="45">
        <v>7937</v>
      </c>
    </row>
    <row r="330" spans="1:11" s="49" customFormat="1" ht="15" customHeight="1" x14ac:dyDescent="0.25">
      <c r="A330" s="40" t="s">
        <v>2549</v>
      </c>
      <c r="B330" s="45">
        <v>15908</v>
      </c>
      <c r="C330" s="45">
        <v>495</v>
      </c>
      <c r="D330" s="45">
        <v>1849</v>
      </c>
      <c r="E330" s="45">
        <v>2633</v>
      </c>
      <c r="F330" s="45">
        <v>1180</v>
      </c>
      <c r="G330" s="45">
        <v>2980</v>
      </c>
      <c r="H330" s="45">
        <v>711</v>
      </c>
      <c r="I330" s="45">
        <v>1765</v>
      </c>
      <c r="J330" s="45">
        <v>1264</v>
      </c>
      <c r="K330" s="45">
        <v>3032</v>
      </c>
    </row>
    <row r="331" spans="1:11" s="49" customFormat="1" ht="15" customHeight="1" x14ac:dyDescent="0.25">
      <c r="A331" s="44" t="s">
        <v>2550</v>
      </c>
      <c r="B331" s="45">
        <v>32188</v>
      </c>
      <c r="C331" s="45">
        <v>1106</v>
      </c>
      <c r="D331" s="45">
        <v>3183</v>
      </c>
      <c r="E331" s="45">
        <v>4169</v>
      </c>
      <c r="F331" s="45">
        <v>2326</v>
      </c>
      <c r="G331" s="45">
        <v>7774</v>
      </c>
      <c r="H331" s="45">
        <v>2074</v>
      </c>
      <c r="I331" s="45">
        <v>4009</v>
      </c>
      <c r="J331" s="45">
        <v>2237</v>
      </c>
      <c r="K331" s="45">
        <v>5310</v>
      </c>
    </row>
    <row r="332" spans="1:11" s="49" customFormat="1" ht="15" customHeight="1" x14ac:dyDescent="0.25">
      <c r="A332" s="44" t="s">
        <v>2551</v>
      </c>
      <c r="B332" s="45">
        <v>22261</v>
      </c>
      <c r="C332" s="45">
        <v>1376</v>
      </c>
      <c r="D332" s="45">
        <v>2682</v>
      </c>
      <c r="E332" s="45">
        <v>2815</v>
      </c>
      <c r="F332" s="45">
        <v>1276</v>
      </c>
      <c r="G332" s="45">
        <v>4768</v>
      </c>
      <c r="H332" s="45">
        <v>922</v>
      </c>
      <c r="I332" s="45">
        <v>2394</v>
      </c>
      <c r="J332" s="45">
        <v>1510</v>
      </c>
      <c r="K332" s="45">
        <v>4519</v>
      </c>
    </row>
    <row r="333" spans="1:11" s="49" customFormat="1" ht="15" customHeight="1" x14ac:dyDescent="0.25">
      <c r="A333" s="44" t="s">
        <v>2552</v>
      </c>
      <c r="B333" s="45">
        <v>30263</v>
      </c>
      <c r="C333" s="45">
        <v>1454</v>
      </c>
      <c r="D333" s="45">
        <v>4384</v>
      </c>
      <c r="E333" s="45">
        <v>5033</v>
      </c>
      <c r="F333" s="45">
        <v>1617</v>
      </c>
      <c r="G333" s="45">
        <v>6195</v>
      </c>
      <c r="H333" s="45">
        <v>1217</v>
      </c>
      <c r="I333" s="45">
        <v>3324</v>
      </c>
      <c r="J333" s="45">
        <v>1650</v>
      </c>
      <c r="K333" s="45">
        <v>5388</v>
      </c>
    </row>
    <row r="334" spans="1:11" s="49" customFormat="1" ht="15" customHeight="1" x14ac:dyDescent="0.25">
      <c r="A334" s="40" t="s">
        <v>2553</v>
      </c>
      <c r="B334" s="45">
        <v>35871</v>
      </c>
      <c r="C334" s="45">
        <v>2302</v>
      </c>
      <c r="D334" s="45">
        <v>5430</v>
      </c>
      <c r="E334" s="45">
        <v>5927</v>
      </c>
      <c r="F334" s="45">
        <v>1990</v>
      </c>
      <c r="G334" s="45">
        <v>7130</v>
      </c>
      <c r="H334" s="45">
        <v>1429</v>
      </c>
      <c r="I334" s="45">
        <v>3364</v>
      </c>
      <c r="J334" s="45">
        <v>2027</v>
      </c>
      <c r="K334" s="45">
        <v>6273</v>
      </c>
    </row>
    <row r="335" spans="1:11" s="49" customFormat="1" ht="15" customHeight="1" x14ac:dyDescent="0.25">
      <c r="A335" s="40" t="s">
        <v>2554</v>
      </c>
      <c r="B335" s="45">
        <v>14534</v>
      </c>
      <c r="C335" s="45">
        <v>663</v>
      </c>
      <c r="D335" s="45">
        <v>1672</v>
      </c>
      <c r="E335" s="45">
        <v>2275</v>
      </c>
      <c r="F335" s="45">
        <v>902</v>
      </c>
      <c r="G335" s="45">
        <v>3452</v>
      </c>
      <c r="H335" s="45">
        <v>886</v>
      </c>
      <c r="I335" s="45">
        <v>1086</v>
      </c>
      <c r="J335" s="45">
        <v>1200</v>
      </c>
      <c r="K335" s="45">
        <v>2398</v>
      </c>
    </row>
    <row r="336" spans="1:11" s="49" customFormat="1" ht="15" customHeight="1" x14ac:dyDescent="0.25">
      <c r="A336" s="44" t="s">
        <v>2555</v>
      </c>
      <c r="B336" s="45">
        <v>6114</v>
      </c>
      <c r="C336" s="45">
        <v>303</v>
      </c>
      <c r="D336" s="45">
        <v>729</v>
      </c>
      <c r="E336" s="45">
        <v>1147</v>
      </c>
      <c r="F336" s="45">
        <v>375</v>
      </c>
      <c r="G336" s="45">
        <v>999</v>
      </c>
      <c r="H336" s="45" t="s">
        <v>2312</v>
      </c>
      <c r="I336" s="45">
        <v>666</v>
      </c>
      <c r="J336" s="45">
        <v>461</v>
      </c>
      <c r="K336" s="45">
        <v>1103</v>
      </c>
    </row>
    <row r="337" spans="1:11" s="49" customFormat="1" ht="15" customHeight="1" x14ac:dyDescent="0.25">
      <c r="A337" s="44" t="s">
        <v>2556</v>
      </c>
      <c r="B337" s="45">
        <v>4738</v>
      </c>
      <c r="C337" s="45" t="s">
        <v>2312</v>
      </c>
      <c r="D337" s="45">
        <v>448</v>
      </c>
      <c r="E337" s="45">
        <v>506</v>
      </c>
      <c r="F337" s="45">
        <v>406</v>
      </c>
      <c r="G337" s="45">
        <v>1315</v>
      </c>
      <c r="H337" s="45" t="s">
        <v>2312</v>
      </c>
      <c r="I337" s="45" t="s">
        <v>2312</v>
      </c>
      <c r="J337" s="45" t="s">
        <v>2312</v>
      </c>
      <c r="K337" s="45">
        <v>1332</v>
      </c>
    </row>
    <row r="338" spans="1:11" s="49" customFormat="1" ht="27.95" customHeight="1" x14ac:dyDescent="0.25">
      <c r="A338" s="44" t="s">
        <v>2557</v>
      </c>
      <c r="B338" s="45">
        <v>12068</v>
      </c>
      <c r="C338" s="45">
        <v>526</v>
      </c>
      <c r="D338" s="45">
        <v>1633</v>
      </c>
      <c r="E338" s="45">
        <v>1680</v>
      </c>
      <c r="F338" s="45">
        <v>768</v>
      </c>
      <c r="G338" s="45">
        <v>2714</v>
      </c>
      <c r="H338" s="45">
        <v>495</v>
      </c>
      <c r="I338" s="45">
        <v>1298</v>
      </c>
      <c r="J338" s="45">
        <v>807</v>
      </c>
      <c r="K338" s="45">
        <v>2146</v>
      </c>
    </row>
    <row r="339" spans="1:11" s="49" customFormat="1" ht="45.95" customHeight="1" x14ac:dyDescent="0.25">
      <c r="A339" s="43" t="s">
        <v>2558</v>
      </c>
      <c r="B339" s="46" t="s">
        <v>28</v>
      </c>
      <c r="C339" s="46" t="s">
        <v>28</v>
      </c>
      <c r="D339" s="46" t="s">
        <v>28</v>
      </c>
      <c r="E339" s="46" t="s">
        <v>28</v>
      </c>
      <c r="F339" s="46" t="s">
        <v>28</v>
      </c>
      <c r="G339" s="46" t="s">
        <v>28</v>
      </c>
      <c r="H339" s="46" t="s">
        <v>28</v>
      </c>
      <c r="I339" s="46" t="s">
        <v>28</v>
      </c>
      <c r="J339" s="46" t="s">
        <v>28</v>
      </c>
      <c r="K339" s="46" t="s">
        <v>28</v>
      </c>
    </row>
    <row r="340" spans="1:11" s="49" customFormat="1" ht="15" customHeight="1" x14ac:dyDescent="0.25">
      <c r="A340" s="40" t="s">
        <v>2489</v>
      </c>
      <c r="B340" s="45">
        <v>63167</v>
      </c>
      <c r="C340" s="45">
        <v>3315</v>
      </c>
      <c r="D340" s="45">
        <v>8975</v>
      </c>
      <c r="E340" s="45">
        <v>9790</v>
      </c>
      <c r="F340" s="45">
        <v>4336</v>
      </c>
      <c r="G340" s="45">
        <v>12357</v>
      </c>
      <c r="H340" s="45">
        <v>3581</v>
      </c>
      <c r="I340" s="45">
        <v>7371</v>
      </c>
      <c r="J340" s="45">
        <v>3738</v>
      </c>
      <c r="K340" s="45">
        <v>9704</v>
      </c>
    </row>
    <row r="341" spans="1:11" s="49" customFormat="1" ht="15" customHeight="1" x14ac:dyDescent="0.25">
      <c r="A341" s="40" t="s">
        <v>2490</v>
      </c>
      <c r="B341" s="45">
        <v>62516</v>
      </c>
      <c r="C341" s="45">
        <v>2931</v>
      </c>
      <c r="D341" s="45">
        <v>8520</v>
      </c>
      <c r="E341" s="45">
        <v>9321</v>
      </c>
      <c r="F341" s="45">
        <v>4121</v>
      </c>
      <c r="G341" s="45">
        <v>13458</v>
      </c>
      <c r="H341" s="45">
        <v>3675</v>
      </c>
      <c r="I341" s="45">
        <v>7315</v>
      </c>
      <c r="J341" s="45">
        <v>3479</v>
      </c>
      <c r="K341" s="45">
        <v>9697</v>
      </c>
    </row>
    <row r="342" spans="1:11" s="49" customFormat="1" ht="15" customHeight="1" x14ac:dyDescent="0.25">
      <c r="A342" s="40" t="s">
        <v>2559</v>
      </c>
      <c r="B342" s="45">
        <v>78594</v>
      </c>
      <c r="C342" s="45">
        <v>3987</v>
      </c>
      <c r="D342" s="45">
        <v>10272</v>
      </c>
      <c r="E342" s="45">
        <v>11570</v>
      </c>
      <c r="F342" s="45">
        <v>5693</v>
      </c>
      <c r="G342" s="45">
        <v>16417</v>
      </c>
      <c r="H342" s="45">
        <v>4478</v>
      </c>
      <c r="I342" s="45">
        <v>9645</v>
      </c>
      <c r="J342" s="45">
        <v>4497</v>
      </c>
      <c r="K342" s="45">
        <v>12034</v>
      </c>
    </row>
    <row r="343" spans="1:11" ht="15" customHeight="1" thickBot="1" x14ac:dyDescent="0.3">
      <c r="A343" s="42"/>
      <c r="B343" s="50"/>
      <c r="C343" s="50"/>
      <c r="D343" s="50"/>
      <c r="E343" s="50"/>
      <c r="F343" s="50"/>
      <c r="G343" s="50"/>
      <c r="H343" s="50"/>
      <c r="I343" s="50"/>
      <c r="J343" s="50"/>
      <c r="K343" s="50"/>
    </row>
    <row r="344" spans="1:11" ht="116.25" customHeight="1" x14ac:dyDescent="0.25">
      <c r="A344" s="132" t="s">
        <v>2560</v>
      </c>
      <c r="B344" s="132"/>
      <c r="C344" s="132"/>
      <c r="D344" s="132"/>
      <c r="E344" s="132"/>
      <c r="F344" s="132"/>
      <c r="G344" s="132"/>
      <c r="H344" s="133"/>
      <c r="I344" s="133"/>
      <c r="J344" s="133"/>
      <c r="K344" s="133"/>
    </row>
  </sheetData>
  <mergeCells count="7">
    <mergeCell ref="A344:K344"/>
    <mergeCell ref="A2:K2"/>
    <mergeCell ref="B3:K3"/>
    <mergeCell ref="C4:D4"/>
    <mergeCell ref="E4:F4"/>
    <mergeCell ref="G4:I4"/>
    <mergeCell ref="J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53"/>
  <sheetViews>
    <sheetView workbookViewId="0"/>
  </sheetViews>
  <sheetFormatPr defaultRowHeight="15" x14ac:dyDescent="0.25"/>
  <sheetData>
    <row r="1" spans="1:13" x14ac:dyDescent="0.25">
      <c r="A1" s="88" t="s">
        <v>2287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3" x14ac:dyDescent="0.25">
      <c r="A2" s="134" t="s">
        <v>2568</v>
      </c>
      <c r="B2" s="135"/>
      <c r="C2" s="135"/>
      <c r="D2" s="135"/>
      <c r="E2" s="135"/>
      <c r="F2" s="135"/>
      <c r="G2" s="135"/>
      <c r="H2" s="135"/>
      <c r="I2" s="144"/>
      <c r="J2" s="144"/>
      <c r="K2" s="144"/>
      <c r="L2" s="144"/>
      <c r="M2" s="144"/>
    </row>
    <row r="3" spans="1:13" ht="16.5" thickBot="1" x14ac:dyDescent="0.3">
      <c r="A3" s="54"/>
      <c r="B3" s="136" t="s">
        <v>2569</v>
      </c>
      <c r="C3" s="136"/>
      <c r="D3" s="136"/>
      <c r="E3" s="136"/>
      <c r="F3" s="136"/>
      <c r="G3" s="145"/>
      <c r="H3" s="136" t="s">
        <v>2289</v>
      </c>
      <c r="I3" s="136"/>
      <c r="J3" s="136"/>
      <c r="K3" s="136"/>
      <c r="L3" s="136"/>
      <c r="M3" s="145"/>
    </row>
    <row r="4" spans="1:13" ht="39.75" thickBot="1" x14ac:dyDescent="0.3">
      <c r="A4" s="55"/>
      <c r="B4" s="56" t="s">
        <v>2294</v>
      </c>
      <c r="C4" s="56" t="s">
        <v>2570</v>
      </c>
      <c r="D4" s="56" t="s">
        <v>2571</v>
      </c>
      <c r="E4" s="56" t="s">
        <v>2572</v>
      </c>
      <c r="F4" s="56" t="s">
        <v>2573</v>
      </c>
      <c r="G4" s="56" t="s">
        <v>2574</v>
      </c>
      <c r="H4" s="56" t="s">
        <v>2294</v>
      </c>
      <c r="I4" s="56" t="s">
        <v>2570</v>
      </c>
      <c r="J4" s="56" t="s">
        <v>2571</v>
      </c>
      <c r="K4" s="56" t="s">
        <v>2572</v>
      </c>
      <c r="L4" s="56" t="s">
        <v>2573</v>
      </c>
      <c r="M4" s="56" t="s">
        <v>2574</v>
      </c>
    </row>
    <row r="5" spans="1:13" ht="27" thickTop="1" x14ac:dyDescent="0.25">
      <c r="A5" s="57" t="s">
        <v>2302</v>
      </c>
      <c r="B5" s="58">
        <v>5557</v>
      </c>
      <c r="C5" s="58">
        <v>3836</v>
      </c>
      <c r="D5" s="58">
        <v>1158</v>
      </c>
      <c r="E5" s="58">
        <v>374</v>
      </c>
      <c r="F5" s="58">
        <v>177</v>
      </c>
      <c r="G5" s="58">
        <v>13</v>
      </c>
      <c r="H5" s="58">
        <v>87093</v>
      </c>
      <c r="I5" s="58">
        <v>39809</v>
      </c>
      <c r="J5" s="58">
        <v>20206</v>
      </c>
      <c r="K5" s="58">
        <v>8140</v>
      </c>
      <c r="L5" s="58">
        <v>13535</v>
      </c>
      <c r="M5" s="58">
        <v>5404</v>
      </c>
    </row>
    <row r="6" spans="1:13" ht="51.75" x14ac:dyDescent="0.25">
      <c r="A6" s="38" t="s">
        <v>2303</v>
      </c>
      <c r="B6" s="59" t="s">
        <v>28</v>
      </c>
      <c r="C6" s="59" t="s">
        <v>28</v>
      </c>
      <c r="D6" s="59" t="s">
        <v>28</v>
      </c>
      <c r="E6" s="59" t="s">
        <v>28</v>
      </c>
      <c r="F6" s="59" t="s">
        <v>28</v>
      </c>
      <c r="G6" s="59" t="s">
        <v>28</v>
      </c>
      <c r="H6" s="59" t="s">
        <v>28</v>
      </c>
      <c r="I6" s="59" t="s">
        <v>28</v>
      </c>
      <c r="J6" s="59" t="s">
        <v>28</v>
      </c>
      <c r="K6" s="59" t="s">
        <v>28</v>
      </c>
      <c r="L6" s="59" t="s">
        <v>28</v>
      </c>
      <c r="M6" s="59" t="s">
        <v>28</v>
      </c>
    </row>
    <row r="7" spans="1:13" ht="26.25" x14ac:dyDescent="0.25">
      <c r="A7" s="40" t="s">
        <v>2304</v>
      </c>
      <c r="B7" s="60">
        <v>2777</v>
      </c>
      <c r="C7" s="60">
        <v>2195</v>
      </c>
      <c r="D7" s="60">
        <v>423</v>
      </c>
      <c r="E7" s="60">
        <v>137</v>
      </c>
      <c r="F7" s="60" t="s">
        <v>2312</v>
      </c>
      <c r="G7" s="60" t="s">
        <v>2402</v>
      </c>
      <c r="H7" s="60">
        <v>8041</v>
      </c>
      <c r="I7" s="60">
        <v>6244</v>
      </c>
      <c r="J7" s="60">
        <v>1315</v>
      </c>
      <c r="K7" s="60">
        <v>416</v>
      </c>
      <c r="L7" s="60" t="s">
        <v>2312</v>
      </c>
      <c r="M7" s="60" t="s">
        <v>2402</v>
      </c>
    </row>
    <row r="8" spans="1:13" ht="26.25" x14ac:dyDescent="0.25">
      <c r="A8" s="40" t="s">
        <v>2305</v>
      </c>
      <c r="B8" s="60">
        <v>1229</v>
      </c>
      <c r="C8" s="60">
        <v>836</v>
      </c>
      <c r="D8" s="60">
        <v>301</v>
      </c>
      <c r="E8" s="60">
        <v>74</v>
      </c>
      <c r="F8" s="60" t="s">
        <v>2312</v>
      </c>
      <c r="G8" s="60" t="s">
        <v>2402</v>
      </c>
      <c r="H8" s="60">
        <v>8900</v>
      </c>
      <c r="I8" s="60">
        <v>6044</v>
      </c>
      <c r="J8" s="60">
        <v>2181</v>
      </c>
      <c r="K8" s="60">
        <v>536</v>
      </c>
      <c r="L8" s="60" t="s">
        <v>2312</v>
      </c>
      <c r="M8" s="60" t="s">
        <v>2402</v>
      </c>
    </row>
    <row r="9" spans="1:13" ht="26.25" x14ac:dyDescent="0.25">
      <c r="A9" s="40" t="s">
        <v>2306</v>
      </c>
      <c r="B9" s="60">
        <v>884</v>
      </c>
      <c r="C9" s="60">
        <v>519</v>
      </c>
      <c r="D9" s="60">
        <v>254</v>
      </c>
      <c r="E9" s="60">
        <v>78</v>
      </c>
      <c r="F9" s="60">
        <v>32</v>
      </c>
      <c r="G9" s="60" t="s">
        <v>2402</v>
      </c>
      <c r="H9" s="60">
        <v>14105</v>
      </c>
      <c r="I9" s="60">
        <v>8129</v>
      </c>
      <c r="J9" s="60">
        <v>4162</v>
      </c>
      <c r="K9" s="60">
        <v>1234</v>
      </c>
      <c r="L9" s="60">
        <v>581</v>
      </c>
      <c r="M9" s="60" t="s">
        <v>2402</v>
      </c>
    </row>
    <row r="10" spans="1:13" ht="26.25" x14ac:dyDescent="0.25">
      <c r="A10" s="40" t="s">
        <v>2307</v>
      </c>
      <c r="B10" s="60">
        <v>332</v>
      </c>
      <c r="C10" s="60">
        <v>161</v>
      </c>
      <c r="D10" s="60">
        <v>100</v>
      </c>
      <c r="E10" s="60">
        <v>46</v>
      </c>
      <c r="F10" s="60">
        <v>24</v>
      </c>
      <c r="G10" s="60" t="s">
        <v>2312</v>
      </c>
      <c r="H10" s="60">
        <v>11917</v>
      </c>
      <c r="I10" s="60">
        <v>5761</v>
      </c>
      <c r="J10" s="60">
        <v>3584</v>
      </c>
      <c r="K10" s="60">
        <v>1655</v>
      </c>
      <c r="L10" s="60">
        <v>906</v>
      </c>
      <c r="M10" s="60" t="s">
        <v>2312</v>
      </c>
    </row>
    <row r="11" spans="1:13" ht="26.25" x14ac:dyDescent="0.25">
      <c r="A11" s="40" t="s">
        <v>2308</v>
      </c>
      <c r="B11" s="60">
        <v>199</v>
      </c>
      <c r="C11" s="60">
        <v>81</v>
      </c>
      <c r="D11" s="60">
        <v>54</v>
      </c>
      <c r="E11" s="60">
        <v>24</v>
      </c>
      <c r="F11" s="60">
        <v>39</v>
      </c>
      <c r="G11" s="60" t="s">
        <v>2312</v>
      </c>
      <c r="H11" s="60">
        <v>13918</v>
      </c>
      <c r="I11" s="60">
        <v>5643</v>
      </c>
      <c r="J11" s="60">
        <v>3882</v>
      </c>
      <c r="K11" s="60">
        <v>1624</v>
      </c>
      <c r="L11" s="60">
        <v>2708</v>
      </c>
      <c r="M11" s="60" t="s">
        <v>2312</v>
      </c>
    </row>
    <row r="12" spans="1:13" ht="39" x14ac:dyDescent="0.25">
      <c r="A12" s="40" t="s">
        <v>2309</v>
      </c>
      <c r="B12" s="60">
        <v>90</v>
      </c>
      <c r="C12" s="60">
        <v>32</v>
      </c>
      <c r="D12" s="60">
        <v>18</v>
      </c>
      <c r="E12" s="60">
        <v>12</v>
      </c>
      <c r="F12" s="60">
        <v>26</v>
      </c>
      <c r="G12" s="60">
        <v>3</v>
      </c>
      <c r="H12" s="60">
        <v>12415</v>
      </c>
      <c r="I12" s="60">
        <v>4355</v>
      </c>
      <c r="J12" s="60">
        <v>2538</v>
      </c>
      <c r="K12" s="60">
        <v>1537</v>
      </c>
      <c r="L12" s="60">
        <v>3552</v>
      </c>
      <c r="M12" s="60">
        <v>433</v>
      </c>
    </row>
    <row r="13" spans="1:13" ht="39" x14ac:dyDescent="0.25">
      <c r="A13" s="40" t="s">
        <v>2310</v>
      </c>
      <c r="B13" s="60">
        <v>38</v>
      </c>
      <c r="C13" s="60">
        <v>10</v>
      </c>
      <c r="D13" s="60">
        <v>7</v>
      </c>
      <c r="E13" s="60">
        <v>3</v>
      </c>
      <c r="F13" s="60">
        <v>12</v>
      </c>
      <c r="G13" s="60">
        <v>6</v>
      </c>
      <c r="H13" s="60">
        <v>10724</v>
      </c>
      <c r="I13" s="60">
        <v>2630</v>
      </c>
      <c r="J13" s="60">
        <v>1915</v>
      </c>
      <c r="K13" s="60">
        <v>918</v>
      </c>
      <c r="L13" s="60">
        <v>3466</v>
      </c>
      <c r="M13" s="60">
        <v>1795</v>
      </c>
    </row>
    <row r="14" spans="1:13" ht="26.25" x14ac:dyDescent="0.25">
      <c r="A14" s="40" t="s">
        <v>2311</v>
      </c>
      <c r="B14" s="60">
        <v>8</v>
      </c>
      <c r="C14" s="60">
        <v>1</v>
      </c>
      <c r="D14" s="60">
        <v>1</v>
      </c>
      <c r="E14" s="60" t="s">
        <v>2312</v>
      </c>
      <c r="F14" s="60">
        <v>2</v>
      </c>
      <c r="G14" s="60">
        <v>3</v>
      </c>
      <c r="H14" s="60">
        <v>7074</v>
      </c>
      <c r="I14" s="60">
        <v>1004</v>
      </c>
      <c r="J14" s="60">
        <v>630</v>
      </c>
      <c r="K14" s="60" t="s">
        <v>2312</v>
      </c>
      <c r="L14" s="60">
        <v>2116</v>
      </c>
      <c r="M14" s="60">
        <v>3104</v>
      </c>
    </row>
    <row r="15" spans="1:13" ht="39" x14ac:dyDescent="0.25">
      <c r="A15" s="38" t="s">
        <v>2313</v>
      </c>
      <c r="B15" s="59" t="s">
        <v>28</v>
      </c>
      <c r="C15" s="59" t="s">
        <v>28</v>
      </c>
      <c r="D15" s="59" t="s">
        <v>28</v>
      </c>
      <c r="E15" s="59" t="s">
        <v>28</v>
      </c>
      <c r="F15" s="59" t="s">
        <v>28</v>
      </c>
      <c r="G15" s="59" t="s">
        <v>28</v>
      </c>
      <c r="H15" s="59" t="s">
        <v>28</v>
      </c>
      <c r="I15" s="59" t="s">
        <v>28</v>
      </c>
      <c r="J15" s="59" t="s">
        <v>28</v>
      </c>
      <c r="K15" s="59" t="s">
        <v>28</v>
      </c>
      <c r="L15" s="59" t="s">
        <v>28</v>
      </c>
      <c r="M15" s="59" t="s">
        <v>28</v>
      </c>
    </row>
    <row r="16" spans="1:13" x14ac:dyDescent="0.25">
      <c r="A16" s="40" t="s">
        <v>2314</v>
      </c>
      <c r="B16" s="60">
        <v>389</v>
      </c>
      <c r="C16" s="60">
        <v>266</v>
      </c>
      <c r="D16" s="60">
        <v>66</v>
      </c>
      <c r="E16" s="60">
        <v>36</v>
      </c>
      <c r="F16" s="60">
        <v>19</v>
      </c>
      <c r="G16" s="60" t="s">
        <v>2312</v>
      </c>
      <c r="H16" s="60">
        <v>12239</v>
      </c>
      <c r="I16" s="60">
        <v>4419</v>
      </c>
      <c r="J16" s="60">
        <v>3765</v>
      </c>
      <c r="K16" s="60">
        <v>1967</v>
      </c>
      <c r="L16" s="60">
        <v>1987</v>
      </c>
      <c r="M16" s="60" t="s">
        <v>2312</v>
      </c>
    </row>
    <row r="17" spans="1:13" ht="26.25" x14ac:dyDescent="0.25">
      <c r="A17" s="40" t="s">
        <v>2315</v>
      </c>
      <c r="B17" s="60">
        <v>177</v>
      </c>
      <c r="C17" s="60">
        <v>140</v>
      </c>
      <c r="D17" s="60">
        <v>23</v>
      </c>
      <c r="E17" s="60" t="s">
        <v>2312</v>
      </c>
      <c r="F17" s="60" t="s">
        <v>2402</v>
      </c>
      <c r="G17" s="60" t="s">
        <v>2402</v>
      </c>
      <c r="H17" s="60">
        <v>1252</v>
      </c>
      <c r="I17" s="60">
        <v>949</v>
      </c>
      <c r="J17" s="60">
        <v>223</v>
      </c>
      <c r="K17" s="60" t="s">
        <v>2312</v>
      </c>
      <c r="L17" s="60" t="s">
        <v>2402</v>
      </c>
      <c r="M17" s="60" t="s">
        <v>2402</v>
      </c>
    </row>
    <row r="18" spans="1:13" ht="26.25" x14ac:dyDescent="0.25">
      <c r="A18" s="40" t="s">
        <v>2316</v>
      </c>
      <c r="B18" s="60">
        <v>380</v>
      </c>
      <c r="C18" s="60">
        <v>284</v>
      </c>
      <c r="D18" s="60">
        <v>60</v>
      </c>
      <c r="E18" s="60">
        <v>29</v>
      </c>
      <c r="F18" s="60" t="s">
        <v>2312</v>
      </c>
      <c r="G18" s="60" t="s">
        <v>2402</v>
      </c>
      <c r="H18" s="60">
        <v>1819</v>
      </c>
      <c r="I18" s="60">
        <v>1205</v>
      </c>
      <c r="J18" s="60">
        <v>388</v>
      </c>
      <c r="K18" s="60">
        <v>162</v>
      </c>
      <c r="L18" s="60" t="s">
        <v>2312</v>
      </c>
      <c r="M18" s="60" t="s">
        <v>2402</v>
      </c>
    </row>
    <row r="19" spans="1:13" ht="26.25" x14ac:dyDescent="0.25">
      <c r="A19" s="40" t="s">
        <v>2317</v>
      </c>
      <c r="B19" s="60">
        <v>157</v>
      </c>
      <c r="C19" s="60">
        <v>92</v>
      </c>
      <c r="D19" s="60">
        <v>48</v>
      </c>
      <c r="E19" s="60">
        <v>10</v>
      </c>
      <c r="F19" s="60">
        <v>7</v>
      </c>
      <c r="G19" s="60">
        <v>1</v>
      </c>
      <c r="H19" s="60">
        <v>4155</v>
      </c>
      <c r="I19" s="60">
        <v>740</v>
      </c>
      <c r="J19" s="60">
        <v>662</v>
      </c>
      <c r="K19" s="60">
        <v>400</v>
      </c>
      <c r="L19" s="60">
        <v>1780</v>
      </c>
      <c r="M19" s="60">
        <v>574</v>
      </c>
    </row>
    <row r="20" spans="1:13" ht="26.25" x14ac:dyDescent="0.25">
      <c r="A20" s="42" t="s">
        <v>2318</v>
      </c>
      <c r="B20" s="60">
        <v>10</v>
      </c>
      <c r="C20" s="60" t="s">
        <v>2312</v>
      </c>
      <c r="D20" s="60" t="s">
        <v>2312</v>
      </c>
      <c r="E20" s="60">
        <v>1</v>
      </c>
      <c r="F20" s="60">
        <v>4</v>
      </c>
      <c r="G20" s="60">
        <v>1</v>
      </c>
      <c r="H20" s="60">
        <v>2374</v>
      </c>
      <c r="I20" s="60" t="s">
        <v>2312</v>
      </c>
      <c r="J20" s="60" t="s">
        <v>2312</v>
      </c>
      <c r="K20" s="60">
        <v>104</v>
      </c>
      <c r="L20" s="60">
        <v>1486</v>
      </c>
      <c r="M20" s="60">
        <v>534</v>
      </c>
    </row>
    <row r="21" spans="1:13" ht="26.25" x14ac:dyDescent="0.25">
      <c r="A21" s="42" t="s">
        <v>2319</v>
      </c>
      <c r="B21" s="60">
        <v>147</v>
      </c>
      <c r="C21" s="60">
        <v>89</v>
      </c>
      <c r="D21" s="60">
        <v>46</v>
      </c>
      <c r="E21" s="60" t="s">
        <v>2312</v>
      </c>
      <c r="F21" s="60">
        <v>2</v>
      </c>
      <c r="G21" s="60" t="s">
        <v>2312</v>
      </c>
      <c r="H21" s="60">
        <v>1781</v>
      </c>
      <c r="I21" s="60">
        <v>627</v>
      </c>
      <c r="J21" s="60">
        <v>523</v>
      </c>
      <c r="K21" s="60" t="s">
        <v>2312</v>
      </c>
      <c r="L21" s="60">
        <v>294</v>
      </c>
      <c r="M21" s="60" t="s">
        <v>2312</v>
      </c>
    </row>
    <row r="22" spans="1:13" x14ac:dyDescent="0.25">
      <c r="A22" s="40" t="s">
        <v>2320</v>
      </c>
      <c r="B22" s="60">
        <v>158</v>
      </c>
      <c r="C22" s="60">
        <v>49</v>
      </c>
      <c r="D22" s="60">
        <v>53</v>
      </c>
      <c r="E22" s="60">
        <v>23</v>
      </c>
      <c r="F22" s="60">
        <v>30</v>
      </c>
      <c r="G22" s="60">
        <v>3</v>
      </c>
      <c r="H22" s="60">
        <v>5826</v>
      </c>
      <c r="I22" s="60">
        <v>697</v>
      </c>
      <c r="J22" s="60">
        <v>912</v>
      </c>
      <c r="K22" s="60">
        <v>817</v>
      </c>
      <c r="L22" s="60">
        <v>2194</v>
      </c>
      <c r="M22" s="60">
        <v>1206</v>
      </c>
    </row>
    <row r="23" spans="1:13" ht="26.25" x14ac:dyDescent="0.25">
      <c r="A23" s="40" t="s">
        <v>2321</v>
      </c>
      <c r="B23" s="60">
        <v>602</v>
      </c>
      <c r="C23" s="60">
        <v>441</v>
      </c>
      <c r="D23" s="60">
        <v>116</v>
      </c>
      <c r="E23" s="60">
        <v>32</v>
      </c>
      <c r="F23" s="60" t="s">
        <v>2312</v>
      </c>
      <c r="G23" s="60" t="s">
        <v>2312</v>
      </c>
      <c r="H23" s="60">
        <v>11330</v>
      </c>
      <c r="I23" s="60">
        <v>8616</v>
      </c>
      <c r="J23" s="60">
        <v>1986</v>
      </c>
      <c r="K23" s="60">
        <v>349</v>
      </c>
      <c r="L23" s="60" t="s">
        <v>2312</v>
      </c>
      <c r="M23" s="60" t="s">
        <v>2312</v>
      </c>
    </row>
    <row r="24" spans="1:13" ht="51.75" x14ac:dyDescent="0.25">
      <c r="A24" s="42" t="s">
        <v>2322</v>
      </c>
      <c r="B24" s="60">
        <v>438</v>
      </c>
      <c r="C24" s="60">
        <v>303</v>
      </c>
      <c r="D24" s="60">
        <v>91</v>
      </c>
      <c r="E24" s="60">
        <v>32</v>
      </c>
      <c r="F24" s="60" t="s">
        <v>2312</v>
      </c>
      <c r="G24" s="60" t="s">
        <v>2312</v>
      </c>
      <c r="H24" s="60">
        <v>5439</v>
      </c>
      <c r="I24" s="60">
        <v>3951</v>
      </c>
      <c r="J24" s="60">
        <v>991</v>
      </c>
      <c r="K24" s="60">
        <v>279</v>
      </c>
      <c r="L24" s="60" t="s">
        <v>2312</v>
      </c>
      <c r="M24" s="60" t="s">
        <v>2312</v>
      </c>
    </row>
    <row r="25" spans="1:13" ht="51.75" x14ac:dyDescent="0.25">
      <c r="A25" s="42" t="s">
        <v>2323</v>
      </c>
      <c r="B25" s="60">
        <v>164</v>
      </c>
      <c r="C25" s="60">
        <v>138</v>
      </c>
      <c r="D25" s="60">
        <v>26</v>
      </c>
      <c r="E25" s="60" t="s">
        <v>2312</v>
      </c>
      <c r="F25" s="60" t="s">
        <v>2312</v>
      </c>
      <c r="G25" s="60" t="s">
        <v>2312</v>
      </c>
      <c r="H25" s="60">
        <v>5890</v>
      </c>
      <c r="I25" s="60">
        <v>4665</v>
      </c>
      <c r="J25" s="60">
        <v>995</v>
      </c>
      <c r="K25" s="60" t="s">
        <v>2312</v>
      </c>
      <c r="L25" s="60" t="s">
        <v>2312</v>
      </c>
      <c r="M25" s="60" t="s">
        <v>2312</v>
      </c>
    </row>
    <row r="26" spans="1:13" x14ac:dyDescent="0.25">
      <c r="A26" s="40" t="s">
        <v>2324</v>
      </c>
      <c r="B26" s="60">
        <v>1012</v>
      </c>
      <c r="C26" s="60">
        <v>554</v>
      </c>
      <c r="D26" s="60">
        <v>277</v>
      </c>
      <c r="E26" s="60">
        <v>118</v>
      </c>
      <c r="F26" s="60">
        <v>56</v>
      </c>
      <c r="G26" s="60">
        <v>7</v>
      </c>
      <c r="H26" s="60">
        <v>15952</v>
      </c>
      <c r="I26" s="60">
        <v>3644</v>
      </c>
      <c r="J26" s="60">
        <v>3577</v>
      </c>
      <c r="K26" s="60">
        <v>1877</v>
      </c>
      <c r="L26" s="60">
        <v>3949</v>
      </c>
      <c r="M26" s="60">
        <v>2904</v>
      </c>
    </row>
    <row r="27" spans="1:13" ht="26.25" x14ac:dyDescent="0.25">
      <c r="A27" s="40" t="s">
        <v>2325</v>
      </c>
      <c r="B27" s="60">
        <v>352</v>
      </c>
      <c r="C27" s="60">
        <v>223</v>
      </c>
      <c r="D27" s="60">
        <v>87</v>
      </c>
      <c r="E27" s="60">
        <v>24</v>
      </c>
      <c r="F27" s="60">
        <v>18</v>
      </c>
      <c r="G27" s="60" t="s">
        <v>2312</v>
      </c>
      <c r="H27" s="60">
        <v>5559</v>
      </c>
      <c r="I27" s="60">
        <v>2097</v>
      </c>
      <c r="J27" s="60">
        <v>1209</v>
      </c>
      <c r="K27" s="60">
        <v>594</v>
      </c>
      <c r="L27" s="60">
        <v>1605</v>
      </c>
      <c r="M27" s="60" t="s">
        <v>2312</v>
      </c>
    </row>
    <row r="28" spans="1:13" ht="39" x14ac:dyDescent="0.25">
      <c r="A28" s="40" t="s">
        <v>2326</v>
      </c>
      <c r="B28" s="60">
        <v>84</v>
      </c>
      <c r="C28" s="60">
        <v>59</v>
      </c>
      <c r="D28" s="60">
        <v>17</v>
      </c>
      <c r="E28" s="60" t="s">
        <v>2312</v>
      </c>
      <c r="F28" s="60" t="s">
        <v>2312</v>
      </c>
      <c r="G28" s="60" t="s">
        <v>2312</v>
      </c>
      <c r="H28" s="60">
        <v>1440</v>
      </c>
      <c r="I28" s="60">
        <v>509</v>
      </c>
      <c r="J28" s="60">
        <v>293</v>
      </c>
      <c r="K28" s="60" t="s">
        <v>2312</v>
      </c>
      <c r="L28" s="60" t="s">
        <v>2312</v>
      </c>
      <c r="M28" s="60" t="s">
        <v>2312</v>
      </c>
    </row>
    <row r="29" spans="1:13" ht="26.25" x14ac:dyDescent="0.25">
      <c r="A29" s="40" t="s">
        <v>2327</v>
      </c>
      <c r="B29" s="60">
        <v>412</v>
      </c>
      <c r="C29" s="60">
        <v>261</v>
      </c>
      <c r="D29" s="60">
        <v>125</v>
      </c>
      <c r="E29" s="60">
        <v>21</v>
      </c>
      <c r="F29" s="60" t="s">
        <v>2312</v>
      </c>
      <c r="G29" s="60" t="s">
        <v>2402</v>
      </c>
      <c r="H29" s="60">
        <v>4557</v>
      </c>
      <c r="I29" s="60">
        <v>1916</v>
      </c>
      <c r="J29" s="60">
        <v>2030</v>
      </c>
      <c r="K29" s="60">
        <v>426</v>
      </c>
      <c r="L29" s="60" t="s">
        <v>2312</v>
      </c>
      <c r="M29" s="60" t="s">
        <v>2402</v>
      </c>
    </row>
    <row r="30" spans="1:13" x14ac:dyDescent="0.25">
      <c r="A30" s="40" t="s">
        <v>2328</v>
      </c>
      <c r="B30" s="60">
        <v>619</v>
      </c>
      <c r="C30" s="60">
        <v>495</v>
      </c>
      <c r="D30" s="60">
        <v>94</v>
      </c>
      <c r="E30" s="60">
        <v>24</v>
      </c>
      <c r="F30" s="60" t="s">
        <v>2312</v>
      </c>
      <c r="G30" s="60" t="s">
        <v>2312</v>
      </c>
      <c r="H30" s="60">
        <v>4630</v>
      </c>
      <c r="I30" s="60">
        <v>2996</v>
      </c>
      <c r="J30" s="60">
        <v>1157</v>
      </c>
      <c r="K30" s="60">
        <v>236</v>
      </c>
      <c r="L30" s="60" t="s">
        <v>2312</v>
      </c>
      <c r="M30" s="60" t="s">
        <v>2312</v>
      </c>
    </row>
    <row r="31" spans="1:13" ht="39" x14ac:dyDescent="0.25">
      <c r="A31" s="40" t="s">
        <v>2329</v>
      </c>
      <c r="B31" s="60">
        <v>796</v>
      </c>
      <c r="C31" s="60">
        <v>661</v>
      </c>
      <c r="D31" s="60">
        <v>114</v>
      </c>
      <c r="E31" s="60">
        <v>15</v>
      </c>
      <c r="F31" s="60" t="s">
        <v>2312</v>
      </c>
      <c r="G31" s="60" t="s">
        <v>2402</v>
      </c>
      <c r="H31" s="60">
        <v>13077</v>
      </c>
      <c r="I31" s="60">
        <v>9153</v>
      </c>
      <c r="J31" s="60">
        <v>2925</v>
      </c>
      <c r="K31" s="60">
        <v>683</v>
      </c>
      <c r="L31" s="60" t="s">
        <v>2312</v>
      </c>
      <c r="M31" s="60" t="s">
        <v>2402</v>
      </c>
    </row>
    <row r="32" spans="1:13" x14ac:dyDescent="0.25">
      <c r="A32" s="40" t="s">
        <v>2330</v>
      </c>
      <c r="B32" s="60">
        <v>125</v>
      </c>
      <c r="C32" s="60">
        <v>94</v>
      </c>
      <c r="D32" s="60">
        <v>24</v>
      </c>
      <c r="E32" s="60" t="s">
        <v>2312</v>
      </c>
      <c r="F32" s="60" t="s">
        <v>2312</v>
      </c>
      <c r="G32" s="60" t="s">
        <v>2312</v>
      </c>
      <c r="H32" s="60">
        <v>2002</v>
      </c>
      <c r="I32" s="60">
        <v>1086</v>
      </c>
      <c r="J32" s="60">
        <v>407</v>
      </c>
      <c r="K32" s="60" t="s">
        <v>2312</v>
      </c>
      <c r="L32" s="60" t="s">
        <v>2312</v>
      </c>
      <c r="M32" s="60" t="s">
        <v>2312</v>
      </c>
    </row>
    <row r="33" spans="1:13" x14ac:dyDescent="0.25">
      <c r="A33" s="40" t="s">
        <v>2331</v>
      </c>
      <c r="B33" s="60">
        <v>296</v>
      </c>
      <c r="C33" s="60">
        <v>217</v>
      </c>
      <c r="D33" s="60">
        <v>50</v>
      </c>
      <c r="E33" s="60" t="s">
        <v>2312</v>
      </c>
      <c r="F33" s="60">
        <v>8</v>
      </c>
      <c r="G33" s="60" t="s">
        <v>2312</v>
      </c>
      <c r="H33" s="60">
        <v>3256</v>
      </c>
      <c r="I33" s="60">
        <v>1782</v>
      </c>
      <c r="J33" s="60">
        <v>672</v>
      </c>
      <c r="K33" s="60" t="s">
        <v>2312</v>
      </c>
      <c r="L33" s="60">
        <v>544</v>
      </c>
      <c r="M33" s="60" t="s">
        <v>2312</v>
      </c>
    </row>
    <row r="34" spans="1:13" ht="39" x14ac:dyDescent="0.25">
      <c r="A34" s="43" t="s">
        <v>2332</v>
      </c>
      <c r="B34" s="59" t="s">
        <v>28</v>
      </c>
      <c r="C34" s="59" t="s">
        <v>28</v>
      </c>
      <c r="D34" s="59" t="s">
        <v>28</v>
      </c>
      <c r="E34" s="59" t="s">
        <v>28</v>
      </c>
      <c r="F34" s="59" t="s">
        <v>28</v>
      </c>
      <c r="G34" s="59" t="s">
        <v>28</v>
      </c>
      <c r="H34" s="59" t="s">
        <v>28</v>
      </c>
      <c r="I34" s="59" t="s">
        <v>28</v>
      </c>
      <c r="J34" s="59" t="s">
        <v>28</v>
      </c>
      <c r="K34" s="59" t="s">
        <v>28</v>
      </c>
      <c r="L34" s="59" t="s">
        <v>28</v>
      </c>
      <c r="M34" s="59" t="s">
        <v>28</v>
      </c>
    </row>
    <row r="35" spans="1:13" ht="26.25" x14ac:dyDescent="0.25">
      <c r="A35" s="40" t="s">
        <v>2333</v>
      </c>
      <c r="B35" s="60">
        <v>362</v>
      </c>
      <c r="C35" s="60">
        <v>77</v>
      </c>
      <c r="D35" s="60">
        <v>126</v>
      </c>
      <c r="E35" s="60">
        <v>106</v>
      </c>
      <c r="F35" s="60">
        <v>51</v>
      </c>
      <c r="G35" s="60" t="s">
        <v>2312</v>
      </c>
      <c r="H35" s="60">
        <v>3983</v>
      </c>
      <c r="I35" s="60">
        <v>530</v>
      </c>
      <c r="J35" s="60">
        <v>856</v>
      </c>
      <c r="K35" s="60">
        <v>902</v>
      </c>
      <c r="L35" s="60">
        <v>1552</v>
      </c>
      <c r="M35" s="60" t="s">
        <v>2312</v>
      </c>
    </row>
    <row r="36" spans="1:13" ht="26.25" x14ac:dyDescent="0.25">
      <c r="A36" s="40" t="s">
        <v>2334</v>
      </c>
      <c r="B36" s="60">
        <v>488</v>
      </c>
      <c r="C36" s="60">
        <v>240</v>
      </c>
      <c r="D36" s="60">
        <v>125</v>
      </c>
      <c r="E36" s="60">
        <v>91</v>
      </c>
      <c r="F36" s="60">
        <v>29</v>
      </c>
      <c r="G36" s="60">
        <v>2</v>
      </c>
      <c r="H36" s="60">
        <v>6025</v>
      </c>
      <c r="I36" s="60">
        <v>1550</v>
      </c>
      <c r="J36" s="60">
        <v>860</v>
      </c>
      <c r="K36" s="60">
        <v>1244</v>
      </c>
      <c r="L36" s="60">
        <v>1527</v>
      </c>
      <c r="M36" s="60">
        <v>845</v>
      </c>
    </row>
    <row r="37" spans="1:13" ht="26.25" x14ac:dyDescent="0.25">
      <c r="A37" s="40" t="s">
        <v>2335</v>
      </c>
      <c r="B37" s="60">
        <v>599</v>
      </c>
      <c r="C37" s="60">
        <v>419</v>
      </c>
      <c r="D37" s="60">
        <v>130</v>
      </c>
      <c r="E37" s="60">
        <v>32</v>
      </c>
      <c r="F37" s="60">
        <v>18</v>
      </c>
      <c r="G37" s="60">
        <v>1</v>
      </c>
      <c r="H37" s="60">
        <v>7381</v>
      </c>
      <c r="I37" s="60">
        <v>3194</v>
      </c>
      <c r="J37" s="60">
        <v>1926</v>
      </c>
      <c r="K37" s="60">
        <v>642</v>
      </c>
      <c r="L37" s="60">
        <v>1404</v>
      </c>
      <c r="M37" s="60">
        <v>215</v>
      </c>
    </row>
    <row r="38" spans="1:13" ht="26.25" x14ac:dyDescent="0.25">
      <c r="A38" s="40" t="s">
        <v>2336</v>
      </c>
      <c r="B38" s="60">
        <v>639</v>
      </c>
      <c r="C38" s="60">
        <v>423</v>
      </c>
      <c r="D38" s="60">
        <v>170</v>
      </c>
      <c r="E38" s="60">
        <v>27</v>
      </c>
      <c r="F38" s="60">
        <v>18</v>
      </c>
      <c r="G38" s="60">
        <v>2</v>
      </c>
      <c r="H38" s="60">
        <v>10362</v>
      </c>
      <c r="I38" s="60">
        <v>3969</v>
      </c>
      <c r="J38" s="60">
        <v>3192</v>
      </c>
      <c r="K38" s="60">
        <v>1070</v>
      </c>
      <c r="L38" s="60">
        <v>1364</v>
      </c>
      <c r="M38" s="60">
        <v>767</v>
      </c>
    </row>
    <row r="39" spans="1:13" ht="26.25" x14ac:dyDescent="0.25">
      <c r="A39" s="40" t="s">
        <v>2337</v>
      </c>
      <c r="B39" s="60">
        <v>684</v>
      </c>
      <c r="C39" s="60">
        <v>515</v>
      </c>
      <c r="D39" s="60">
        <v>136</v>
      </c>
      <c r="E39" s="60">
        <v>20</v>
      </c>
      <c r="F39" s="60">
        <v>11</v>
      </c>
      <c r="G39" s="60">
        <v>2</v>
      </c>
      <c r="H39" s="60">
        <v>10846</v>
      </c>
      <c r="I39" s="60">
        <v>4970</v>
      </c>
      <c r="J39" s="60">
        <v>3000</v>
      </c>
      <c r="K39" s="60">
        <v>700</v>
      </c>
      <c r="L39" s="60">
        <v>1332</v>
      </c>
      <c r="M39" s="60">
        <v>844</v>
      </c>
    </row>
    <row r="40" spans="1:13" ht="26.25" x14ac:dyDescent="0.25">
      <c r="A40" s="40" t="s">
        <v>2338</v>
      </c>
      <c r="B40" s="60">
        <v>915</v>
      </c>
      <c r="C40" s="60">
        <v>699</v>
      </c>
      <c r="D40" s="60">
        <v>171</v>
      </c>
      <c r="E40" s="60">
        <v>27</v>
      </c>
      <c r="F40" s="60">
        <v>15</v>
      </c>
      <c r="G40" s="60">
        <v>3</v>
      </c>
      <c r="H40" s="60">
        <v>15230</v>
      </c>
      <c r="I40" s="60">
        <v>7897</v>
      </c>
      <c r="J40" s="60">
        <v>3135</v>
      </c>
      <c r="K40" s="60">
        <v>996</v>
      </c>
      <c r="L40" s="60">
        <v>1899</v>
      </c>
      <c r="M40" s="60">
        <v>1303</v>
      </c>
    </row>
    <row r="41" spans="1:13" ht="26.25" x14ac:dyDescent="0.25">
      <c r="A41" s="40" t="s">
        <v>2339</v>
      </c>
      <c r="B41" s="60">
        <v>845</v>
      </c>
      <c r="C41" s="60">
        <v>690</v>
      </c>
      <c r="D41" s="60">
        <v>109</v>
      </c>
      <c r="E41" s="60">
        <v>31</v>
      </c>
      <c r="F41" s="60">
        <v>13</v>
      </c>
      <c r="G41" s="60">
        <v>1</v>
      </c>
      <c r="H41" s="60">
        <v>13803</v>
      </c>
      <c r="I41" s="60">
        <v>7756</v>
      </c>
      <c r="J41" s="60">
        <v>2866</v>
      </c>
      <c r="K41" s="60">
        <v>827</v>
      </c>
      <c r="L41" s="60">
        <v>1708</v>
      </c>
      <c r="M41" s="60">
        <v>646</v>
      </c>
    </row>
    <row r="42" spans="1:13" ht="26.25" x14ac:dyDescent="0.25">
      <c r="A42" s="40" t="s">
        <v>2340</v>
      </c>
      <c r="B42" s="60">
        <v>375</v>
      </c>
      <c r="C42" s="60">
        <v>280</v>
      </c>
      <c r="D42" s="60">
        <v>76</v>
      </c>
      <c r="E42" s="60">
        <v>14</v>
      </c>
      <c r="F42" s="60">
        <v>5</v>
      </c>
      <c r="G42" s="60" t="s">
        <v>2312</v>
      </c>
      <c r="H42" s="60">
        <v>7215</v>
      </c>
      <c r="I42" s="60">
        <v>3517</v>
      </c>
      <c r="J42" s="60">
        <v>1734</v>
      </c>
      <c r="K42" s="60">
        <v>656</v>
      </c>
      <c r="L42" s="60">
        <v>1150</v>
      </c>
      <c r="M42" s="60" t="s">
        <v>2312</v>
      </c>
    </row>
    <row r="43" spans="1:13" ht="26.25" x14ac:dyDescent="0.25">
      <c r="A43" s="40" t="s">
        <v>2341</v>
      </c>
      <c r="B43" s="60">
        <v>347</v>
      </c>
      <c r="C43" s="60">
        <v>258</v>
      </c>
      <c r="D43" s="60">
        <v>74</v>
      </c>
      <c r="E43" s="60">
        <v>10</v>
      </c>
      <c r="F43" s="60">
        <v>5</v>
      </c>
      <c r="G43" s="60" t="s">
        <v>2312</v>
      </c>
      <c r="H43" s="60">
        <v>6524</v>
      </c>
      <c r="I43" s="60">
        <v>3505</v>
      </c>
      <c r="J43" s="60">
        <v>1500</v>
      </c>
      <c r="K43" s="60">
        <v>436</v>
      </c>
      <c r="L43" s="60">
        <v>729</v>
      </c>
      <c r="M43" s="60" t="s">
        <v>2312</v>
      </c>
    </row>
    <row r="44" spans="1:13" ht="26.25" x14ac:dyDescent="0.25">
      <c r="A44" s="40" t="s">
        <v>2342</v>
      </c>
      <c r="B44" s="60">
        <v>303</v>
      </c>
      <c r="C44" s="60">
        <v>235</v>
      </c>
      <c r="D44" s="60">
        <v>41</v>
      </c>
      <c r="E44" s="60">
        <v>15</v>
      </c>
      <c r="F44" s="60">
        <v>11</v>
      </c>
      <c r="G44" s="60" t="s">
        <v>2312</v>
      </c>
      <c r="H44" s="60">
        <v>5723</v>
      </c>
      <c r="I44" s="60">
        <v>2921</v>
      </c>
      <c r="J44" s="60">
        <v>1137</v>
      </c>
      <c r="K44" s="60">
        <v>667</v>
      </c>
      <c r="L44" s="60">
        <v>871</v>
      </c>
      <c r="M44" s="60" t="s">
        <v>2312</v>
      </c>
    </row>
    <row r="45" spans="1:13" ht="26.25" x14ac:dyDescent="0.25">
      <c r="A45" s="43" t="s">
        <v>2575</v>
      </c>
      <c r="B45" s="59" t="s">
        <v>28</v>
      </c>
      <c r="C45" s="59" t="s">
        <v>28</v>
      </c>
      <c r="D45" s="59" t="s">
        <v>28</v>
      </c>
      <c r="E45" s="59" t="s">
        <v>28</v>
      </c>
      <c r="F45" s="59" t="s">
        <v>28</v>
      </c>
      <c r="G45" s="59" t="s">
        <v>28</v>
      </c>
      <c r="H45" s="59" t="s">
        <v>28</v>
      </c>
      <c r="I45" s="59" t="s">
        <v>28</v>
      </c>
      <c r="J45" s="59" t="s">
        <v>28</v>
      </c>
      <c r="K45" s="59" t="s">
        <v>28</v>
      </c>
      <c r="L45" s="59" t="s">
        <v>28</v>
      </c>
      <c r="M45" s="59" t="s">
        <v>28</v>
      </c>
    </row>
    <row r="46" spans="1:13" x14ac:dyDescent="0.25">
      <c r="A46" s="40" t="s">
        <v>2290</v>
      </c>
      <c r="B46" s="60">
        <v>805</v>
      </c>
      <c r="C46" s="60">
        <v>360</v>
      </c>
      <c r="D46" s="60">
        <v>236</v>
      </c>
      <c r="E46" s="60">
        <v>147</v>
      </c>
      <c r="F46" s="60">
        <v>60</v>
      </c>
      <c r="G46" s="60">
        <v>4</v>
      </c>
      <c r="H46" s="60">
        <v>15534</v>
      </c>
      <c r="I46" s="60">
        <v>3865</v>
      </c>
      <c r="J46" s="60">
        <v>4098</v>
      </c>
      <c r="K46" s="60">
        <v>2421</v>
      </c>
      <c r="L46" s="60">
        <v>3409</v>
      </c>
      <c r="M46" s="60">
        <v>1742</v>
      </c>
    </row>
    <row r="47" spans="1:13" x14ac:dyDescent="0.25">
      <c r="A47" s="40" t="s">
        <v>2291</v>
      </c>
      <c r="B47" s="60">
        <v>1237</v>
      </c>
      <c r="C47" s="60">
        <v>785</v>
      </c>
      <c r="D47" s="60">
        <v>296</v>
      </c>
      <c r="E47" s="60">
        <v>121</v>
      </c>
      <c r="F47" s="60">
        <v>33</v>
      </c>
      <c r="G47" s="60">
        <v>2</v>
      </c>
      <c r="H47" s="60">
        <v>18919</v>
      </c>
      <c r="I47" s="60">
        <v>7652</v>
      </c>
      <c r="J47" s="60">
        <v>4867</v>
      </c>
      <c r="K47" s="60">
        <v>2607</v>
      </c>
      <c r="L47" s="60">
        <v>2915</v>
      </c>
      <c r="M47" s="60">
        <v>879</v>
      </c>
    </row>
    <row r="48" spans="1:13" x14ac:dyDescent="0.25">
      <c r="A48" s="40" t="s">
        <v>2292</v>
      </c>
      <c r="B48" s="60">
        <v>2247</v>
      </c>
      <c r="C48" s="60">
        <v>1737</v>
      </c>
      <c r="D48" s="60">
        <v>377</v>
      </c>
      <c r="E48" s="60">
        <v>63</v>
      </c>
      <c r="F48" s="60">
        <v>64</v>
      </c>
      <c r="G48" s="60">
        <v>5</v>
      </c>
      <c r="H48" s="60">
        <v>34279</v>
      </c>
      <c r="I48" s="60">
        <v>18532</v>
      </c>
      <c r="J48" s="60">
        <v>6972</v>
      </c>
      <c r="K48" s="60">
        <v>2028</v>
      </c>
      <c r="L48" s="60">
        <v>5013</v>
      </c>
      <c r="M48" s="60">
        <v>1734</v>
      </c>
    </row>
    <row r="49" spans="1:13" x14ac:dyDescent="0.25">
      <c r="A49" s="40" t="s">
        <v>2293</v>
      </c>
      <c r="B49" s="60">
        <v>1267</v>
      </c>
      <c r="C49" s="60">
        <v>954</v>
      </c>
      <c r="D49" s="60">
        <v>248</v>
      </c>
      <c r="E49" s="60">
        <v>43</v>
      </c>
      <c r="F49" s="60">
        <v>21</v>
      </c>
      <c r="G49" s="60">
        <v>2</v>
      </c>
      <c r="H49" s="60">
        <v>18360</v>
      </c>
      <c r="I49" s="60">
        <v>9760</v>
      </c>
      <c r="J49" s="60">
        <v>4269</v>
      </c>
      <c r="K49" s="60">
        <v>1083</v>
      </c>
      <c r="L49" s="60">
        <v>2198</v>
      </c>
      <c r="M49" s="60">
        <v>1049</v>
      </c>
    </row>
    <row r="50" spans="1:13" ht="28.5" x14ac:dyDescent="0.25">
      <c r="A50" s="43" t="s">
        <v>2576</v>
      </c>
      <c r="B50" s="59" t="s">
        <v>28</v>
      </c>
      <c r="C50" s="59" t="s">
        <v>28</v>
      </c>
      <c r="D50" s="59" t="s">
        <v>28</v>
      </c>
      <c r="E50" s="59" t="s">
        <v>28</v>
      </c>
      <c r="F50" s="59" t="s">
        <v>28</v>
      </c>
      <c r="G50" s="59" t="s">
        <v>28</v>
      </c>
      <c r="H50" s="59" t="s">
        <v>28</v>
      </c>
      <c r="I50" s="59" t="s">
        <v>28</v>
      </c>
      <c r="J50" s="59" t="s">
        <v>28</v>
      </c>
      <c r="K50" s="59" t="s">
        <v>28</v>
      </c>
      <c r="L50" s="59" t="s">
        <v>28</v>
      </c>
      <c r="M50" s="59" t="s">
        <v>28</v>
      </c>
    </row>
    <row r="51" spans="1:13" ht="26.25" x14ac:dyDescent="0.25">
      <c r="A51" s="40" t="s">
        <v>2577</v>
      </c>
      <c r="B51" s="60">
        <v>2031</v>
      </c>
      <c r="C51" s="60">
        <v>1200</v>
      </c>
      <c r="D51" s="60">
        <v>523</v>
      </c>
      <c r="E51" s="60">
        <v>227</v>
      </c>
      <c r="F51" s="60">
        <v>76</v>
      </c>
      <c r="G51" s="60">
        <v>4</v>
      </c>
      <c r="H51" s="60">
        <v>31898</v>
      </c>
      <c r="I51" s="60">
        <v>12175</v>
      </c>
      <c r="J51" s="60">
        <v>8343</v>
      </c>
      <c r="K51" s="60">
        <v>4460</v>
      </c>
      <c r="L51" s="60">
        <v>5340</v>
      </c>
      <c r="M51" s="60">
        <v>1580</v>
      </c>
    </row>
    <row r="52" spans="1:13" ht="26.25" x14ac:dyDescent="0.25">
      <c r="A52" s="44" t="s">
        <v>2578</v>
      </c>
      <c r="B52" s="60">
        <v>1743</v>
      </c>
      <c r="C52" s="60">
        <v>1222</v>
      </c>
      <c r="D52" s="60">
        <v>339</v>
      </c>
      <c r="E52" s="60">
        <v>106</v>
      </c>
      <c r="F52" s="60">
        <v>70</v>
      </c>
      <c r="G52" s="60">
        <v>6</v>
      </c>
      <c r="H52" s="60">
        <v>27873</v>
      </c>
      <c r="I52" s="60">
        <v>12382</v>
      </c>
      <c r="J52" s="60">
        <v>6124</v>
      </c>
      <c r="K52" s="60">
        <v>2292</v>
      </c>
      <c r="L52" s="60">
        <v>4616</v>
      </c>
      <c r="M52" s="60">
        <v>2459</v>
      </c>
    </row>
    <row r="53" spans="1:13" ht="39" x14ac:dyDescent="0.25">
      <c r="A53" s="44" t="s">
        <v>2579</v>
      </c>
      <c r="B53" s="60">
        <v>837</v>
      </c>
      <c r="C53" s="60">
        <v>664</v>
      </c>
      <c r="D53" s="60">
        <v>134</v>
      </c>
      <c r="E53" s="60">
        <v>23</v>
      </c>
      <c r="F53" s="60">
        <v>16</v>
      </c>
      <c r="G53" s="60">
        <v>1</v>
      </c>
      <c r="H53" s="60">
        <v>12037</v>
      </c>
      <c r="I53" s="60">
        <v>6815</v>
      </c>
      <c r="J53" s="60">
        <v>2492</v>
      </c>
      <c r="K53" s="60">
        <v>697</v>
      </c>
      <c r="L53" s="60">
        <v>1577</v>
      </c>
      <c r="M53" s="60">
        <v>455</v>
      </c>
    </row>
    <row r="54" spans="1:13" ht="26.25" x14ac:dyDescent="0.25">
      <c r="A54" s="40" t="s">
        <v>484</v>
      </c>
      <c r="B54" s="60">
        <v>799</v>
      </c>
      <c r="C54" s="60">
        <v>646</v>
      </c>
      <c r="D54" s="60">
        <v>128</v>
      </c>
      <c r="E54" s="60">
        <v>11</v>
      </c>
      <c r="F54" s="60">
        <v>12</v>
      </c>
      <c r="G54" s="60">
        <v>2</v>
      </c>
      <c r="H54" s="60">
        <v>12831</v>
      </c>
      <c r="I54" s="60">
        <v>7485</v>
      </c>
      <c r="J54" s="60">
        <v>2556</v>
      </c>
      <c r="K54" s="60">
        <v>527</v>
      </c>
      <c r="L54" s="60">
        <v>1581</v>
      </c>
      <c r="M54" s="60">
        <v>682</v>
      </c>
    </row>
    <row r="55" spans="1:13" x14ac:dyDescent="0.25">
      <c r="A55" s="44" t="s">
        <v>227</v>
      </c>
      <c r="B55" s="60">
        <v>147</v>
      </c>
      <c r="C55" s="60">
        <v>103</v>
      </c>
      <c r="D55" s="60">
        <v>34</v>
      </c>
      <c r="E55" s="60" t="s">
        <v>2312</v>
      </c>
      <c r="F55" s="60">
        <v>3</v>
      </c>
      <c r="G55" s="60" t="s">
        <v>2312</v>
      </c>
      <c r="H55" s="60">
        <v>2454</v>
      </c>
      <c r="I55" s="60">
        <v>952</v>
      </c>
      <c r="J55" s="60">
        <v>690</v>
      </c>
      <c r="K55" s="60" t="s">
        <v>2312</v>
      </c>
      <c r="L55" s="60">
        <v>420</v>
      </c>
      <c r="M55" s="60" t="s">
        <v>2312</v>
      </c>
    </row>
    <row r="56" spans="1:13" ht="90" x14ac:dyDescent="0.25">
      <c r="A56" s="43" t="s">
        <v>2349</v>
      </c>
      <c r="B56" s="59" t="s">
        <v>28</v>
      </c>
      <c r="C56" s="59" t="s">
        <v>28</v>
      </c>
      <c r="D56" s="59" t="s">
        <v>28</v>
      </c>
      <c r="E56" s="59" t="s">
        <v>28</v>
      </c>
      <c r="F56" s="59" t="s">
        <v>28</v>
      </c>
      <c r="G56" s="59" t="s">
        <v>28</v>
      </c>
      <c r="H56" s="59" t="s">
        <v>28</v>
      </c>
      <c r="I56" s="59" t="s">
        <v>28</v>
      </c>
      <c r="J56" s="59" t="s">
        <v>28</v>
      </c>
      <c r="K56" s="59" t="s">
        <v>28</v>
      </c>
      <c r="L56" s="59" t="s">
        <v>28</v>
      </c>
      <c r="M56" s="59" t="s">
        <v>28</v>
      </c>
    </row>
    <row r="57" spans="1:13" ht="26.25" x14ac:dyDescent="0.25">
      <c r="A57" s="40" t="s">
        <v>2350</v>
      </c>
      <c r="B57" s="60">
        <v>405</v>
      </c>
      <c r="C57" s="60" t="s">
        <v>2402</v>
      </c>
      <c r="D57" s="60">
        <v>167</v>
      </c>
      <c r="E57" s="60">
        <v>105</v>
      </c>
      <c r="F57" s="60">
        <v>121</v>
      </c>
      <c r="G57" s="60">
        <v>13</v>
      </c>
      <c r="H57" s="60">
        <v>32120</v>
      </c>
      <c r="I57" s="60" t="s">
        <v>2402</v>
      </c>
      <c r="J57" s="60">
        <v>8548</v>
      </c>
      <c r="K57" s="60">
        <v>5654</v>
      </c>
      <c r="L57" s="60">
        <v>12514</v>
      </c>
      <c r="M57" s="60">
        <v>5404</v>
      </c>
    </row>
    <row r="58" spans="1:13" ht="26.25" x14ac:dyDescent="0.25">
      <c r="A58" s="44" t="s">
        <v>2351</v>
      </c>
      <c r="B58" s="60" t="s">
        <v>28</v>
      </c>
      <c r="C58" s="60" t="s">
        <v>28</v>
      </c>
      <c r="D58" s="60" t="s">
        <v>28</v>
      </c>
      <c r="E58" s="60" t="s">
        <v>28</v>
      </c>
      <c r="F58" s="60" t="s">
        <v>28</v>
      </c>
      <c r="G58" s="60" t="s">
        <v>28</v>
      </c>
      <c r="H58" s="60" t="s">
        <v>28</v>
      </c>
      <c r="I58" s="60" t="s">
        <v>28</v>
      </c>
      <c r="J58" s="60" t="s">
        <v>28</v>
      </c>
      <c r="K58" s="60" t="s">
        <v>28</v>
      </c>
      <c r="L58" s="60" t="s">
        <v>28</v>
      </c>
      <c r="M58" s="60" t="s">
        <v>28</v>
      </c>
    </row>
    <row r="59" spans="1:13" x14ac:dyDescent="0.25">
      <c r="A59" s="42" t="s">
        <v>2344</v>
      </c>
      <c r="B59" s="60">
        <v>272</v>
      </c>
      <c r="C59" s="60" t="s">
        <v>2402</v>
      </c>
      <c r="D59" s="60">
        <v>144</v>
      </c>
      <c r="E59" s="60">
        <v>75</v>
      </c>
      <c r="F59" s="60">
        <v>53</v>
      </c>
      <c r="G59" s="60" t="s">
        <v>2312</v>
      </c>
      <c r="H59" s="60">
        <v>11158</v>
      </c>
      <c r="I59" s="60" t="s">
        <v>2402</v>
      </c>
      <c r="J59" s="60">
        <v>6069</v>
      </c>
      <c r="K59" s="60">
        <v>2771</v>
      </c>
      <c r="L59" s="60">
        <v>2305</v>
      </c>
      <c r="M59" s="60" t="s">
        <v>2312</v>
      </c>
    </row>
    <row r="60" spans="1:13" ht="26.25" x14ac:dyDescent="0.25">
      <c r="A60" s="42" t="s">
        <v>2352</v>
      </c>
      <c r="B60" s="60">
        <v>118</v>
      </c>
      <c r="C60" s="60" t="s">
        <v>2402</v>
      </c>
      <c r="D60" s="60">
        <v>22</v>
      </c>
      <c r="E60" s="60">
        <v>29</v>
      </c>
      <c r="F60" s="60">
        <v>61</v>
      </c>
      <c r="G60" s="60">
        <v>5</v>
      </c>
      <c r="H60" s="60">
        <v>12817</v>
      </c>
      <c r="I60" s="60" t="s">
        <v>2402</v>
      </c>
      <c r="J60" s="60">
        <v>2335</v>
      </c>
      <c r="K60" s="60">
        <v>2579</v>
      </c>
      <c r="L60" s="60">
        <v>7010</v>
      </c>
      <c r="M60" s="60">
        <v>893</v>
      </c>
    </row>
    <row r="61" spans="1:13" ht="26.25" x14ac:dyDescent="0.25">
      <c r="A61" s="42" t="s">
        <v>2353</v>
      </c>
      <c r="B61" s="60">
        <v>16</v>
      </c>
      <c r="C61" s="60" t="s">
        <v>2402</v>
      </c>
      <c r="D61" s="60" t="s">
        <v>2312</v>
      </c>
      <c r="E61" s="60">
        <v>1</v>
      </c>
      <c r="F61" s="60">
        <v>7</v>
      </c>
      <c r="G61" s="60">
        <v>8</v>
      </c>
      <c r="H61" s="60">
        <v>8145</v>
      </c>
      <c r="I61" s="60" t="s">
        <v>2402</v>
      </c>
      <c r="J61" s="60" t="s">
        <v>2312</v>
      </c>
      <c r="K61" s="60">
        <v>304</v>
      </c>
      <c r="L61" s="60">
        <v>3199</v>
      </c>
      <c r="M61" s="60">
        <v>4498</v>
      </c>
    </row>
    <row r="62" spans="1:13" ht="39" x14ac:dyDescent="0.25">
      <c r="A62" s="44" t="s">
        <v>2354</v>
      </c>
      <c r="B62" s="60">
        <v>10</v>
      </c>
      <c r="C62" s="60" t="s">
        <v>2402</v>
      </c>
      <c r="D62" s="60" t="s">
        <v>2312</v>
      </c>
      <c r="E62" s="60" t="s">
        <v>2312</v>
      </c>
      <c r="F62" s="60">
        <v>4</v>
      </c>
      <c r="G62" s="60">
        <v>2</v>
      </c>
      <c r="H62" s="60">
        <v>3654</v>
      </c>
      <c r="I62" s="60" t="s">
        <v>2402</v>
      </c>
      <c r="J62" s="60">
        <v>333</v>
      </c>
      <c r="K62" s="60" t="s">
        <v>2312</v>
      </c>
      <c r="L62" s="60">
        <v>1372</v>
      </c>
      <c r="M62" s="60">
        <v>1813</v>
      </c>
    </row>
    <row r="63" spans="1:13" ht="64.5" x14ac:dyDescent="0.25">
      <c r="A63" s="43" t="s">
        <v>2355</v>
      </c>
      <c r="B63" s="59" t="s">
        <v>28</v>
      </c>
      <c r="C63" s="59" t="s">
        <v>28</v>
      </c>
      <c r="D63" s="59" t="s">
        <v>28</v>
      </c>
      <c r="E63" s="59" t="s">
        <v>28</v>
      </c>
      <c r="F63" s="59" t="s">
        <v>28</v>
      </c>
      <c r="G63" s="59" t="s">
        <v>28</v>
      </c>
      <c r="H63" s="59" t="s">
        <v>28</v>
      </c>
      <c r="I63" s="59" t="s">
        <v>28</v>
      </c>
      <c r="J63" s="59" t="s">
        <v>28</v>
      </c>
      <c r="K63" s="59" t="s">
        <v>28</v>
      </c>
      <c r="L63" s="59" t="s">
        <v>28</v>
      </c>
      <c r="M63" s="59" t="s">
        <v>28</v>
      </c>
    </row>
    <row r="64" spans="1:13" ht="26.25" x14ac:dyDescent="0.25">
      <c r="A64" s="40" t="s">
        <v>2356</v>
      </c>
      <c r="B64" s="61">
        <v>2892</v>
      </c>
      <c r="C64" s="61">
        <v>2191</v>
      </c>
      <c r="D64" s="61">
        <v>494</v>
      </c>
      <c r="E64" s="61">
        <v>164</v>
      </c>
      <c r="F64" s="61">
        <v>42</v>
      </c>
      <c r="G64" s="61" t="s">
        <v>2312</v>
      </c>
      <c r="H64" s="61">
        <v>17751</v>
      </c>
      <c r="I64" s="61">
        <v>11548</v>
      </c>
      <c r="J64" s="61">
        <v>3555</v>
      </c>
      <c r="K64" s="61">
        <v>1547</v>
      </c>
      <c r="L64" s="61">
        <v>1002</v>
      </c>
      <c r="M64" s="61" t="s">
        <v>2312</v>
      </c>
    </row>
    <row r="65" spans="1:13" x14ac:dyDescent="0.25">
      <c r="A65" s="44" t="s">
        <v>2357</v>
      </c>
      <c r="B65" s="61">
        <v>1085</v>
      </c>
      <c r="C65" s="61">
        <v>767</v>
      </c>
      <c r="D65" s="61">
        <v>220</v>
      </c>
      <c r="E65" s="61">
        <v>77</v>
      </c>
      <c r="F65" s="61">
        <v>21</v>
      </c>
      <c r="G65" s="61" t="s">
        <v>2312</v>
      </c>
      <c r="H65" s="61">
        <v>8973</v>
      </c>
      <c r="I65" s="61">
        <v>5638</v>
      </c>
      <c r="J65" s="61">
        <v>2234</v>
      </c>
      <c r="K65" s="61">
        <v>715</v>
      </c>
      <c r="L65" s="61">
        <v>379</v>
      </c>
      <c r="M65" s="61" t="s">
        <v>2312</v>
      </c>
    </row>
    <row r="66" spans="1:13" x14ac:dyDescent="0.25">
      <c r="A66" s="44" t="s">
        <v>2358</v>
      </c>
      <c r="B66" s="61">
        <v>731</v>
      </c>
      <c r="C66" s="61">
        <v>475</v>
      </c>
      <c r="D66" s="61">
        <v>197</v>
      </c>
      <c r="E66" s="61">
        <v>42</v>
      </c>
      <c r="F66" s="61">
        <v>16</v>
      </c>
      <c r="G66" s="61" t="s">
        <v>2312</v>
      </c>
      <c r="H66" s="61">
        <v>9623</v>
      </c>
      <c r="I66" s="61">
        <v>5709</v>
      </c>
      <c r="J66" s="61">
        <v>2560</v>
      </c>
      <c r="K66" s="61">
        <v>710</v>
      </c>
      <c r="L66" s="61">
        <v>597</v>
      </c>
      <c r="M66" s="61" t="s">
        <v>2312</v>
      </c>
    </row>
    <row r="67" spans="1:13" x14ac:dyDescent="0.25">
      <c r="A67" s="40" t="s">
        <v>2359</v>
      </c>
      <c r="B67" s="61">
        <v>513</v>
      </c>
      <c r="C67" s="61">
        <v>282</v>
      </c>
      <c r="D67" s="61">
        <v>152</v>
      </c>
      <c r="E67" s="61">
        <v>55</v>
      </c>
      <c r="F67" s="61">
        <v>24</v>
      </c>
      <c r="G67" s="61" t="s">
        <v>2312</v>
      </c>
      <c r="H67" s="61">
        <v>14514</v>
      </c>
      <c r="I67" s="61">
        <v>6907</v>
      </c>
      <c r="J67" s="61">
        <v>4279</v>
      </c>
      <c r="K67" s="61">
        <v>1764</v>
      </c>
      <c r="L67" s="61">
        <v>1442</v>
      </c>
      <c r="M67" s="61" t="s">
        <v>2312</v>
      </c>
    </row>
    <row r="68" spans="1:13" x14ac:dyDescent="0.25">
      <c r="A68" s="44" t="s">
        <v>2360</v>
      </c>
      <c r="B68" s="61">
        <v>206</v>
      </c>
      <c r="C68" s="61">
        <v>87</v>
      </c>
      <c r="D68" s="61">
        <v>65</v>
      </c>
      <c r="E68" s="61">
        <v>21</v>
      </c>
      <c r="F68" s="61">
        <v>31</v>
      </c>
      <c r="G68" s="61">
        <v>1</v>
      </c>
      <c r="H68" s="61">
        <v>13476</v>
      </c>
      <c r="I68" s="61">
        <v>5841</v>
      </c>
      <c r="J68" s="61">
        <v>3670</v>
      </c>
      <c r="K68" s="61">
        <v>1372</v>
      </c>
      <c r="L68" s="61">
        <v>2290</v>
      </c>
      <c r="M68" s="61">
        <v>303</v>
      </c>
    </row>
    <row r="69" spans="1:13" ht="26.25" x14ac:dyDescent="0.25">
      <c r="A69" s="44" t="s">
        <v>2361</v>
      </c>
      <c r="B69" s="61">
        <v>93</v>
      </c>
      <c r="C69" s="61">
        <v>31</v>
      </c>
      <c r="D69" s="61">
        <v>24</v>
      </c>
      <c r="E69" s="61">
        <v>11</v>
      </c>
      <c r="F69" s="61">
        <v>27</v>
      </c>
      <c r="G69" s="61">
        <v>2</v>
      </c>
      <c r="H69" s="61">
        <v>10941</v>
      </c>
      <c r="I69" s="61">
        <v>3289</v>
      </c>
      <c r="J69" s="61">
        <v>2711</v>
      </c>
      <c r="K69" s="61">
        <v>1240</v>
      </c>
      <c r="L69" s="61">
        <v>3289</v>
      </c>
      <c r="M69" s="61">
        <v>412</v>
      </c>
    </row>
    <row r="70" spans="1:13" ht="26.25" x14ac:dyDescent="0.25">
      <c r="A70" s="44" t="s">
        <v>2362</v>
      </c>
      <c r="B70" s="61">
        <v>37</v>
      </c>
      <c r="C70" s="61">
        <v>3</v>
      </c>
      <c r="D70" s="61">
        <v>6</v>
      </c>
      <c r="E70" s="61">
        <v>4</v>
      </c>
      <c r="F70" s="61">
        <v>15</v>
      </c>
      <c r="G70" s="61">
        <v>8</v>
      </c>
      <c r="H70" s="61">
        <v>11815</v>
      </c>
      <c r="I70" s="61">
        <v>876</v>
      </c>
      <c r="J70" s="61">
        <v>1196</v>
      </c>
      <c r="K70" s="61">
        <v>792</v>
      </c>
      <c r="L70" s="61">
        <v>4535</v>
      </c>
      <c r="M70" s="61">
        <v>4415</v>
      </c>
    </row>
    <row r="71" spans="1:13" ht="39" x14ac:dyDescent="0.25">
      <c r="A71" s="43" t="s">
        <v>2363</v>
      </c>
      <c r="B71" s="62" t="s">
        <v>28</v>
      </c>
      <c r="C71" s="62" t="s">
        <v>28</v>
      </c>
      <c r="D71" s="62" t="s">
        <v>28</v>
      </c>
      <c r="E71" s="62" t="s">
        <v>28</v>
      </c>
      <c r="F71" s="62" t="s">
        <v>28</v>
      </c>
      <c r="G71" s="62" t="s">
        <v>28</v>
      </c>
      <c r="H71" s="62" t="s">
        <v>28</v>
      </c>
      <c r="I71" s="62" t="s">
        <v>28</v>
      </c>
      <c r="J71" s="62" t="s">
        <v>28</v>
      </c>
      <c r="K71" s="62" t="s">
        <v>28</v>
      </c>
      <c r="L71" s="62" t="s">
        <v>28</v>
      </c>
      <c r="M71" s="62" t="s">
        <v>28</v>
      </c>
    </row>
    <row r="72" spans="1:13" ht="26.25" x14ac:dyDescent="0.25">
      <c r="A72" s="40" t="s">
        <v>2364</v>
      </c>
      <c r="B72" s="61">
        <v>1149</v>
      </c>
      <c r="C72" s="61">
        <v>846</v>
      </c>
      <c r="D72" s="61">
        <v>229</v>
      </c>
      <c r="E72" s="61">
        <v>58</v>
      </c>
      <c r="F72" s="61">
        <v>16</v>
      </c>
      <c r="G72" s="61" t="s">
        <v>2312</v>
      </c>
      <c r="H72" s="61">
        <v>8220</v>
      </c>
      <c r="I72" s="61">
        <v>4998</v>
      </c>
      <c r="J72" s="61">
        <v>1974</v>
      </c>
      <c r="K72" s="61">
        <v>587</v>
      </c>
      <c r="L72" s="61">
        <v>617</v>
      </c>
      <c r="M72" s="61" t="s">
        <v>2312</v>
      </c>
    </row>
    <row r="73" spans="1:13" x14ac:dyDescent="0.25">
      <c r="A73" s="44" t="s">
        <v>2365</v>
      </c>
      <c r="B73" s="61">
        <v>1346</v>
      </c>
      <c r="C73" s="61">
        <v>933</v>
      </c>
      <c r="D73" s="61">
        <v>284</v>
      </c>
      <c r="E73" s="61">
        <v>95</v>
      </c>
      <c r="F73" s="61">
        <v>34</v>
      </c>
      <c r="G73" s="61" t="s">
        <v>2312</v>
      </c>
      <c r="H73" s="61">
        <v>15828</v>
      </c>
      <c r="I73" s="61">
        <v>8264</v>
      </c>
      <c r="J73" s="61">
        <v>4018</v>
      </c>
      <c r="K73" s="61">
        <v>1479</v>
      </c>
      <c r="L73" s="61">
        <v>1836</v>
      </c>
      <c r="M73" s="61" t="s">
        <v>2312</v>
      </c>
    </row>
    <row r="74" spans="1:13" x14ac:dyDescent="0.25">
      <c r="A74" s="44" t="s">
        <v>2366</v>
      </c>
      <c r="B74" s="61">
        <v>1244</v>
      </c>
      <c r="C74" s="61">
        <v>830</v>
      </c>
      <c r="D74" s="61">
        <v>295</v>
      </c>
      <c r="E74" s="61">
        <v>69</v>
      </c>
      <c r="F74" s="61">
        <v>45</v>
      </c>
      <c r="G74" s="61">
        <v>4</v>
      </c>
      <c r="H74" s="61">
        <v>20529</v>
      </c>
      <c r="I74" s="61">
        <v>9541</v>
      </c>
      <c r="J74" s="61">
        <v>5074</v>
      </c>
      <c r="K74" s="61">
        <v>1806</v>
      </c>
      <c r="L74" s="61">
        <v>2783</v>
      </c>
      <c r="M74" s="61">
        <v>1326</v>
      </c>
    </row>
    <row r="75" spans="1:13" x14ac:dyDescent="0.25">
      <c r="A75" s="40" t="s">
        <v>2367</v>
      </c>
      <c r="B75" s="61">
        <v>764</v>
      </c>
      <c r="C75" s="61">
        <v>510</v>
      </c>
      <c r="D75" s="61">
        <v>160</v>
      </c>
      <c r="E75" s="61">
        <v>67</v>
      </c>
      <c r="F75" s="61">
        <v>26</v>
      </c>
      <c r="G75" s="61">
        <v>2</v>
      </c>
      <c r="H75" s="61">
        <v>15867</v>
      </c>
      <c r="I75" s="61">
        <v>7516</v>
      </c>
      <c r="J75" s="61">
        <v>4016</v>
      </c>
      <c r="K75" s="61">
        <v>1669</v>
      </c>
      <c r="L75" s="61">
        <v>1711</v>
      </c>
      <c r="M75" s="61">
        <v>955</v>
      </c>
    </row>
    <row r="76" spans="1:13" x14ac:dyDescent="0.25">
      <c r="A76" s="44" t="s">
        <v>2368</v>
      </c>
      <c r="B76" s="61">
        <v>479</v>
      </c>
      <c r="C76" s="61">
        <v>355</v>
      </c>
      <c r="D76" s="61">
        <v>80</v>
      </c>
      <c r="E76" s="61">
        <v>33</v>
      </c>
      <c r="F76" s="61">
        <v>11</v>
      </c>
      <c r="G76" s="61" t="s">
        <v>2312</v>
      </c>
      <c r="H76" s="61">
        <v>9395</v>
      </c>
      <c r="I76" s="61">
        <v>4788</v>
      </c>
      <c r="J76" s="61">
        <v>2281</v>
      </c>
      <c r="K76" s="61">
        <v>970</v>
      </c>
      <c r="L76" s="61">
        <v>1296</v>
      </c>
      <c r="M76" s="61" t="s">
        <v>2312</v>
      </c>
    </row>
    <row r="77" spans="1:13" ht="39" x14ac:dyDescent="0.25">
      <c r="A77" s="44" t="s">
        <v>2369</v>
      </c>
      <c r="B77" s="60">
        <v>575</v>
      </c>
      <c r="C77" s="61">
        <v>363</v>
      </c>
      <c r="D77" s="61">
        <v>110</v>
      </c>
      <c r="E77" s="61">
        <v>52</v>
      </c>
      <c r="F77" s="61">
        <v>45</v>
      </c>
      <c r="G77" s="61">
        <v>6</v>
      </c>
      <c r="H77" s="61">
        <v>17253</v>
      </c>
      <c r="I77" s="61">
        <v>4702</v>
      </c>
      <c r="J77" s="61">
        <v>2844</v>
      </c>
      <c r="K77" s="61">
        <v>1629</v>
      </c>
      <c r="L77" s="61">
        <v>5291</v>
      </c>
      <c r="M77" s="61">
        <v>2788</v>
      </c>
    </row>
    <row r="78" spans="1:13" ht="39" x14ac:dyDescent="0.25">
      <c r="A78" s="43" t="s">
        <v>2370</v>
      </c>
      <c r="B78" s="62" t="s">
        <v>28</v>
      </c>
      <c r="C78" s="62" t="s">
        <v>28</v>
      </c>
      <c r="D78" s="62" t="s">
        <v>28</v>
      </c>
      <c r="E78" s="62" t="s">
        <v>28</v>
      </c>
      <c r="F78" s="62" t="s">
        <v>28</v>
      </c>
      <c r="G78" s="62" t="s">
        <v>28</v>
      </c>
      <c r="H78" s="62" t="s">
        <v>28</v>
      </c>
      <c r="I78" s="62" t="s">
        <v>28</v>
      </c>
      <c r="J78" s="62" t="s">
        <v>28</v>
      </c>
      <c r="K78" s="62" t="s">
        <v>28</v>
      </c>
      <c r="L78" s="62" t="s">
        <v>28</v>
      </c>
      <c r="M78" s="62" t="s">
        <v>28</v>
      </c>
    </row>
    <row r="79" spans="1:13" ht="39" x14ac:dyDescent="0.25">
      <c r="A79" s="40" t="s">
        <v>2371</v>
      </c>
      <c r="B79" s="61">
        <v>4781</v>
      </c>
      <c r="C79" s="61">
        <v>3290</v>
      </c>
      <c r="D79" s="61">
        <v>1010</v>
      </c>
      <c r="E79" s="61">
        <v>328</v>
      </c>
      <c r="F79" s="61">
        <v>142</v>
      </c>
      <c r="G79" s="61">
        <v>11</v>
      </c>
      <c r="H79" s="61">
        <v>67550</v>
      </c>
      <c r="I79" s="61">
        <v>32751</v>
      </c>
      <c r="J79" s="61">
        <v>15005</v>
      </c>
      <c r="K79" s="61">
        <v>5929</v>
      </c>
      <c r="L79" s="61">
        <v>9454</v>
      </c>
      <c r="M79" s="61">
        <v>4410</v>
      </c>
    </row>
    <row r="80" spans="1:13" ht="39" x14ac:dyDescent="0.25">
      <c r="A80" s="42" t="s">
        <v>2372</v>
      </c>
      <c r="B80" s="61">
        <v>2466</v>
      </c>
      <c r="C80" s="61">
        <v>1651</v>
      </c>
      <c r="D80" s="61">
        <v>552</v>
      </c>
      <c r="E80" s="61">
        <v>191</v>
      </c>
      <c r="F80" s="61">
        <v>70</v>
      </c>
      <c r="G80" s="61">
        <v>2</v>
      </c>
      <c r="H80" s="61">
        <v>30637</v>
      </c>
      <c r="I80" s="61">
        <v>13707</v>
      </c>
      <c r="J80" s="61">
        <v>7954</v>
      </c>
      <c r="K80" s="61">
        <v>3564</v>
      </c>
      <c r="L80" s="61">
        <v>4439</v>
      </c>
      <c r="M80" s="61">
        <v>973</v>
      </c>
    </row>
    <row r="81" spans="1:13" ht="51.75" x14ac:dyDescent="0.25">
      <c r="A81" s="42" t="s">
        <v>2373</v>
      </c>
      <c r="B81" s="61">
        <v>1745</v>
      </c>
      <c r="C81" s="61">
        <v>1288</v>
      </c>
      <c r="D81" s="61">
        <v>321</v>
      </c>
      <c r="E81" s="61">
        <v>84</v>
      </c>
      <c r="F81" s="61">
        <v>46</v>
      </c>
      <c r="G81" s="61">
        <v>5</v>
      </c>
      <c r="H81" s="61">
        <v>26115</v>
      </c>
      <c r="I81" s="61">
        <v>14937</v>
      </c>
      <c r="J81" s="61">
        <v>4864</v>
      </c>
      <c r="K81" s="61">
        <v>1284</v>
      </c>
      <c r="L81" s="61">
        <v>2830</v>
      </c>
      <c r="M81" s="61">
        <v>2199</v>
      </c>
    </row>
    <row r="82" spans="1:13" ht="51.75" x14ac:dyDescent="0.25">
      <c r="A82" s="42" t="s">
        <v>2374</v>
      </c>
      <c r="B82" s="61">
        <v>349</v>
      </c>
      <c r="C82" s="61">
        <v>183</v>
      </c>
      <c r="D82" s="61">
        <v>98</v>
      </c>
      <c r="E82" s="61">
        <v>42</v>
      </c>
      <c r="F82" s="61">
        <v>23</v>
      </c>
      <c r="G82" s="61">
        <v>3</v>
      </c>
      <c r="H82" s="61">
        <v>8873</v>
      </c>
      <c r="I82" s="61">
        <v>2885</v>
      </c>
      <c r="J82" s="61">
        <v>1805</v>
      </c>
      <c r="K82" s="61">
        <v>975</v>
      </c>
      <c r="L82" s="61">
        <v>2015</v>
      </c>
      <c r="M82" s="61">
        <v>1193</v>
      </c>
    </row>
    <row r="83" spans="1:13" ht="26.25" x14ac:dyDescent="0.25">
      <c r="A83" s="42" t="s">
        <v>2375</v>
      </c>
      <c r="B83" s="61">
        <v>221</v>
      </c>
      <c r="C83" s="61">
        <v>169</v>
      </c>
      <c r="D83" s="61">
        <v>38</v>
      </c>
      <c r="E83" s="61" t="s">
        <v>2312</v>
      </c>
      <c r="F83" s="61" t="s">
        <v>2312</v>
      </c>
      <c r="G83" s="61" t="s">
        <v>2312</v>
      </c>
      <c r="H83" s="61">
        <v>1925</v>
      </c>
      <c r="I83" s="61">
        <v>1221</v>
      </c>
      <c r="J83" s="61">
        <v>382</v>
      </c>
      <c r="K83" s="61" t="s">
        <v>2312</v>
      </c>
      <c r="L83" s="61" t="s">
        <v>2312</v>
      </c>
      <c r="M83" s="61" t="s">
        <v>2312</v>
      </c>
    </row>
    <row r="84" spans="1:13" ht="26.25" x14ac:dyDescent="0.25">
      <c r="A84" s="44" t="s">
        <v>2376</v>
      </c>
      <c r="B84" s="61">
        <v>776</v>
      </c>
      <c r="C84" s="61">
        <v>546</v>
      </c>
      <c r="D84" s="61">
        <v>148</v>
      </c>
      <c r="E84" s="61">
        <v>46</v>
      </c>
      <c r="F84" s="61">
        <v>35</v>
      </c>
      <c r="G84" s="61">
        <v>2</v>
      </c>
      <c r="H84" s="61">
        <v>19543</v>
      </c>
      <c r="I84" s="61">
        <v>7058</v>
      </c>
      <c r="J84" s="61">
        <v>5201</v>
      </c>
      <c r="K84" s="61">
        <v>2210</v>
      </c>
      <c r="L84" s="61">
        <v>4081</v>
      </c>
      <c r="M84" s="61">
        <v>993</v>
      </c>
    </row>
    <row r="85" spans="1:13" x14ac:dyDescent="0.25">
      <c r="A85" s="42" t="s">
        <v>2377</v>
      </c>
      <c r="B85" s="61">
        <v>33</v>
      </c>
      <c r="C85" s="61">
        <v>21</v>
      </c>
      <c r="D85" s="61" t="s">
        <v>2312</v>
      </c>
      <c r="E85" s="61" t="s">
        <v>2312</v>
      </c>
      <c r="F85" s="61">
        <v>1</v>
      </c>
      <c r="G85" s="61">
        <v>1</v>
      </c>
      <c r="H85" s="61">
        <v>1573</v>
      </c>
      <c r="I85" s="61">
        <v>323</v>
      </c>
      <c r="J85" s="61" t="s">
        <v>2312</v>
      </c>
      <c r="K85" s="61" t="s">
        <v>2312</v>
      </c>
      <c r="L85" s="61">
        <v>469</v>
      </c>
      <c r="M85" s="61">
        <v>496</v>
      </c>
    </row>
    <row r="86" spans="1:13" x14ac:dyDescent="0.25">
      <c r="A86" s="42" t="s">
        <v>238</v>
      </c>
      <c r="B86" s="61">
        <v>185</v>
      </c>
      <c r="C86" s="61">
        <v>112</v>
      </c>
      <c r="D86" s="61">
        <v>48</v>
      </c>
      <c r="E86" s="61">
        <v>10</v>
      </c>
      <c r="F86" s="61">
        <v>14</v>
      </c>
      <c r="G86" s="61">
        <v>1</v>
      </c>
      <c r="H86" s="61">
        <v>5539</v>
      </c>
      <c r="I86" s="61">
        <v>1530</v>
      </c>
      <c r="J86" s="61">
        <v>1682</v>
      </c>
      <c r="K86" s="61">
        <v>655</v>
      </c>
      <c r="L86" s="61">
        <v>1473</v>
      </c>
      <c r="M86" s="61">
        <v>199</v>
      </c>
    </row>
    <row r="87" spans="1:13" x14ac:dyDescent="0.25">
      <c r="A87" s="42" t="s">
        <v>2378</v>
      </c>
      <c r="B87" s="61">
        <v>558</v>
      </c>
      <c r="C87" s="61">
        <v>413</v>
      </c>
      <c r="D87" s="61">
        <v>90</v>
      </c>
      <c r="E87" s="61">
        <v>35</v>
      </c>
      <c r="F87" s="61">
        <v>20</v>
      </c>
      <c r="G87" s="61" t="s">
        <v>2312</v>
      </c>
      <c r="H87" s="61">
        <v>12431</v>
      </c>
      <c r="I87" s="61">
        <v>5205</v>
      </c>
      <c r="J87" s="61">
        <v>3336</v>
      </c>
      <c r="K87" s="61">
        <v>1454</v>
      </c>
      <c r="L87" s="61">
        <v>2139</v>
      </c>
      <c r="M87" s="61" t="s">
        <v>2312</v>
      </c>
    </row>
    <row r="88" spans="1:13" ht="115.5" x14ac:dyDescent="0.25">
      <c r="A88" s="43" t="s">
        <v>2379</v>
      </c>
      <c r="B88" s="62" t="s">
        <v>28</v>
      </c>
      <c r="C88" s="62" t="s">
        <v>28</v>
      </c>
      <c r="D88" s="62" t="s">
        <v>28</v>
      </c>
      <c r="E88" s="62" t="s">
        <v>28</v>
      </c>
      <c r="F88" s="62" t="s">
        <v>28</v>
      </c>
      <c r="G88" s="62" t="s">
        <v>28</v>
      </c>
      <c r="H88" s="62" t="s">
        <v>28</v>
      </c>
      <c r="I88" s="62" t="s">
        <v>28</v>
      </c>
      <c r="J88" s="62" t="s">
        <v>28</v>
      </c>
      <c r="K88" s="62" t="s">
        <v>28</v>
      </c>
      <c r="L88" s="62" t="s">
        <v>28</v>
      </c>
      <c r="M88" s="62" t="s">
        <v>28</v>
      </c>
    </row>
    <row r="89" spans="1:13" ht="26.25" x14ac:dyDescent="0.25">
      <c r="A89" s="40" t="s">
        <v>2380</v>
      </c>
      <c r="B89" s="61">
        <v>4715</v>
      </c>
      <c r="C89" s="61">
        <v>3223</v>
      </c>
      <c r="D89" s="61">
        <v>992</v>
      </c>
      <c r="E89" s="61">
        <v>329</v>
      </c>
      <c r="F89" s="61">
        <v>159</v>
      </c>
      <c r="G89" s="61">
        <v>12</v>
      </c>
      <c r="H89" s="61">
        <v>73702</v>
      </c>
      <c r="I89" s="61">
        <v>31061</v>
      </c>
      <c r="J89" s="61">
        <v>17556</v>
      </c>
      <c r="K89" s="61">
        <v>7461</v>
      </c>
      <c r="L89" s="61">
        <v>12524</v>
      </c>
      <c r="M89" s="61">
        <v>5099</v>
      </c>
    </row>
    <row r="90" spans="1:13" ht="39" x14ac:dyDescent="0.25">
      <c r="A90" s="44" t="s">
        <v>2381</v>
      </c>
      <c r="B90" s="61">
        <v>724</v>
      </c>
      <c r="C90" s="61">
        <v>537</v>
      </c>
      <c r="D90" s="61">
        <v>137</v>
      </c>
      <c r="E90" s="61">
        <v>38</v>
      </c>
      <c r="F90" s="61">
        <v>12</v>
      </c>
      <c r="G90" s="61" t="s">
        <v>2312</v>
      </c>
      <c r="H90" s="61">
        <v>11309</v>
      </c>
      <c r="I90" s="61">
        <v>7944</v>
      </c>
      <c r="J90" s="61">
        <v>2193</v>
      </c>
      <c r="K90" s="61">
        <v>507</v>
      </c>
      <c r="L90" s="61">
        <v>612</v>
      </c>
      <c r="M90" s="61" t="s">
        <v>2312</v>
      </c>
    </row>
    <row r="91" spans="1:13" ht="39" x14ac:dyDescent="0.25">
      <c r="A91" s="44" t="s">
        <v>2382</v>
      </c>
      <c r="B91" s="61">
        <v>54</v>
      </c>
      <c r="C91" s="61">
        <v>41</v>
      </c>
      <c r="D91" s="61">
        <v>8</v>
      </c>
      <c r="E91" s="61" t="s">
        <v>2312</v>
      </c>
      <c r="F91" s="61" t="s">
        <v>2312</v>
      </c>
      <c r="G91" s="61" t="s">
        <v>2312</v>
      </c>
      <c r="H91" s="61">
        <v>1250</v>
      </c>
      <c r="I91" s="61">
        <v>438</v>
      </c>
      <c r="J91" s="61">
        <v>176</v>
      </c>
      <c r="K91" s="61" t="s">
        <v>2312</v>
      </c>
      <c r="L91" s="61" t="s">
        <v>2312</v>
      </c>
      <c r="M91" s="61" t="s">
        <v>2312</v>
      </c>
    </row>
    <row r="92" spans="1:13" x14ac:dyDescent="0.25">
      <c r="A92" s="40" t="s">
        <v>2383</v>
      </c>
      <c r="B92" s="61">
        <v>64</v>
      </c>
      <c r="C92" s="61">
        <v>35</v>
      </c>
      <c r="D92" s="61" t="s">
        <v>2312</v>
      </c>
      <c r="E92" s="61" t="s">
        <v>2312</v>
      </c>
      <c r="F92" s="61" t="s">
        <v>2312</v>
      </c>
      <c r="G92" s="61" t="s">
        <v>2312</v>
      </c>
      <c r="H92" s="61">
        <v>832</v>
      </c>
      <c r="I92" s="61">
        <v>366</v>
      </c>
      <c r="J92" s="61" t="s">
        <v>2312</v>
      </c>
      <c r="K92" s="61" t="s">
        <v>2312</v>
      </c>
      <c r="L92" s="61" t="s">
        <v>2312</v>
      </c>
      <c r="M92" s="61" t="s">
        <v>2312</v>
      </c>
    </row>
    <row r="93" spans="1:13" ht="102.75" x14ac:dyDescent="0.25">
      <c r="A93" s="43" t="s">
        <v>2580</v>
      </c>
      <c r="B93" s="62" t="s">
        <v>28</v>
      </c>
      <c r="C93" s="62" t="s">
        <v>28</v>
      </c>
      <c r="D93" s="62" t="s">
        <v>28</v>
      </c>
      <c r="E93" s="62" t="s">
        <v>28</v>
      </c>
      <c r="F93" s="62" t="s">
        <v>28</v>
      </c>
      <c r="G93" s="62" t="s">
        <v>28</v>
      </c>
      <c r="H93" s="62" t="s">
        <v>28</v>
      </c>
      <c r="I93" s="62" t="s">
        <v>28</v>
      </c>
      <c r="J93" s="62" t="s">
        <v>28</v>
      </c>
      <c r="K93" s="62" t="s">
        <v>28</v>
      </c>
      <c r="L93" s="62" t="s">
        <v>28</v>
      </c>
      <c r="M93" s="62" t="s">
        <v>28</v>
      </c>
    </row>
    <row r="94" spans="1:13" ht="26.25" x14ac:dyDescent="0.25">
      <c r="A94" s="40" t="s">
        <v>2380</v>
      </c>
      <c r="B94" s="61">
        <v>4876</v>
      </c>
      <c r="C94" s="61">
        <v>3347</v>
      </c>
      <c r="D94" s="61">
        <v>1013</v>
      </c>
      <c r="E94" s="61">
        <v>343</v>
      </c>
      <c r="F94" s="61">
        <v>161</v>
      </c>
      <c r="G94" s="61">
        <v>12</v>
      </c>
      <c r="H94" s="61">
        <v>76271</v>
      </c>
      <c r="I94" s="61">
        <v>32776</v>
      </c>
      <c r="J94" s="61">
        <v>18070</v>
      </c>
      <c r="K94" s="61">
        <v>7744</v>
      </c>
      <c r="L94" s="61">
        <v>12529</v>
      </c>
      <c r="M94" s="61">
        <v>5151</v>
      </c>
    </row>
    <row r="95" spans="1:13" ht="39" x14ac:dyDescent="0.25">
      <c r="A95" s="44" t="s">
        <v>2381</v>
      </c>
      <c r="B95" s="61">
        <v>540</v>
      </c>
      <c r="C95" s="61">
        <v>394</v>
      </c>
      <c r="D95" s="61">
        <v>114</v>
      </c>
      <c r="E95" s="61">
        <v>22</v>
      </c>
      <c r="F95" s="61">
        <v>10</v>
      </c>
      <c r="G95" s="61" t="s">
        <v>2312</v>
      </c>
      <c r="H95" s="61">
        <v>8256</v>
      </c>
      <c r="I95" s="61">
        <v>5688</v>
      </c>
      <c r="J95" s="61">
        <v>1655</v>
      </c>
      <c r="K95" s="61">
        <v>250</v>
      </c>
      <c r="L95" s="61">
        <v>610</v>
      </c>
      <c r="M95" s="61" t="s">
        <v>2312</v>
      </c>
    </row>
    <row r="96" spans="1:13" ht="39" x14ac:dyDescent="0.25">
      <c r="A96" s="44" t="s">
        <v>2382</v>
      </c>
      <c r="B96" s="61">
        <v>35</v>
      </c>
      <c r="C96" s="61">
        <v>26</v>
      </c>
      <c r="D96" s="61" t="s">
        <v>2312</v>
      </c>
      <c r="E96" s="61" t="s">
        <v>2312</v>
      </c>
      <c r="F96" s="61" t="s">
        <v>2312</v>
      </c>
      <c r="G96" s="61" t="s">
        <v>2312</v>
      </c>
      <c r="H96" s="61">
        <v>880</v>
      </c>
      <c r="I96" s="61">
        <v>378</v>
      </c>
      <c r="J96" s="61" t="s">
        <v>2312</v>
      </c>
      <c r="K96" s="61" t="s">
        <v>2312</v>
      </c>
      <c r="L96" s="61" t="s">
        <v>2312</v>
      </c>
      <c r="M96" s="61" t="s">
        <v>2312</v>
      </c>
    </row>
    <row r="97" spans="1:13" x14ac:dyDescent="0.25">
      <c r="A97" s="40" t="s">
        <v>2383</v>
      </c>
      <c r="B97" s="61">
        <v>106</v>
      </c>
      <c r="C97" s="61">
        <v>70</v>
      </c>
      <c r="D97" s="61">
        <v>26</v>
      </c>
      <c r="E97" s="61" t="s">
        <v>2312</v>
      </c>
      <c r="F97" s="61" t="s">
        <v>2312</v>
      </c>
      <c r="G97" s="61" t="s">
        <v>2312</v>
      </c>
      <c r="H97" s="61">
        <v>1686</v>
      </c>
      <c r="I97" s="61">
        <v>967</v>
      </c>
      <c r="J97" s="61">
        <v>360</v>
      </c>
      <c r="K97" s="61" t="s">
        <v>2312</v>
      </c>
      <c r="L97" s="61" t="s">
        <v>2312</v>
      </c>
      <c r="M97" s="61" t="s">
        <v>2312</v>
      </c>
    </row>
    <row r="98" spans="1:13" ht="51.75" x14ac:dyDescent="0.25">
      <c r="A98" s="43" t="s">
        <v>2385</v>
      </c>
      <c r="B98" s="62" t="s">
        <v>28</v>
      </c>
      <c r="C98" s="62" t="s">
        <v>28</v>
      </c>
      <c r="D98" s="62" t="s">
        <v>28</v>
      </c>
      <c r="E98" s="62" t="s">
        <v>28</v>
      </c>
      <c r="F98" s="62" t="s">
        <v>28</v>
      </c>
      <c r="G98" s="62" t="s">
        <v>28</v>
      </c>
      <c r="H98" s="62" t="s">
        <v>28</v>
      </c>
      <c r="I98" s="62" t="s">
        <v>28</v>
      </c>
      <c r="J98" s="62" t="s">
        <v>28</v>
      </c>
      <c r="K98" s="62" t="s">
        <v>28</v>
      </c>
      <c r="L98" s="62" t="s">
        <v>28</v>
      </c>
      <c r="M98" s="62" t="s">
        <v>28</v>
      </c>
    </row>
    <row r="99" spans="1:13" x14ac:dyDescent="0.25">
      <c r="A99" s="40" t="s">
        <v>2344</v>
      </c>
      <c r="B99" s="61">
        <v>4205</v>
      </c>
      <c r="C99" s="61">
        <v>2997</v>
      </c>
      <c r="D99" s="61">
        <v>833</v>
      </c>
      <c r="E99" s="61">
        <v>259</v>
      </c>
      <c r="F99" s="61">
        <v>112</v>
      </c>
      <c r="G99" s="61">
        <v>4</v>
      </c>
      <c r="H99" s="61">
        <v>54994</v>
      </c>
      <c r="I99" s="61">
        <v>25686</v>
      </c>
      <c r="J99" s="61">
        <v>14210</v>
      </c>
      <c r="K99" s="61">
        <v>5591</v>
      </c>
      <c r="L99" s="61">
        <v>7895</v>
      </c>
      <c r="M99" s="61">
        <v>1613</v>
      </c>
    </row>
    <row r="100" spans="1:13" x14ac:dyDescent="0.25">
      <c r="A100" s="44" t="s">
        <v>2386</v>
      </c>
      <c r="B100" s="61">
        <v>862</v>
      </c>
      <c r="C100" s="61">
        <v>510</v>
      </c>
      <c r="D100" s="61">
        <v>224</v>
      </c>
      <c r="E100" s="61">
        <v>87</v>
      </c>
      <c r="F100" s="61">
        <v>39</v>
      </c>
      <c r="G100" s="61">
        <v>3</v>
      </c>
      <c r="H100" s="61">
        <v>17756</v>
      </c>
      <c r="I100" s="61">
        <v>7605</v>
      </c>
      <c r="J100" s="61">
        <v>3755</v>
      </c>
      <c r="K100" s="61">
        <v>1810</v>
      </c>
      <c r="L100" s="61">
        <v>3323</v>
      </c>
      <c r="M100" s="61">
        <v>1263</v>
      </c>
    </row>
    <row r="101" spans="1:13" x14ac:dyDescent="0.25">
      <c r="A101" s="44" t="s">
        <v>2387</v>
      </c>
      <c r="B101" s="61">
        <v>147</v>
      </c>
      <c r="C101" s="61">
        <v>87</v>
      </c>
      <c r="D101" s="61">
        <v>38</v>
      </c>
      <c r="E101" s="61">
        <v>10</v>
      </c>
      <c r="F101" s="61">
        <v>10</v>
      </c>
      <c r="G101" s="61">
        <v>1</v>
      </c>
      <c r="H101" s="61">
        <v>4425</v>
      </c>
      <c r="I101" s="61">
        <v>2016</v>
      </c>
      <c r="J101" s="61">
        <v>891</v>
      </c>
      <c r="K101" s="61">
        <v>254</v>
      </c>
      <c r="L101" s="61">
        <v>746</v>
      </c>
      <c r="M101" s="61">
        <v>518</v>
      </c>
    </row>
    <row r="102" spans="1:13" x14ac:dyDescent="0.25">
      <c r="A102" s="40" t="s">
        <v>2388</v>
      </c>
      <c r="B102" s="61">
        <v>68</v>
      </c>
      <c r="C102" s="61">
        <v>39</v>
      </c>
      <c r="D102" s="61">
        <v>16</v>
      </c>
      <c r="E102" s="61" t="s">
        <v>2312</v>
      </c>
      <c r="F102" s="61">
        <v>6</v>
      </c>
      <c r="G102" s="61">
        <v>2</v>
      </c>
      <c r="H102" s="61">
        <v>3704</v>
      </c>
      <c r="I102" s="61">
        <v>1851</v>
      </c>
      <c r="J102" s="61">
        <v>467</v>
      </c>
      <c r="K102" s="61" t="s">
        <v>2312</v>
      </c>
      <c r="L102" s="61">
        <v>532</v>
      </c>
      <c r="M102" s="61">
        <v>638</v>
      </c>
    </row>
    <row r="103" spans="1:13" ht="26.25" x14ac:dyDescent="0.25">
      <c r="A103" s="44" t="s">
        <v>2389</v>
      </c>
      <c r="B103" s="61">
        <v>27</v>
      </c>
      <c r="C103" s="61">
        <v>17</v>
      </c>
      <c r="D103" s="61">
        <v>2</v>
      </c>
      <c r="E103" s="61" t="s">
        <v>2312</v>
      </c>
      <c r="F103" s="61">
        <v>4</v>
      </c>
      <c r="G103" s="61">
        <v>3</v>
      </c>
      <c r="H103" s="61">
        <v>3821</v>
      </c>
      <c r="I103" s="61">
        <v>1183</v>
      </c>
      <c r="J103" s="61">
        <v>439</v>
      </c>
      <c r="K103" s="61" t="s">
        <v>2312</v>
      </c>
      <c r="L103" s="61">
        <v>720</v>
      </c>
      <c r="M103" s="61">
        <v>1327</v>
      </c>
    </row>
    <row r="104" spans="1:13" ht="39" x14ac:dyDescent="0.25">
      <c r="A104" s="44" t="s">
        <v>2390</v>
      </c>
      <c r="B104" s="60">
        <v>248</v>
      </c>
      <c r="C104" s="60">
        <v>186</v>
      </c>
      <c r="D104" s="60">
        <v>45</v>
      </c>
      <c r="E104" s="60" t="s">
        <v>2312</v>
      </c>
      <c r="F104" s="60" t="s">
        <v>2312</v>
      </c>
      <c r="G104" s="60" t="s">
        <v>2312</v>
      </c>
      <c r="H104" s="60">
        <v>2393</v>
      </c>
      <c r="I104" s="60">
        <v>1470</v>
      </c>
      <c r="J104" s="60">
        <v>444</v>
      </c>
      <c r="K104" s="60" t="s">
        <v>2312</v>
      </c>
      <c r="L104" s="60" t="s">
        <v>2312</v>
      </c>
      <c r="M104" s="60" t="s">
        <v>2312</v>
      </c>
    </row>
    <row r="105" spans="1:13" ht="51.75" x14ac:dyDescent="0.25">
      <c r="A105" s="43" t="s">
        <v>2391</v>
      </c>
      <c r="B105" s="60" t="s">
        <v>28</v>
      </c>
      <c r="C105" s="60" t="s">
        <v>28</v>
      </c>
      <c r="D105" s="60" t="s">
        <v>28</v>
      </c>
      <c r="E105" s="60" t="s">
        <v>28</v>
      </c>
      <c r="F105" s="60" t="s">
        <v>28</v>
      </c>
      <c r="G105" s="60" t="s">
        <v>28</v>
      </c>
      <c r="H105" s="60" t="s">
        <v>28</v>
      </c>
      <c r="I105" s="60" t="s">
        <v>28</v>
      </c>
      <c r="J105" s="60" t="s">
        <v>28</v>
      </c>
      <c r="K105" s="60" t="s">
        <v>28</v>
      </c>
      <c r="L105" s="60" t="s">
        <v>28</v>
      </c>
      <c r="M105" s="60" t="s">
        <v>28</v>
      </c>
    </row>
    <row r="106" spans="1:13" ht="64.5" x14ac:dyDescent="0.25">
      <c r="A106" s="40" t="s">
        <v>2392</v>
      </c>
      <c r="B106" s="60">
        <v>3683</v>
      </c>
      <c r="C106" s="60">
        <v>2470</v>
      </c>
      <c r="D106" s="60">
        <v>817</v>
      </c>
      <c r="E106" s="60">
        <v>272</v>
      </c>
      <c r="F106" s="60">
        <v>116</v>
      </c>
      <c r="G106" s="60">
        <v>8</v>
      </c>
      <c r="H106" s="60">
        <v>52275</v>
      </c>
      <c r="I106" s="60">
        <v>24692</v>
      </c>
      <c r="J106" s="60">
        <v>13112</v>
      </c>
      <c r="K106" s="60">
        <v>4929</v>
      </c>
      <c r="L106" s="60">
        <v>6580</v>
      </c>
      <c r="M106" s="60">
        <v>2961</v>
      </c>
    </row>
    <row r="107" spans="1:13" ht="51.75" x14ac:dyDescent="0.25">
      <c r="A107" s="44" t="s">
        <v>2393</v>
      </c>
      <c r="B107" s="60">
        <v>237</v>
      </c>
      <c r="C107" s="60">
        <v>196</v>
      </c>
      <c r="D107" s="60">
        <v>31</v>
      </c>
      <c r="E107" s="60">
        <v>8</v>
      </c>
      <c r="F107" s="60" t="s">
        <v>2312</v>
      </c>
      <c r="G107" s="60" t="s">
        <v>2402</v>
      </c>
      <c r="H107" s="60">
        <v>4616</v>
      </c>
      <c r="I107" s="60">
        <v>2284</v>
      </c>
      <c r="J107" s="60">
        <v>1374</v>
      </c>
      <c r="K107" s="60">
        <v>553</v>
      </c>
      <c r="L107" s="60" t="s">
        <v>2312</v>
      </c>
      <c r="M107" s="60" t="s">
        <v>2402</v>
      </c>
    </row>
    <row r="108" spans="1:13" ht="26.25" x14ac:dyDescent="0.25">
      <c r="A108" s="44" t="s">
        <v>2394</v>
      </c>
      <c r="B108" s="60">
        <v>84</v>
      </c>
      <c r="C108" s="60">
        <v>25</v>
      </c>
      <c r="D108" s="60">
        <v>18</v>
      </c>
      <c r="E108" s="60">
        <v>17</v>
      </c>
      <c r="F108" s="60">
        <v>23</v>
      </c>
      <c r="G108" s="60" t="s">
        <v>2312</v>
      </c>
      <c r="H108" s="60">
        <v>4068</v>
      </c>
      <c r="I108" s="60">
        <v>359</v>
      </c>
      <c r="J108" s="60">
        <v>640</v>
      </c>
      <c r="K108" s="60">
        <v>653</v>
      </c>
      <c r="L108" s="60">
        <v>2125</v>
      </c>
      <c r="M108" s="60" t="s">
        <v>2312</v>
      </c>
    </row>
    <row r="109" spans="1:13" ht="26.25" x14ac:dyDescent="0.25">
      <c r="A109" s="40" t="s">
        <v>2395</v>
      </c>
      <c r="B109" s="60">
        <v>154</v>
      </c>
      <c r="C109" s="60">
        <v>82</v>
      </c>
      <c r="D109" s="60">
        <v>53</v>
      </c>
      <c r="E109" s="60">
        <v>12</v>
      </c>
      <c r="F109" s="60">
        <v>6</v>
      </c>
      <c r="G109" s="60">
        <v>1</v>
      </c>
      <c r="H109" s="60">
        <v>3456</v>
      </c>
      <c r="I109" s="60">
        <v>830</v>
      </c>
      <c r="J109" s="60">
        <v>745</v>
      </c>
      <c r="K109" s="60">
        <v>347</v>
      </c>
      <c r="L109" s="60">
        <v>809</v>
      </c>
      <c r="M109" s="60">
        <v>725</v>
      </c>
    </row>
    <row r="110" spans="1:13" ht="26.25" x14ac:dyDescent="0.25">
      <c r="A110" s="44" t="s">
        <v>2396</v>
      </c>
      <c r="B110" s="60">
        <v>258</v>
      </c>
      <c r="C110" s="60">
        <v>208</v>
      </c>
      <c r="D110" s="60">
        <v>40</v>
      </c>
      <c r="E110" s="60" t="s">
        <v>2312</v>
      </c>
      <c r="F110" s="60" t="s">
        <v>2312</v>
      </c>
      <c r="G110" s="60" t="s">
        <v>2312</v>
      </c>
      <c r="H110" s="60">
        <v>5159</v>
      </c>
      <c r="I110" s="60">
        <v>4061</v>
      </c>
      <c r="J110" s="60">
        <v>889</v>
      </c>
      <c r="K110" s="60" t="s">
        <v>2312</v>
      </c>
      <c r="L110" s="60" t="s">
        <v>2312</v>
      </c>
      <c r="M110" s="60" t="s">
        <v>2312</v>
      </c>
    </row>
    <row r="111" spans="1:13" ht="26.25" x14ac:dyDescent="0.25">
      <c r="A111" s="44" t="s">
        <v>2397</v>
      </c>
      <c r="B111" s="60">
        <v>314</v>
      </c>
      <c r="C111" s="60">
        <v>288</v>
      </c>
      <c r="D111" s="60">
        <v>20</v>
      </c>
      <c r="E111" s="60" t="s">
        <v>2312</v>
      </c>
      <c r="F111" s="60" t="s">
        <v>2312</v>
      </c>
      <c r="G111" s="60" t="s">
        <v>2402</v>
      </c>
      <c r="H111" s="60">
        <v>3212</v>
      </c>
      <c r="I111" s="60">
        <v>2468</v>
      </c>
      <c r="J111" s="60">
        <v>404</v>
      </c>
      <c r="K111" s="60" t="s">
        <v>2312</v>
      </c>
      <c r="L111" s="60" t="s">
        <v>2312</v>
      </c>
      <c r="M111" s="60" t="s">
        <v>2402</v>
      </c>
    </row>
    <row r="112" spans="1:13" ht="51.75" x14ac:dyDescent="0.25">
      <c r="A112" s="40" t="s">
        <v>2398</v>
      </c>
      <c r="B112" s="60">
        <v>197</v>
      </c>
      <c r="C112" s="60">
        <v>119</v>
      </c>
      <c r="D112" s="60">
        <v>61</v>
      </c>
      <c r="E112" s="60">
        <v>13</v>
      </c>
      <c r="F112" s="60" t="s">
        <v>2312</v>
      </c>
      <c r="G112" s="60" t="s">
        <v>2312</v>
      </c>
      <c r="H112" s="60">
        <v>1932</v>
      </c>
      <c r="I112" s="60">
        <v>749</v>
      </c>
      <c r="J112" s="60">
        <v>831</v>
      </c>
      <c r="K112" s="60">
        <v>239</v>
      </c>
      <c r="L112" s="60" t="s">
        <v>2312</v>
      </c>
      <c r="M112" s="60" t="s">
        <v>2312</v>
      </c>
    </row>
    <row r="113" spans="1:13" ht="39" x14ac:dyDescent="0.25">
      <c r="A113" s="44" t="s">
        <v>2399</v>
      </c>
      <c r="B113" s="60">
        <v>52</v>
      </c>
      <c r="C113" s="60">
        <v>28</v>
      </c>
      <c r="D113" s="60">
        <v>11</v>
      </c>
      <c r="E113" s="60">
        <v>5</v>
      </c>
      <c r="F113" s="60">
        <v>8</v>
      </c>
      <c r="G113" s="60">
        <v>1</v>
      </c>
      <c r="H113" s="60">
        <v>3362</v>
      </c>
      <c r="I113" s="60">
        <v>319</v>
      </c>
      <c r="J113" s="60" t="s">
        <v>2312</v>
      </c>
      <c r="K113" s="60">
        <v>341</v>
      </c>
      <c r="L113" s="60">
        <v>1727</v>
      </c>
      <c r="M113" s="60">
        <v>556</v>
      </c>
    </row>
    <row r="114" spans="1:13" ht="39" x14ac:dyDescent="0.25">
      <c r="A114" s="44" t="s">
        <v>2400</v>
      </c>
      <c r="B114" s="60">
        <v>65</v>
      </c>
      <c r="C114" s="60">
        <v>36</v>
      </c>
      <c r="D114" s="60">
        <v>24</v>
      </c>
      <c r="E114" s="60" t="s">
        <v>2312</v>
      </c>
      <c r="F114" s="60" t="s">
        <v>2312</v>
      </c>
      <c r="G114" s="60" t="s">
        <v>2312</v>
      </c>
      <c r="H114" s="60">
        <v>1295</v>
      </c>
      <c r="I114" s="60">
        <v>210</v>
      </c>
      <c r="J114" s="60">
        <v>334</v>
      </c>
      <c r="K114" s="60" t="s">
        <v>2312</v>
      </c>
      <c r="L114" s="60" t="s">
        <v>2312</v>
      </c>
      <c r="M114" s="60" t="s">
        <v>2312</v>
      </c>
    </row>
    <row r="115" spans="1:13" ht="39" x14ac:dyDescent="0.25">
      <c r="A115" s="40" t="s">
        <v>2401</v>
      </c>
      <c r="B115" s="60">
        <v>35</v>
      </c>
      <c r="C115" s="60">
        <v>27</v>
      </c>
      <c r="D115" s="60" t="s">
        <v>2312</v>
      </c>
      <c r="E115" s="60" t="s">
        <v>2312</v>
      </c>
      <c r="F115" s="60" t="s">
        <v>2312</v>
      </c>
      <c r="G115" s="60" t="s">
        <v>2312</v>
      </c>
      <c r="H115" s="60">
        <v>554</v>
      </c>
      <c r="I115" s="60">
        <v>275</v>
      </c>
      <c r="J115" s="60" t="s">
        <v>2312</v>
      </c>
      <c r="K115" s="60" t="s">
        <v>2312</v>
      </c>
      <c r="L115" s="60" t="s">
        <v>2312</v>
      </c>
      <c r="M115" s="60" t="s">
        <v>2312</v>
      </c>
    </row>
    <row r="116" spans="1:13" ht="39" x14ac:dyDescent="0.25">
      <c r="A116" s="44" t="s">
        <v>2403</v>
      </c>
      <c r="B116" s="60">
        <v>104</v>
      </c>
      <c r="C116" s="60">
        <v>71</v>
      </c>
      <c r="D116" s="60">
        <v>23</v>
      </c>
      <c r="E116" s="60" t="s">
        <v>2312</v>
      </c>
      <c r="F116" s="60">
        <v>3</v>
      </c>
      <c r="G116" s="60" t="s">
        <v>2312</v>
      </c>
      <c r="H116" s="60">
        <v>2107</v>
      </c>
      <c r="I116" s="60">
        <v>523</v>
      </c>
      <c r="J116" s="60">
        <v>461</v>
      </c>
      <c r="K116" s="60" t="s">
        <v>2312</v>
      </c>
      <c r="L116" s="60">
        <v>476</v>
      </c>
      <c r="M116" s="60" t="s">
        <v>2312</v>
      </c>
    </row>
    <row r="117" spans="1:13" x14ac:dyDescent="0.25">
      <c r="A117" s="44" t="s">
        <v>2383</v>
      </c>
      <c r="B117" s="60">
        <v>371</v>
      </c>
      <c r="C117" s="60">
        <v>287</v>
      </c>
      <c r="D117" s="60">
        <v>58</v>
      </c>
      <c r="E117" s="60">
        <v>19</v>
      </c>
      <c r="F117" s="60">
        <v>8</v>
      </c>
      <c r="G117" s="60" t="s">
        <v>2312</v>
      </c>
      <c r="H117" s="60">
        <v>5057</v>
      </c>
      <c r="I117" s="60">
        <v>3040</v>
      </c>
      <c r="J117" s="60">
        <v>893</v>
      </c>
      <c r="K117" s="60">
        <v>360</v>
      </c>
      <c r="L117" s="60">
        <v>682</v>
      </c>
      <c r="M117" s="60" t="s">
        <v>2312</v>
      </c>
    </row>
    <row r="118" spans="1:13" ht="64.5" x14ac:dyDescent="0.25">
      <c r="A118" s="43" t="s">
        <v>2404</v>
      </c>
      <c r="B118" s="62" t="s">
        <v>28</v>
      </c>
      <c r="C118" s="62" t="s">
        <v>28</v>
      </c>
      <c r="D118" s="62" t="s">
        <v>28</v>
      </c>
      <c r="E118" s="62" t="s">
        <v>28</v>
      </c>
      <c r="F118" s="62" t="s">
        <v>28</v>
      </c>
      <c r="G118" s="62" t="s">
        <v>28</v>
      </c>
      <c r="H118" s="62" t="s">
        <v>28</v>
      </c>
      <c r="I118" s="62" t="s">
        <v>28</v>
      </c>
      <c r="J118" s="62" t="s">
        <v>28</v>
      </c>
      <c r="K118" s="62" t="s">
        <v>28</v>
      </c>
      <c r="L118" s="62" t="s">
        <v>28</v>
      </c>
      <c r="M118" s="62" t="s">
        <v>28</v>
      </c>
    </row>
    <row r="119" spans="1:13" ht="39" x14ac:dyDescent="0.25">
      <c r="A119" s="40" t="s">
        <v>2405</v>
      </c>
      <c r="B119" s="61">
        <v>2312</v>
      </c>
      <c r="C119" s="61">
        <v>1438</v>
      </c>
      <c r="D119" s="61">
        <v>542</v>
      </c>
      <c r="E119" s="61">
        <v>211</v>
      </c>
      <c r="F119" s="61">
        <v>117</v>
      </c>
      <c r="G119" s="61">
        <v>5</v>
      </c>
      <c r="H119" s="61">
        <v>40463</v>
      </c>
      <c r="I119" s="61">
        <v>15139</v>
      </c>
      <c r="J119" s="61">
        <v>9534</v>
      </c>
      <c r="K119" s="61">
        <v>5280</v>
      </c>
      <c r="L119" s="61">
        <v>8553</v>
      </c>
      <c r="M119" s="61">
        <v>1957</v>
      </c>
    </row>
    <row r="120" spans="1:13" ht="39" x14ac:dyDescent="0.25">
      <c r="A120" s="44" t="s">
        <v>2406</v>
      </c>
      <c r="B120" s="61">
        <v>1121</v>
      </c>
      <c r="C120" s="61">
        <v>812</v>
      </c>
      <c r="D120" s="61">
        <v>244</v>
      </c>
      <c r="E120" s="61">
        <v>39</v>
      </c>
      <c r="F120" s="61">
        <v>24</v>
      </c>
      <c r="G120" s="61">
        <v>3</v>
      </c>
      <c r="H120" s="61">
        <v>20726</v>
      </c>
      <c r="I120" s="61">
        <v>10766</v>
      </c>
      <c r="J120" s="61">
        <v>5215</v>
      </c>
      <c r="K120" s="61">
        <v>1280</v>
      </c>
      <c r="L120" s="61">
        <v>2263</v>
      </c>
      <c r="M120" s="61">
        <v>1202</v>
      </c>
    </row>
    <row r="121" spans="1:13" ht="26.25" x14ac:dyDescent="0.25">
      <c r="A121" s="44" t="s">
        <v>2407</v>
      </c>
      <c r="B121" s="61">
        <v>210</v>
      </c>
      <c r="C121" s="61">
        <v>148</v>
      </c>
      <c r="D121" s="61">
        <v>40</v>
      </c>
      <c r="E121" s="61">
        <v>9</v>
      </c>
      <c r="F121" s="61">
        <v>10</v>
      </c>
      <c r="G121" s="61">
        <v>3</v>
      </c>
      <c r="H121" s="61">
        <v>8693</v>
      </c>
      <c r="I121" s="61">
        <v>3781</v>
      </c>
      <c r="J121" s="61">
        <v>1753</v>
      </c>
      <c r="K121" s="61">
        <v>423</v>
      </c>
      <c r="L121" s="61">
        <v>1563</v>
      </c>
      <c r="M121" s="61">
        <v>1173</v>
      </c>
    </row>
    <row r="122" spans="1:13" ht="26.25" x14ac:dyDescent="0.25">
      <c r="A122" s="40" t="s">
        <v>2408</v>
      </c>
      <c r="B122" s="61">
        <v>905</v>
      </c>
      <c r="C122" s="61">
        <v>570</v>
      </c>
      <c r="D122" s="61">
        <v>215</v>
      </c>
      <c r="E122" s="61">
        <v>97</v>
      </c>
      <c r="F122" s="61">
        <v>22</v>
      </c>
      <c r="G122" s="61" t="s">
        <v>2312</v>
      </c>
      <c r="H122" s="61">
        <v>5750</v>
      </c>
      <c r="I122" s="61">
        <v>2938</v>
      </c>
      <c r="J122" s="61">
        <v>1610</v>
      </c>
      <c r="K122" s="61">
        <v>708</v>
      </c>
      <c r="L122" s="61">
        <v>400</v>
      </c>
      <c r="M122" s="61" t="s">
        <v>2312</v>
      </c>
    </row>
    <row r="123" spans="1:13" ht="26.25" x14ac:dyDescent="0.25">
      <c r="A123" s="44" t="s">
        <v>2409</v>
      </c>
      <c r="B123" s="61">
        <v>933</v>
      </c>
      <c r="C123" s="61">
        <v>824</v>
      </c>
      <c r="D123" s="61">
        <v>98</v>
      </c>
      <c r="E123" s="61" t="s">
        <v>2312</v>
      </c>
      <c r="F123" s="61" t="s">
        <v>2312</v>
      </c>
      <c r="G123" s="61" t="s">
        <v>2312</v>
      </c>
      <c r="H123" s="61">
        <v>8673</v>
      </c>
      <c r="I123" s="61">
        <v>6511</v>
      </c>
      <c r="J123" s="61">
        <v>1696</v>
      </c>
      <c r="K123" s="61" t="s">
        <v>2312</v>
      </c>
      <c r="L123" s="61" t="s">
        <v>2312</v>
      </c>
      <c r="M123" s="61" t="s">
        <v>2312</v>
      </c>
    </row>
    <row r="124" spans="1:13" ht="26.25" x14ac:dyDescent="0.25">
      <c r="A124" s="44" t="s">
        <v>2410</v>
      </c>
      <c r="B124" s="60">
        <v>17</v>
      </c>
      <c r="C124" s="60" t="s">
        <v>2312</v>
      </c>
      <c r="D124" s="60" t="s">
        <v>2312</v>
      </c>
      <c r="E124" s="60" t="s">
        <v>2312</v>
      </c>
      <c r="F124" s="60">
        <v>2</v>
      </c>
      <c r="G124" s="60">
        <v>1</v>
      </c>
      <c r="H124" s="60">
        <v>1340</v>
      </c>
      <c r="I124" s="60" t="s">
        <v>2312</v>
      </c>
      <c r="J124" s="60" t="s">
        <v>2312</v>
      </c>
      <c r="K124" s="60" t="s">
        <v>2312</v>
      </c>
      <c r="L124" s="60">
        <v>396</v>
      </c>
      <c r="M124" s="60">
        <v>590</v>
      </c>
    </row>
    <row r="125" spans="1:13" x14ac:dyDescent="0.25">
      <c r="A125" s="44" t="s">
        <v>2383</v>
      </c>
      <c r="B125" s="60">
        <v>37</v>
      </c>
      <c r="C125" s="60">
        <v>26</v>
      </c>
      <c r="D125" s="60" t="s">
        <v>2312</v>
      </c>
      <c r="E125" s="60" t="s">
        <v>2312</v>
      </c>
      <c r="F125" s="60" t="s">
        <v>2312</v>
      </c>
      <c r="G125" s="60" t="s">
        <v>2312</v>
      </c>
      <c r="H125" s="60">
        <v>856</v>
      </c>
      <c r="I125" s="60">
        <v>353</v>
      </c>
      <c r="J125" s="60" t="s">
        <v>2312</v>
      </c>
      <c r="K125" s="60" t="s">
        <v>2312</v>
      </c>
      <c r="L125" s="60" t="s">
        <v>2312</v>
      </c>
      <c r="M125" s="60" t="s">
        <v>2312</v>
      </c>
    </row>
    <row r="126" spans="1:13" ht="39" x14ac:dyDescent="0.25">
      <c r="A126" s="44" t="s">
        <v>2411</v>
      </c>
      <c r="B126" s="60">
        <v>21</v>
      </c>
      <c r="C126" s="60" t="s">
        <v>2312</v>
      </c>
      <c r="D126" s="60" t="s">
        <v>2312</v>
      </c>
      <c r="E126" s="60" t="s">
        <v>2312</v>
      </c>
      <c r="F126" s="60" t="s">
        <v>2312</v>
      </c>
      <c r="G126" s="60" t="s">
        <v>2312</v>
      </c>
      <c r="H126" s="60">
        <v>592</v>
      </c>
      <c r="I126" s="60" t="s">
        <v>2312</v>
      </c>
      <c r="J126" s="60" t="s">
        <v>2312</v>
      </c>
      <c r="K126" s="60" t="s">
        <v>2312</v>
      </c>
      <c r="L126" s="60" t="s">
        <v>2312</v>
      </c>
      <c r="M126" s="60" t="s">
        <v>2312</v>
      </c>
    </row>
    <row r="127" spans="1:13" ht="39" x14ac:dyDescent="0.25">
      <c r="A127" s="43" t="s">
        <v>2412</v>
      </c>
      <c r="B127" s="62" t="s">
        <v>28</v>
      </c>
      <c r="C127" s="62" t="s">
        <v>28</v>
      </c>
      <c r="D127" s="62" t="s">
        <v>28</v>
      </c>
      <c r="E127" s="62" t="s">
        <v>28</v>
      </c>
      <c r="F127" s="62" t="s">
        <v>28</v>
      </c>
      <c r="G127" s="62" t="s">
        <v>28</v>
      </c>
      <c r="H127" s="62" t="s">
        <v>28</v>
      </c>
      <c r="I127" s="62" t="s">
        <v>28</v>
      </c>
      <c r="J127" s="62" t="s">
        <v>28</v>
      </c>
      <c r="K127" s="62" t="s">
        <v>28</v>
      </c>
      <c r="L127" s="62" t="s">
        <v>28</v>
      </c>
      <c r="M127" s="62" t="s">
        <v>28</v>
      </c>
    </row>
    <row r="128" spans="1:13" ht="26.25" x14ac:dyDescent="0.25">
      <c r="A128" s="44" t="s">
        <v>2413</v>
      </c>
      <c r="B128" s="61">
        <v>1672</v>
      </c>
      <c r="C128" s="61">
        <v>1377</v>
      </c>
      <c r="D128" s="61">
        <v>249</v>
      </c>
      <c r="E128" s="61">
        <v>36</v>
      </c>
      <c r="F128" s="61">
        <v>10</v>
      </c>
      <c r="G128" s="61" t="s">
        <v>2312</v>
      </c>
      <c r="H128" s="61">
        <v>15916</v>
      </c>
      <c r="I128" s="61">
        <v>11145</v>
      </c>
      <c r="J128" s="61">
        <v>3198</v>
      </c>
      <c r="K128" s="61">
        <v>560</v>
      </c>
      <c r="L128" s="61">
        <v>757</v>
      </c>
      <c r="M128" s="61" t="s">
        <v>2312</v>
      </c>
    </row>
    <row r="129" spans="1:13" ht="26.25" x14ac:dyDescent="0.25">
      <c r="A129" s="40" t="s">
        <v>2414</v>
      </c>
      <c r="B129" s="61">
        <v>911</v>
      </c>
      <c r="C129" s="61">
        <v>516</v>
      </c>
      <c r="D129" s="61">
        <v>235</v>
      </c>
      <c r="E129" s="61">
        <v>103</v>
      </c>
      <c r="F129" s="61">
        <v>51</v>
      </c>
      <c r="G129" s="61">
        <v>5</v>
      </c>
      <c r="H129" s="61">
        <v>25817</v>
      </c>
      <c r="I129" s="61">
        <v>9289</v>
      </c>
      <c r="J129" s="61">
        <v>6314</v>
      </c>
      <c r="K129" s="61">
        <v>3137</v>
      </c>
      <c r="L129" s="61">
        <v>4914</v>
      </c>
      <c r="M129" s="61">
        <v>2163</v>
      </c>
    </row>
    <row r="130" spans="1:13" x14ac:dyDescent="0.25">
      <c r="A130" s="40" t="s">
        <v>2415</v>
      </c>
      <c r="B130" s="61">
        <v>836</v>
      </c>
      <c r="C130" s="61">
        <v>576</v>
      </c>
      <c r="D130" s="61">
        <v>159</v>
      </c>
      <c r="E130" s="61">
        <v>47</v>
      </c>
      <c r="F130" s="61">
        <v>49</v>
      </c>
      <c r="G130" s="61">
        <v>5</v>
      </c>
      <c r="H130" s="61">
        <v>21835</v>
      </c>
      <c r="I130" s="61">
        <v>8821</v>
      </c>
      <c r="J130" s="61">
        <v>4922</v>
      </c>
      <c r="K130" s="61">
        <v>1783</v>
      </c>
      <c r="L130" s="61">
        <v>4230</v>
      </c>
      <c r="M130" s="61">
        <v>2078</v>
      </c>
    </row>
    <row r="131" spans="1:13" ht="39" x14ac:dyDescent="0.25">
      <c r="A131" s="44" t="s">
        <v>2416</v>
      </c>
      <c r="B131" s="61">
        <v>406</v>
      </c>
      <c r="C131" s="61">
        <v>261</v>
      </c>
      <c r="D131" s="61">
        <v>92</v>
      </c>
      <c r="E131" s="61">
        <v>33</v>
      </c>
      <c r="F131" s="61">
        <v>20</v>
      </c>
      <c r="G131" s="61" t="s">
        <v>2312</v>
      </c>
      <c r="H131" s="61">
        <v>4306</v>
      </c>
      <c r="I131" s="61">
        <v>1361</v>
      </c>
      <c r="J131" s="61">
        <v>1140</v>
      </c>
      <c r="K131" s="61">
        <v>479</v>
      </c>
      <c r="L131" s="61">
        <v>1284</v>
      </c>
      <c r="M131" s="61" t="s">
        <v>2312</v>
      </c>
    </row>
    <row r="132" spans="1:13" ht="51.75" x14ac:dyDescent="0.25">
      <c r="A132" s="44" t="s">
        <v>2417</v>
      </c>
      <c r="B132" s="61">
        <v>157</v>
      </c>
      <c r="C132" s="61">
        <v>122</v>
      </c>
      <c r="D132" s="61">
        <v>21</v>
      </c>
      <c r="E132" s="61" t="s">
        <v>2312</v>
      </c>
      <c r="F132" s="61" t="s">
        <v>2312</v>
      </c>
      <c r="G132" s="61" t="s">
        <v>2402</v>
      </c>
      <c r="H132" s="61">
        <v>1139</v>
      </c>
      <c r="I132" s="61">
        <v>742</v>
      </c>
      <c r="J132" s="61">
        <v>216</v>
      </c>
      <c r="K132" s="61" t="s">
        <v>2312</v>
      </c>
      <c r="L132" s="61" t="s">
        <v>2312</v>
      </c>
      <c r="M132" s="61" t="s">
        <v>2402</v>
      </c>
    </row>
    <row r="133" spans="1:13" ht="64.5" x14ac:dyDescent="0.25">
      <c r="A133" s="44" t="s">
        <v>2418</v>
      </c>
      <c r="B133" s="60">
        <v>1483</v>
      </c>
      <c r="C133" s="60">
        <v>931</v>
      </c>
      <c r="D133" s="60">
        <v>381</v>
      </c>
      <c r="E133" s="60">
        <v>134</v>
      </c>
      <c r="F133" s="60">
        <v>36</v>
      </c>
      <c r="G133" s="60">
        <v>1</v>
      </c>
      <c r="H133" s="60">
        <v>15104</v>
      </c>
      <c r="I133" s="60">
        <v>7404</v>
      </c>
      <c r="J133" s="60">
        <v>3882</v>
      </c>
      <c r="K133" s="60">
        <v>1888</v>
      </c>
      <c r="L133" s="60">
        <v>1386</v>
      </c>
      <c r="M133" s="60">
        <v>544</v>
      </c>
    </row>
    <row r="134" spans="1:13" x14ac:dyDescent="0.25">
      <c r="A134" s="44" t="s">
        <v>2419</v>
      </c>
      <c r="B134" s="60">
        <v>51</v>
      </c>
      <c r="C134" s="60">
        <v>34</v>
      </c>
      <c r="D134" s="60" t="s">
        <v>2312</v>
      </c>
      <c r="E134" s="60" t="s">
        <v>2312</v>
      </c>
      <c r="F134" s="60">
        <v>5</v>
      </c>
      <c r="G134" s="60">
        <v>1</v>
      </c>
      <c r="H134" s="60">
        <v>1642</v>
      </c>
      <c r="I134" s="60">
        <v>530</v>
      </c>
      <c r="J134" s="60" t="s">
        <v>2312</v>
      </c>
      <c r="K134" s="60" t="s">
        <v>2312</v>
      </c>
      <c r="L134" s="60">
        <v>461</v>
      </c>
      <c r="M134" s="60">
        <v>278</v>
      </c>
    </row>
    <row r="135" spans="1:13" x14ac:dyDescent="0.25">
      <c r="A135" s="44" t="s">
        <v>2383</v>
      </c>
      <c r="B135" s="60">
        <v>24</v>
      </c>
      <c r="C135" s="60" t="s">
        <v>2312</v>
      </c>
      <c r="D135" s="60" t="s">
        <v>2312</v>
      </c>
      <c r="E135" s="60" t="s">
        <v>2312</v>
      </c>
      <c r="F135" s="60" t="s">
        <v>2312</v>
      </c>
      <c r="G135" s="60" t="s">
        <v>2312</v>
      </c>
      <c r="H135" s="60">
        <v>678</v>
      </c>
      <c r="I135" s="60" t="s">
        <v>2312</v>
      </c>
      <c r="J135" s="60" t="s">
        <v>2312</v>
      </c>
      <c r="K135" s="60" t="s">
        <v>2312</v>
      </c>
      <c r="L135" s="60" t="s">
        <v>2312</v>
      </c>
      <c r="M135" s="60" t="s">
        <v>2312</v>
      </c>
    </row>
    <row r="136" spans="1:13" ht="39" x14ac:dyDescent="0.25">
      <c r="A136" s="44" t="s">
        <v>2411</v>
      </c>
      <c r="B136" s="60">
        <v>18</v>
      </c>
      <c r="C136" s="60" t="s">
        <v>2312</v>
      </c>
      <c r="D136" s="60" t="s">
        <v>2312</v>
      </c>
      <c r="E136" s="60" t="s">
        <v>2312</v>
      </c>
      <c r="F136" s="60" t="s">
        <v>2312</v>
      </c>
      <c r="G136" s="60" t="s">
        <v>2312</v>
      </c>
      <c r="H136" s="60">
        <v>657</v>
      </c>
      <c r="I136" s="60" t="s">
        <v>2312</v>
      </c>
      <c r="J136" s="60" t="s">
        <v>2312</v>
      </c>
      <c r="K136" s="60" t="s">
        <v>2312</v>
      </c>
      <c r="L136" s="60" t="s">
        <v>2312</v>
      </c>
      <c r="M136" s="60" t="s">
        <v>2312</v>
      </c>
    </row>
    <row r="137" spans="1:13" ht="39" x14ac:dyDescent="0.25">
      <c r="A137" s="43" t="s">
        <v>2420</v>
      </c>
      <c r="B137" s="62" t="s">
        <v>28</v>
      </c>
      <c r="C137" s="62" t="s">
        <v>28</v>
      </c>
      <c r="D137" s="62" t="s">
        <v>28</v>
      </c>
      <c r="E137" s="62" t="s">
        <v>28</v>
      </c>
      <c r="F137" s="62" t="s">
        <v>28</v>
      </c>
      <c r="G137" s="62" t="s">
        <v>28</v>
      </c>
      <c r="H137" s="62" t="s">
        <v>28</v>
      </c>
      <c r="I137" s="62" t="s">
        <v>28</v>
      </c>
      <c r="J137" s="62" t="s">
        <v>28</v>
      </c>
      <c r="K137" s="62" t="s">
        <v>28</v>
      </c>
      <c r="L137" s="62" t="s">
        <v>28</v>
      </c>
      <c r="M137" s="62" t="s">
        <v>28</v>
      </c>
    </row>
    <row r="138" spans="1:13" x14ac:dyDescent="0.25">
      <c r="A138" s="40" t="s">
        <v>2421</v>
      </c>
      <c r="B138" s="61" t="s">
        <v>28</v>
      </c>
      <c r="C138" s="61" t="s">
        <v>28</v>
      </c>
      <c r="D138" s="61" t="s">
        <v>28</v>
      </c>
      <c r="E138" s="61" t="s">
        <v>28</v>
      </c>
      <c r="F138" s="61" t="s">
        <v>28</v>
      </c>
      <c r="G138" s="61" t="s">
        <v>28</v>
      </c>
      <c r="H138" s="61" t="s">
        <v>28</v>
      </c>
      <c r="I138" s="61" t="s">
        <v>28</v>
      </c>
      <c r="J138" s="61" t="s">
        <v>28</v>
      </c>
      <c r="K138" s="61" t="s">
        <v>28</v>
      </c>
      <c r="L138" s="61" t="s">
        <v>28</v>
      </c>
      <c r="M138" s="61" t="s">
        <v>28</v>
      </c>
    </row>
    <row r="139" spans="1:13" x14ac:dyDescent="0.25">
      <c r="A139" s="42" t="s">
        <v>2422</v>
      </c>
      <c r="B139" s="61">
        <v>1960</v>
      </c>
      <c r="C139" s="61">
        <v>1298</v>
      </c>
      <c r="D139" s="61">
        <v>415</v>
      </c>
      <c r="E139" s="61">
        <v>137</v>
      </c>
      <c r="F139" s="61">
        <v>99</v>
      </c>
      <c r="G139" s="61">
        <v>11</v>
      </c>
      <c r="H139" s="61">
        <v>49623</v>
      </c>
      <c r="I139" s="61">
        <v>18851</v>
      </c>
      <c r="J139" s="61">
        <v>11361</v>
      </c>
      <c r="K139" s="61">
        <v>4942</v>
      </c>
      <c r="L139" s="61">
        <v>9767</v>
      </c>
      <c r="M139" s="61">
        <v>4702</v>
      </c>
    </row>
    <row r="140" spans="1:13" ht="26.25" x14ac:dyDescent="0.25">
      <c r="A140" s="42" t="s">
        <v>2423</v>
      </c>
      <c r="B140" s="61">
        <v>2148</v>
      </c>
      <c r="C140" s="61">
        <v>1653</v>
      </c>
      <c r="D140" s="61">
        <v>383</v>
      </c>
      <c r="E140" s="61">
        <v>83</v>
      </c>
      <c r="F140" s="61">
        <v>28</v>
      </c>
      <c r="G140" s="61" t="s">
        <v>2312</v>
      </c>
      <c r="H140" s="61">
        <v>23853</v>
      </c>
      <c r="I140" s="61">
        <v>14813</v>
      </c>
      <c r="J140" s="61">
        <v>5271</v>
      </c>
      <c r="K140" s="61">
        <v>1295</v>
      </c>
      <c r="L140" s="61">
        <v>2000</v>
      </c>
      <c r="M140" s="61" t="s">
        <v>2312</v>
      </c>
    </row>
    <row r="141" spans="1:13" ht="26.25" x14ac:dyDescent="0.25">
      <c r="A141" s="42" t="s">
        <v>2424</v>
      </c>
      <c r="B141" s="61">
        <v>1449</v>
      </c>
      <c r="C141" s="61">
        <v>885</v>
      </c>
      <c r="D141" s="61">
        <v>359</v>
      </c>
      <c r="E141" s="61">
        <v>154</v>
      </c>
      <c r="F141" s="61">
        <v>50</v>
      </c>
      <c r="G141" s="61" t="s">
        <v>2312</v>
      </c>
      <c r="H141" s="61">
        <v>13617</v>
      </c>
      <c r="I141" s="61">
        <v>6145</v>
      </c>
      <c r="J141" s="61">
        <v>3574</v>
      </c>
      <c r="K141" s="61">
        <v>1903</v>
      </c>
      <c r="L141" s="61">
        <v>1767</v>
      </c>
      <c r="M141" s="61" t="s">
        <v>2312</v>
      </c>
    </row>
    <row r="142" spans="1:13" x14ac:dyDescent="0.25">
      <c r="A142" s="44" t="s">
        <v>2425</v>
      </c>
      <c r="B142" s="61">
        <v>740</v>
      </c>
      <c r="C142" s="61">
        <v>505</v>
      </c>
      <c r="D142" s="61">
        <v>154</v>
      </c>
      <c r="E142" s="61">
        <v>48</v>
      </c>
      <c r="F142" s="61">
        <v>29</v>
      </c>
      <c r="G142" s="61">
        <v>4</v>
      </c>
      <c r="H142" s="61">
        <v>19630</v>
      </c>
      <c r="I142" s="61">
        <v>8205</v>
      </c>
      <c r="J142" s="61">
        <v>4406</v>
      </c>
      <c r="K142" s="61">
        <v>1560</v>
      </c>
      <c r="L142" s="61">
        <v>3563</v>
      </c>
      <c r="M142" s="61">
        <v>1897</v>
      </c>
    </row>
    <row r="143" spans="1:13" ht="128.25" x14ac:dyDescent="0.25">
      <c r="A143" s="43" t="s">
        <v>2426</v>
      </c>
      <c r="B143" s="62" t="s">
        <v>28</v>
      </c>
      <c r="C143" s="62" t="s">
        <v>28</v>
      </c>
      <c r="D143" s="62" t="s">
        <v>28</v>
      </c>
      <c r="E143" s="62" t="s">
        <v>28</v>
      </c>
      <c r="F143" s="62" t="s">
        <v>28</v>
      </c>
      <c r="G143" s="62" t="s">
        <v>28</v>
      </c>
      <c r="H143" s="62" t="s">
        <v>28</v>
      </c>
      <c r="I143" s="62" t="s">
        <v>28</v>
      </c>
      <c r="J143" s="62" t="s">
        <v>28</v>
      </c>
      <c r="K143" s="62" t="s">
        <v>28</v>
      </c>
      <c r="L143" s="62" t="s">
        <v>28</v>
      </c>
      <c r="M143" s="62" t="s">
        <v>28</v>
      </c>
    </row>
    <row r="144" spans="1:13" ht="51.75" x14ac:dyDescent="0.25">
      <c r="A144" s="40" t="s">
        <v>2427</v>
      </c>
      <c r="B144" s="61">
        <v>2094</v>
      </c>
      <c r="C144" s="61">
        <v>1250</v>
      </c>
      <c r="D144" s="61">
        <v>552</v>
      </c>
      <c r="E144" s="61">
        <v>195</v>
      </c>
      <c r="F144" s="61">
        <v>88</v>
      </c>
      <c r="G144" s="61">
        <v>9</v>
      </c>
      <c r="H144" s="61">
        <v>42216</v>
      </c>
      <c r="I144" s="61">
        <v>15663</v>
      </c>
      <c r="J144" s="61">
        <v>10408</v>
      </c>
      <c r="K144" s="61">
        <v>4547</v>
      </c>
      <c r="L144" s="61">
        <v>7555</v>
      </c>
      <c r="M144" s="61">
        <v>4043</v>
      </c>
    </row>
    <row r="145" spans="1:13" ht="26.25" x14ac:dyDescent="0.25">
      <c r="A145" s="42" t="s">
        <v>2428</v>
      </c>
      <c r="B145" s="61">
        <v>444</v>
      </c>
      <c r="C145" s="61">
        <v>241</v>
      </c>
      <c r="D145" s="61">
        <v>145</v>
      </c>
      <c r="E145" s="61">
        <v>34</v>
      </c>
      <c r="F145" s="61">
        <v>23</v>
      </c>
      <c r="G145" s="61">
        <v>1</v>
      </c>
      <c r="H145" s="61">
        <v>13022</v>
      </c>
      <c r="I145" s="61">
        <v>4081</v>
      </c>
      <c r="J145" s="61">
        <v>3879</v>
      </c>
      <c r="K145" s="61">
        <v>1423</v>
      </c>
      <c r="L145" s="61">
        <v>2755</v>
      </c>
      <c r="M145" s="61">
        <v>885</v>
      </c>
    </row>
    <row r="146" spans="1:13" ht="51.75" x14ac:dyDescent="0.25">
      <c r="A146" s="42" t="s">
        <v>2429</v>
      </c>
      <c r="B146" s="61">
        <v>71</v>
      </c>
      <c r="C146" s="61">
        <v>43</v>
      </c>
      <c r="D146" s="61">
        <v>20</v>
      </c>
      <c r="E146" s="61" t="s">
        <v>2312</v>
      </c>
      <c r="F146" s="61">
        <v>1</v>
      </c>
      <c r="G146" s="61">
        <v>1</v>
      </c>
      <c r="H146" s="61">
        <v>1753</v>
      </c>
      <c r="I146" s="61">
        <v>589</v>
      </c>
      <c r="J146" s="61">
        <v>512</v>
      </c>
      <c r="K146" s="61" t="s">
        <v>2312</v>
      </c>
      <c r="L146" s="61">
        <v>303</v>
      </c>
      <c r="M146" s="61">
        <v>212</v>
      </c>
    </row>
    <row r="147" spans="1:13" ht="39" x14ac:dyDescent="0.25">
      <c r="A147" s="42" t="s">
        <v>2430</v>
      </c>
      <c r="B147" s="61">
        <v>987</v>
      </c>
      <c r="C147" s="61">
        <v>574</v>
      </c>
      <c r="D147" s="61">
        <v>267</v>
      </c>
      <c r="E147" s="61">
        <v>100</v>
      </c>
      <c r="F147" s="61">
        <v>42</v>
      </c>
      <c r="G147" s="61">
        <v>5</v>
      </c>
      <c r="H147" s="61">
        <v>20917</v>
      </c>
      <c r="I147" s="61">
        <v>6744</v>
      </c>
      <c r="J147" s="61">
        <v>5453</v>
      </c>
      <c r="K147" s="61">
        <v>2494</v>
      </c>
      <c r="L147" s="61">
        <v>3900</v>
      </c>
      <c r="M147" s="61">
        <v>2325</v>
      </c>
    </row>
    <row r="148" spans="1:13" ht="51.75" x14ac:dyDescent="0.25">
      <c r="A148" s="42" t="s">
        <v>2431</v>
      </c>
      <c r="B148" s="60">
        <v>194</v>
      </c>
      <c r="C148" s="60">
        <v>111</v>
      </c>
      <c r="D148" s="60">
        <v>48</v>
      </c>
      <c r="E148" s="60">
        <v>28</v>
      </c>
      <c r="F148" s="60">
        <v>7</v>
      </c>
      <c r="G148" s="60">
        <v>1</v>
      </c>
      <c r="H148" s="60">
        <v>4230</v>
      </c>
      <c r="I148" s="60">
        <v>1196</v>
      </c>
      <c r="J148" s="60">
        <v>1285</v>
      </c>
      <c r="K148" s="60">
        <v>617</v>
      </c>
      <c r="L148" s="60">
        <v>684</v>
      </c>
      <c r="M148" s="60">
        <v>448</v>
      </c>
    </row>
    <row r="149" spans="1:13" ht="51.75" x14ac:dyDescent="0.25">
      <c r="A149" s="42" t="s">
        <v>2432</v>
      </c>
      <c r="B149" s="60">
        <v>889</v>
      </c>
      <c r="C149" s="60">
        <v>506</v>
      </c>
      <c r="D149" s="60">
        <v>245</v>
      </c>
      <c r="E149" s="60">
        <v>86</v>
      </c>
      <c r="F149" s="60">
        <v>48</v>
      </c>
      <c r="G149" s="60">
        <v>5</v>
      </c>
      <c r="H149" s="60">
        <v>21340</v>
      </c>
      <c r="I149" s="60">
        <v>6684</v>
      </c>
      <c r="J149" s="60">
        <v>4805</v>
      </c>
      <c r="K149" s="60">
        <v>2416</v>
      </c>
      <c r="L149" s="60">
        <v>4831</v>
      </c>
      <c r="M149" s="60">
        <v>2605</v>
      </c>
    </row>
    <row r="150" spans="1:13" ht="39" x14ac:dyDescent="0.25">
      <c r="A150" s="42" t="s">
        <v>2433</v>
      </c>
      <c r="B150" s="60">
        <v>560</v>
      </c>
      <c r="C150" s="60">
        <v>271</v>
      </c>
      <c r="D150" s="60">
        <v>162</v>
      </c>
      <c r="E150" s="60">
        <v>88</v>
      </c>
      <c r="F150" s="60">
        <v>37</v>
      </c>
      <c r="G150" s="60">
        <v>3</v>
      </c>
      <c r="H150" s="60">
        <v>12265</v>
      </c>
      <c r="I150" s="60">
        <v>3516</v>
      </c>
      <c r="J150" s="60">
        <v>2927</v>
      </c>
      <c r="K150" s="60">
        <v>1554</v>
      </c>
      <c r="L150" s="60">
        <v>2823</v>
      </c>
      <c r="M150" s="60">
        <v>1444</v>
      </c>
    </row>
    <row r="151" spans="1:13" ht="51.75" x14ac:dyDescent="0.25">
      <c r="A151" s="42" t="s">
        <v>2434</v>
      </c>
      <c r="B151" s="60">
        <v>1101</v>
      </c>
      <c r="C151" s="60">
        <v>594</v>
      </c>
      <c r="D151" s="60">
        <v>322</v>
      </c>
      <c r="E151" s="60">
        <v>118</v>
      </c>
      <c r="F151" s="60">
        <v>60</v>
      </c>
      <c r="G151" s="60">
        <v>6</v>
      </c>
      <c r="H151" s="60">
        <v>26779</v>
      </c>
      <c r="I151" s="60">
        <v>8828</v>
      </c>
      <c r="J151" s="60">
        <v>6588</v>
      </c>
      <c r="K151" s="60">
        <v>2933</v>
      </c>
      <c r="L151" s="60">
        <v>5258</v>
      </c>
      <c r="M151" s="60">
        <v>3173</v>
      </c>
    </row>
    <row r="152" spans="1:13" ht="26.25" x14ac:dyDescent="0.25">
      <c r="A152" s="42" t="s">
        <v>2435</v>
      </c>
      <c r="B152" s="60">
        <v>982</v>
      </c>
      <c r="C152" s="60">
        <v>530</v>
      </c>
      <c r="D152" s="60">
        <v>282</v>
      </c>
      <c r="E152" s="60">
        <v>112</v>
      </c>
      <c r="F152" s="60">
        <v>52</v>
      </c>
      <c r="G152" s="60">
        <v>6</v>
      </c>
      <c r="H152" s="60">
        <v>25503</v>
      </c>
      <c r="I152" s="60">
        <v>8495</v>
      </c>
      <c r="J152" s="60">
        <v>5544</v>
      </c>
      <c r="K152" s="60">
        <v>2885</v>
      </c>
      <c r="L152" s="60">
        <v>5359</v>
      </c>
      <c r="M152" s="60">
        <v>3219</v>
      </c>
    </row>
    <row r="153" spans="1:13" ht="39" x14ac:dyDescent="0.25">
      <c r="A153" s="42" t="s">
        <v>2436</v>
      </c>
      <c r="B153" s="60">
        <v>747</v>
      </c>
      <c r="C153" s="60">
        <v>392</v>
      </c>
      <c r="D153" s="60">
        <v>222</v>
      </c>
      <c r="E153" s="60">
        <v>86</v>
      </c>
      <c r="F153" s="60">
        <v>43</v>
      </c>
      <c r="G153" s="60">
        <v>4</v>
      </c>
      <c r="H153" s="60">
        <v>16160</v>
      </c>
      <c r="I153" s="60">
        <v>5230</v>
      </c>
      <c r="J153" s="60">
        <v>3764</v>
      </c>
      <c r="K153" s="60">
        <v>1741</v>
      </c>
      <c r="L153" s="60">
        <v>3553</v>
      </c>
      <c r="M153" s="60">
        <v>1872</v>
      </c>
    </row>
    <row r="154" spans="1:13" ht="39" x14ac:dyDescent="0.25">
      <c r="A154" s="42" t="s">
        <v>2437</v>
      </c>
      <c r="B154" s="60">
        <v>644</v>
      </c>
      <c r="C154" s="60">
        <v>329</v>
      </c>
      <c r="D154" s="60">
        <v>197</v>
      </c>
      <c r="E154" s="60">
        <v>77</v>
      </c>
      <c r="F154" s="60">
        <v>38</v>
      </c>
      <c r="G154" s="60">
        <v>4</v>
      </c>
      <c r="H154" s="60">
        <v>13828</v>
      </c>
      <c r="I154" s="60">
        <v>4059</v>
      </c>
      <c r="J154" s="60">
        <v>3336</v>
      </c>
      <c r="K154" s="60">
        <v>1585</v>
      </c>
      <c r="L154" s="60">
        <v>2862</v>
      </c>
      <c r="M154" s="60">
        <v>1987</v>
      </c>
    </row>
    <row r="155" spans="1:13" ht="39" x14ac:dyDescent="0.25">
      <c r="A155" s="42" t="s">
        <v>2438</v>
      </c>
      <c r="B155" s="60">
        <v>382</v>
      </c>
      <c r="C155" s="60">
        <v>188</v>
      </c>
      <c r="D155" s="60">
        <v>110</v>
      </c>
      <c r="E155" s="60">
        <v>60</v>
      </c>
      <c r="F155" s="60">
        <v>22</v>
      </c>
      <c r="G155" s="60">
        <v>1</v>
      </c>
      <c r="H155" s="60">
        <v>7607</v>
      </c>
      <c r="I155" s="60">
        <v>2404</v>
      </c>
      <c r="J155" s="60">
        <v>1840</v>
      </c>
      <c r="K155" s="60">
        <v>996</v>
      </c>
      <c r="L155" s="60">
        <v>1620</v>
      </c>
      <c r="M155" s="60">
        <v>748</v>
      </c>
    </row>
    <row r="156" spans="1:13" ht="64.5" x14ac:dyDescent="0.25">
      <c r="A156" s="42" t="s">
        <v>2439</v>
      </c>
      <c r="B156" s="60">
        <v>616</v>
      </c>
      <c r="C156" s="60">
        <v>289</v>
      </c>
      <c r="D156" s="60">
        <v>198</v>
      </c>
      <c r="E156" s="60">
        <v>78</v>
      </c>
      <c r="F156" s="60">
        <v>45</v>
      </c>
      <c r="G156" s="60">
        <v>6</v>
      </c>
      <c r="H156" s="60">
        <v>17196</v>
      </c>
      <c r="I156" s="60">
        <v>4263</v>
      </c>
      <c r="J156" s="60">
        <v>4022</v>
      </c>
      <c r="K156" s="60">
        <v>2060</v>
      </c>
      <c r="L156" s="60">
        <v>4297</v>
      </c>
      <c r="M156" s="60">
        <v>2554</v>
      </c>
    </row>
    <row r="157" spans="1:13" ht="39" x14ac:dyDescent="0.25">
      <c r="A157" s="42" t="s">
        <v>2440</v>
      </c>
      <c r="B157" s="60">
        <v>152</v>
      </c>
      <c r="C157" s="60">
        <v>65</v>
      </c>
      <c r="D157" s="60">
        <v>47</v>
      </c>
      <c r="E157" s="60">
        <v>30</v>
      </c>
      <c r="F157" s="60">
        <v>8</v>
      </c>
      <c r="G157" s="60">
        <v>1</v>
      </c>
      <c r="H157" s="60">
        <v>3913</v>
      </c>
      <c r="I157" s="60">
        <v>1041</v>
      </c>
      <c r="J157" s="60">
        <v>966</v>
      </c>
      <c r="K157" s="60">
        <v>525</v>
      </c>
      <c r="L157" s="60">
        <v>809</v>
      </c>
      <c r="M157" s="60">
        <v>573</v>
      </c>
    </row>
    <row r="158" spans="1:13" x14ac:dyDescent="0.25">
      <c r="A158" s="42" t="s">
        <v>2383</v>
      </c>
      <c r="B158" s="60">
        <v>39</v>
      </c>
      <c r="C158" s="60" t="s">
        <v>2312</v>
      </c>
      <c r="D158" s="60" t="s">
        <v>2312</v>
      </c>
      <c r="E158" s="60" t="s">
        <v>2312</v>
      </c>
      <c r="F158" s="60" t="s">
        <v>2312</v>
      </c>
      <c r="G158" s="60" t="s">
        <v>2312</v>
      </c>
      <c r="H158" s="60">
        <v>848</v>
      </c>
      <c r="I158" s="60" t="s">
        <v>2312</v>
      </c>
      <c r="J158" s="60" t="s">
        <v>2312</v>
      </c>
      <c r="K158" s="60" t="s">
        <v>2312</v>
      </c>
      <c r="L158" s="60" t="s">
        <v>2312</v>
      </c>
      <c r="M158" s="60" t="s">
        <v>2312</v>
      </c>
    </row>
    <row r="159" spans="1:13" ht="39" x14ac:dyDescent="0.25">
      <c r="A159" s="44" t="s">
        <v>2441</v>
      </c>
      <c r="B159" s="60">
        <v>3160</v>
      </c>
      <c r="C159" s="60">
        <v>2351</v>
      </c>
      <c r="D159" s="60">
        <v>564</v>
      </c>
      <c r="E159" s="60">
        <v>164</v>
      </c>
      <c r="F159" s="60">
        <v>78</v>
      </c>
      <c r="G159" s="60">
        <v>4</v>
      </c>
      <c r="H159" s="60">
        <v>39154</v>
      </c>
      <c r="I159" s="60">
        <v>21225</v>
      </c>
      <c r="J159" s="60">
        <v>8661</v>
      </c>
      <c r="K159" s="60">
        <v>2926</v>
      </c>
      <c r="L159" s="60">
        <v>5109</v>
      </c>
      <c r="M159" s="60">
        <v>1233</v>
      </c>
    </row>
    <row r="160" spans="1:13" ht="51.75" x14ac:dyDescent="0.25">
      <c r="A160" s="44" t="s">
        <v>2442</v>
      </c>
      <c r="B160" s="60">
        <v>303</v>
      </c>
      <c r="C160" s="60">
        <v>235</v>
      </c>
      <c r="D160" s="60">
        <v>41</v>
      </c>
      <c r="E160" s="60">
        <v>15</v>
      </c>
      <c r="F160" s="60">
        <v>11</v>
      </c>
      <c r="G160" s="60" t="s">
        <v>2312</v>
      </c>
      <c r="H160" s="60">
        <v>5723</v>
      </c>
      <c r="I160" s="60">
        <v>2921</v>
      </c>
      <c r="J160" s="60">
        <v>1137</v>
      </c>
      <c r="K160" s="60">
        <v>667</v>
      </c>
      <c r="L160" s="60">
        <v>871</v>
      </c>
      <c r="M160" s="60" t="s">
        <v>2312</v>
      </c>
    </row>
    <row r="161" spans="1:13" ht="77.25" x14ac:dyDescent="0.25">
      <c r="A161" s="43" t="s">
        <v>2581</v>
      </c>
      <c r="B161" s="62" t="s">
        <v>28</v>
      </c>
      <c r="C161" s="62" t="s">
        <v>28</v>
      </c>
      <c r="D161" s="62" t="s">
        <v>28</v>
      </c>
      <c r="E161" s="62" t="s">
        <v>28</v>
      </c>
      <c r="F161" s="62" t="s">
        <v>28</v>
      </c>
      <c r="G161" s="62" t="s">
        <v>28</v>
      </c>
      <c r="H161" s="62" t="s">
        <v>28</v>
      </c>
      <c r="I161" s="62" t="s">
        <v>28</v>
      </c>
      <c r="J161" s="62" t="s">
        <v>28</v>
      </c>
      <c r="K161" s="62" t="s">
        <v>28</v>
      </c>
      <c r="L161" s="62" t="s">
        <v>28</v>
      </c>
      <c r="M161" s="62" t="s">
        <v>28</v>
      </c>
    </row>
    <row r="162" spans="1:13" x14ac:dyDescent="0.25">
      <c r="A162" s="40" t="s">
        <v>2444</v>
      </c>
      <c r="B162" s="61">
        <v>5234</v>
      </c>
      <c r="C162" s="61">
        <v>3555</v>
      </c>
      <c r="D162" s="61">
        <v>1128</v>
      </c>
      <c r="E162" s="61">
        <v>365</v>
      </c>
      <c r="F162" s="61">
        <v>175</v>
      </c>
      <c r="G162" s="61">
        <v>12</v>
      </c>
      <c r="H162" s="61">
        <v>84869</v>
      </c>
      <c r="I162" s="61">
        <v>38053</v>
      </c>
      <c r="J162" s="61">
        <v>19928</v>
      </c>
      <c r="K162" s="61">
        <v>8102</v>
      </c>
      <c r="L162" s="61">
        <v>13417</v>
      </c>
      <c r="M162" s="61">
        <v>5368</v>
      </c>
    </row>
    <row r="163" spans="1:13" ht="26.25" x14ac:dyDescent="0.25">
      <c r="A163" s="44" t="s">
        <v>2445</v>
      </c>
      <c r="B163" s="61">
        <v>2933</v>
      </c>
      <c r="C163" s="61">
        <v>1832</v>
      </c>
      <c r="D163" s="61">
        <v>723</v>
      </c>
      <c r="E163" s="61">
        <v>245</v>
      </c>
      <c r="F163" s="61">
        <v>124</v>
      </c>
      <c r="G163" s="61">
        <v>8</v>
      </c>
      <c r="H163" s="61">
        <v>58725</v>
      </c>
      <c r="I163" s="61">
        <v>24497</v>
      </c>
      <c r="J163" s="61">
        <v>14665</v>
      </c>
      <c r="K163" s="61">
        <v>6084</v>
      </c>
      <c r="L163" s="61">
        <v>9764</v>
      </c>
      <c r="M163" s="61">
        <v>3715</v>
      </c>
    </row>
    <row r="164" spans="1:13" x14ac:dyDescent="0.25">
      <c r="A164" s="44" t="s">
        <v>2446</v>
      </c>
      <c r="B164" s="61">
        <v>467</v>
      </c>
      <c r="C164" s="61">
        <v>256</v>
      </c>
      <c r="D164" s="61">
        <v>105</v>
      </c>
      <c r="E164" s="61">
        <v>58</v>
      </c>
      <c r="F164" s="61">
        <v>38</v>
      </c>
      <c r="G164" s="61">
        <v>9</v>
      </c>
      <c r="H164" s="61">
        <v>20200</v>
      </c>
      <c r="I164" s="61">
        <v>4139</v>
      </c>
      <c r="J164" s="61">
        <v>3375</v>
      </c>
      <c r="K164" s="61">
        <v>2091</v>
      </c>
      <c r="L164" s="61">
        <v>6246</v>
      </c>
      <c r="M164" s="61">
        <v>4349</v>
      </c>
    </row>
    <row r="165" spans="1:13" ht="26.25" x14ac:dyDescent="0.25">
      <c r="A165" s="40" t="s">
        <v>2447</v>
      </c>
      <c r="B165" s="61">
        <v>48</v>
      </c>
      <c r="C165" s="61" t="s">
        <v>2312</v>
      </c>
      <c r="D165" s="61">
        <v>11</v>
      </c>
      <c r="E165" s="61">
        <v>10</v>
      </c>
      <c r="F165" s="61">
        <v>18</v>
      </c>
      <c r="G165" s="61">
        <v>3</v>
      </c>
      <c r="H165" s="61">
        <v>5964</v>
      </c>
      <c r="I165" s="61" t="s">
        <v>2312</v>
      </c>
      <c r="J165" s="61" t="s">
        <v>2312</v>
      </c>
      <c r="K165" s="61">
        <v>544</v>
      </c>
      <c r="L165" s="61">
        <v>2830</v>
      </c>
      <c r="M165" s="61">
        <v>1900</v>
      </c>
    </row>
    <row r="166" spans="1:13" ht="39" x14ac:dyDescent="0.25">
      <c r="A166" s="44" t="s">
        <v>2448</v>
      </c>
      <c r="B166" s="61">
        <v>54</v>
      </c>
      <c r="C166" s="61">
        <v>17</v>
      </c>
      <c r="D166" s="61">
        <v>13</v>
      </c>
      <c r="E166" s="61">
        <v>8</v>
      </c>
      <c r="F166" s="61">
        <v>15</v>
      </c>
      <c r="G166" s="61">
        <v>1</v>
      </c>
      <c r="H166" s="61">
        <v>4608</v>
      </c>
      <c r="I166" s="61">
        <v>219</v>
      </c>
      <c r="J166" s="61">
        <v>578</v>
      </c>
      <c r="K166" s="61">
        <v>404</v>
      </c>
      <c r="L166" s="61">
        <v>2523</v>
      </c>
      <c r="M166" s="61">
        <v>883</v>
      </c>
    </row>
    <row r="167" spans="1:13" x14ac:dyDescent="0.25">
      <c r="A167" s="44" t="s">
        <v>2449</v>
      </c>
      <c r="B167" s="60">
        <v>510</v>
      </c>
      <c r="C167" s="60">
        <v>351</v>
      </c>
      <c r="D167" s="60">
        <v>110</v>
      </c>
      <c r="E167" s="60">
        <v>38</v>
      </c>
      <c r="F167" s="60">
        <v>11</v>
      </c>
      <c r="G167" s="60" t="s">
        <v>2312</v>
      </c>
      <c r="H167" s="60">
        <v>7706</v>
      </c>
      <c r="I167" s="60">
        <v>3938</v>
      </c>
      <c r="J167" s="60">
        <v>2000</v>
      </c>
      <c r="K167" s="60">
        <v>642</v>
      </c>
      <c r="L167" s="60">
        <v>801</v>
      </c>
      <c r="M167" s="60" t="s">
        <v>2312</v>
      </c>
    </row>
    <row r="168" spans="1:13" x14ac:dyDescent="0.25">
      <c r="A168" s="44" t="s">
        <v>2383</v>
      </c>
      <c r="B168" s="60">
        <v>172</v>
      </c>
      <c r="C168" s="60">
        <v>96</v>
      </c>
      <c r="D168" s="60">
        <v>46</v>
      </c>
      <c r="E168" s="60">
        <v>25</v>
      </c>
      <c r="F168" s="60">
        <v>4</v>
      </c>
      <c r="G168" s="60" t="s">
        <v>2312</v>
      </c>
      <c r="H168" s="60">
        <v>3826</v>
      </c>
      <c r="I168" s="60">
        <v>1364</v>
      </c>
      <c r="J168" s="60">
        <v>1217</v>
      </c>
      <c r="K168" s="60">
        <v>463</v>
      </c>
      <c r="L168" s="60">
        <v>600</v>
      </c>
      <c r="M168" s="60" t="s">
        <v>2312</v>
      </c>
    </row>
    <row r="169" spans="1:13" ht="77.25" x14ac:dyDescent="0.25">
      <c r="A169" s="43" t="s">
        <v>2455</v>
      </c>
      <c r="B169" s="62" t="s">
        <v>28</v>
      </c>
      <c r="C169" s="62" t="s">
        <v>28</v>
      </c>
      <c r="D169" s="62" t="s">
        <v>28</v>
      </c>
      <c r="E169" s="62" t="s">
        <v>28</v>
      </c>
      <c r="F169" s="62" t="s">
        <v>28</v>
      </c>
      <c r="G169" s="62" t="s">
        <v>28</v>
      </c>
      <c r="H169" s="62" t="s">
        <v>28</v>
      </c>
      <c r="I169" s="62" t="s">
        <v>28</v>
      </c>
      <c r="J169" s="62" t="s">
        <v>28</v>
      </c>
      <c r="K169" s="62" t="s">
        <v>28</v>
      </c>
      <c r="L169" s="62" t="s">
        <v>28</v>
      </c>
      <c r="M169" s="62" t="s">
        <v>28</v>
      </c>
    </row>
    <row r="170" spans="1:13" ht="51.75" x14ac:dyDescent="0.25">
      <c r="A170" s="40" t="s">
        <v>2456</v>
      </c>
      <c r="B170" s="61">
        <v>4722</v>
      </c>
      <c r="C170" s="61">
        <v>3113</v>
      </c>
      <c r="D170" s="61">
        <v>1072</v>
      </c>
      <c r="E170" s="61">
        <v>355</v>
      </c>
      <c r="F170" s="61">
        <v>170</v>
      </c>
      <c r="G170" s="61">
        <v>12</v>
      </c>
      <c r="H170" s="61">
        <v>80078</v>
      </c>
      <c r="I170" s="61">
        <v>34513</v>
      </c>
      <c r="J170" s="61">
        <v>19411</v>
      </c>
      <c r="K170" s="61">
        <v>7896</v>
      </c>
      <c r="L170" s="61">
        <v>12992</v>
      </c>
      <c r="M170" s="61">
        <v>5265</v>
      </c>
    </row>
    <row r="171" spans="1:13" ht="39" x14ac:dyDescent="0.25">
      <c r="A171" s="44" t="s">
        <v>2457</v>
      </c>
      <c r="B171" s="61">
        <v>4461</v>
      </c>
      <c r="C171" s="61">
        <v>2954</v>
      </c>
      <c r="D171" s="61">
        <v>994</v>
      </c>
      <c r="E171" s="61">
        <v>338</v>
      </c>
      <c r="F171" s="61">
        <v>163</v>
      </c>
      <c r="G171" s="61">
        <v>12</v>
      </c>
      <c r="H171" s="61">
        <v>79294</v>
      </c>
      <c r="I171" s="61">
        <v>34156</v>
      </c>
      <c r="J171" s="61">
        <v>19012</v>
      </c>
      <c r="K171" s="61">
        <v>7734</v>
      </c>
      <c r="L171" s="61">
        <v>13036</v>
      </c>
      <c r="M171" s="61">
        <v>5356</v>
      </c>
    </row>
    <row r="172" spans="1:13" ht="51.75" x14ac:dyDescent="0.25">
      <c r="A172" s="44" t="s">
        <v>2458</v>
      </c>
      <c r="B172" s="61">
        <v>4423</v>
      </c>
      <c r="C172" s="61">
        <v>2862</v>
      </c>
      <c r="D172" s="61">
        <v>1039</v>
      </c>
      <c r="E172" s="61">
        <v>344</v>
      </c>
      <c r="F172" s="61">
        <v>166</v>
      </c>
      <c r="G172" s="61">
        <v>12</v>
      </c>
      <c r="H172" s="61">
        <v>79015</v>
      </c>
      <c r="I172" s="61">
        <v>33591</v>
      </c>
      <c r="J172" s="61">
        <v>19088</v>
      </c>
      <c r="K172" s="61">
        <v>7932</v>
      </c>
      <c r="L172" s="61">
        <v>13141</v>
      </c>
      <c r="M172" s="61">
        <v>5264</v>
      </c>
    </row>
    <row r="173" spans="1:13" ht="39" x14ac:dyDescent="0.25">
      <c r="A173" s="40" t="s">
        <v>2459</v>
      </c>
      <c r="B173" s="61">
        <v>1589</v>
      </c>
      <c r="C173" s="61">
        <v>977</v>
      </c>
      <c r="D173" s="61">
        <v>385</v>
      </c>
      <c r="E173" s="61">
        <v>137</v>
      </c>
      <c r="F173" s="61">
        <v>82</v>
      </c>
      <c r="G173" s="61">
        <v>8</v>
      </c>
      <c r="H173" s="61">
        <v>38546</v>
      </c>
      <c r="I173" s="61">
        <v>13994</v>
      </c>
      <c r="J173" s="61">
        <v>9154</v>
      </c>
      <c r="K173" s="61">
        <v>3816</v>
      </c>
      <c r="L173" s="61">
        <v>7519</v>
      </c>
      <c r="M173" s="61">
        <v>4064</v>
      </c>
    </row>
    <row r="174" spans="1:13" ht="51.75" x14ac:dyDescent="0.25">
      <c r="A174" s="44" t="s">
        <v>2460</v>
      </c>
      <c r="B174" s="60">
        <v>259</v>
      </c>
      <c r="C174" s="60">
        <v>168</v>
      </c>
      <c r="D174" s="60">
        <v>64</v>
      </c>
      <c r="E174" s="60">
        <v>19</v>
      </c>
      <c r="F174" s="60">
        <v>7</v>
      </c>
      <c r="G174" s="60" t="s">
        <v>2312</v>
      </c>
      <c r="H174" s="60">
        <v>5078</v>
      </c>
      <c r="I174" s="60">
        <v>2825</v>
      </c>
      <c r="J174" s="60">
        <v>1409</v>
      </c>
      <c r="K174" s="60">
        <v>433</v>
      </c>
      <c r="L174" s="60">
        <v>298</v>
      </c>
      <c r="M174" s="60" t="s">
        <v>2312</v>
      </c>
    </row>
    <row r="175" spans="1:13" ht="64.5" x14ac:dyDescent="0.25">
      <c r="A175" s="44" t="s">
        <v>2461</v>
      </c>
      <c r="B175" s="60">
        <v>410</v>
      </c>
      <c r="C175" s="60">
        <v>216</v>
      </c>
      <c r="D175" s="60">
        <v>100</v>
      </c>
      <c r="E175" s="60">
        <v>45</v>
      </c>
      <c r="F175" s="60">
        <v>40</v>
      </c>
      <c r="G175" s="60">
        <v>9</v>
      </c>
      <c r="H175" s="60">
        <v>25642</v>
      </c>
      <c r="I175" s="60">
        <v>6187</v>
      </c>
      <c r="J175" s="60">
        <v>5134</v>
      </c>
      <c r="K175" s="60">
        <v>2584</v>
      </c>
      <c r="L175" s="60">
        <v>7344</v>
      </c>
      <c r="M175" s="60">
        <v>4393</v>
      </c>
    </row>
    <row r="176" spans="1:13" ht="39" x14ac:dyDescent="0.25">
      <c r="A176" s="43" t="s">
        <v>2462</v>
      </c>
      <c r="B176" s="62" t="s">
        <v>28</v>
      </c>
      <c r="C176" s="62" t="s">
        <v>28</v>
      </c>
      <c r="D176" s="62" t="s">
        <v>28</v>
      </c>
      <c r="E176" s="62" t="s">
        <v>28</v>
      </c>
      <c r="F176" s="62" t="s">
        <v>28</v>
      </c>
      <c r="G176" s="62" t="s">
        <v>28</v>
      </c>
      <c r="H176" s="62" t="s">
        <v>28</v>
      </c>
      <c r="I176" s="62" t="s">
        <v>28</v>
      </c>
      <c r="J176" s="62" t="s">
        <v>28</v>
      </c>
      <c r="K176" s="62" t="s">
        <v>28</v>
      </c>
      <c r="L176" s="62" t="s">
        <v>28</v>
      </c>
      <c r="M176" s="62" t="s">
        <v>28</v>
      </c>
    </row>
    <row r="177" spans="1:13" ht="26.25" x14ac:dyDescent="0.25">
      <c r="A177" s="40" t="s">
        <v>2463</v>
      </c>
      <c r="B177" s="61">
        <v>835</v>
      </c>
      <c r="C177" s="61">
        <v>723</v>
      </c>
      <c r="D177" s="61">
        <v>86</v>
      </c>
      <c r="E177" s="61" t="s">
        <v>2312</v>
      </c>
      <c r="F177" s="61">
        <v>6</v>
      </c>
      <c r="G177" s="61" t="s">
        <v>2312</v>
      </c>
      <c r="H177" s="61">
        <v>7015</v>
      </c>
      <c r="I177" s="61">
        <v>5296</v>
      </c>
      <c r="J177" s="61">
        <v>795</v>
      </c>
      <c r="K177" s="61" t="s">
        <v>2312</v>
      </c>
      <c r="L177" s="61">
        <v>543</v>
      </c>
      <c r="M177" s="61" t="s">
        <v>2312</v>
      </c>
    </row>
    <row r="178" spans="1:13" x14ac:dyDescent="0.25">
      <c r="A178" s="44" t="s">
        <v>2464</v>
      </c>
      <c r="B178" s="61">
        <v>697</v>
      </c>
      <c r="C178" s="61">
        <v>489</v>
      </c>
      <c r="D178" s="61">
        <v>151</v>
      </c>
      <c r="E178" s="61">
        <v>42</v>
      </c>
      <c r="F178" s="61">
        <v>15</v>
      </c>
      <c r="G178" s="61" t="s">
        <v>2312</v>
      </c>
      <c r="H178" s="61">
        <v>10130</v>
      </c>
      <c r="I178" s="61">
        <v>5882</v>
      </c>
      <c r="J178" s="61">
        <v>2788</v>
      </c>
      <c r="K178" s="61">
        <v>583</v>
      </c>
      <c r="L178" s="61">
        <v>690</v>
      </c>
      <c r="M178" s="61" t="s">
        <v>2312</v>
      </c>
    </row>
    <row r="179" spans="1:13" x14ac:dyDescent="0.25">
      <c r="A179" s="44" t="s">
        <v>2465</v>
      </c>
      <c r="B179" s="61">
        <v>727</v>
      </c>
      <c r="C179" s="61">
        <v>418</v>
      </c>
      <c r="D179" s="61">
        <v>170</v>
      </c>
      <c r="E179" s="61">
        <v>93</v>
      </c>
      <c r="F179" s="61">
        <v>42</v>
      </c>
      <c r="G179" s="61">
        <v>4</v>
      </c>
      <c r="H179" s="61">
        <v>14650</v>
      </c>
      <c r="I179" s="61">
        <v>5845</v>
      </c>
      <c r="J179" s="61">
        <v>2862</v>
      </c>
      <c r="K179" s="61">
        <v>1500</v>
      </c>
      <c r="L179" s="61">
        <v>2606</v>
      </c>
      <c r="M179" s="61">
        <v>1836</v>
      </c>
    </row>
    <row r="180" spans="1:13" x14ac:dyDescent="0.25">
      <c r="A180" s="47" t="s">
        <v>2466</v>
      </c>
      <c r="B180" s="61">
        <v>3298</v>
      </c>
      <c r="C180" s="61">
        <v>2206</v>
      </c>
      <c r="D180" s="61">
        <v>750</v>
      </c>
      <c r="E180" s="61">
        <v>220</v>
      </c>
      <c r="F180" s="61">
        <v>114</v>
      </c>
      <c r="G180" s="61">
        <v>8</v>
      </c>
      <c r="H180" s="61">
        <v>55298</v>
      </c>
      <c r="I180" s="61">
        <v>22786</v>
      </c>
      <c r="J180" s="61">
        <v>13761</v>
      </c>
      <c r="K180" s="61">
        <v>5812</v>
      </c>
      <c r="L180" s="61">
        <v>9697</v>
      </c>
      <c r="M180" s="61">
        <v>3242</v>
      </c>
    </row>
    <row r="181" spans="1:13" ht="39" x14ac:dyDescent="0.25">
      <c r="A181" s="43" t="s">
        <v>2467</v>
      </c>
      <c r="B181" s="62" t="s">
        <v>28</v>
      </c>
      <c r="C181" s="62" t="s">
        <v>28</v>
      </c>
      <c r="D181" s="62" t="s">
        <v>28</v>
      </c>
      <c r="E181" s="62" t="s">
        <v>28</v>
      </c>
      <c r="F181" s="62" t="s">
        <v>28</v>
      </c>
      <c r="G181" s="62" t="s">
        <v>28</v>
      </c>
      <c r="H181" s="62" t="s">
        <v>28</v>
      </c>
      <c r="I181" s="62" t="s">
        <v>28</v>
      </c>
      <c r="J181" s="62" t="s">
        <v>28</v>
      </c>
      <c r="K181" s="62" t="s">
        <v>28</v>
      </c>
      <c r="L181" s="62" t="s">
        <v>28</v>
      </c>
      <c r="M181" s="62" t="s">
        <v>28</v>
      </c>
    </row>
    <row r="182" spans="1:13" ht="26.25" x14ac:dyDescent="0.25">
      <c r="A182" s="40" t="s">
        <v>2468</v>
      </c>
      <c r="B182" s="61">
        <v>1096</v>
      </c>
      <c r="C182" s="61">
        <v>882</v>
      </c>
      <c r="D182" s="61">
        <v>164</v>
      </c>
      <c r="E182" s="61">
        <v>36</v>
      </c>
      <c r="F182" s="61">
        <v>14</v>
      </c>
      <c r="G182" s="61" t="s">
        <v>2312</v>
      </c>
      <c r="H182" s="61">
        <v>7799</v>
      </c>
      <c r="I182" s="61">
        <v>5653</v>
      </c>
      <c r="J182" s="61">
        <v>1194</v>
      </c>
      <c r="K182" s="61">
        <v>405</v>
      </c>
      <c r="L182" s="61">
        <v>499</v>
      </c>
      <c r="M182" s="61" t="s">
        <v>2312</v>
      </c>
    </row>
    <row r="183" spans="1:13" x14ac:dyDescent="0.25">
      <c r="A183" s="44" t="s">
        <v>2464</v>
      </c>
      <c r="B183" s="61">
        <v>1173</v>
      </c>
      <c r="C183" s="61">
        <v>782</v>
      </c>
      <c r="D183" s="61">
        <v>275</v>
      </c>
      <c r="E183" s="61">
        <v>85</v>
      </c>
      <c r="F183" s="61">
        <v>30</v>
      </c>
      <c r="G183" s="61" t="s">
        <v>2312</v>
      </c>
      <c r="H183" s="61">
        <v>18891</v>
      </c>
      <c r="I183" s="61">
        <v>10371</v>
      </c>
      <c r="J183" s="61">
        <v>5511</v>
      </c>
      <c r="K183" s="61">
        <v>1378</v>
      </c>
      <c r="L183" s="61">
        <v>1426</v>
      </c>
      <c r="M183" s="61" t="s">
        <v>2312</v>
      </c>
    </row>
    <row r="184" spans="1:13" x14ac:dyDescent="0.25">
      <c r="A184" s="44" t="s">
        <v>2465</v>
      </c>
      <c r="B184" s="61">
        <v>897</v>
      </c>
      <c r="C184" s="61">
        <v>482</v>
      </c>
      <c r="D184" s="61">
        <v>227</v>
      </c>
      <c r="E184" s="61">
        <v>121</v>
      </c>
      <c r="F184" s="61">
        <v>61</v>
      </c>
      <c r="G184" s="61">
        <v>6</v>
      </c>
      <c r="H184" s="61">
        <v>22728</v>
      </c>
      <c r="I184" s="61">
        <v>7750</v>
      </c>
      <c r="J184" s="61">
        <v>4834</v>
      </c>
      <c r="K184" s="61">
        <v>2590</v>
      </c>
      <c r="L184" s="61">
        <v>4713</v>
      </c>
      <c r="M184" s="61">
        <v>2840</v>
      </c>
    </row>
    <row r="185" spans="1:13" x14ac:dyDescent="0.25">
      <c r="A185" s="47" t="s">
        <v>2466</v>
      </c>
      <c r="B185" s="61">
        <v>2391</v>
      </c>
      <c r="C185" s="61">
        <v>1690</v>
      </c>
      <c r="D185" s="61">
        <v>492</v>
      </c>
      <c r="E185" s="61">
        <v>132</v>
      </c>
      <c r="F185" s="61">
        <v>72</v>
      </c>
      <c r="G185" s="61">
        <v>5</v>
      </c>
      <c r="H185" s="61">
        <v>37676</v>
      </c>
      <c r="I185" s="61">
        <v>16035</v>
      </c>
      <c r="J185" s="61">
        <v>8666</v>
      </c>
      <c r="K185" s="61">
        <v>3766</v>
      </c>
      <c r="L185" s="61">
        <v>6896</v>
      </c>
      <c r="M185" s="61">
        <v>2313</v>
      </c>
    </row>
    <row r="186" spans="1:13" ht="39" x14ac:dyDescent="0.25">
      <c r="A186" s="43" t="s">
        <v>2469</v>
      </c>
      <c r="B186" s="62" t="s">
        <v>28</v>
      </c>
      <c r="C186" s="62" t="s">
        <v>28</v>
      </c>
      <c r="D186" s="62" t="s">
        <v>28</v>
      </c>
      <c r="E186" s="62" t="s">
        <v>28</v>
      </c>
      <c r="F186" s="62" t="s">
        <v>28</v>
      </c>
      <c r="G186" s="62" t="s">
        <v>28</v>
      </c>
      <c r="H186" s="62" t="s">
        <v>28</v>
      </c>
      <c r="I186" s="62" t="s">
        <v>28</v>
      </c>
      <c r="J186" s="62" t="s">
        <v>28</v>
      </c>
      <c r="K186" s="62" t="s">
        <v>28</v>
      </c>
      <c r="L186" s="62" t="s">
        <v>28</v>
      </c>
      <c r="M186" s="62" t="s">
        <v>28</v>
      </c>
    </row>
    <row r="187" spans="1:13" x14ac:dyDescent="0.25">
      <c r="A187" s="40" t="s">
        <v>2470</v>
      </c>
      <c r="B187" s="61">
        <v>70</v>
      </c>
      <c r="C187" s="61">
        <v>64</v>
      </c>
      <c r="D187" s="61" t="s">
        <v>2312</v>
      </c>
      <c r="E187" s="61" t="s">
        <v>2312</v>
      </c>
      <c r="F187" s="61" t="s">
        <v>2312</v>
      </c>
      <c r="G187" s="61" t="s">
        <v>2402</v>
      </c>
      <c r="H187" s="61">
        <v>322</v>
      </c>
      <c r="I187" s="61">
        <v>288</v>
      </c>
      <c r="J187" s="61" t="s">
        <v>2312</v>
      </c>
      <c r="K187" s="61" t="s">
        <v>2312</v>
      </c>
      <c r="L187" s="61" t="s">
        <v>2312</v>
      </c>
      <c r="M187" s="61" t="s">
        <v>2402</v>
      </c>
    </row>
    <row r="188" spans="1:13" x14ac:dyDescent="0.25">
      <c r="A188" s="44" t="s">
        <v>2464</v>
      </c>
      <c r="B188" s="61">
        <v>1099</v>
      </c>
      <c r="C188" s="61">
        <v>647</v>
      </c>
      <c r="D188" s="61">
        <v>301</v>
      </c>
      <c r="E188" s="61">
        <v>110</v>
      </c>
      <c r="F188" s="61">
        <v>41</v>
      </c>
      <c r="G188" s="61" t="s">
        <v>2312</v>
      </c>
      <c r="H188" s="61">
        <v>12628</v>
      </c>
      <c r="I188" s="61">
        <v>5680</v>
      </c>
      <c r="J188" s="61">
        <v>3641</v>
      </c>
      <c r="K188" s="61">
        <v>1600</v>
      </c>
      <c r="L188" s="61">
        <v>1571</v>
      </c>
      <c r="M188" s="61" t="s">
        <v>2312</v>
      </c>
    </row>
    <row r="189" spans="1:13" x14ac:dyDescent="0.25">
      <c r="A189" s="44" t="s">
        <v>2465</v>
      </c>
      <c r="B189" s="61">
        <v>1666</v>
      </c>
      <c r="C189" s="61">
        <v>1042</v>
      </c>
      <c r="D189" s="61">
        <v>399</v>
      </c>
      <c r="E189" s="61">
        <v>144</v>
      </c>
      <c r="F189" s="61">
        <v>74</v>
      </c>
      <c r="G189" s="61">
        <v>7</v>
      </c>
      <c r="H189" s="61">
        <v>34814</v>
      </c>
      <c r="I189" s="61">
        <v>14604</v>
      </c>
      <c r="J189" s="61">
        <v>7751</v>
      </c>
      <c r="K189" s="61">
        <v>3465</v>
      </c>
      <c r="L189" s="61">
        <v>6414</v>
      </c>
      <c r="M189" s="61">
        <v>2579</v>
      </c>
    </row>
    <row r="190" spans="1:13" x14ac:dyDescent="0.25">
      <c r="A190" s="47" t="s">
        <v>2466</v>
      </c>
      <c r="B190" s="61">
        <v>2222</v>
      </c>
      <c r="C190" s="61">
        <v>1675</v>
      </c>
      <c r="D190" s="61">
        <v>386</v>
      </c>
      <c r="E190" s="61">
        <v>99</v>
      </c>
      <c r="F190" s="61">
        <v>56</v>
      </c>
      <c r="G190" s="61">
        <v>5</v>
      </c>
      <c r="H190" s="61">
        <v>35726</v>
      </c>
      <c r="I190" s="61">
        <v>16711</v>
      </c>
      <c r="J190" s="61">
        <v>8271</v>
      </c>
      <c r="K190" s="61">
        <v>2918</v>
      </c>
      <c r="L190" s="61">
        <v>5181</v>
      </c>
      <c r="M190" s="61">
        <v>2644</v>
      </c>
    </row>
    <row r="191" spans="1:13" ht="64.5" x14ac:dyDescent="0.25">
      <c r="A191" s="47" t="s">
        <v>2582</v>
      </c>
      <c r="B191" s="61">
        <v>501</v>
      </c>
      <c r="C191" s="61">
        <v>408</v>
      </c>
      <c r="D191" s="61">
        <v>68</v>
      </c>
      <c r="E191" s="61" t="s">
        <v>2312</v>
      </c>
      <c r="F191" s="61" t="s">
        <v>2312</v>
      </c>
      <c r="G191" s="61" t="s">
        <v>2312</v>
      </c>
      <c r="H191" s="61">
        <v>3603</v>
      </c>
      <c r="I191" s="61">
        <v>2526</v>
      </c>
      <c r="J191" s="61">
        <v>537</v>
      </c>
      <c r="K191" s="61" t="s">
        <v>2312</v>
      </c>
      <c r="L191" s="61" t="s">
        <v>2312</v>
      </c>
      <c r="M191" s="61" t="s">
        <v>2312</v>
      </c>
    </row>
    <row r="192" spans="1:13" ht="39" x14ac:dyDescent="0.25">
      <c r="A192" s="43" t="s">
        <v>2472</v>
      </c>
      <c r="B192" s="62" t="s">
        <v>28</v>
      </c>
      <c r="C192" s="62" t="s">
        <v>28</v>
      </c>
      <c r="D192" s="62" t="s">
        <v>28</v>
      </c>
      <c r="E192" s="62" t="s">
        <v>28</v>
      </c>
      <c r="F192" s="62" t="s">
        <v>28</v>
      </c>
      <c r="G192" s="62" t="s">
        <v>28</v>
      </c>
      <c r="H192" s="62" t="s">
        <v>28</v>
      </c>
      <c r="I192" s="62" t="s">
        <v>28</v>
      </c>
      <c r="J192" s="62" t="s">
        <v>28</v>
      </c>
      <c r="K192" s="62" t="s">
        <v>28</v>
      </c>
      <c r="L192" s="62" t="s">
        <v>28</v>
      </c>
      <c r="M192" s="62" t="s">
        <v>28</v>
      </c>
    </row>
    <row r="193" spans="1:13" x14ac:dyDescent="0.25">
      <c r="A193" s="40" t="s">
        <v>2470</v>
      </c>
      <c r="B193" s="61">
        <v>2489</v>
      </c>
      <c r="C193" s="61">
        <v>1794</v>
      </c>
      <c r="D193" s="61">
        <v>512</v>
      </c>
      <c r="E193" s="61">
        <v>145</v>
      </c>
      <c r="F193" s="61">
        <v>37</v>
      </c>
      <c r="G193" s="61">
        <v>1</v>
      </c>
      <c r="H193" s="61">
        <v>24746</v>
      </c>
      <c r="I193" s="61">
        <v>14152</v>
      </c>
      <c r="J193" s="61">
        <v>6327</v>
      </c>
      <c r="K193" s="61">
        <v>2230</v>
      </c>
      <c r="L193" s="61">
        <v>1788</v>
      </c>
      <c r="M193" s="61">
        <v>249</v>
      </c>
    </row>
    <row r="194" spans="1:13" x14ac:dyDescent="0.25">
      <c r="A194" s="44" t="s">
        <v>2464</v>
      </c>
      <c r="B194" s="61">
        <v>2441</v>
      </c>
      <c r="C194" s="61">
        <v>1545</v>
      </c>
      <c r="D194" s="61">
        <v>565</v>
      </c>
      <c r="E194" s="61">
        <v>201</v>
      </c>
      <c r="F194" s="61">
        <v>121</v>
      </c>
      <c r="G194" s="61">
        <v>9</v>
      </c>
      <c r="H194" s="61">
        <v>50753</v>
      </c>
      <c r="I194" s="61">
        <v>20673</v>
      </c>
      <c r="J194" s="61">
        <v>12052</v>
      </c>
      <c r="K194" s="61">
        <v>5255</v>
      </c>
      <c r="L194" s="61">
        <v>9034</v>
      </c>
      <c r="M194" s="61">
        <v>3740</v>
      </c>
    </row>
    <row r="195" spans="1:13" x14ac:dyDescent="0.25">
      <c r="A195" s="44" t="s">
        <v>2473</v>
      </c>
      <c r="B195" s="61">
        <v>202</v>
      </c>
      <c r="C195" s="61">
        <v>131</v>
      </c>
      <c r="D195" s="61">
        <v>41</v>
      </c>
      <c r="E195" s="61">
        <v>15</v>
      </c>
      <c r="F195" s="61">
        <v>13</v>
      </c>
      <c r="G195" s="61">
        <v>2</v>
      </c>
      <c r="H195" s="61">
        <v>6926</v>
      </c>
      <c r="I195" s="61">
        <v>1848</v>
      </c>
      <c r="J195" s="61">
        <v>1234</v>
      </c>
      <c r="K195" s="61">
        <v>518</v>
      </c>
      <c r="L195" s="61">
        <v>2118</v>
      </c>
      <c r="M195" s="61">
        <v>1208</v>
      </c>
    </row>
    <row r="196" spans="1:13" ht="64.5" x14ac:dyDescent="0.25">
      <c r="A196" s="47" t="s">
        <v>2474</v>
      </c>
      <c r="B196" s="61">
        <v>102</v>
      </c>
      <c r="C196" s="61">
        <v>85</v>
      </c>
      <c r="D196" s="61">
        <v>10</v>
      </c>
      <c r="E196" s="61" t="s">
        <v>2312</v>
      </c>
      <c r="F196" s="61">
        <v>3</v>
      </c>
      <c r="G196" s="61" t="s">
        <v>2583</v>
      </c>
      <c r="H196" s="61">
        <v>2443</v>
      </c>
      <c r="I196" s="61">
        <v>1380</v>
      </c>
      <c r="J196" s="61">
        <v>316</v>
      </c>
      <c r="K196" s="61" t="s">
        <v>2312</v>
      </c>
      <c r="L196" s="61">
        <v>477</v>
      </c>
      <c r="M196" s="61">
        <v>171</v>
      </c>
    </row>
    <row r="197" spans="1:13" ht="26.25" x14ac:dyDescent="0.25">
      <c r="A197" s="47" t="s">
        <v>2475</v>
      </c>
      <c r="B197" s="61">
        <v>323</v>
      </c>
      <c r="C197" s="61">
        <v>282</v>
      </c>
      <c r="D197" s="61">
        <v>30</v>
      </c>
      <c r="E197" s="61" t="s">
        <v>2312</v>
      </c>
      <c r="F197" s="61" t="s">
        <v>2312</v>
      </c>
      <c r="G197" s="61" t="s">
        <v>2312</v>
      </c>
      <c r="H197" s="61">
        <v>2225</v>
      </c>
      <c r="I197" s="61">
        <v>1756</v>
      </c>
      <c r="J197" s="61">
        <v>278</v>
      </c>
      <c r="K197" s="61" t="s">
        <v>2312</v>
      </c>
      <c r="L197" s="61" t="s">
        <v>2312</v>
      </c>
      <c r="M197" s="61" t="s">
        <v>2312</v>
      </c>
    </row>
    <row r="198" spans="1:13" ht="90" x14ac:dyDescent="0.25">
      <c r="A198" s="43" t="s">
        <v>2476</v>
      </c>
      <c r="B198" s="62" t="s">
        <v>28</v>
      </c>
      <c r="C198" s="62" t="s">
        <v>28</v>
      </c>
      <c r="D198" s="62" t="s">
        <v>28</v>
      </c>
      <c r="E198" s="62" t="s">
        <v>28</v>
      </c>
      <c r="F198" s="62" t="s">
        <v>28</v>
      </c>
      <c r="G198" s="62" t="s">
        <v>28</v>
      </c>
      <c r="H198" s="62" t="s">
        <v>28</v>
      </c>
      <c r="I198" s="62" t="s">
        <v>28</v>
      </c>
      <c r="J198" s="62" t="s">
        <v>28</v>
      </c>
      <c r="K198" s="62" t="s">
        <v>28</v>
      </c>
      <c r="L198" s="62" t="s">
        <v>28</v>
      </c>
      <c r="M198" s="62" t="s">
        <v>28</v>
      </c>
    </row>
    <row r="199" spans="1:13" ht="26.25" x14ac:dyDescent="0.25">
      <c r="A199" s="40" t="s">
        <v>2477</v>
      </c>
      <c r="B199" s="61">
        <v>628</v>
      </c>
      <c r="C199" s="61">
        <v>415</v>
      </c>
      <c r="D199" s="61">
        <v>146</v>
      </c>
      <c r="E199" s="61">
        <v>37</v>
      </c>
      <c r="F199" s="61">
        <v>28</v>
      </c>
      <c r="G199" s="61">
        <v>3</v>
      </c>
      <c r="H199" s="61">
        <v>11846</v>
      </c>
      <c r="I199" s="61">
        <v>4642</v>
      </c>
      <c r="J199" s="61">
        <v>2844</v>
      </c>
      <c r="K199" s="61">
        <v>1229</v>
      </c>
      <c r="L199" s="61">
        <v>2089</v>
      </c>
      <c r="M199" s="61">
        <v>1041</v>
      </c>
    </row>
    <row r="200" spans="1:13" x14ac:dyDescent="0.25">
      <c r="A200" s="44" t="s">
        <v>2478</v>
      </c>
      <c r="B200" s="60">
        <v>755</v>
      </c>
      <c r="C200" s="60">
        <v>471</v>
      </c>
      <c r="D200" s="60">
        <v>203</v>
      </c>
      <c r="E200" s="60">
        <v>61</v>
      </c>
      <c r="F200" s="60">
        <v>21</v>
      </c>
      <c r="G200" s="60" t="s">
        <v>2312</v>
      </c>
      <c r="H200" s="60">
        <v>8654</v>
      </c>
      <c r="I200" s="60">
        <v>4356</v>
      </c>
      <c r="J200" s="60">
        <v>2518</v>
      </c>
      <c r="K200" s="60">
        <v>857</v>
      </c>
      <c r="L200" s="60">
        <v>826</v>
      </c>
      <c r="M200" s="60" t="s">
        <v>2312</v>
      </c>
    </row>
    <row r="201" spans="1:13" ht="39" x14ac:dyDescent="0.25">
      <c r="A201" s="44" t="s">
        <v>2479</v>
      </c>
      <c r="B201" s="60">
        <v>1247</v>
      </c>
      <c r="C201" s="60">
        <v>818</v>
      </c>
      <c r="D201" s="60">
        <v>274</v>
      </c>
      <c r="E201" s="60">
        <v>106</v>
      </c>
      <c r="F201" s="60">
        <v>46</v>
      </c>
      <c r="G201" s="60">
        <v>3</v>
      </c>
      <c r="H201" s="60">
        <v>20766</v>
      </c>
      <c r="I201" s="60">
        <v>8857</v>
      </c>
      <c r="J201" s="60">
        <v>4987</v>
      </c>
      <c r="K201" s="60">
        <v>2150</v>
      </c>
      <c r="L201" s="60">
        <v>3398</v>
      </c>
      <c r="M201" s="60">
        <v>1374</v>
      </c>
    </row>
    <row r="202" spans="1:13" ht="26.25" x14ac:dyDescent="0.25">
      <c r="A202" s="44" t="s">
        <v>2447</v>
      </c>
      <c r="B202" s="60">
        <v>48</v>
      </c>
      <c r="C202" s="60" t="s">
        <v>2312</v>
      </c>
      <c r="D202" s="60">
        <v>11</v>
      </c>
      <c r="E202" s="60">
        <v>10</v>
      </c>
      <c r="F202" s="60">
        <v>18</v>
      </c>
      <c r="G202" s="60">
        <v>3</v>
      </c>
      <c r="H202" s="60">
        <v>5925</v>
      </c>
      <c r="I202" s="60" t="s">
        <v>2312</v>
      </c>
      <c r="J202" s="60" t="s">
        <v>2312</v>
      </c>
      <c r="K202" s="60">
        <v>544</v>
      </c>
      <c r="L202" s="60">
        <v>2791</v>
      </c>
      <c r="M202" s="60">
        <v>1900</v>
      </c>
    </row>
    <row r="203" spans="1:13" x14ac:dyDescent="0.25">
      <c r="A203" s="44" t="s">
        <v>2480</v>
      </c>
      <c r="B203" s="60">
        <v>544</v>
      </c>
      <c r="C203" s="60">
        <v>184</v>
      </c>
      <c r="D203" s="60">
        <v>164</v>
      </c>
      <c r="E203" s="60">
        <v>119</v>
      </c>
      <c r="F203" s="60">
        <v>71</v>
      </c>
      <c r="G203" s="60">
        <v>6</v>
      </c>
      <c r="H203" s="60">
        <v>22443</v>
      </c>
      <c r="I203" s="60">
        <v>4257</v>
      </c>
      <c r="J203" s="60">
        <v>5762</v>
      </c>
      <c r="K203" s="60">
        <v>3667</v>
      </c>
      <c r="L203" s="60">
        <v>6521</v>
      </c>
      <c r="M203" s="60">
        <v>2236</v>
      </c>
    </row>
    <row r="204" spans="1:13" ht="39" x14ac:dyDescent="0.25">
      <c r="A204" s="44" t="s">
        <v>2481</v>
      </c>
      <c r="B204" s="60">
        <v>2802</v>
      </c>
      <c r="C204" s="60">
        <v>1904</v>
      </c>
      <c r="D204" s="60">
        <v>655</v>
      </c>
      <c r="E204" s="60">
        <v>168</v>
      </c>
      <c r="F204" s="60">
        <v>71</v>
      </c>
      <c r="G204" s="60">
        <v>4</v>
      </c>
      <c r="H204" s="60">
        <v>49188</v>
      </c>
      <c r="I204" s="60">
        <v>24999</v>
      </c>
      <c r="J204" s="60">
        <v>13422</v>
      </c>
      <c r="K204" s="60">
        <v>3918</v>
      </c>
      <c r="L204" s="60">
        <v>5180</v>
      </c>
      <c r="M204" s="60">
        <v>1669</v>
      </c>
    </row>
    <row r="205" spans="1:13" x14ac:dyDescent="0.25">
      <c r="A205" s="44" t="s">
        <v>2383</v>
      </c>
      <c r="B205" s="60">
        <v>62</v>
      </c>
      <c r="C205" s="60">
        <v>42</v>
      </c>
      <c r="D205" s="60">
        <v>14</v>
      </c>
      <c r="E205" s="60" t="s">
        <v>2312</v>
      </c>
      <c r="F205" s="60" t="s">
        <v>2312</v>
      </c>
      <c r="G205" s="60" t="s">
        <v>2312</v>
      </c>
      <c r="H205" s="60">
        <v>1574</v>
      </c>
      <c r="I205" s="60">
        <v>1127</v>
      </c>
      <c r="J205" s="60">
        <v>297</v>
      </c>
      <c r="K205" s="60" t="s">
        <v>2312</v>
      </c>
      <c r="L205" s="60" t="s">
        <v>2312</v>
      </c>
      <c r="M205" s="60" t="s">
        <v>2312</v>
      </c>
    </row>
    <row r="206" spans="1:13" ht="90" x14ac:dyDescent="0.25">
      <c r="A206" s="43" t="s">
        <v>2584</v>
      </c>
      <c r="B206" s="62" t="s">
        <v>28</v>
      </c>
      <c r="C206" s="62" t="s">
        <v>28</v>
      </c>
      <c r="D206" s="62" t="s">
        <v>28</v>
      </c>
      <c r="E206" s="62" t="s">
        <v>28</v>
      </c>
      <c r="F206" s="62" t="s">
        <v>28</v>
      </c>
      <c r="G206" s="62" t="s">
        <v>28</v>
      </c>
      <c r="H206" s="62" t="s">
        <v>28</v>
      </c>
      <c r="I206" s="62" t="s">
        <v>28</v>
      </c>
      <c r="J206" s="62" t="s">
        <v>28</v>
      </c>
      <c r="K206" s="62" t="s">
        <v>28</v>
      </c>
      <c r="L206" s="62" t="s">
        <v>28</v>
      </c>
      <c r="M206" s="62" t="s">
        <v>28</v>
      </c>
    </row>
    <row r="207" spans="1:13" ht="77.25" x14ac:dyDescent="0.25">
      <c r="A207" s="40" t="s">
        <v>2585</v>
      </c>
      <c r="B207" s="61">
        <v>1546</v>
      </c>
      <c r="C207" s="61">
        <v>1027</v>
      </c>
      <c r="D207" s="61">
        <v>370</v>
      </c>
      <c r="E207" s="61">
        <v>120</v>
      </c>
      <c r="F207" s="61">
        <v>29</v>
      </c>
      <c r="G207" s="61" t="s">
        <v>2312</v>
      </c>
      <c r="H207" s="61">
        <v>14765</v>
      </c>
      <c r="I207" s="61">
        <v>8638</v>
      </c>
      <c r="J207" s="61">
        <v>4035</v>
      </c>
      <c r="K207" s="61">
        <v>1185</v>
      </c>
      <c r="L207" s="61">
        <v>816</v>
      </c>
      <c r="M207" s="61" t="s">
        <v>2312</v>
      </c>
    </row>
    <row r="208" spans="1:13" ht="26.25" x14ac:dyDescent="0.25">
      <c r="A208" s="40" t="s">
        <v>2477</v>
      </c>
      <c r="B208" s="61">
        <v>692</v>
      </c>
      <c r="C208" s="61">
        <v>465</v>
      </c>
      <c r="D208" s="61">
        <v>162</v>
      </c>
      <c r="E208" s="61">
        <v>35</v>
      </c>
      <c r="F208" s="61">
        <v>29</v>
      </c>
      <c r="G208" s="61">
        <v>2</v>
      </c>
      <c r="H208" s="61">
        <v>12538</v>
      </c>
      <c r="I208" s="61">
        <v>5319</v>
      </c>
      <c r="J208" s="61">
        <v>3056</v>
      </c>
      <c r="K208" s="61">
        <v>1155</v>
      </c>
      <c r="L208" s="61">
        <v>2029</v>
      </c>
      <c r="M208" s="61">
        <v>979</v>
      </c>
    </row>
    <row r="209" spans="1:13" ht="51.75" x14ac:dyDescent="0.25">
      <c r="A209" s="44" t="s">
        <v>2484</v>
      </c>
      <c r="B209" s="60">
        <v>709</v>
      </c>
      <c r="C209" s="60">
        <v>394</v>
      </c>
      <c r="D209" s="60">
        <v>163</v>
      </c>
      <c r="E209" s="60">
        <v>105</v>
      </c>
      <c r="F209" s="60">
        <v>44</v>
      </c>
      <c r="G209" s="60">
        <v>3</v>
      </c>
      <c r="H209" s="60">
        <v>12420</v>
      </c>
      <c r="I209" s="60">
        <v>3436</v>
      </c>
      <c r="J209" s="60">
        <v>3034</v>
      </c>
      <c r="K209" s="60">
        <v>1960</v>
      </c>
      <c r="L209" s="60">
        <v>2851</v>
      </c>
      <c r="M209" s="60">
        <v>1138</v>
      </c>
    </row>
    <row r="210" spans="1:13" ht="39" x14ac:dyDescent="0.25">
      <c r="A210" s="44" t="s">
        <v>2448</v>
      </c>
      <c r="B210" s="60">
        <v>54</v>
      </c>
      <c r="C210" s="60">
        <v>17</v>
      </c>
      <c r="D210" s="60">
        <v>13</v>
      </c>
      <c r="E210" s="60">
        <v>8</v>
      </c>
      <c r="F210" s="60">
        <v>15</v>
      </c>
      <c r="G210" s="60">
        <v>1</v>
      </c>
      <c r="H210" s="60">
        <v>4608</v>
      </c>
      <c r="I210" s="60">
        <v>219</v>
      </c>
      <c r="J210" s="60">
        <v>578</v>
      </c>
      <c r="K210" s="60">
        <v>404</v>
      </c>
      <c r="L210" s="60">
        <v>2523</v>
      </c>
      <c r="M210" s="60">
        <v>883</v>
      </c>
    </row>
    <row r="211" spans="1:13" ht="26.25" x14ac:dyDescent="0.25">
      <c r="A211" s="44" t="s">
        <v>2485</v>
      </c>
      <c r="B211" s="60">
        <v>163</v>
      </c>
      <c r="C211" s="60">
        <v>48</v>
      </c>
      <c r="D211" s="60">
        <v>40</v>
      </c>
      <c r="E211" s="60">
        <v>27</v>
      </c>
      <c r="F211" s="60">
        <v>39</v>
      </c>
      <c r="G211" s="60">
        <v>8</v>
      </c>
      <c r="H211" s="60">
        <v>17041</v>
      </c>
      <c r="I211" s="60">
        <v>2072</v>
      </c>
      <c r="J211" s="60">
        <v>3075</v>
      </c>
      <c r="K211" s="60">
        <v>2116</v>
      </c>
      <c r="L211" s="60">
        <v>5873</v>
      </c>
      <c r="M211" s="60">
        <v>3905</v>
      </c>
    </row>
    <row r="212" spans="1:13" ht="51.75" x14ac:dyDescent="0.25">
      <c r="A212" s="44" t="s">
        <v>2486</v>
      </c>
      <c r="B212" s="60">
        <v>1909</v>
      </c>
      <c r="C212" s="60">
        <v>1301</v>
      </c>
      <c r="D212" s="60">
        <v>419</v>
      </c>
      <c r="E212" s="60">
        <v>115</v>
      </c>
      <c r="F212" s="60">
        <v>69</v>
      </c>
      <c r="G212" s="60">
        <v>6</v>
      </c>
      <c r="H212" s="60">
        <v>45153</v>
      </c>
      <c r="I212" s="60">
        <v>21523</v>
      </c>
      <c r="J212" s="60">
        <v>11281</v>
      </c>
      <c r="K212" s="60">
        <v>3795</v>
      </c>
      <c r="L212" s="60">
        <v>6087</v>
      </c>
      <c r="M212" s="60">
        <v>2466</v>
      </c>
    </row>
    <row r="213" spans="1:13" ht="26.25" x14ac:dyDescent="0.25">
      <c r="A213" s="44" t="s">
        <v>2487</v>
      </c>
      <c r="B213" s="60">
        <v>109</v>
      </c>
      <c r="C213" s="60">
        <v>89</v>
      </c>
      <c r="D213" s="60">
        <v>13</v>
      </c>
      <c r="E213" s="60" t="s">
        <v>2312</v>
      </c>
      <c r="F213" s="60" t="s">
        <v>2312</v>
      </c>
      <c r="G213" s="60" t="s">
        <v>2312</v>
      </c>
      <c r="H213" s="60">
        <v>1918</v>
      </c>
      <c r="I213" s="60">
        <v>1161</v>
      </c>
      <c r="J213" s="60">
        <v>357</v>
      </c>
      <c r="K213" s="60" t="s">
        <v>2312</v>
      </c>
      <c r="L213" s="60" t="s">
        <v>2312</v>
      </c>
      <c r="M213" s="60" t="s">
        <v>2312</v>
      </c>
    </row>
    <row r="214" spans="1:13" x14ac:dyDescent="0.25">
      <c r="A214" s="44" t="s">
        <v>2383</v>
      </c>
      <c r="B214" s="60" t="s">
        <v>2312</v>
      </c>
      <c r="C214" s="60" t="s">
        <v>2312</v>
      </c>
      <c r="D214" s="60" t="s">
        <v>2312</v>
      </c>
      <c r="E214" s="60" t="s">
        <v>2312</v>
      </c>
      <c r="F214" s="60" t="s">
        <v>2312</v>
      </c>
      <c r="G214" s="60" t="s">
        <v>2312</v>
      </c>
      <c r="H214" s="60">
        <v>328</v>
      </c>
      <c r="I214" s="60" t="s">
        <v>2312</v>
      </c>
      <c r="J214" s="60" t="s">
        <v>2312</v>
      </c>
      <c r="K214" s="60" t="s">
        <v>2312</v>
      </c>
      <c r="L214" s="60" t="s">
        <v>2312</v>
      </c>
      <c r="M214" s="60" t="s">
        <v>2312</v>
      </c>
    </row>
    <row r="215" spans="1:13" ht="51.75" x14ac:dyDescent="0.25">
      <c r="A215" s="43" t="s">
        <v>2491</v>
      </c>
      <c r="B215" s="62" t="s">
        <v>28</v>
      </c>
      <c r="C215" s="62" t="s">
        <v>28</v>
      </c>
      <c r="D215" s="62" t="s">
        <v>28</v>
      </c>
      <c r="E215" s="62" t="s">
        <v>28</v>
      </c>
      <c r="F215" s="62" t="s">
        <v>28</v>
      </c>
      <c r="G215" s="62" t="s">
        <v>28</v>
      </c>
      <c r="H215" s="62" t="s">
        <v>28</v>
      </c>
      <c r="I215" s="62" t="s">
        <v>28</v>
      </c>
      <c r="J215" s="62" t="s">
        <v>28</v>
      </c>
      <c r="K215" s="62" t="s">
        <v>28</v>
      </c>
      <c r="L215" s="62" t="s">
        <v>28</v>
      </c>
      <c r="M215" s="62" t="s">
        <v>28</v>
      </c>
    </row>
    <row r="216" spans="1:13" ht="26.25" x14ac:dyDescent="0.25">
      <c r="A216" s="40" t="s">
        <v>2492</v>
      </c>
      <c r="B216" s="61">
        <v>3348</v>
      </c>
      <c r="C216" s="61">
        <v>2179</v>
      </c>
      <c r="D216" s="61">
        <v>786</v>
      </c>
      <c r="E216" s="61">
        <v>259</v>
      </c>
      <c r="F216" s="61">
        <v>118</v>
      </c>
      <c r="G216" s="61">
        <v>6</v>
      </c>
      <c r="H216" s="61">
        <v>47534</v>
      </c>
      <c r="I216" s="61">
        <v>20177</v>
      </c>
      <c r="J216" s="61">
        <v>11762</v>
      </c>
      <c r="K216" s="61">
        <v>5148</v>
      </c>
      <c r="L216" s="61">
        <v>7998</v>
      </c>
      <c r="M216" s="61">
        <v>2450</v>
      </c>
    </row>
    <row r="217" spans="1:13" ht="26.25" x14ac:dyDescent="0.25">
      <c r="A217" s="40" t="s">
        <v>2493</v>
      </c>
      <c r="B217" s="61">
        <v>690</v>
      </c>
      <c r="C217" s="61">
        <v>451</v>
      </c>
      <c r="D217" s="61">
        <v>156</v>
      </c>
      <c r="E217" s="61">
        <v>58</v>
      </c>
      <c r="F217" s="61">
        <v>23</v>
      </c>
      <c r="G217" s="61">
        <v>2</v>
      </c>
      <c r="H217" s="61">
        <v>12688</v>
      </c>
      <c r="I217" s="61">
        <v>6094</v>
      </c>
      <c r="J217" s="61">
        <v>3133</v>
      </c>
      <c r="K217" s="61">
        <v>1181</v>
      </c>
      <c r="L217" s="61">
        <v>1646</v>
      </c>
      <c r="M217" s="61">
        <v>635</v>
      </c>
    </row>
    <row r="218" spans="1:13" ht="77.25" x14ac:dyDescent="0.25">
      <c r="A218" s="44" t="s">
        <v>2586</v>
      </c>
      <c r="B218" s="61">
        <v>385</v>
      </c>
      <c r="C218" s="61">
        <v>231</v>
      </c>
      <c r="D218" s="61">
        <v>97</v>
      </c>
      <c r="E218" s="61">
        <v>26</v>
      </c>
      <c r="F218" s="61">
        <v>26</v>
      </c>
      <c r="G218" s="61">
        <v>5</v>
      </c>
      <c r="H218" s="61">
        <v>18793</v>
      </c>
      <c r="I218" s="61">
        <v>7321</v>
      </c>
      <c r="J218" s="61">
        <v>4194</v>
      </c>
      <c r="K218" s="61">
        <v>1602</v>
      </c>
      <c r="L218" s="61">
        <v>3497</v>
      </c>
      <c r="M218" s="61">
        <v>2179</v>
      </c>
    </row>
    <row r="219" spans="1:13" ht="90" x14ac:dyDescent="0.25">
      <c r="A219" s="43" t="s">
        <v>2495</v>
      </c>
      <c r="B219" s="62" t="s">
        <v>28</v>
      </c>
      <c r="C219" s="62" t="s">
        <v>28</v>
      </c>
      <c r="D219" s="62" t="s">
        <v>28</v>
      </c>
      <c r="E219" s="62" t="s">
        <v>28</v>
      </c>
      <c r="F219" s="62" t="s">
        <v>28</v>
      </c>
      <c r="G219" s="62" t="s">
        <v>28</v>
      </c>
      <c r="H219" s="62" t="s">
        <v>28</v>
      </c>
      <c r="I219" s="62" t="s">
        <v>28</v>
      </c>
      <c r="J219" s="62" t="s">
        <v>28</v>
      </c>
      <c r="K219" s="62" t="s">
        <v>28</v>
      </c>
      <c r="L219" s="62" t="s">
        <v>28</v>
      </c>
      <c r="M219" s="62" t="s">
        <v>28</v>
      </c>
    </row>
    <row r="220" spans="1:13" ht="26.25" x14ac:dyDescent="0.25">
      <c r="A220" s="40" t="s">
        <v>2496</v>
      </c>
      <c r="B220" s="61">
        <v>1826</v>
      </c>
      <c r="C220" s="61">
        <v>1071</v>
      </c>
      <c r="D220" s="61">
        <v>474</v>
      </c>
      <c r="E220" s="61">
        <v>171</v>
      </c>
      <c r="F220" s="61">
        <v>104</v>
      </c>
      <c r="G220" s="61">
        <v>7</v>
      </c>
      <c r="H220" s="61">
        <v>38406</v>
      </c>
      <c r="I220" s="61">
        <v>13966</v>
      </c>
      <c r="J220" s="61">
        <v>9208</v>
      </c>
      <c r="K220" s="61">
        <v>3886</v>
      </c>
      <c r="L220" s="61">
        <v>7842</v>
      </c>
      <c r="M220" s="61">
        <v>3504</v>
      </c>
    </row>
    <row r="221" spans="1:13" ht="39" x14ac:dyDescent="0.25">
      <c r="A221" s="40" t="s">
        <v>2497</v>
      </c>
      <c r="B221" s="61">
        <v>4649</v>
      </c>
      <c r="C221" s="61">
        <v>3120</v>
      </c>
      <c r="D221" s="61">
        <v>1022</v>
      </c>
      <c r="E221" s="61">
        <v>329</v>
      </c>
      <c r="F221" s="61">
        <v>166</v>
      </c>
      <c r="G221" s="61">
        <v>12</v>
      </c>
      <c r="H221" s="61">
        <v>80081</v>
      </c>
      <c r="I221" s="61">
        <v>34818</v>
      </c>
      <c r="J221" s="61">
        <v>19068</v>
      </c>
      <c r="K221" s="61">
        <v>7767</v>
      </c>
      <c r="L221" s="61">
        <v>13083</v>
      </c>
      <c r="M221" s="61">
        <v>5344</v>
      </c>
    </row>
    <row r="222" spans="1:13" ht="39" x14ac:dyDescent="0.25">
      <c r="A222" s="44" t="s">
        <v>2498</v>
      </c>
      <c r="B222" s="61">
        <v>2302</v>
      </c>
      <c r="C222" s="61">
        <v>1372</v>
      </c>
      <c r="D222" s="61">
        <v>577</v>
      </c>
      <c r="E222" s="61">
        <v>210</v>
      </c>
      <c r="F222" s="61">
        <v>132</v>
      </c>
      <c r="G222" s="61">
        <v>12</v>
      </c>
      <c r="H222" s="61">
        <v>53816</v>
      </c>
      <c r="I222" s="61">
        <v>18664</v>
      </c>
      <c r="J222" s="61">
        <v>12629</v>
      </c>
      <c r="K222" s="61">
        <v>5761</v>
      </c>
      <c r="L222" s="61">
        <v>11610</v>
      </c>
      <c r="M222" s="61">
        <v>5152</v>
      </c>
    </row>
    <row r="223" spans="1:13" ht="39" x14ac:dyDescent="0.25">
      <c r="A223" s="40" t="s">
        <v>2587</v>
      </c>
      <c r="B223" s="61">
        <v>525</v>
      </c>
      <c r="C223" s="61">
        <v>326</v>
      </c>
      <c r="D223" s="61">
        <v>130</v>
      </c>
      <c r="E223" s="61">
        <v>37</v>
      </c>
      <c r="F223" s="61">
        <v>28</v>
      </c>
      <c r="G223" s="61">
        <v>5</v>
      </c>
      <c r="H223" s="61">
        <v>23396</v>
      </c>
      <c r="I223" s="61">
        <v>8474</v>
      </c>
      <c r="J223" s="61">
        <v>5326</v>
      </c>
      <c r="K223" s="61">
        <v>2239</v>
      </c>
      <c r="L223" s="61">
        <v>4469</v>
      </c>
      <c r="M223" s="61">
        <v>2888</v>
      </c>
    </row>
    <row r="224" spans="1:13" x14ac:dyDescent="0.25">
      <c r="A224" s="40" t="s">
        <v>2500</v>
      </c>
      <c r="B224" s="61">
        <v>905</v>
      </c>
      <c r="C224" s="61">
        <v>506</v>
      </c>
      <c r="D224" s="61">
        <v>245</v>
      </c>
      <c r="E224" s="61">
        <v>85</v>
      </c>
      <c r="F224" s="61">
        <v>62</v>
      </c>
      <c r="G224" s="61">
        <v>7</v>
      </c>
      <c r="H224" s="61">
        <v>28059</v>
      </c>
      <c r="I224" s="61">
        <v>9952</v>
      </c>
      <c r="J224" s="61">
        <v>5781</v>
      </c>
      <c r="K224" s="61">
        <v>2789</v>
      </c>
      <c r="L224" s="61">
        <v>6053</v>
      </c>
      <c r="M224" s="61">
        <v>3484</v>
      </c>
    </row>
    <row r="225" spans="1:13" x14ac:dyDescent="0.25">
      <c r="A225" s="44" t="s">
        <v>2501</v>
      </c>
      <c r="B225" s="61">
        <v>473</v>
      </c>
      <c r="C225" s="61">
        <v>261</v>
      </c>
      <c r="D225" s="61">
        <v>113</v>
      </c>
      <c r="E225" s="61">
        <v>48</v>
      </c>
      <c r="F225" s="61">
        <v>45</v>
      </c>
      <c r="G225" s="61">
        <v>7</v>
      </c>
      <c r="H225" s="61">
        <v>22071</v>
      </c>
      <c r="I225" s="61">
        <v>6930</v>
      </c>
      <c r="J225" s="61">
        <v>3905</v>
      </c>
      <c r="K225" s="61">
        <v>1950</v>
      </c>
      <c r="L225" s="61">
        <v>5642</v>
      </c>
      <c r="M225" s="61">
        <v>3645</v>
      </c>
    </row>
    <row r="226" spans="1:13" x14ac:dyDescent="0.25">
      <c r="A226" s="44" t="s">
        <v>2383</v>
      </c>
      <c r="B226" s="61">
        <v>10</v>
      </c>
      <c r="C226" s="61" t="s">
        <v>2312</v>
      </c>
      <c r="D226" s="61" t="s">
        <v>2312</v>
      </c>
      <c r="E226" s="61" t="s">
        <v>2312</v>
      </c>
      <c r="F226" s="61" t="s">
        <v>2312</v>
      </c>
      <c r="G226" s="61" t="s">
        <v>2312</v>
      </c>
      <c r="H226" s="61">
        <v>446</v>
      </c>
      <c r="I226" s="61" t="s">
        <v>2312</v>
      </c>
      <c r="J226" s="61" t="s">
        <v>2312</v>
      </c>
      <c r="K226" s="61" t="s">
        <v>2312</v>
      </c>
      <c r="L226" s="61" t="s">
        <v>2312</v>
      </c>
      <c r="M226" s="61" t="s">
        <v>2312</v>
      </c>
    </row>
    <row r="227" spans="1:13" ht="102.75" x14ac:dyDescent="0.25">
      <c r="A227" s="43" t="s">
        <v>2502</v>
      </c>
      <c r="B227" s="62" t="s">
        <v>28</v>
      </c>
      <c r="C227" s="62" t="s">
        <v>28</v>
      </c>
      <c r="D227" s="62" t="s">
        <v>28</v>
      </c>
      <c r="E227" s="62" t="s">
        <v>28</v>
      </c>
      <c r="F227" s="62" t="s">
        <v>28</v>
      </c>
      <c r="G227" s="62" t="s">
        <v>28</v>
      </c>
      <c r="H227" s="62" t="s">
        <v>28</v>
      </c>
      <c r="I227" s="62" t="s">
        <v>28</v>
      </c>
      <c r="J227" s="62" t="s">
        <v>28</v>
      </c>
      <c r="K227" s="62" t="s">
        <v>28</v>
      </c>
      <c r="L227" s="62" t="s">
        <v>28</v>
      </c>
      <c r="M227" s="62" t="s">
        <v>28</v>
      </c>
    </row>
    <row r="228" spans="1:13" ht="39" x14ac:dyDescent="0.25">
      <c r="A228" s="40" t="s">
        <v>2503</v>
      </c>
      <c r="B228" s="61">
        <v>3984</v>
      </c>
      <c r="C228" s="61">
        <v>2602</v>
      </c>
      <c r="D228" s="61">
        <v>915</v>
      </c>
      <c r="E228" s="61">
        <v>301</v>
      </c>
      <c r="F228" s="61">
        <v>154</v>
      </c>
      <c r="G228" s="61">
        <v>12</v>
      </c>
      <c r="H228" s="61">
        <v>73645</v>
      </c>
      <c r="I228" s="61">
        <v>31001</v>
      </c>
      <c r="J228" s="61">
        <v>17915</v>
      </c>
      <c r="K228" s="61">
        <v>7152</v>
      </c>
      <c r="L228" s="61">
        <v>12368</v>
      </c>
      <c r="M228" s="61">
        <v>5209</v>
      </c>
    </row>
    <row r="229" spans="1:13" ht="26.25" x14ac:dyDescent="0.25">
      <c r="A229" s="42" t="s">
        <v>2504</v>
      </c>
      <c r="B229" s="61">
        <v>811</v>
      </c>
      <c r="C229" s="61">
        <v>553</v>
      </c>
      <c r="D229" s="61">
        <v>151</v>
      </c>
      <c r="E229" s="61">
        <v>59</v>
      </c>
      <c r="F229" s="61">
        <v>43</v>
      </c>
      <c r="G229" s="61">
        <v>6</v>
      </c>
      <c r="H229" s="61">
        <v>28361</v>
      </c>
      <c r="I229" s="61">
        <v>10649</v>
      </c>
      <c r="J229" s="61">
        <v>6100</v>
      </c>
      <c r="K229" s="61">
        <v>2393</v>
      </c>
      <c r="L229" s="61">
        <v>5897</v>
      </c>
      <c r="M229" s="61">
        <v>3322</v>
      </c>
    </row>
    <row r="230" spans="1:13" ht="26.25" x14ac:dyDescent="0.25">
      <c r="A230" s="42" t="s">
        <v>2505</v>
      </c>
      <c r="B230" s="61">
        <v>915</v>
      </c>
      <c r="C230" s="61">
        <v>605</v>
      </c>
      <c r="D230" s="61">
        <v>182</v>
      </c>
      <c r="E230" s="61">
        <v>77</v>
      </c>
      <c r="F230" s="61">
        <v>44</v>
      </c>
      <c r="G230" s="61">
        <v>7</v>
      </c>
      <c r="H230" s="61">
        <v>28719</v>
      </c>
      <c r="I230" s="61">
        <v>10961</v>
      </c>
      <c r="J230" s="61">
        <v>5918</v>
      </c>
      <c r="K230" s="61">
        <v>2625</v>
      </c>
      <c r="L230" s="61">
        <v>5730</v>
      </c>
      <c r="M230" s="61">
        <v>3485</v>
      </c>
    </row>
    <row r="231" spans="1:13" ht="51.75" x14ac:dyDescent="0.25">
      <c r="A231" s="42" t="s">
        <v>2506</v>
      </c>
      <c r="B231" s="61">
        <v>78</v>
      </c>
      <c r="C231" s="61">
        <v>50</v>
      </c>
      <c r="D231" s="61">
        <v>20</v>
      </c>
      <c r="E231" s="61" t="s">
        <v>2312</v>
      </c>
      <c r="F231" s="61">
        <v>4</v>
      </c>
      <c r="G231" s="61" t="s">
        <v>2583</v>
      </c>
      <c r="H231" s="61">
        <v>4171</v>
      </c>
      <c r="I231" s="61">
        <v>1931</v>
      </c>
      <c r="J231" s="61">
        <v>942</v>
      </c>
      <c r="K231" s="61" t="s">
        <v>2312</v>
      </c>
      <c r="L231" s="61">
        <v>751</v>
      </c>
      <c r="M231" s="61">
        <v>348</v>
      </c>
    </row>
    <row r="232" spans="1:13" ht="39" x14ac:dyDescent="0.25">
      <c r="A232" s="42" t="s">
        <v>2507</v>
      </c>
      <c r="B232" s="61">
        <v>846</v>
      </c>
      <c r="C232" s="61">
        <v>541</v>
      </c>
      <c r="D232" s="61">
        <v>183</v>
      </c>
      <c r="E232" s="61">
        <v>60</v>
      </c>
      <c r="F232" s="61">
        <v>54</v>
      </c>
      <c r="G232" s="61">
        <v>7</v>
      </c>
      <c r="H232" s="61">
        <v>32734</v>
      </c>
      <c r="I232" s="61">
        <v>11581</v>
      </c>
      <c r="J232" s="61">
        <v>6986</v>
      </c>
      <c r="K232" s="61">
        <v>2980</v>
      </c>
      <c r="L232" s="61">
        <v>7380</v>
      </c>
      <c r="M232" s="61">
        <v>3807</v>
      </c>
    </row>
    <row r="233" spans="1:13" ht="64.5" x14ac:dyDescent="0.25">
      <c r="A233" s="42" t="s">
        <v>2508</v>
      </c>
      <c r="B233" s="61">
        <v>3388</v>
      </c>
      <c r="C233" s="61">
        <v>2176</v>
      </c>
      <c r="D233" s="61">
        <v>800</v>
      </c>
      <c r="E233" s="61">
        <v>267</v>
      </c>
      <c r="F233" s="61">
        <v>135</v>
      </c>
      <c r="G233" s="61">
        <v>10</v>
      </c>
      <c r="H233" s="61">
        <v>62381</v>
      </c>
      <c r="I233" s="61">
        <v>25926</v>
      </c>
      <c r="J233" s="61">
        <v>15363</v>
      </c>
      <c r="K233" s="61">
        <v>6139</v>
      </c>
      <c r="L233" s="61">
        <v>10708</v>
      </c>
      <c r="M233" s="61">
        <v>4245</v>
      </c>
    </row>
    <row r="234" spans="1:13" ht="39" x14ac:dyDescent="0.25">
      <c r="A234" s="42" t="s">
        <v>2509</v>
      </c>
      <c r="B234" s="61">
        <v>960</v>
      </c>
      <c r="C234" s="61">
        <v>563</v>
      </c>
      <c r="D234" s="61">
        <v>235</v>
      </c>
      <c r="E234" s="61">
        <v>78</v>
      </c>
      <c r="F234" s="61">
        <v>75</v>
      </c>
      <c r="G234" s="61">
        <v>10</v>
      </c>
      <c r="H234" s="61">
        <v>43936</v>
      </c>
      <c r="I234" s="61">
        <v>15933</v>
      </c>
      <c r="J234" s="61">
        <v>9519</v>
      </c>
      <c r="K234" s="61">
        <v>4288</v>
      </c>
      <c r="L234" s="61">
        <v>9715</v>
      </c>
      <c r="M234" s="61">
        <v>4481</v>
      </c>
    </row>
    <row r="235" spans="1:13" ht="39" x14ac:dyDescent="0.25">
      <c r="A235" s="44" t="s">
        <v>2510</v>
      </c>
      <c r="B235" s="60">
        <v>1573</v>
      </c>
      <c r="C235" s="60">
        <v>1234</v>
      </c>
      <c r="D235" s="60">
        <v>242</v>
      </c>
      <c r="E235" s="60">
        <v>73</v>
      </c>
      <c r="F235" s="60">
        <v>23</v>
      </c>
      <c r="G235" s="60" t="s">
        <v>2312</v>
      </c>
      <c r="H235" s="60">
        <v>13448</v>
      </c>
      <c r="I235" s="60">
        <v>8809</v>
      </c>
      <c r="J235" s="60">
        <v>2290</v>
      </c>
      <c r="K235" s="60">
        <v>988</v>
      </c>
      <c r="L235" s="60">
        <v>1167</v>
      </c>
      <c r="M235" s="60" t="s">
        <v>2312</v>
      </c>
    </row>
    <row r="236" spans="1:13" ht="166.5" x14ac:dyDescent="0.25">
      <c r="A236" s="43" t="s">
        <v>2588</v>
      </c>
      <c r="B236" s="59" t="s">
        <v>28</v>
      </c>
      <c r="C236" s="59" t="s">
        <v>28</v>
      </c>
      <c r="D236" s="59" t="s">
        <v>28</v>
      </c>
      <c r="E236" s="59" t="s">
        <v>28</v>
      </c>
      <c r="F236" s="59" t="s">
        <v>28</v>
      </c>
      <c r="G236" s="59" t="s">
        <v>28</v>
      </c>
      <c r="H236" s="59" t="s">
        <v>28</v>
      </c>
      <c r="I236" s="59" t="s">
        <v>28</v>
      </c>
      <c r="J236" s="59" t="s">
        <v>28</v>
      </c>
      <c r="K236" s="59" t="s">
        <v>28</v>
      </c>
      <c r="L236" s="59" t="s">
        <v>28</v>
      </c>
      <c r="M236" s="59" t="s">
        <v>28</v>
      </c>
    </row>
    <row r="237" spans="1:13" ht="51.75" x14ac:dyDescent="0.25">
      <c r="A237" s="40" t="s">
        <v>2533</v>
      </c>
      <c r="B237" s="61">
        <v>153</v>
      </c>
      <c r="C237" s="61">
        <v>99</v>
      </c>
      <c r="D237" s="61">
        <v>34</v>
      </c>
      <c r="E237" s="61">
        <v>10</v>
      </c>
      <c r="F237" s="61">
        <v>8</v>
      </c>
      <c r="G237" s="61">
        <v>2</v>
      </c>
      <c r="H237" s="61">
        <v>9884</v>
      </c>
      <c r="I237" s="61">
        <v>2655</v>
      </c>
      <c r="J237" s="61">
        <v>2051</v>
      </c>
      <c r="K237" s="61">
        <v>1080</v>
      </c>
      <c r="L237" s="61">
        <v>2379</v>
      </c>
      <c r="M237" s="61">
        <v>1719</v>
      </c>
    </row>
    <row r="238" spans="1:13" ht="51.75" x14ac:dyDescent="0.25">
      <c r="A238" s="44" t="s">
        <v>2534</v>
      </c>
      <c r="B238" s="61">
        <v>173</v>
      </c>
      <c r="C238" s="61">
        <v>123</v>
      </c>
      <c r="D238" s="61">
        <v>33</v>
      </c>
      <c r="E238" s="61">
        <v>4</v>
      </c>
      <c r="F238" s="61">
        <v>9</v>
      </c>
      <c r="G238" s="61">
        <v>4</v>
      </c>
      <c r="H238" s="61">
        <v>9787</v>
      </c>
      <c r="I238" s="61">
        <v>4502</v>
      </c>
      <c r="J238" s="61">
        <v>1133</v>
      </c>
      <c r="K238" s="61">
        <v>308</v>
      </c>
      <c r="L238" s="61">
        <v>1803</v>
      </c>
      <c r="M238" s="61">
        <v>2041</v>
      </c>
    </row>
    <row r="239" spans="1:13" ht="51.75" x14ac:dyDescent="0.25">
      <c r="A239" s="44" t="s">
        <v>2535</v>
      </c>
      <c r="B239" s="61">
        <v>130</v>
      </c>
      <c r="C239" s="61">
        <v>56</v>
      </c>
      <c r="D239" s="61">
        <v>35</v>
      </c>
      <c r="E239" s="61">
        <v>14</v>
      </c>
      <c r="F239" s="61">
        <v>22</v>
      </c>
      <c r="G239" s="61">
        <v>3</v>
      </c>
      <c r="H239" s="61">
        <v>15222</v>
      </c>
      <c r="I239" s="61">
        <v>3435</v>
      </c>
      <c r="J239" s="61">
        <v>3686</v>
      </c>
      <c r="K239" s="61">
        <v>1563</v>
      </c>
      <c r="L239" s="61">
        <v>4054</v>
      </c>
      <c r="M239" s="61">
        <v>2483</v>
      </c>
    </row>
    <row r="240" spans="1:13" ht="77.25" x14ac:dyDescent="0.25">
      <c r="A240" s="44" t="s">
        <v>2536</v>
      </c>
      <c r="B240" s="61">
        <v>282</v>
      </c>
      <c r="C240" s="61">
        <v>149</v>
      </c>
      <c r="D240" s="61">
        <v>75</v>
      </c>
      <c r="E240" s="61">
        <v>31</v>
      </c>
      <c r="F240" s="61">
        <v>24</v>
      </c>
      <c r="G240" s="61">
        <v>3</v>
      </c>
      <c r="H240" s="61">
        <v>16150</v>
      </c>
      <c r="I240" s="61">
        <v>4853</v>
      </c>
      <c r="J240" s="61">
        <v>3907</v>
      </c>
      <c r="K240" s="61">
        <v>1638</v>
      </c>
      <c r="L240" s="61">
        <v>3890</v>
      </c>
      <c r="M240" s="61">
        <v>1862</v>
      </c>
    </row>
    <row r="241" spans="1:13" ht="39" x14ac:dyDescent="0.25">
      <c r="A241" s="44" t="s">
        <v>2537</v>
      </c>
      <c r="B241" s="61">
        <v>736</v>
      </c>
      <c r="C241" s="61">
        <v>401</v>
      </c>
      <c r="D241" s="61">
        <v>214</v>
      </c>
      <c r="E241" s="61">
        <v>76</v>
      </c>
      <c r="F241" s="61">
        <v>41</v>
      </c>
      <c r="G241" s="61">
        <v>3</v>
      </c>
      <c r="H241" s="61">
        <v>14054</v>
      </c>
      <c r="I241" s="61">
        <v>4414</v>
      </c>
      <c r="J241" s="61">
        <v>3629</v>
      </c>
      <c r="K241" s="61">
        <v>1621</v>
      </c>
      <c r="L241" s="61">
        <v>2942</v>
      </c>
      <c r="M241" s="61">
        <v>1448</v>
      </c>
    </row>
    <row r="242" spans="1:13" ht="115.5" x14ac:dyDescent="0.25">
      <c r="A242" s="43" t="s">
        <v>2589</v>
      </c>
      <c r="B242" s="62" t="s">
        <v>28</v>
      </c>
      <c r="C242" s="62" t="s">
        <v>28</v>
      </c>
      <c r="D242" s="62" t="s">
        <v>28</v>
      </c>
      <c r="E242" s="62" t="s">
        <v>28</v>
      </c>
      <c r="F242" s="62" t="s">
        <v>28</v>
      </c>
      <c r="G242" s="62" t="s">
        <v>28</v>
      </c>
      <c r="H242" s="62" t="s">
        <v>28</v>
      </c>
      <c r="I242" s="62" t="s">
        <v>28</v>
      </c>
      <c r="J242" s="62" t="s">
        <v>28</v>
      </c>
      <c r="K242" s="62" t="s">
        <v>28</v>
      </c>
      <c r="L242" s="62" t="s">
        <v>28</v>
      </c>
      <c r="M242" s="62" t="s">
        <v>28</v>
      </c>
    </row>
    <row r="243" spans="1:13" ht="39" x14ac:dyDescent="0.25">
      <c r="A243" s="40" t="s">
        <v>2547</v>
      </c>
      <c r="B243" s="61">
        <v>3012</v>
      </c>
      <c r="C243" s="61">
        <v>1914</v>
      </c>
      <c r="D243" s="61">
        <v>720</v>
      </c>
      <c r="E243" s="61">
        <v>250</v>
      </c>
      <c r="F243" s="61">
        <v>119</v>
      </c>
      <c r="G243" s="61">
        <v>9</v>
      </c>
      <c r="H243" s="61">
        <v>60362</v>
      </c>
      <c r="I243" s="61">
        <v>25811</v>
      </c>
      <c r="J243" s="61">
        <v>14300</v>
      </c>
      <c r="K243" s="61">
        <v>6199</v>
      </c>
      <c r="L243" s="61">
        <v>10016</v>
      </c>
      <c r="M243" s="61">
        <v>4036</v>
      </c>
    </row>
    <row r="244" spans="1:13" ht="39" x14ac:dyDescent="0.25">
      <c r="A244" s="40" t="s">
        <v>2548</v>
      </c>
      <c r="B244" s="61">
        <v>1875</v>
      </c>
      <c r="C244" s="61">
        <v>1284</v>
      </c>
      <c r="D244" s="61">
        <v>400</v>
      </c>
      <c r="E244" s="61">
        <v>116</v>
      </c>
      <c r="F244" s="61">
        <v>67</v>
      </c>
      <c r="G244" s="61">
        <v>8</v>
      </c>
      <c r="H244" s="61">
        <v>45025</v>
      </c>
      <c r="I244" s="61">
        <v>19777</v>
      </c>
      <c r="J244" s="61">
        <v>10137</v>
      </c>
      <c r="K244" s="61">
        <v>4063</v>
      </c>
      <c r="L244" s="61">
        <v>7385</v>
      </c>
      <c r="M244" s="61">
        <v>3663</v>
      </c>
    </row>
    <row r="245" spans="1:13" ht="39" x14ac:dyDescent="0.25">
      <c r="A245" s="40" t="s">
        <v>2549</v>
      </c>
      <c r="B245" s="61">
        <v>549</v>
      </c>
      <c r="C245" s="61">
        <v>344</v>
      </c>
      <c r="D245" s="61">
        <v>144</v>
      </c>
      <c r="E245" s="61">
        <v>32</v>
      </c>
      <c r="F245" s="61">
        <v>26</v>
      </c>
      <c r="G245" s="61">
        <v>4</v>
      </c>
      <c r="H245" s="61">
        <v>15908</v>
      </c>
      <c r="I245" s="61">
        <v>5890</v>
      </c>
      <c r="J245" s="61">
        <v>3716</v>
      </c>
      <c r="K245" s="61">
        <v>1461</v>
      </c>
      <c r="L245" s="61">
        <v>2919</v>
      </c>
      <c r="M245" s="61">
        <v>1922</v>
      </c>
    </row>
    <row r="246" spans="1:13" ht="51.75" x14ac:dyDescent="0.25">
      <c r="A246" s="44" t="s">
        <v>2550</v>
      </c>
      <c r="B246" s="61">
        <v>1867</v>
      </c>
      <c r="C246" s="61">
        <v>1283</v>
      </c>
      <c r="D246" s="61">
        <v>419</v>
      </c>
      <c r="E246" s="61">
        <v>113</v>
      </c>
      <c r="F246" s="61">
        <v>49</v>
      </c>
      <c r="G246" s="61">
        <v>4</v>
      </c>
      <c r="H246" s="61">
        <v>32188</v>
      </c>
      <c r="I246" s="61">
        <v>16607</v>
      </c>
      <c r="J246" s="61">
        <v>7423</v>
      </c>
      <c r="K246" s="61">
        <v>2367</v>
      </c>
      <c r="L246" s="61">
        <v>3976</v>
      </c>
      <c r="M246" s="61">
        <v>1815</v>
      </c>
    </row>
    <row r="247" spans="1:13" ht="39" x14ac:dyDescent="0.25">
      <c r="A247" s="44" t="s">
        <v>2551</v>
      </c>
      <c r="B247" s="61">
        <v>591</v>
      </c>
      <c r="C247" s="61">
        <v>338</v>
      </c>
      <c r="D247" s="61">
        <v>175</v>
      </c>
      <c r="E247" s="61">
        <v>42</v>
      </c>
      <c r="F247" s="61">
        <v>33</v>
      </c>
      <c r="G247" s="61">
        <v>3</v>
      </c>
      <c r="H247" s="61">
        <v>22261</v>
      </c>
      <c r="I247" s="61">
        <v>8545</v>
      </c>
      <c r="J247" s="61">
        <v>5864</v>
      </c>
      <c r="K247" s="61">
        <v>1980</v>
      </c>
      <c r="L247" s="61">
        <v>4066</v>
      </c>
      <c r="M247" s="61">
        <v>1805</v>
      </c>
    </row>
    <row r="248" spans="1:13" ht="39" x14ac:dyDescent="0.25">
      <c r="A248" s="44" t="s">
        <v>2552</v>
      </c>
      <c r="B248" s="61">
        <v>918</v>
      </c>
      <c r="C248" s="61">
        <v>598</v>
      </c>
      <c r="D248" s="61">
        <v>211</v>
      </c>
      <c r="E248" s="61">
        <v>59</v>
      </c>
      <c r="F248" s="61">
        <v>43</v>
      </c>
      <c r="G248" s="61">
        <v>7</v>
      </c>
      <c r="H248" s="61">
        <v>30263</v>
      </c>
      <c r="I248" s="61">
        <v>12166</v>
      </c>
      <c r="J248" s="61">
        <v>6418</v>
      </c>
      <c r="K248" s="61">
        <v>2568</v>
      </c>
      <c r="L248" s="61">
        <v>5639</v>
      </c>
      <c r="M248" s="61">
        <v>3473</v>
      </c>
    </row>
    <row r="249" spans="1:13" ht="26.25" x14ac:dyDescent="0.25">
      <c r="A249" s="40" t="s">
        <v>2553</v>
      </c>
      <c r="B249" s="61">
        <v>813</v>
      </c>
      <c r="C249" s="61">
        <v>467</v>
      </c>
      <c r="D249" s="61">
        <v>185</v>
      </c>
      <c r="E249" s="61">
        <v>84</v>
      </c>
      <c r="F249" s="61">
        <v>67</v>
      </c>
      <c r="G249" s="61">
        <v>9</v>
      </c>
      <c r="H249" s="61">
        <v>35871</v>
      </c>
      <c r="I249" s="61">
        <v>11946</v>
      </c>
      <c r="J249" s="61">
        <v>7593</v>
      </c>
      <c r="K249" s="61">
        <v>3829</v>
      </c>
      <c r="L249" s="61">
        <v>8000</v>
      </c>
      <c r="M249" s="61">
        <v>4502</v>
      </c>
    </row>
    <row r="250" spans="1:13" ht="51.75" x14ac:dyDescent="0.25">
      <c r="A250" s="40" t="s">
        <v>2554</v>
      </c>
      <c r="B250" s="61">
        <v>349</v>
      </c>
      <c r="C250" s="61">
        <v>199</v>
      </c>
      <c r="D250" s="61">
        <v>84</v>
      </c>
      <c r="E250" s="61">
        <v>34</v>
      </c>
      <c r="F250" s="61">
        <v>28</v>
      </c>
      <c r="G250" s="61">
        <v>4</v>
      </c>
      <c r="H250" s="61">
        <v>14534</v>
      </c>
      <c r="I250" s="61">
        <v>5358</v>
      </c>
      <c r="J250" s="61">
        <v>2657</v>
      </c>
      <c r="K250" s="61">
        <v>1381</v>
      </c>
      <c r="L250" s="61">
        <v>3136</v>
      </c>
      <c r="M250" s="61">
        <v>2002</v>
      </c>
    </row>
    <row r="251" spans="1:13" ht="39" x14ac:dyDescent="0.25">
      <c r="A251" s="44" t="s">
        <v>2555</v>
      </c>
      <c r="B251" s="61">
        <v>125</v>
      </c>
      <c r="C251" s="61">
        <v>79</v>
      </c>
      <c r="D251" s="61">
        <v>23</v>
      </c>
      <c r="E251" s="61">
        <v>15</v>
      </c>
      <c r="F251" s="61">
        <v>6</v>
      </c>
      <c r="G251" s="61">
        <v>1</v>
      </c>
      <c r="H251" s="61">
        <v>6114</v>
      </c>
      <c r="I251" s="61">
        <v>2552</v>
      </c>
      <c r="J251" s="61">
        <v>1041</v>
      </c>
      <c r="K251" s="61">
        <v>547</v>
      </c>
      <c r="L251" s="61">
        <v>1221</v>
      </c>
      <c r="M251" s="61">
        <v>754</v>
      </c>
    </row>
    <row r="252" spans="1:13" ht="39" x14ac:dyDescent="0.25">
      <c r="A252" s="44" t="s">
        <v>2556</v>
      </c>
      <c r="B252" s="61">
        <v>176</v>
      </c>
      <c r="C252" s="61">
        <v>120</v>
      </c>
      <c r="D252" s="61">
        <v>42</v>
      </c>
      <c r="E252" s="61" t="s">
        <v>2312</v>
      </c>
      <c r="F252" s="61">
        <v>3</v>
      </c>
      <c r="G252" s="61">
        <v>1</v>
      </c>
      <c r="H252" s="61">
        <v>4738</v>
      </c>
      <c r="I252" s="61">
        <v>2723</v>
      </c>
      <c r="J252" s="61">
        <v>1069</v>
      </c>
      <c r="K252" s="61" t="s">
        <v>2312</v>
      </c>
      <c r="L252" s="61">
        <v>468</v>
      </c>
      <c r="M252" s="61">
        <v>274</v>
      </c>
    </row>
    <row r="253" spans="1:13" ht="66.75" x14ac:dyDescent="0.25">
      <c r="A253" s="44" t="s">
        <v>2590</v>
      </c>
      <c r="B253" s="61">
        <v>208</v>
      </c>
      <c r="C253" s="61">
        <v>148</v>
      </c>
      <c r="D253" s="61">
        <v>38</v>
      </c>
      <c r="E253" s="61">
        <v>8</v>
      </c>
      <c r="F253" s="61">
        <v>12</v>
      </c>
      <c r="G253" s="61">
        <v>3</v>
      </c>
      <c r="H253" s="61">
        <v>12068</v>
      </c>
      <c r="I253" s="61">
        <v>5368</v>
      </c>
      <c r="J253" s="61">
        <v>2428</v>
      </c>
      <c r="K253" s="61">
        <v>602</v>
      </c>
      <c r="L253" s="61">
        <v>2276</v>
      </c>
      <c r="M253" s="61">
        <v>1394</v>
      </c>
    </row>
  </sheetData>
  <mergeCells count="3">
    <mergeCell ref="A2:M2"/>
    <mergeCell ref="B3:G3"/>
    <mergeCell ref="H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49"/>
  <sheetViews>
    <sheetView workbookViewId="0">
      <selection activeCell="B61" sqref="B61"/>
    </sheetView>
  </sheetViews>
  <sheetFormatPr defaultRowHeight="15" x14ac:dyDescent="0.25"/>
  <sheetData>
    <row r="1" spans="1:10" x14ac:dyDescent="0.25">
      <c r="A1" s="88" t="s">
        <v>2592</v>
      </c>
      <c r="F1" s="66"/>
      <c r="G1" s="63"/>
    </row>
    <row r="2" spans="1:10" x14ac:dyDescent="0.25">
      <c r="A2" s="134" t="s">
        <v>2593</v>
      </c>
      <c r="B2" s="135"/>
      <c r="C2" s="135"/>
      <c r="D2" s="135"/>
      <c r="E2" s="135"/>
      <c r="F2" s="135"/>
      <c r="G2" s="135"/>
      <c r="H2" s="144"/>
      <c r="I2" s="144"/>
      <c r="J2" s="144"/>
    </row>
    <row r="3" spans="1:10" ht="15.75" x14ac:dyDescent="0.25">
      <c r="A3" s="32"/>
      <c r="B3" s="146" t="s">
        <v>2594</v>
      </c>
      <c r="C3" s="146"/>
      <c r="D3" s="146"/>
      <c r="E3" s="146"/>
      <c r="F3" s="146"/>
      <c r="G3" s="146"/>
      <c r="H3" s="142" t="s">
        <v>2595</v>
      </c>
      <c r="I3" s="143"/>
      <c r="J3" s="143"/>
    </row>
    <row r="4" spans="1:10" ht="15.75" x14ac:dyDescent="0.25">
      <c r="A4" s="32"/>
      <c r="B4" s="147" t="s">
        <v>2596</v>
      </c>
      <c r="C4" s="147" t="s">
        <v>2597</v>
      </c>
      <c r="D4" s="147" t="s">
        <v>2598</v>
      </c>
      <c r="E4" s="146" t="s">
        <v>2599</v>
      </c>
      <c r="F4" s="139"/>
      <c r="G4" s="139"/>
      <c r="H4" s="147" t="s">
        <v>2600</v>
      </c>
      <c r="I4" s="147" t="s">
        <v>2601</v>
      </c>
      <c r="J4" s="147" t="s">
        <v>2602</v>
      </c>
    </row>
    <row r="5" spans="1:10" ht="39.75" thickBot="1" x14ac:dyDescent="0.3">
      <c r="A5" s="34"/>
      <c r="B5" s="148"/>
      <c r="C5" s="149"/>
      <c r="D5" s="149"/>
      <c r="E5" s="67" t="s">
        <v>2603</v>
      </c>
      <c r="F5" s="67" t="s">
        <v>2604</v>
      </c>
      <c r="G5" s="67" t="s">
        <v>2605</v>
      </c>
      <c r="H5" s="149"/>
      <c r="I5" s="149"/>
      <c r="J5" s="149"/>
    </row>
    <row r="6" spans="1:10" ht="27" thickTop="1" x14ac:dyDescent="0.25">
      <c r="A6" s="36" t="s">
        <v>2302</v>
      </c>
      <c r="B6" s="58">
        <v>1253</v>
      </c>
      <c r="C6" s="68">
        <v>80</v>
      </c>
      <c r="D6" s="68">
        <v>79</v>
      </c>
      <c r="E6" s="68">
        <v>18.899999999999999</v>
      </c>
      <c r="F6" s="68">
        <v>45.9</v>
      </c>
      <c r="G6" s="68">
        <v>89</v>
      </c>
      <c r="H6" s="68">
        <v>26.8</v>
      </c>
      <c r="I6" s="68">
        <v>1.71</v>
      </c>
      <c r="J6" s="68">
        <v>21.41</v>
      </c>
    </row>
    <row r="7" spans="1:10" ht="51.75" x14ac:dyDescent="0.25">
      <c r="A7" s="38" t="s">
        <v>2303</v>
      </c>
      <c r="B7" s="59" t="s">
        <v>28</v>
      </c>
      <c r="C7" s="69" t="s">
        <v>28</v>
      </c>
      <c r="D7" s="69" t="s">
        <v>28</v>
      </c>
      <c r="E7" s="69" t="s">
        <v>28</v>
      </c>
      <c r="F7" s="69" t="s">
        <v>28</v>
      </c>
      <c r="G7" s="69" t="s">
        <v>28</v>
      </c>
      <c r="H7" s="69" t="s">
        <v>28</v>
      </c>
      <c r="I7" s="69" t="s">
        <v>28</v>
      </c>
      <c r="J7" s="69" t="s">
        <v>28</v>
      </c>
    </row>
    <row r="8" spans="1:10" ht="26.25" x14ac:dyDescent="0.25">
      <c r="A8" s="40" t="s">
        <v>2304</v>
      </c>
      <c r="B8" s="60">
        <v>260</v>
      </c>
      <c r="C8" s="70">
        <v>89.9</v>
      </c>
      <c r="D8" s="70">
        <v>70.599999999999994</v>
      </c>
      <c r="E8" s="70">
        <v>17.600000000000001</v>
      </c>
      <c r="F8" s="70">
        <v>46.4</v>
      </c>
      <c r="G8" s="70">
        <v>100</v>
      </c>
      <c r="H8" s="70">
        <v>5.9</v>
      </c>
      <c r="I8" s="70">
        <v>2.0299999999999998</v>
      </c>
      <c r="J8" s="70">
        <v>22.62</v>
      </c>
    </row>
    <row r="9" spans="1:10" ht="26.25" x14ac:dyDescent="0.25">
      <c r="A9" s="40" t="s">
        <v>2305</v>
      </c>
      <c r="B9" s="60">
        <v>526</v>
      </c>
      <c r="C9" s="70">
        <v>72.599999999999994</v>
      </c>
      <c r="D9" s="70">
        <v>70</v>
      </c>
      <c r="E9" s="70">
        <v>18.3</v>
      </c>
      <c r="F9" s="70">
        <v>40.1</v>
      </c>
      <c r="G9" s="70">
        <v>74.3</v>
      </c>
      <c r="H9" s="70">
        <v>11.6</v>
      </c>
      <c r="I9" s="70">
        <v>1.6</v>
      </c>
      <c r="J9" s="70">
        <v>22.02</v>
      </c>
    </row>
    <row r="10" spans="1:10" ht="26.25" x14ac:dyDescent="0.25">
      <c r="A10" s="40" t="s">
        <v>2306</v>
      </c>
      <c r="B10" s="60">
        <v>992</v>
      </c>
      <c r="C10" s="70">
        <v>62.1</v>
      </c>
      <c r="D10" s="70">
        <v>61.8</v>
      </c>
      <c r="E10" s="70">
        <v>18.7</v>
      </c>
      <c r="F10" s="70">
        <v>43.8</v>
      </c>
      <c r="G10" s="70">
        <v>81.5</v>
      </c>
      <c r="H10" s="70">
        <v>22.5</v>
      </c>
      <c r="I10" s="70">
        <v>1.41</v>
      </c>
      <c r="J10" s="70">
        <v>22.73</v>
      </c>
    </row>
    <row r="11" spans="1:10" ht="26.25" x14ac:dyDescent="0.25">
      <c r="A11" s="40" t="s">
        <v>2307</v>
      </c>
      <c r="B11" s="60">
        <v>2478</v>
      </c>
      <c r="C11" s="70">
        <v>69</v>
      </c>
      <c r="D11" s="70">
        <v>72.599999999999994</v>
      </c>
      <c r="E11" s="70">
        <v>24.6</v>
      </c>
      <c r="F11" s="70">
        <v>48.8</v>
      </c>
      <c r="G11" s="70">
        <v>88.8</v>
      </c>
      <c r="H11" s="70">
        <v>52.1</v>
      </c>
      <c r="I11" s="70">
        <v>1.45</v>
      </c>
      <c r="J11" s="70">
        <v>21.03</v>
      </c>
    </row>
    <row r="12" spans="1:10" ht="26.25" x14ac:dyDescent="0.25">
      <c r="A12" s="40" t="s">
        <v>2308</v>
      </c>
      <c r="B12" s="60">
        <v>5359</v>
      </c>
      <c r="C12" s="70">
        <v>76.7</v>
      </c>
      <c r="D12" s="70">
        <v>86.5</v>
      </c>
      <c r="E12" s="70">
        <v>33.700000000000003</v>
      </c>
      <c r="F12" s="70">
        <v>58.2</v>
      </c>
      <c r="G12" s="70">
        <v>93.4</v>
      </c>
      <c r="H12" s="70">
        <v>113.1</v>
      </c>
      <c r="I12" s="70">
        <v>1.62</v>
      </c>
      <c r="J12" s="70">
        <v>21.1</v>
      </c>
    </row>
    <row r="13" spans="1:10" ht="39" x14ac:dyDescent="0.25">
      <c r="A13" s="40" t="s">
        <v>2309</v>
      </c>
      <c r="B13" s="60">
        <v>11497</v>
      </c>
      <c r="C13" s="70">
        <v>83.4</v>
      </c>
      <c r="D13" s="70">
        <v>91.5</v>
      </c>
      <c r="E13" s="70">
        <v>39</v>
      </c>
      <c r="F13" s="70">
        <v>66.2</v>
      </c>
      <c r="G13" s="70">
        <v>101.1</v>
      </c>
      <c r="H13" s="70">
        <v>243.4</v>
      </c>
      <c r="I13" s="70">
        <v>1.76</v>
      </c>
      <c r="J13" s="70">
        <v>21.17</v>
      </c>
    </row>
    <row r="14" spans="1:10" ht="39" x14ac:dyDescent="0.25">
      <c r="A14" s="40" t="s">
        <v>2310</v>
      </c>
      <c r="B14" s="60">
        <v>27198</v>
      </c>
      <c r="C14" s="70">
        <v>95.7</v>
      </c>
      <c r="D14" s="70">
        <v>99.1</v>
      </c>
      <c r="E14" s="70">
        <v>47.4</v>
      </c>
      <c r="F14" s="70">
        <v>77.099999999999994</v>
      </c>
      <c r="G14" s="70">
        <v>114.8</v>
      </c>
      <c r="H14" s="70">
        <v>553.4</v>
      </c>
      <c r="I14" s="70">
        <v>1.95</v>
      </c>
      <c r="J14" s="70">
        <v>20.350000000000001</v>
      </c>
    </row>
    <row r="15" spans="1:10" ht="26.25" x14ac:dyDescent="0.25">
      <c r="A15" s="40" t="s">
        <v>2311</v>
      </c>
      <c r="B15" s="60">
        <v>95959</v>
      </c>
      <c r="C15" s="70">
        <v>108.4</v>
      </c>
      <c r="D15" s="70">
        <v>83.4</v>
      </c>
      <c r="E15" s="70">
        <v>42.9</v>
      </c>
      <c r="F15" s="70">
        <v>71.2</v>
      </c>
      <c r="G15" s="70">
        <v>124.3</v>
      </c>
      <c r="H15" s="70">
        <v>1996.3</v>
      </c>
      <c r="I15" s="70">
        <v>2.2599999999999998</v>
      </c>
      <c r="J15" s="70">
        <v>20.8</v>
      </c>
    </row>
    <row r="16" spans="1:10" ht="39" x14ac:dyDescent="0.25">
      <c r="A16" s="38" t="s">
        <v>2313</v>
      </c>
      <c r="B16" s="59" t="s">
        <v>28</v>
      </c>
      <c r="C16" s="69" t="s">
        <v>28</v>
      </c>
      <c r="D16" s="69" t="s">
        <v>28</v>
      </c>
      <c r="E16" s="69" t="s">
        <v>28</v>
      </c>
      <c r="F16" s="69" t="s">
        <v>28</v>
      </c>
      <c r="G16" s="69" t="s">
        <v>28</v>
      </c>
      <c r="H16" s="69" t="s">
        <v>28</v>
      </c>
      <c r="I16" s="69" t="s">
        <v>28</v>
      </c>
      <c r="J16" s="69" t="s">
        <v>28</v>
      </c>
    </row>
    <row r="17" spans="1:10" x14ac:dyDescent="0.25">
      <c r="A17" s="40" t="s">
        <v>2314</v>
      </c>
      <c r="B17" s="60">
        <v>2166</v>
      </c>
      <c r="C17" s="70">
        <v>68.8</v>
      </c>
      <c r="D17" s="70">
        <v>77.3</v>
      </c>
      <c r="E17" s="70">
        <v>31.1</v>
      </c>
      <c r="F17" s="70">
        <v>50.8</v>
      </c>
      <c r="G17" s="70">
        <v>81.099999999999994</v>
      </c>
      <c r="H17" s="70">
        <v>43.3</v>
      </c>
      <c r="I17" s="70">
        <v>1.37</v>
      </c>
      <c r="J17" s="70">
        <v>19.98</v>
      </c>
    </row>
    <row r="18" spans="1:10" ht="26.25" x14ac:dyDescent="0.25">
      <c r="A18" s="40" t="s">
        <v>2315</v>
      </c>
      <c r="B18" s="60">
        <v>1483</v>
      </c>
      <c r="C18" s="70">
        <v>209.5</v>
      </c>
      <c r="D18" s="70">
        <v>223.6</v>
      </c>
      <c r="E18" s="70">
        <v>128.1</v>
      </c>
      <c r="F18" s="70">
        <v>222.8</v>
      </c>
      <c r="G18" s="70">
        <v>321.60000000000002</v>
      </c>
      <c r="H18" s="70">
        <v>34.9</v>
      </c>
      <c r="I18" s="70">
        <v>4.93</v>
      </c>
      <c r="J18" s="70">
        <v>23.52</v>
      </c>
    </row>
    <row r="19" spans="1:10" ht="26.25" x14ac:dyDescent="0.25">
      <c r="A19" s="40" t="s">
        <v>2316</v>
      </c>
      <c r="B19" s="60">
        <v>1355</v>
      </c>
      <c r="C19" s="70">
        <v>282.7</v>
      </c>
      <c r="D19" s="70">
        <v>149.9</v>
      </c>
      <c r="E19" s="70">
        <v>94.4</v>
      </c>
      <c r="F19" s="70">
        <v>241.1</v>
      </c>
      <c r="G19" s="70">
        <v>449</v>
      </c>
      <c r="H19" s="70">
        <v>26.2</v>
      </c>
      <c r="I19" s="70">
        <v>5.47</v>
      </c>
      <c r="J19" s="70">
        <v>19.36</v>
      </c>
    </row>
    <row r="20" spans="1:10" ht="26.25" x14ac:dyDescent="0.25">
      <c r="A20" s="40" t="s">
        <v>2317</v>
      </c>
      <c r="B20" s="60">
        <v>4578</v>
      </c>
      <c r="C20" s="70">
        <v>172.7</v>
      </c>
      <c r="D20" s="70">
        <v>94.2</v>
      </c>
      <c r="E20" s="70">
        <v>42.4</v>
      </c>
      <c r="F20" s="70">
        <v>63.2</v>
      </c>
      <c r="G20" s="70">
        <v>90.9</v>
      </c>
      <c r="H20" s="70">
        <v>83.4</v>
      </c>
      <c r="I20" s="70">
        <v>3.15</v>
      </c>
      <c r="J20" s="70">
        <v>18.22</v>
      </c>
    </row>
    <row r="21" spans="1:10" ht="26.25" x14ac:dyDescent="0.25">
      <c r="A21" s="42" t="s">
        <v>2318</v>
      </c>
      <c r="B21" s="60">
        <v>57281</v>
      </c>
      <c r="C21" s="70">
        <v>231.1</v>
      </c>
      <c r="D21" s="70">
        <v>128.19999999999999</v>
      </c>
      <c r="E21" s="70">
        <v>163.80000000000001</v>
      </c>
      <c r="F21" s="70">
        <v>205.7</v>
      </c>
      <c r="G21" s="70">
        <v>272.60000000000002</v>
      </c>
      <c r="H21" s="70">
        <v>978.6</v>
      </c>
      <c r="I21" s="70">
        <v>3.95</v>
      </c>
      <c r="J21" s="70">
        <v>17.079999999999998</v>
      </c>
    </row>
    <row r="22" spans="1:10" ht="26.25" x14ac:dyDescent="0.25">
      <c r="A22" s="42" t="s">
        <v>2319</v>
      </c>
      <c r="B22" s="60">
        <v>1147</v>
      </c>
      <c r="C22" s="70">
        <v>94.8</v>
      </c>
      <c r="D22" s="70">
        <v>50.7</v>
      </c>
      <c r="E22" s="70">
        <v>33.5</v>
      </c>
      <c r="F22" s="70">
        <v>61.7</v>
      </c>
      <c r="G22" s="70">
        <v>82.1</v>
      </c>
      <c r="H22" s="70">
        <v>25.1</v>
      </c>
      <c r="I22" s="70">
        <v>2.08</v>
      </c>
      <c r="J22" s="70">
        <v>21.91</v>
      </c>
    </row>
    <row r="23" spans="1:10" x14ac:dyDescent="0.25">
      <c r="A23" s="40" t="s">
        <v>2320</v>
      </c>
      <c r="B23" s="60">
        <v>3574</v>
      </c>
      <c r="C23" s="70">
        <v>96.9</v>
      </c>
      <c r="D23" s="70">
        <v>184.1</v>
      </c>
      <c r="E23" s="70">
        <v>48.1</v>
      </c>
      <c r="F23" s="70">
        <v>69.099999999999994</v>
      </c>
      <c r="G23" s="70">
        <v>119.1</v>
      </c>
      <c r="H23" s="70">
        <v>69.599999999999994</v>
      </c>
      <c r="I23" s="70">
        <v>1.89</v>
      </c>
      <c r="J23" s="70">
        <v>19.48</v>
      </c>
    </row>
    <row r="24" spans="1:10" ht="26.25" x14ac:dyDescent="0.25">
      <c r="A24" s="40" t="s">
        <v>2321</v>
      </c>
      <c r="B24" s="60">
        <v>1673</v>
      </c>
      <c r="C24" s="70">
        <v>88.9</v>
      </c>
      <c r="D24" s="70">
        <v>110.5</v>
      </c>
      <c r="E24" s="70">
        <v>33.4</v>
      </c>
      <c r="F24" s="70">
        <v>63.6</v>
      </c>
      <c r="G24" s="70">
        <v>107.6</v>
      </c>
      <c r="H24" s="70">
        <v>37.700000000000003</v>
      </c>
      <c r="I24" s="70">
        <v>2</v>
      </c>
      <c r="J24" s="70">
        <v>22.53</v>
      </c>
    </row>
    <row r="25" spans="1:10" ht="51.75" x14ac:dyDescent="0.25">
      <c r="A25" s="42" t="s">
        <v>2322</v>
      </c>
      <c r="B25" s="60">
        <v>830</v>
      </c>
      <c r="C25" s="70">
        <v>66.900000000000006</v>
      </c>
      <c r="D25" s="70">
        <v>90.4</v>
      </c>
      <c r="E25" s="70">
        <v>25.6</v>
      </c>
      <c r="F25" s="70">
        <v>52.2</v>
      </c>
      <c r="G25" s="70">
        <v>88.3</v>
      </c>
      <c r="H25" s="70">
        <v>20.5</v>
      </c>
      <c r="I25" s="70">
        <v>1.65</v>
      </c>
      <c r="J25" s="70">
        <v>24.69</v>
      </c>
    </row>
    <row r="26" spans="1:10" ht="51.75" x14ac:dyDescent="0.25">
      <c r="A26" s="42" t="s">
        <v>2323</v>
      </c>
      <c r="B26" s="60">
        <v>3924</v>
      </c>
      <c r="C26" s="70">
        <v>109.3</v>
      </c>
      <c r="D26" s="70">
        <v>126.4</v>
      </c>
      <c r="E26" s="70">
        <v>59</v>
      </c>
      <c r="F26" s="70">
        <v>100.8</v>
      </c>
      <c r="G26" s="70">
        <v>177.3</v>
      </c>
      <c r="H26" s="70">
        <v>83.6</v>
      </c>
      <c r="I26" s="70">
        <v>2.33</v>
      </c>
      <c r="J26" s="70">
        <v>21.31</v>
      </c>
    </row>
    <row r="27" spans="1:10" x14ac:dyDescent="0.25">
      <c r="A27" s="40" t="s">
        <v>2324</v>
      </c>
      <c r="B27" s="60">
        <v>1226</v>
      </c>
      <c r="C27" s="70">
        <v>77.8</v>
      </c>
      <c r="D27" s="70">
        <v>36.799999999999997</v>
      </c>
      <c r="E27" s="70">
        <v>32.6</v>
      </c>
      <c r="F27" s="70">
        <v>52.7</v>
      </c>
      <c r="G27" s="70">
        <v>80.2</v>
      </c>
      <c r="H27" s="70">
        <v>30.4</v>
      </c>
      <c r="I27" s="70">
        <v>1.93</v>
      </c>
      <c r="J27" s="70">
        <v>24.8</v>
      </c>
    </row>
    <row r="28" spans="1:10" ht="26.25" x14ac:dyDescent="0.25">
      <c r="A28" s="40" t="s">
        <v>2325</v>
      </c>
      <c r="B28" s="60">
        <v>1363</v>
      </c>
      <c r="C28" s="70">
        <v>86.3</v>
      </c>
      <c r="D28" s="70">
        <v>154.4</v>
      </c>
      <c r="E28" s="70">
        <v>22.2</v>
      </c>
      <c r="F28" s="70">
        <v>49.3</v>
      </c>
      <c r="G28" s="70">
        <v>82.5</v>
      </c>
      <c r="H28" s="70">
        <v>29</v>
      </c>
      <c r="I28" s="70">
        <v>1.84</v>
      </c>
      <c r="J28" s="70">
        <v>21.29</v>
      </c>
    </row>
    <row r="29" spans="1:10" ht="39" x14ac:dyDescent="0.25">
      <c r="A29" s="40" t="s">
        <v>2326</v>
      </c>
      <c r="B29" s="60">
        <v>1583</v>
      </c>
      <c r="C29" s="70">
        <v>92.2</v>
      </c>
      <c r="D29" s="70">
        <v>71.599999999999994</v>
      </c>
      <c r="E29" s="70">
        <v>32.9</v>
      </c>
      <c r="F29" s="70">
        <v>62.1</v>
      </c>
      <c r="G29" s="70">
        <v>107.7</v>
      </c>
      <c r="H29" s="70">
        <v>33</v>
      </c>
      <c r="I29" s="70">
        <v>1.92</v>
      </c>
      <c r="J29" s="70">
        <v>20.84</v>
      </c>
    </row>
    <row r="30" spans="1:10" ht="26.25" x14ac:dyDescent="0.25">
      <c r="A30" s="40" t="s">
        <v>2327</v>
      </c>
      <c r="B30" s="60">
        <v>421</v>
      </c>
      <c r="C30" s="70">
        <v>38</v>
      </c>
      <c r="D30" s="70">
        <v>89.3</v>
      </c>
      <c r="E30" s="70">
        <v>12.5</v>
      </c>
      <c r="F30" s="70">
        <v>25.1</v>
      </c>
      <c r="G30" s="70">
        <v>49.8</v>
      </c>
      <c r="H30" s="70">
        <v>8.1</v>
      </c>
      <c r="I30" s="70">
        <v>0.73</v>
      </c>
      <c r="J30" s="70">
        <v>19.260000000000002</v>
      </c>
    </row>
    <row r="31" spans="1:10" x14ac:dyDescent="0.25">
      <c r="A31" s="40" t="s">
        <v>2328</v>
      </c>
      <c r="B31" s="60">
        <v>440</v>
      </c>
      <c r="C31" s="70">
        <v>58.7</v>
      </c>
      <c r="D31" s="70">
        <v>67.5</v>
      </c>
      <c r="E31" s="70">
        <v>18.5</v>
      </c>
      <c r="F31" s="70">
        <v>42.2</v>
      </c>
      <c r="G31" s="70">
        <v>83.7</v>
      </c>
      <c r="H31" s="70">
        <v>9.1</v>
      </c>
      <c r="I31" s="70">
        <v>1.21</v>
      </c>
      <c r="J31" s="70">
        <v>20.65</v>
      </c>
    </row>
    <row r="32" spans="1:10" ht="39" x14ac:dyDescent="0.25">
      <c r="A32" s="40" t="s">
        <v>2329</v>
      </c>
      <c r="B32" s="60">
        <v>539</v>
      </c>
      <c r="C32" s="70">
        <v>32.799999999999997</v>
      </c>
      <c r="D32" s="70">
        <v>67.400000000000006</v>
      </c>
      <c r="E32" s="70">
        <v>2.5</v>
      </c>
      <c r="F32" s="70">
        <v>13.8</v>
      </c>
      <c r="G32" s="70">
        <v>35.6</v>
      </c>
      <c r="H32" s="70">
        <v>12.2</v>
      </c>
      <c r="I32" s="70">
        <v>0.74</v>
      </c>
      <c r="J32" s="70">
        <v>22.61</v>
      </c>
    </row>
    <row r="33" spans="1:10" x14ac:dyDescent="0.25">
      <c r="A33" s="40" t="s">
        <v>2330</v>
      </c>
      <c r="B33" s="60">
        <v>2293</v>
      </c>
      <c r="C33" s="70">
        <v>142.9</v>
      </c>
      <c r="D33" s="70">
        <v>177.6</v>
      </c>
      <c r="E33" s="70">
        <v>16.5</v>
      </c>
      <c r="F33" s="70">
        <v>44.1</v>
      </c>
      <c r="G33" s="70">
        <v>126.5</v>
      </c>
      <c r="H33" s="70">
        <v>47.8</v>
      </c>
      <c r="I33" s="70">
        <v>2.98</v>
      </c>
      <c r="J33" s="70">
        <v>20.83</v>
      </c>
    </row>
    <row r="34" spans="1:10" x14ac:dyDescent="0.25">
      <c r="A34" s="40" t="s">
        <v>2331</v>
      </c>
      <c r="B34" s="60">
        <v>140</v>
      </c>
      <c r="C34" s="70">
        <v>12.7</v>
      </c>
      <c r="D34" s="70">
        <v>176</v>
      </c>
      <c r="E34" s="70">
        <v>0</v>
      </c>
      <c r="F34" s="70">
        <v>0</v>
      </c>
      <c r="G34" s="70">
        <v>6.4</v>
      </c>
      <c r="H34" s="70">
        <v>3.3</v>
      </c>
      <c r="I34" s="70">
        <v>0.3</v>
      </c>
      <c r="J34" s="70">
        <v>23.46</v>
      </c>
    </row>
    <row r="35" spans="1:10" ht="39" x14ac:dyDescent="0.25">
      <c r="A35" s="43" t="s">
        <v>2332</v>
      </c>
      <c r="B35" s="59" t="s">
        <v>28</v>
      </c>
      <c r="C35" s="69" t="s">
        <v>28</v>
      </c>
      <c r="D35" s="69" t="s">
        <v>28</v>
      </c>
      <c r="E35" s="69" t="s">
        <v>28</v>
      </c>
      <c r="F35" s="69" t="s">
        <v>28</v>
      </c>
      <c r="G35" s="69" t="s">
        <v>28</v>
      </c>
      <c r="H35" s="69" t="s">
        <v>28</v>
      </c>
      <c r="I35" s="69" t="s">
        <v>28</v>
      </c>
      <c r="J35" s="69" t="s">
        <v>28</v>
      </c>
    </row>
    <row r="36" spans="1:10" ht="26.25" x14ac:dyDescent="0.25">
      <c r="A36" s="40" t="s">
        <v>2333</v>
      </c>
      <c r="B36" s="60">
        <v>658</v>
      </c>
      <c r="C36" s="70">
        <v>59.8</v>
      </c>
      <c r="D36" s="70">
        <v>72</v>
      </c>
      <c r="E36" s="70">
        <v>16.399999999999999</v>
      </c>
      <c r="F36" s="70">
        <v>39</v>
      </c>
      <c r="G36" s="70">
        <v>81.8</v>
      </c>
      <c r="H36" s="70">
        <v>14.4</v>
      </c>
      <c r="I36" s="70">
        <v>1.3</v>
      </c>
      <c r="J36" s="70">
        <v>21.81</v>
      </c>
    </row>
    <row r="37" spans="1:10" ht="26.25" x14ac:dyDescent="0.25">
      <c r="A37" s="40" t="s">
        <v>2334</v>
      </c>
      <c r="B37" s="60">
        <v>857</v>
      </c>
      <c r="C37" s="70">
        <v>69.400000000000006</v>
      </c>
      <c r="D37" s="70">
        <v>69.7</v>
      </c>
      <c r="E37" s="70">
        <v>16.8</v>
      </c>
      <c r="F37" s="70">
        <v>46</v>
      </c>
      <c r="G37" s="70">
        <v>84</v>
      </c>
      <c r="H37" s="70">
        <v>19.899999999999999</v>
      </c>
      <c r="I37" s="70">
        <v>1.61</v>
      </c>
      <c r="J37" s="70">
        <v>23.19</v>
      </c>
    </row>
    <row r="38" spans="1:10" ht="26.25" x14ac:dyDescent="0.25">
      <c r="A38" s="40" t="s">
        <v>2335</v>
      </c>
      <c r="B38" s="60">
        <v>896</v>
      </c>
      <c r="C38" s="70">
        <v>72.7</v>
      </c>
      <c r="D38" s="70">
        <v>81.8</v>
      </c>
      <c r="E38" s="70">
        <v>20.2</v>
      </c>
      <c r="F38" s="70">
        <v>44.1</v>
      </c>
      <c r="G38" s="70">
        <v>85.9</v>
      </c>
      <c r="H38" s="70">
        <v>18.399999999999999</v>
      </c>
      <c r="I38" s="70">
        <v>1.49</v>
      </c>
      <c r="J38" s="70">
        <v>20.52</v>
      </c>
    </row>
    <row r="39" spans="1:10" ht="26.25" x14ac:dyDescent="0.25">
      <c r="A39" s="40" t="s">
        <v>2336</v>
      </c>
      <c r="B39" s="60">
        <v>1412</v>
      </c>
      <c r="C39" s="70">
        <v>87</v>
      </c>
      <c r="D39" s="70">
        <v>91.5</v>
      </c>
      <c r="E39" s="70">
        <v>28.4</v>
      </c>
      <c r="F39" s="70">
        <v>53.8</v>
      </c>
      <c r="G39" s="70">
        <v>107</v>
      </c>
      <c r="H39" s="70">
        <v>28.8</v>
      </c>
      <c r="I39" s="70">
        <v>1.77</v>
      </c>
      <c r="J39" s="70">
        <v>20.39</v>
      </c>
    </row>
    <row r="40" spans="1:10" ht="26.25" x14ac:dyDescent="0.25">
      <c r="A40" s="40" t="s">
        <v>2337</v>
      </c>
      <c r="B40" s="60">
        <v>1479</v>
      </c>
      <c r="C40" s="70">
        <v>93.3</v>
      </c>
      <c r="D40" s="70">
        <v>80.7</v>
      </c>
      <c r="E40" s="70">
        <v>18.8</v>
      </c>
      <c r="F40" s="70">
        <v>52.5</v>
      </c>
      <c r="G40" s="70">
        <v>104</v>
      </c>
      <c r="H40" s="70">
        <v>30.1</v>
      </c>
      <c r="I40" s="70">
        <v>1.9</v>
      </c>
      <c r="J40" s="70">
        <v>20.36</v>
      </c>
    </row>
    <row r="41" spans="1:10" ht="26.25" x14ac:dyDescent="0.25">
      <c r="A41" s="40" t="s">
        <v>2338</v>
      </c>
      <c r="B41" s="60">
        <v>1272</v>
      </c>
      <c r="C41" s="70">
        <v>76.400000000000006</v>
      </c>
      <c r="D41" s="70">
        <v>66.599999999999994</v>
      </c>
      <c r="E41" s="70">
        <v>17.600000000000001</v>
      </c>
      <c r="F41" s="70">
        <v>44.3</v>
      </c>
      <c r="G41" s="70">
        <v>82.5</v>
      </c>
      <c r="H41" s="70">
        <v>28.6</v>
      </c>
      <c r="I41" s="70">
        <v>1.72</v>
      </c>
      <c r="J41" s="70">
        <v>22.49</v>
      </c>
    </row>
    <row r="42" spans="1:10" ht="26.25" x14ac:dyDescent="0.25">
      <c r="A42" s="40" t="s">
        <v>2339</v>
      </c>
      <c r="B42" s="60">
        <v>1304</v>
      </c>
      <c r="C42" s="70">
        <v>79.8</v>
      </c>
      <c r="D42" s="70">
        <v>82</v>
      </c>
      <c r="E42" s="70">
        <v>16.8</v>
      </c>
      <c r="F42" s="70">
        <v>45</v>
      </c>
      <c r="G42" s="70">
        <v>87.2</v>
      </c>
      <c r="H42" s="70">
        <v>28.1</v>
      </c>
      <c r="I42" s="70">
        <v>1.72</v>
      </c>
      <c r="J42" s="70">
        <v>21.56</v>
      </c>
    </row>
    <row r="43" spans="1:10" ht="26.25" x14ac:dyDescent="0.25">
      <c r="A43" s="40" t="s">
        <v>2340</v>
      </c>
      <c r="B43" s="60">
        <v>1542</v>
      </c>
      <c r="C43" s="70">
        <v>80.2</v>
      </c>
      <c r="D43" s="70">
        <v>77.5</v>
      </c>
      <c r="E43" s="70">
        <v>22.6</v>
      </c>
      <c r="F43" s="70">
        <v>48.1</v>
      </c>
      <c r="G43" s="70">
        <v>100.3</v>
      </c>
      <c r="H43" s="70">
        <v>33.6</v>
      </c>
      <c r="I43" s="70">
        <v>1.75</v>
      </c>
      <c r="J43" s="70">
        <v>21.77</v>
      </c>
    </row>
    <row r="44" spans="1:10" ht="26.25" x14ac:dyDescent="0.25">
      <c r="A44" s="40" t="s">
        <v>2341</v>
      </c>
      <c r="B44" s="60">
        <v>1522</v>
      </c>
      <c r="C44" s="70">
        <v>80.900000000000006</v>
      </c>
      <c r="D44" s="70">
        <v>88.1</v>
      </c>
      <c r="E44" s="70">
        <v>18.600000000000001</v>
      </c>
      <c r="F44" s="70">
        <v>48.3</v>
      </c>
      <c r="G44" s="70">
        <v>82.1</v>
      </c>
      <c r="H44" s="70">
        <v>32.6</v>
      </c>
      <c r="I44" s="70">
        <v>1.73</v>
      </c>
      <c r="J44" s="70">
        <v>21.42</v>
      </c>
    </row>
    <row r="45" spans="1:10" ht="26.25" x14ac:dyDescent="0.25">
      <c r="A45" s="40" t="s">
        <v>2342</v>
      </c>
      <c r="B45" s="60">
        <v>1598</v>
      </c>
      <c r="C45" s="70">
        <v>84.5</v>
      </c>
      <c r="D45" s="70">
        <v>87.1</v>
      </c>
      <c r="E45" s="70">
        <v>16.899999999999999</v>
      </c>
      <c r="F45" s="70">
        <v>35.799999999999997</v>
      </c>
      <c r="G45" s="70">
        <v>79.8</v>
      </c>
      <c r="H45" s="70">
        <v>34.1</v>
      </c>
      <c r="I45" s="70">
        <v>1.8</v>
      </c>
      <c r="J45" s="70">
        <v>21.33</v>
      </c>
    </row>
    <row r="46" spans="1:10" ht="51.75" x14ac:dyDescent="0.25">
      <c r="A46" s="43" t="s">
        <v>2606</v>
      </c>
      <c r="B46" s="59" t="s">
        <v>28</v>
      </c>
      <c r="C46" s="69" t="s">
        <v>28</v>
      </c>
      <c r="D46" s="69" t="s">
        <v>28</v>
      </c>
      <c r="E46" s="69" t="s">
        <v>28</v>
      </c>
      <c r="F46" s="69" t="s">
        <v>28</v>
      </c>
      <c r="G46" s="69" t="s">
        <v>28</v>
      </c>
      <c r="H46" s="69" t="s">
        <v>28</v>
      </c>
      <c r="I46" s="69" t="s">
        <v>28</v>
      </c>
      <c r="J46" s="69" t="s">
        <v>28</v>
      </c>
    </row>
    <row r="47" spans="1:10" x14ac:dyDescent="0.25">
      <c r="A47" s="40" t="s">
        <v>2290</v>
      </c>
      <c r="B47" s="60">
        <v>1812</v>
      </c>
      <c r="C47" s="70">
        <v>93.9</v>
      </c>
      <c r="D47" s="70">
        <v>82.1</v>
      </c>
      <c r="E47" s="70">
        <v>24.7</v>
      </c>
      <c r="F47" s="70">
        <v>54.8</v>
      </c>
      <c r="G47" s="70">
        <v>104.6</v>
      </c>
      <c r="H47" s="70">
        <v>43.3</v>
      </c>
      <c r="I47" s="70">
        <v>2.25</v>
      </c>
      <c r="J47" s="70">
        <v>23.93</v>
      </c>
    </row>
    <row r="48" spans="1:10" ht="26.25" x14ac:dyDescent="0.25">
      <c r="A48" s="42" t="s">
        <v>2607</v>
      </c>
      <c r="B48" s="60">
        <v>1219</v>
      </c>
      <c r="C48" s="70">
        <v>85.5</v>
      </c>
      <c r="D48" s="70">
        <v>88.3</v>
      </c>
      <c r="E48" s="70">
        <v>18.3</v>
      </c>
      <c r="F48" s="70">
        <v>43.7</v>
      </c>
      <c r="G48" s="70">
        <v>92.4</v>
      </c>
      <c r="H48" s="70">
        <v>30.9</v>
      </c>
      <c r="I48" s="70">
        <v>2.17</v>
      </c>
      <c r="J48" s="70">
        <v>25.34</v>
      </c>
    </row>
    <row r="49" spans="1:10" ht="26.25" x14ac:dyDescent="0.25">
      <c r="A49" s="42" t="s">
        <v>2296</v>
      </c>
      <c r="B49" s="60">
        <v>2167</v>
      </c>
      <c r="C49" s="70">
        <v>97.2</v>
      </c>
      <c r="D49" s="70">
        <v>80.2</v>
      </c>
      <c r="E49" s="70">
        <v>30.9</v>
      </c>
      <c r="F49" s="70">
        <v>61.5</v>
      </c>
      <c r="G49" s="70">
        <v>119.6</v>
      </c>
      <c r="H49" s="70">
        <v>50.8</v>
      </c>
      <c r="I49" s="70">
        <v>2.2799999999999998</v>
      </c>
      <c r="J49" s="70">
        <v>23.45</v>
      </c>
    </row>
    <row r="50" spans="1:10" x14ac:dyDescent="0.25">
      <c r="A50" s="40" t="s">
        <v>2291</v>
      </c>
      <c r="B50" s="60">
        <v>1265</v>
      </c>
      <c r="C50" s="70">
        <v>82.8</v>
      </c>
      <c r="D50" s="70">
        <v>90.7</v>
      </c>
      <c r="E50" s="70">
        <v>23.5</v>
      </c>
      <c r="F50" s="70">
        <v>50.8</v>
      </c>
      <c r="G50" s="70">
        <v>93.7</v>
      </c>
      <c r="H50" s="70">
        <v>22.1</v>
      </c>
      <c r="I50" s="70">
        <v>1.45</v>
      </c>
      <c r="J50" s="70">
        <v>17.489999999999998</v>
      </c>
    </row>
    <row r="51" spans="1:10" ht="39" x14ac:dyDescent="0.25">
      <c r="A51" s="42" t="s">
        <v>2297</v>
      </c>
      <c r="B51" s="60">
        <v>1538</v>
      </c>
      <c r="C51" s="70">
        <v>88.7</v>
      </c>
      <c r="D51" s="70">
        <v>94.8</v>
      </c>
      <c r="E51" s="70">
        <v>32.299999999999997</v>
      </c>
      <c r="F51" s="70">
        <v>61.7</v>
      </c>
      <c r="G51" s="70">
        <v>109.2</v>
      </c>
      <c r="H51" s="70">
        <v>26.8</v>
      </c>
      <c r="I51" s="70">
        <v>1.55</v>
      </c>
      <c r="J51" s="70">
        <v>17.440000000000001</v>
      </c>
    </row>
    <row r="52" spans="1:10" ht="39" x14ac:dyDescent="0.25">
      <c r="A52" s="42" t="s">
        <v>2298</v>
      </c>
      <c r="B52" s="60">
        <v>866</v>
      </c>
      <c r="C52" s="70">
        <v>70.400000000000006</v>
      </c>
      <c r="D52" s="70">
        <v>81.599999999999994</v>
      </c>
      <c r="E52" s="70">
        <v>11.9</v>
      </c>
      <c r="F52" s="70">
        <v>35.1</v>
      </c>
      <c r="G52" s="70">
        <v>70</v>
      </c>
      <c r="H52" s="70">
        <v>15.3</v>
      </c>
      <c r="I52" s="70">
        <v>1.24</v>
      </c>
      <c r="J52" s="70">
        <v>17.62</v>
      </c>
    </row>
    <row r="53" spans="1:10" x14ac:dyDescent="0.25">
      <c r="A53" s="40" t="s">
        <v>2292</v>
      </c>
      <c r="B53" s="60">
        <v>1142</v>
      </c>
      <c r="C53" s="70">
        <v>74.900000000000006</v>
      </c>
      <c r="D53" s="70">
        <v>78.599999999999994</v>
      </c>
      <c r="E53" s="70">
        <v>17</v>
      </c>
      <c r="F53" s="70">
        <v>43.6</v>
      </c>
      <c r="G53" s="70">
        <v>85.7</v>
      </c>
      <c r="H53" s="70">
        <v>24.4</v>
      </c>
      <c r="I53" s="70">
        <v>1.6</v>
      </c>
      <c r="J53" s="70">
        <v>21.35</v>
      </c>
    </row>
    <row r="54" spans="1:10" ht="26.25" x14ac:dyDescent="0.25">
      <c r="A54" s="42" t="s">
        <v>2608</v>
      </c>
      <c r="B54" s="60">
        <v>1244</v>
      </c>
      <c r="C54" s="70">
        <v>75.5</v>
      </c>
      <c r="D54" s="70">
        <v>75</v>
      </c>
      <c r="E54" s="70">
        <v>18.399999999999999</v>
      </c>
      <c r="F54" s="70">
        <v>43.2</v>
      </c>
      <c r="G54" s="70">
        <v>94.2</v>
      </c>
      <c r="H54" s="70">
        <v>28.7</v>
      </c>
      <c r="I54" s="70">
        <v>1.74</v>
      </c>
      <c r="J54" s="70">
        <v>23.03</v>
      </c>
    </row>
    <row r="55" spans="1:10" ht="39" x14ac:dyDescent="0.25">
      <c r="A55" s="42" t="s">
        <v>2300</v>
      </c>
      <c r="B55" s="60">
        <v>999</v>
      </c>
      <c r="C55" s="70">
        <v>75.3</v>
      </c>
      <c r="D55" s="70">
        <v>86</v>
      </c>
      <c r="E55" s="70">
        <v>21.2</v>
      </c>
      <c r="F55" s="70">
        <v>51</v>
      </c>
      <c r="G55" s="70">
        <v>82.5</v>
      </c>
      <c r="H55" s="70">
        <v>20.2</v>
      </c>
      <c r="I55" s="70">
        <v>1.52</v>
      </c>
      <c r="J55" s="70">
        <v>20.260000000000002</v>
      </c>
    </row>
    <row r="56" spans="1:10" ht="39" x14ac:dyDescent="0.25">
      <c r="A56" s="42" t="s">
        <v>2301</v>
      </c>
      <c r="B56" s="60">
        <v>1068</v>
      </c>
      <c r="C56" s="70">
        <v>73.599999999999994</v>
      </c>
      <c r="D56" s="70">
        <v>81.7</v>
      </c>
      <c r="E56" s="70">
        <v>12.5</v>
      </c>
      <c r="F56" s="70">
        <v>39.200000000000003</v>
      </c>
      <c r="G56" s="70">
        <v>80.2</v>
      </c>
      <c r="H56" s="70">
        <v>20.399999999999999</v>
      </c>
      <c r="I56" s="70">
        <v>1.41</v>
      </c>
      <c r="J56" s="70">
        <v>19.09</v>
      </c>
    </row>
    <row r="57" spans="1:10" x14ac:dyDescent="0.25">
      <c r="A57" s="40" t="s">
        <v>2293</v>
      </c>
      <c r="B57" s="60">
        <v>1082</v>
      </c>
      <c r="C57" s="70">
        <v>74.7</v>
      </c>
      <c r="D57" s="70">
        <v>67</v>
      </c>
      <c r="E57" s="70">
        <v>17.5</v>
      </c>
      <c r="F57" s="70">
        <v>41.9</v>
      </c>
      <c r="G57" s="70">
        <v>79.599999999999994</v>
      </c>
      <c r="H57" s="70">
        <v>25.2</v>
      </c>
      <c r="I57" s="70">
        <v>1.74</v>
      </c>
      <c r="J57" s="70">
        <v>23.31</v>
      </c>
    </row>
    <row r="58" spans="1:10" ht="26.25" x14ac:dyDescent="0.25">
      <c r="A58" s="42" t="s">
        <v>2609</v>
      </c>
      <c r="B58" s="60">
        <v>1233</v>
      </c>
      <c r="C58" s="70">
        <v>83.8</v>
      </c>
      <c r="D58" s="70">
        <v>90.7</v>
      </c>
      <c r="E58" s="70">
        <v>20.399999999999999</v>
      </c>
      <c r="F58" s="70">
        <v>56.7</v>
      </c>
      <c r="G58" s="70">
        <v>90.6</v>
      </c>
      <c r="H58" s="70">
        <v>22.7</v>
      </c>
      <c r="I58" s="70">
        <v>1.54</v>
      </c>
      <c r="J58" s="70">
        <v>18.43</v>
      </c>
    </row>
    <row r="59" spans="1:10" x14ac:dyDescent="0.25">
      <c r="A59" s="42" t="s">
        <v>2211</v>
      </c>
      <c r="B59" s="60">
        <v>1027</v>
      </c>
      <c r="C59" s="70">
        <v>71.3</v>
      </c>
      <c r="D59" s="70">
        <v>60.1</v>
      </c>
      <c r="E59" s="70">
        <v>16.8</v>
      </c>
      <c r="F59" s="70">
        <v>37</v>
      </c>
      <c r="G59" s="70">
        <v>75.599999999999994</v>
      </c>
      <c r="H59" s="70">
        <v>26.1</v>
      </c>
      <c r="I59" s="70">
        <v>1.82</v>
      </c>
      <c r="J59" s="70">
        <v>25.45</v>
      </c>
    </row>
    <row r="60" spans="1:10" ht="28.5" x14ac:dyDescent="0.25">
      <c r="A60" s="43" t="s">
        <v>2576</v>
      </c>
      <c r="B60" s="59" t="s">
        <v>28</v>
      </c>
      <c r="C60" s="69" t="s">
        <v>28</v>
      </c>
      <c r="D60" s="69" t="s">
        <v>28</v>
      </c>
      <c r="E60" s="69" t="s">
        <v>28</v>
      </c>
      <c r="F60" s="69" t="s">
        <v>28</v>
      </c>
      <c r="G60" s="69" t="s">
        <v>28</v>
      </c>
      <c r="H60" s="69" t="s">
        <v>28</v>
      </c>
      <c r="I60" s="69" t="s">
        <v>28</v>
      </c>
      <c r="J60" s="69" t="s">
        <v>28</v>
      </c>
    </row>
    <row r="61" spans="1:10" ht="26.25" x14ac:dyDescent="0.25">
      <c r="A61" s="40" t="s">
        <v>2577</v>
      </c>
      <c r="B61" s="60">
        <v>1352</v>
      </c>
      <c r="C61" s="70">
        <v>86.1</v>
      </c>
      <c r="D61" s="70">
        <v>89.3</v>
      </c>
      <c r="E61" s="70">
        <v>22.6</v>
      </c>
      <c r="F61" s="70">
        <v>54</v>
      </c>
      <c r="G61" s="70">
        <v>98.7</v>
      </c>
      <c r="H61" s="70">
        <v>25.9</v>
      </c>
      <c r="I61" s="70">
        <v>1.65</v>
      </c>
      <c r="J61" s="70">
        <v>19.149999999999999</v>
      </c>
    </row>
    <row r="62" spans="1:10" ht="26.25" x14ac:dyDescent="0.25">
      <c r="A62" s="44" t="s">
        <v>2578</v>
      </c>
      <c r="B62" s="60">
        <v>1302</v>
      </c>
      <c r="C62" s="70">
        <v>81.400000000000006</v>
      </c>
      <c r="D62" s="70">
        <v>79.099999999999994</v>
      </c>
      <c r="E62" s="70">
        <v>21.5</v>
      </c>
      <c r="F62" s="70">
        <v>45.6</v>
      </c>
      <c r="G62" s="70">
        <v>90.3</v>
      </c>
      <c r="H62" s="70">
        <v>28.4</v>
      </c>
      <c r="I62" s="70">
        <v>1.77</v>
      </c>
      <c r="J62" s="70">
        <v>21.78</v>
      </c>
    </row>
    <row r="63" spans="1:10" ht="39" x14ac:dyDescent="0.25">
      <c r="A63" s="44" t="s">
        <v>2579</v>
      </c>
      <c r="B63" s="60">
        <v>960</v>
      </c>
      <c r="C63" s="70">
        <v>66.8</v>
      </c>
      <c r="D63" s="70">
        <v>61.6</v>
      </c>
      <c r="E63" s="70">
        <v>15</v>
      </c>
      <c r="F63" s="70">
        <v>31.6</v>
      </c>
      <c r="G63" s="70">
        <v>68.2</v>
      </c>
      <c r="H63" s="70">
        <v>24.5</v>
      </c>
      <c r="I63" s="70">
        <v>1.7</v>
      </c>
      <c r="J63" s="70">
        <v>25.48</v>
      </c>
    </row>
    <row r="64" spans="1:10" ht="26.25" x14ac:dyDescent="0.25">
      <c r="A64" s="40" t="s">
        <v>484</v>
      </c>
      <c r="B64" s="60">
        <v>1185</v>
      </c>
      <c r="C64" s="70">
        <v>73.8</v>
      </c>
      <c r="D64" s="70">
        <v>75.5</v>
      </c>
      <c r="E64" s="70">
        <v>16.7</v>
      </c>
      <c r="F64" s="70">
        <v>44.4</v>
      </c>
      <c r="G64" s="70">
        <v>86.6</v>
      </c>
      <c r="H64" s="70">
        <v>27.4</v>
      </c>
      <c r="I64" s="70">
        <v>1.71</v>
      </c>
      <c r="J64" s="70">
        <v>23.11</v>
      </c>
    </row>
    <row r="65" spans="1:10" x14ac:dyDescent="0.25">
      <c r="A65" s="44" t="s">
        <v>227</v>
      </c>
      <c r="B65" s="60">
        <v>1337</v>
      </c>
      <c r="C65" s="70">
        <v>80.2</v>
      </c>
      <c r="D65" s="70">
        <v>62.7</v>
      </c>
      <c r="E65" s="70">
        <v>21.2</v>
      </c>
      <c r="F65" s="70">
        <v>44.1</v>
      </c>
      <c r="G65" s="70">
        <v>92.1</v>
      </c>
      <c r="H65" s="70">
        <v>31.8</v>
      </c>
      <c r="I65" s="70">
        <v>1.91</v>
      </c>
      <c r="J65" s="70">
        <v>23.78</v>
      </c>
    </row>
    <row r="66" spans="1:10" ht="26.25" x14ac:dyDescent="0.25">
      <c r="A66" s="43" t="s">
        <v>2343</v>
      </c>
      <c r="B66" s="59" t="s">
        <v>28</v>
      </c>
      <c r="C66" s="69" t="s">
        <v>28</v>
      </c>
      <c r="D66" s="69" t="s">
        <v>28</v>
      </c>
      <c r="E66" s="69" t="s">
        <v>28</v>
      </c>
      <c r="F66" s="69" t="s">
        <v>28</v>
      </c>
      <c r="G66" s="69" t="s">
        <v>28</v>
      </c>
      <c r="H66" s="69" t="s">
        <v>28</v>
      </c>
      <c r="I66" s="69" t="s">
        <v>28</v>
      </c>
      <c r="J66" s="69" t="s">
        <v>28</v>
      </c>
    </row>
    <row r="67" spans="1:10" x14ac:dyDescent="0.25">
      <c r="A67" s="40" t="s">
        <v>2344</v>
      </c>
      <c r="B67" s="60">
        <v>738</v>
      </c>
      <c r="C67" s="70">
        <v>71.099999999999994</v>
      </c>
      <c r="D67" s="70">
        <v>80.8</v>
      </c>
      <c r="E67" s="70">
        <v>16.399999999999999</v>
      </c>
      <c r="F67" s="70">
        <v>42.2</v>
      </c>
      <c r="G67" s="70">
        <v>88.7</v>
      </c>
      <c r="H67" s="70">
        <v>16.3</v>
      </c>
      <c r="I67" s="70">
        <v>1.57</v>
      </c>
      <c r="J67" s="70">
        <v>22.05</v>
      </c>
    </row>
    <row r="68" spans="1:10" x14ac:dyDescent="0.25">
      <c r="A68" s="44" t="s">
        <v>2345</v>
      </c>
      <c r="B68" s="60">
        <v>1261</v>
      </c>
      <c r="C68" s="70">
        <v>72.3</v>
      </c>
      <c r="D68" s="70">
        <v>74</v>
      </c>
      <c r="E68" s="70">
        <v>23.2</v>
      </c>
      <c r="F68" s="70">
        <v>49.6</v>
      </c>
      <c r="G68" s="70">
        <v>85.5</v>
      </c>
      <c r="H68" s="70">
        <v>26.8</v>
      </c>
      <c r="I68" s="70">
        <v>1.54</v>
      </c>
      <c r="J68" s="70">
        <v>21.27</v>
      </c>
    </row>
    <row r="69" spans="1:10" x14ac:dyDescent="0.25">
      <c r="A69" s="44" t="s">
        <v>2346</v>
      </c>
      <c r="B69" s="60">
        <v>1787</v>
      </c>
      <c r="C69" s="70">
        <v>82.1</v>
      </c>
      <c r="D69" s="70">
        <v>85.4</v>
      </c>
      <c r="E69" s="70">
        <v>32.5</v>
      </c>
      <c r="F69" s="70">
        <v>56.4</v>
      </c>
      <c r="G69" s="70">
        <v>96</v>
      </c>
      <c r="H69" s="70">
        <v>37.6</v>
      </c>
      <c r="I69" s="70">
        <v>1.73</v>
      </c>
      <c r="J69" s="70">
        <v>21.03</v>
      </c>
    </row>
    <row r="70" spans="1:10" ht="26.25" x14ac:dyDescent="0.25">
      <c r="A70" s="40" t="s">
        <v>2347</v>
      </c>
      <c r="B70" s="60">
        <v>8102</v>
      </c>
      <c r="C70" s="70">
        <v>105.8</v>
      </c>
      <c r="D70" s="70">
        <v>88.1</v>
      </c>
      <c r="E70" s="70">
        <v>42.4</v>
      </c>
      <c r="F70" s="70">
        <v>66.8</v>
      </c>
      <c r="G70" s="70">
        <v>102.4</v>
      </c>
      <c r="H70" s="70">
        <v>160.19999999999999</v>
      </c>
      <c r="I70" s="70">
        <v>2.09</v>
      </c>
      <c r="J70" s="70">
        <v>19.77</v>
      </c>
    </row>
    <row r="71" spans="1:10" ht="26.25" x14ac:dyDescent="0.25">
      <c r="A71" s="44" t="s">
        <v>2348</v>
      </c>
      <c r="B71" s="60">
        <v>45392</v>
      </c>
      <c r="C71" s="70">
        <v>105.8</v>
      </c>
      <c r="D71" s="70">
        <v>61.2</v>
      </c>
      <c r="E71" s="70">
        <v>58.3</v>
      </c>
      <c r="F71" s="70">
        <v>82</v>
      </c>
      <c r="G71" s="70">
        <v>116.1</v>
      </c>
      <c r="H71" s="70">
        <v>1048.2</v>
      </c>
      <c r="I71" s="70">
        <v>2.44</v>
      </c>
      <c r="J71" s="70">
        <v>23.09</v>
      </c>
    </row>
    <row r="72" spans="1:10" ht="90" x14ac:dyDescent="0.25">
      <c r="A72" s="43" t="s">
        <v>2349</v>
      </c>
      <c r="B72" s="59" t="s">
        <v>28</v>
      </c>
      <c r="C72" s="69" t="s">
        <v>28</v>
      </c>
      <c r="D72" s="69" t="s">
        <v>28</v>
      </c>
      <c r="E72" s="69" t="s">
        <v>28</v>
      </c>
      <c r="F72" s="69" t="s">
        <v>28</v>
      </c>
      <c r="G72" s="69" t="s">
        <v>28</v>
      </c>
      <c r="H72" s="69" t="s">
        <v>28</v>
      </c>
      <c r="I72" s="69" t="s">
        <v>28</v>
      </c>
      <c r="J72" s="69" t="s">
        <v>28</v>
      </c>
    </row>
    <row r="73" spans="1:10" ht="26.25" x14ac:dyDescent="0.25">
      <c r="A73" s="40" t="s">
        <v>2350</v>
      </c>
      <c r="B73" s="60">
        <v>7855</v>
      </c>
      <c r="C73" s="70">
        <v>99.1</v>
      </c>
      <c r="D73" s="70">
        <v>79.599999999999994</v>
      </c>
      <c r="E73" s="70">
        <v>43.7</v>
      </c>
      <c r="F73" s="70">
        <v>69.900000000000006</v>
      </c>
      <c r="G73" s="70">
        <v>106.3</v>
      </c>
      <c r="H73" s="70">
        <v>163</v>
      </c>
      <c r="I73" s="70">
        <v>2.06</v>
      </c>
      <c r="J73" s="70">
        <v>20.76</v>
      </c>
    </row>
    <row r="74" spans="1:10" ht="26.25" x14ac:dyDescent="0.25">
      <c r="A74" s="44" t="s">
        <v>2351</v>
      </c>
      <c r="B74" s="60" t="s">
        <v>28</v>
      </c>
      <c r="C74" s="70" t="s">
        <v>28</v>
      </c>
      <c r="D74" s="70" t="s">
        <v>28</v>
      </c>
      <c r="E74" s="70" t="s">
        <v>28</v>
      </c>
      <c r="F74" s="70" t="s">
        <v>28</v>
      </c>
      <c r="G74" s="70" t="s">
        <v>28</v>
      </c>
      <c r="H74" s="70" t="s">
        <v>28</v>
      </c>
      <c r="I74" s="70" t="s">
        <v>28</v>
      </c>
      <c r="J74" s="70" t="s">
        <v>28</v>
      </c>
    </row>
    <row r="75" spans="1:10" x14ac:dyDescent="0.25">
      <c r="A75" s="42" t="s">
        <v>2344</v>
      </c>
      <c r="B75" s="60">
        <v>3253</v>
      </c>
      <c r="C75" s="70">
        <v>79.2</v>
      </c>
      <c r="D75" s="70">
        <v>77.900000000000006</v>
      </c>
      <c r="E75" s="70">
        <v>40.5</v>
      </c>
      <c r="F75" s="70">
        <v>65.7</v>
      </c>
      <c r="G75" s="70">
        <v>99.2</v>
      </c>
      <c r="H75" s="70">
        <v>65.7</v>
      </c>
      <c r="I75" s="70">
        <v>1.6</v>
      </c>
      <c r="J75" s="70">
        <v>20.21</v>
      </c>
    </row>
    <row r="76" spans="1:10" ht="26.25" x14ac:dyDescent="0.25">
      <c r="A76" s="42" t="s">
        <v>2352</v>
      </c>
      <c r="B76" s="60">
        <v>10565</v>
      </c>
      <c r="C76" s="70">
        <v>96.9</v>
      </c>
      <c r="D76" s="70">
        <v>80.2</v>
      </c>
      <c r="E76" s="70">
        <v>51.5</v>
      </c>
      <c r="F76" s="70">
        <v>75.8</v>
      </c>
      <c r="G76" s="70">
        <v>115.7</v>
      </c>
      <c r="H76" s="70">
        <v>222.1</v>
      </c>
      <c r="I76" s="70">
        <v>2.04</v>
      </c>
      <c r="J76" s="70">
        <v>21.02</v>
      </c>
    </row>
    <row r="77" spans="1:10" ht="26.25" x14ac:dyDescent="0.25">
      <c r="A77" s="42" t="s">
        <v>2353</v>
      </c>
      <c r="B77" s="60">
        <v>65801</v>
      </c>
      <c r="C77" s="70">
        <v>129.80000000000001</v>
      </c>
      <c r="D77" s="70">
        <v>80.5</v>
      </c>
      <c r="E77" s="70">
        <v>67.5</v>
      </c>
      <c r="F77" s="70">
        <v>96.9</v>
      </c>
      <c r="G77" s="70">
        <v>166.2</v>
      </c>
      <c r="H77" s="70">
        <v>1375.4</v>
      </c>
      <c r="I77" s="70">
        <v>2.71</v>
      </c>
      <c r="J77" s="70">
        <v>20.9</v>
      </c>
    </row>
    <row r="78" spans="1:10" ht="39" x14ac:dyDescent="0.25">
      <c r="A78" s="44" t="s">
        <v>2354</v>
      </c>
      <c r="B78" s="60">
        <v>38936</v>
      </c>
      <c r="C78" s="70">
        <v>103.1</v>
      </c>
      <c r="D78" s="70">
        <v>78.2</v>
      </c>
      <c r="E78" s="70">
        <v>65.7</v>
      </c>
      <c r="F78" s="70">
        <v>66.8</v>
      </c>
      <c r="G78" s="70">
        <v>115.4</v>
      </c>
      <c r="H78" s="70">
        <v>838.2</v>
      </c>
      <c r="I78" s="70">
        <v>2.2200000000000002</v>
      </c>
      <c r="J78" s="70">
        <v>21.53</v>
      </c>
    </row>
    <row r="79" spans="1:10" ht="64.5" x14ac:dyDescent="0.25">
      <c r="A79" s="43" t="s">
        <v>2355</v>
      </c>
      <c r="B79" s="59" t="s">
        <v>28</v>
      </c>
      <c r="C79" s="69" t="s">
        <v>28</v>
      </c>
      <c r="D79" s="69" t="s">
        <v>28</v>
      </c>
      <c r="E79" s="69" t="s">
        <v>28</v>
      </c>
      <c r="F79" s="69" t="s">
        <v>28</v>
      </c>
      <c r="G79" s="69" t="s">
        <v>28</v>
      </c>
      <c r="H79" s="69" t="s">
        <v>28</v>
      </c>
      <c r="I79" s="69" t="s">
        <v>28</v>
      </c>
      <c r="J79" s="69" t="s">
        <v>28</v>
      </c>
    </row>
    <row r="80" spans="1:10" ht="26.25" x14ac:dyDescent="0.25">
      <c r="A80" s="40" t="s">
        <v>2356</v>
      </c>
      <c r="B80" s="61">
        <v>261</v>
      </c>
      <c r="C80" s="71">
        <v>42.6</v>
      </c>
      <c r="D80" s="71">
        <v>149.30000000000001</v>
      </c>
      <c r="E80" s="71">
        <v>8.6</v>
      </c>
      <c r="F80" s="71">
        <v>32.1</v>
      </c>
      <c r="G80" s="71">
        <v>71.7</v>
      </c>
      <c r="H80" s="71">
        <v>5.8</v>
      </c>
      <c r="I80" s="71">
        <v>0.95</v>
      </c>
      <c r="J80" s="71">
        <v>22.33</v>
      </c>
    </row>
    <row r="81" spans="1:10" x14ac:dyDescent="0.25">
      <c r="A81" s="44" t="s">
        <v>2357</v>
      </c>
      <c r="B81" s="61">
        <v>551</v>
      </c>
      <c r="C81" s="71">
        <v>66.599999999999994</v>
      </c>
      <c r="D81" s="71">
        <v>85.2</v>
      </c>
      <c r="E81" s="71">
        <v>26.3</v>
      </c>
      <c r="F81" s="71">
        <v>48.7</v>
      </c>
      <c r="G81" s="71">
        <v>94.1</v>
      </c>
      <c r="H81" s="71">
        <v>12.6</v>
      </c>
      <c r="I81" s="71">
        <v>1.52</v>
      </c>
      <c r="J81" s="71">
        <v>22.8</v>
      </c>
    </row>
    <row r="82" spans="1:10" x14ac:dyDescent="0.25">
      <c r="A82" s="44" t="s">
        <v>2358</v>
      </c>
      <c r="B82" s="61">
        <v>1056</v>
      </c>
      <c r="C82" s="71">
        <v>80.3</v>
      </c>
      <c r="D82" s="71">
        <v>81.5</v>
      </c>
      <c r="E82" s="71">
        <v>36.4</v>
      </c>
      <c r="F82" s="71">
        <v>63.3</v>
      </c>
      <c r="G82" s="71">
        <v>119</v>
      </c>
      <c r="H82" s="71">
        <v>22.4</v>
      </c>
      <c r="I82" s="71">
        <v>1.7</v>
      </c>
      <c r="J82" s="71">
        <v>21.18</v>
      </c>
    </row>
    <row r="83" spans="1:10" x14ac:dyDescent="0.25">
      <c r="A83" s="40" t="s">
        <v>2359</v>
      </c>
      <c r="B83" s="61">
        <v>2316</v>
      </c>
      <c r="C83" s="71">
        <v>81.8</v>
      </c>
      <c r="D83" s="71">
        <v>79.8</v>
      </c>
      <c r="E83" s="71">
        <v>37.299999999999997</v>
      </c>
      <c r="F83" s="71">
        <v>63</v>
      </c>
      <c r="G83" s="71">
        <v>113.2</v>
      </c>
      <c r="H83" s="71">
        <v>49.6</v>
      </c>
      <c r="I83" s="71">
        <v>1.75</v>
      </c>
      <c r="J83" s="71">
        <v>21.39</v>
      </c>
    </row>
    <row r="84" spans="1:10" x14ac:dyDescent="0.25">
      <c r="A84" s="44" t="s">
        <v>2360</v>
      </c>
      <c r="B84" s="61">
        <v>5594</v>
      </c>
      <c r="C84" s="71">
        <v>85.3</v>
      </c>
      <c r="D84" s="71">
        <v>85.6</v>
      </c>
      <c r="E84" s="71">
        <v>48.1</v>
      </c>
      <c r="F84" s="71">
        <v>69.900000000000006</v>
      </c>
      <c r="G84" s="71">
        <v>112.2</v>
      </c>
      <c r="H84" s="71">
        <v>116.7</v>
      </c>
      <c r="I84" s="71">
        <v>1.78</v>
      </c>
      <c r="J84" s="71">
        <v>20.85</v>
      </c>
    </row>
    <row r="85" spans="1:10" ht="26.25" x14ac:dyDescent="0.25">
      <c r="A85" s="44" t="s">
        <v>2361</v>
      </c>
      <c r="B85" s="61">
        <v>11330</v>
      </c>
      <c r="C85" s="71">
        <v>96.7</v>
      </c>
      <c r="D85" s="71">
        <v>79.2</v>
      </c>
      <c r="E85" s="71">
        <v>57.9</v>
      </c>
      <c r="F85" s="71">
        <v>89</v>
      </c>
      <c r="G85" s="71">
        <v>127</v>
      </c>
      <c r="H85" s="71">
        <v>232.8</v>
      </c>
      <c r="I85" s="71">
        <v>1.99</v>
      </c>
      <c r="J85" s="71">
        <v>20.54</v>
      </c>
    </row>
    <row r="86" spans="1:10" ht="26.25" x14ac:dyDescent="0.25">
      <c r="A86" s="44" t="s">
        <v>2362</v>
      </c>
      <c r="B86" s="61">
        <v>38827</v>
      </c>
      <c r="C86" s="71">
        <v>122</v>
      </c>
      <c r="D86" s="71">
        <v>57.7</v>
      </c>
      <c r="E86" s="71">
        <v>62.3</v>
      </c>
      <c r="F86" s="71">
        <v>86.4</v>
      </c>
      <c r="G86" s="71">
        <v>151</v>
      </c>
      <c r="H86" s="71">
        <v>836.8</v>
      </c>
      <c r="I86" s="71">
        <v>2.63</v>
      </c>
      <c r="J86" s="71">
        <v>21.55</v>
      </c>
    </row>
    <row r="87" spans="1:10" ht="39" x14ac:dyDescent="0.25">
      <c r="A87" s="43" t="s">
        <v>2363</v>
      </c>
      <c r="B87" s="62" t="s">
        <v>28</v>
      </c>
      <c r="C87" s="72" t="s">
        <v>28</v>
      </c>
      <c r="D87" s="72" t="s">
        <v>28</v>
      </c>
      <c r="E87" s="72" t="s">
        <v>28</v>
      </c>
      <c r="F87" s="72" t="s">
        <v>28</v>
      </c>
      <c r="G87" s="72" t="s">
        <v>28</v>
      </c>
      <c r="H87" s="72" t="s">
        <v>28</v>
      </c>
      <c r="I87" s="72" t="s">
        <v>28</v>
      </c>
      <c r="J87" s="72" t="s">
        <v>28</v>
      </c>
    </row>
    <row r="88" spans="1:10" ht="26.25" x14ac:dyDescent="0.25">
      <c r="A88" s="40" t="s">
        <v>2364</v>
      </c>
      <c r="B88" s="61">
        <v>199</v>
      </c>
      <c r="C88" s="71">
        <v>27.8</v>
      </c>
      <c r="D88" s="71">
        <v>69.5</v>
      </c>
      <c r="E88" s="71">
        <v>2.4</v>
      </c>
      <c r="F88" s="71">
        <v>16.8</v>
      </c>
      <c r="G88" s="71">
        <v>42.4</v>
      </c>
      <c r="H88" s="71">
        <v>4.2</v>
      </c>
      <c r="I88" s="71">
        <v>0.57999999999999996</v>
      </c>
      <c r="J88" s="71">
        <v>20.97</v>
      </c>
    </row>
    <row r="89" spans="1:10" x14ac:dyDescent="0.25">
      <c r="A89" s="44" t="s">
        <v>2365</v>
      </c>
      <c r="B89" s="61">
        <v>618</v>
      </c>
      <c r="C89" s="71">
        <v>52.6</v>
      </c>
      <c r="D89" s="71">
        <v>47.4</v>
      </c>
      <c r="E89" s="71">
        <v>22.5</v>
      </c>
      <c r="F89" s="71">
        <v>42.9</v>
      </c>
      <c r="G89" s="71">
        <v>69</v>
      </c>
      <c r="H89" s="71">
        <v>14.2</v>
      </c>
      <c r="I89" s="71">
        <v>1.21</v>
      </c>
      <c r="J89" s="71">
        <v>23.05</v>
      </c>
    </row>
    <row r="90" spans="1:10" x14ac:dyDescent="0.25">
      <c r="A90" s="44" t="s">
        <v>2366</v>
      </c>
      <c r="B90" s="61">
        <v>1011</v>
      </c>
      <c r="C90" s="71">
        <v>61.3</v>
      </c>
      <c r="D90" s="71">
        <v>50.6</v>
      </c>
      <c r="E90" s="71">
        <v>25</v>
      </c>
      <c r="F90" s="71">
        <v>48.1</v>
      </c>
      <c r="G90" s="71">
        <v>83.2</v>
      </c>
      <c r="H90" s="71">
        <v>23.3</v>
      </c>
      <c r="I90" s="71">
        <v>1.41</v>
      </c>
      <c r="J90" s="71">
        <v>22.99</v>
      </c>
    </row>
    <row r="91" spans="1:10" x14ac:dyDescent="0.25">
      <c r="A91" s="40" t="s">
        <v>2367</v>
      </c>
      <c r="B91" s="61">
        <v>1792</v>
      </c>
      <c r="C91" s="71">
        <v>86.3</v>
      </c>
      <c r="D91" s="71">
        <v>82.1</v>
      </c>
      <c r="E91" s="71">
        <v>35.5</v>
      </c>
      <c r="F91" s="71">
        <v>72.400000000000006</v>
      </c>
      <c r="G91" s="71">
        <v>143.69999999999999</v>
      </c>
      <c r="H91" s="71">
        <v>39.4</v>
      </c>
      <c r="I91" s="71">
        <v>1.9</v>
      </c>
      <c r="J91" s="71">
        <v>21.95</v>
      </c>
    </row>
    <row r="92" spans="1:10" x14ac:dyDescent="0.25">
      <c r="A92" s="44" t="s">
        <v>2368</v>
      </c>
      <c r="B92" s="61">
        <v>2294</v>
      </c>
      <c r="C92" s="71">
        <v>116.9</v>
      </c>
      <c r="D92" s="71">
        <v>135.80000000000001</v>
      </c>
      <c r="E92" s="71">
        <v>59</v>
      </c>
      <c r="F92" s="71">
        <v>124.7</v>
      </c>
      <c r="G92" s="71">
        <v>265.2</v>
      </c>
      <c r="H92" s="71">
        <v>47.8</v>
      </c>
      <c r="I92" s="71">
        <v>2.4300000000000002</v>
      </c>
      <c r="J92" s="71">
        <v>20.83</v>
      </c>
    </row>
    <row r="93" spans="1:10" ht="39" x14ac:dyDescent="0.25">
      <c r="A93" s="44" t="s">
        <v>2369</v>
      </c>
      <c r="B93" s="60">
        <v>3783</v>
      </c>
      <c r="C93" s="70">
        <v>126.2</v>
      </c>
      <c r="D93" s="70">
        <v>122.7</v>
      </c>
      <c r="E93" s="70">
        <v>18.600000000000001</v>
      </c>
      <c r="F93" s="70">
        <v>62.7</v>
      </c>
      <c r="G93" s="70">
        <v>138.5</v>
      </c>
      <c r="H93" s="70">
        <v>75.099999999999994</v>
      </c>
      <c r="I93" s="70">
        <v>2.5099999999999998</v>
      </c>
      <c r="J93" s="70">
        <v>19.86</v>
      </c>
    </row>
    <row r="94" spans="1:10" ht="39" x14ac:dyDescent="0.25">
      <c r="A94" s="43" t="s">
        <v>2370</v>
      </c>
      <c r="B94" s="62" t="s">
        <v>28</v>
      </c>
      <c r="C94" s="72" t="s">
        <v>28</v>
      </c>
      <c r="D94" s="72" t="s">
        <v>28</v>
      </c>
      <c r="E94" s="72" t="s">
        <v>28</v>
      </c>
      <c r="F94" s="72" t="s">
        <v>28</v>
      </c>
      <c r="G94" s="72" t="s">
        <v>28</v>
      </c>
      <c r="H94" s="72" t="s">
        <v>28</v>
      </c>
      <c r="I94" s="72" t="s">
        <v>28</v>
      </c>
      <c r="J94" s="72" t="s">
        <v>28</v>
      </c>
    </row>
    <row r="95" spans="1:10" ht="39" x14ac:dyDescent="0.25">
      <c r="A95" s="40" t="s">
        <v>2371</v>
      </c>
      <c r="B95" s="61">
        <v>1124</v>
      </c>
      <c r="C95" s="71">
        <v>79.599999999999994</v>
      </c>
      <c r="D95" s="71">
        <v>78.5</v>
      </c>
      <c r="E95" s="71">
        <v>17.399999999999999</v>
      </c>
      <c r="F95" s="71">
        <v>44.5</v>
      </c>
      <c r="G95" s="71">
        <v>89.3</v>
      </c>
      <c r="H95" s="71">
        <v>24.4</v>
      </c>
      <c r="I95" s="71">
        <v>1.73</v>
      </c>
      <c r="J95" s="71">
        <v>21.7</v>
      </c>
    </row>
    <row r="96" spans="1:10" ht="39" x14ac:dyDescent="0.25">
      <c r="A96" s="42" t="s">
        <v>2372</v>
      </c>
      <c r="B96" s="61">
        <v>1060</v>
      </c>
      <c r="C96" s="71">
        <v>85.4</v>
      </c>
      <c r="D96" s="71">
        <v>101.1</v>
      </c>
      <c r="E96" s="71">
        <v>19.8</v>
      </c>
      <c r="F96" s="71">
        <v>45</v>
      </c>
      <c r="G96" s="71">
        <v>93.7</v>
      </c>
      <c r="H96" s="71">
        <v>21.6</v>
      </c>
      <c r="I96" s="71">
        <v>1.74</v>
      </c>
      <c r="J96" s="71">
        <v>20.37</v>
      </c>
    </row>
    <row r="97" spans="1:10" ht="51.75" x14ac:dyDescent="0.25">
      <c r="A97" s="42" t="s">
        <v>2373</v>
      </c>
      <c r="B97" s="61">
        <v>1170</v>
      </c>
      <c r="C97" s="71">
        <v>78.2</v>
      </c>
      <c r="D97" s="71">
        <v>63.7</v>
      </c>
      <c r="E97" s="71">
        <v>22.3</v>
      </c>
      <c r="F97" s="71">
        <v>51.3</v>
      </c>
      <c r="G97" s="71">
        <v>102.2</v>
      </c>
      <c r="H97" s="71">
        <v>27.2</v>
      </c>
      <c r="I97" s="71">
        <v>1.82</v>
      </c>
      <c r="J97" s="71">
        <v>23.25</v>
      </c>
    </row>
    <row r="98" spans="1:10" ht="51.75" x14ac:dyDescent="0.25">
      <c r="A98" s="42" t="s">
        <v>2374</v>
      </c>
      <c r="B98" s="61">
        <v>2032</v>
      </c>
      <c r="C98" s="71">
        <v>79.900000000000006</v>
      </c>
      <c r="D98" s="71">
        <v>66.900000000000006</v>
      </c>
      <c r="E98" s="71">
        <v>21.3</v>
      </c>
      <c r="F98" s="71">
        <v>42.6</v>
      </c>
      <c r="G98" s="71">
        <v>75.8</v>
      </c>
      <c r="H98" s="71">
        <v>44.9</v>
      </c>
      <c r="I98" s="71">
        <v>1.77</v>
      </c>
      <c r="J98" s="71">
        <v>22.11</v>
      </c>
    </row>
    <row r="99" spans="1:10" ht="26.25" x14ac:dyDescent="0.25">
      <c r="A99" s="42" t="s">
        <v>2375</v>
      </c>
      <c r="B99" s="61">
        <v>47</v>
      </c>
      <c r="C99" s="71">
        <v>5.4</v>
      </c>
      <c r="D99" s="71" t="s">
        <v>28</v>
      </c>
      <c r="E99" s="71">
        <v>0</v>
      </c>
      <c r="F99" s="71">
        <v>0</v>
      </c>
      <c r="G99" s="71">
        <v>2.8</v>
      </c>
      <c r="H99" s="71">
        <v>1.1000000000000001</v>
      </c>
      <c r="I99" s="71">
        <v>0.12</v>
      </c>
      <c r="J99" s="71">
        <v>22.65</v>
      </c>
    </row>
    <row r="100" spans="1:10" ht="26.25" x14ac:dyDescent="0.25">
      <c r="A100" s="44" t="s">
        <v>2376</v>
      </c>
      <c r="B100" s="61">
        <v>2046</v>
      </c>
      <c r="C100" s="71">
        <v>81.2</v>
      </c>
      <c r="D100" s="71">
        <v>80.7</v>
      </c>
      <c r="E100" s="71">
        <v>28.2</v>
      </c>
      <c r="F100" s="71">
        <v>53.4</v>
      </c>
      <c r="G100" s="71">
        <v>87.6</v>
      </c>
      <c r="H100" s="71">
        <v>41.8</v>
      </c>
      <c r="I100" s="71">
        <v>1.66</v>
      </c>
      <c r="J100" s="71">
        <v>20.41</v>
      </c>
    </row>
    <row r="101" spans="1:10" x14ac:dyDescent="0.25">
      <c r="A101" s="42" t="s">
        <v>2377</v>
      </c>
      <c r="B101" s="61">
        <v>4164</v>
      </c>
      <c r="C101" s="71">
        <v>87.3</v>
      </c>
      <c r="D101" s="71">
        <v>64.3</v>
      </c>
      <c r="E101" s="71">
        <v>32.700000000000003</v>
      </c>
      <c r="F101" s="71">
        <v>58.3</v>
      </c>
      <c r="G101" s="71">
        <v>67.5</v>
      </c>
      <c r="H101" s="71">
        <v>94</v>
      </c>
      <c r="I101" s="71">
        <v>1.97</v>
      </c>
      <c r="J101" s="71">
        <v>22.56</v>
      </c>
    </row>
    <row r="102" spans="1:10" x14ac:dyDescent="0.25">
      <c r="A102" s="42" t="s">
        <v>238</v>
      </c>
      <c r="B102" s="61">
        <v>3001</v>
      </c>
      <c r="C102" s="71">
        <v>100.1</v>
      </c>
      <c r="D102" s="71">
        <v>99.4</v>
      </c>
      <c r="E102" s="71">
        <v>35</v>
      </c>
      <c r="F102" s="71">
        <v>58.2</v>
      </c>
      <c r="G102" s="71">
        <v>88.8</v>
      </c>
      <c r="H102" s="71">
        <v>57.6</v>
      </c>
      <c r="I102" s="71">
        <v>1.92</v>
      </c>
      <c r="J102" s="71">
        <v>19.2</v>
      </c>
    </row>
    <row r="103" spans="1:10" x14ac:dyDescent="0.25">
      <c r="A103" s="42" t="s">
        <v>2378</v>
      </c>
      <c r="B103" s="61">
        <v>1605</v>
      </c>
      <c r="C103" s="71">
        <v>72.099999999999994</v>
      </c>
      <c r="D103" s="71">
        <v>74.900000000000006</v>
      </c>
      <c r="E103" s="71">
        <v>26.2</v>
      </c>
      <c r="F103" s="71">
        <v>52.3</v>
      </c>
      <c r="G103" s="71">
        <v>86.2</v>
      </c>
      <c r="H103" s="71">
        <v>33.4</v>
      </c>
      <c r="I103" s="71">
        <v>1.5</v>
      </c>
      <c r="J103" s="71">
        <v>20.83</v>
      </c>
    </row>
    <row r="104" spans="1:10" ht="115.5" x14ac:dyDescent="0.25">
      <c r="A104" s="43" t="s">
        <v>2379</v>
      </c>
      <c r="B104" s="62" t="s">
        <v>28</v>
      </c>
      <c r="C104" s="72" t="s">
        <v>28</v>
      </c>
      <c r="D104" s="72" t="s">
        <v>28</v>
      </c>
      <c r="E104" s="72" t="s">
        <v>28</v>
      </c>
      <c r="F104" s="72" t="s">
        <v>28</v>
      </c>
      <c r="G104" s="72" t="s">
        <v>28</v>
      </c>
      <c r="H104" s="72" t="s">
        <v>28</v>
      </c>
      <c r="I104" s="72" t="s">
        <v>28</v>
      </c>
      <c r="J104" s="72" t="s">
        <v>28</v>
      </c>
    </row>
    <row r="105" spans="1:10" ht="26.25" x14ac:dyDescent="0.25">
      <c r="A105" s="40" t="s">
        <v>2380</v>
      </c>
      <c r="B105" s="61">
        <v>1232</v>
      </c>
      <c r="C105" s="71">
        <v>78.8</v>
      </c>
      <c r="D105" s="71">
        <v>78</v>
      </c>
      <c r="E105" s="71">
        <v>18.2</v>
      </c>
      <c r="F105" s="71">
        <v>44.4</v>
      </c>
      <c r="G105" s="71">
        <v>84.7</v>
      </c>
      <c r="H105" s="71">
        <v>26.1</v>
      </c>
      <c r="I105" s="71">
        <v>1.67</v>
      </c>
      <c r="J105" s="71">
        <v>21.21</v>
      </c>
    </row>
    <row r="106" spans="1:10" ht="39" x14ac:dyDescent="0.25">
      <c r="A106" s="44" t="s">
        <v>2381</v>
      </c>
      <c r="B106" s="61">
        <v>1359</v>
      </c>
      <c r="C106" s="71">
        <v>87</v>
      </c>
      <c r="D106" s="71">
        <v>88.4</v>
      </c>
      <c r="E106" s="71">
        <v>26.2</v>
      </c>
      <c r="F106" s="71">
        <v>59.3</v>
      </c>
      <c r="G106" s="71">
        <v>123.4</v>
      </c>
      <c r="H106" s="71">
        <v>30.3</v>
      </c>
      <c r="I106" s="71">
        <v>1.94</v>
      </c>
      <c r="J106" s="71">
        <v>22.3</v>
      </c>
    </row>
    <row r="107" spans="1:10" ht="39" x14ac:dyDescent="0.25">
      <c r="A107" s="44" t="s">
        <v>2382</v>
      </c>
      <c r="B107" s="61">
        <v>1773</v>
      </c>
      <c r="C107" s="71">
        <v>77</v>
      </c>
      <c r="D107" s="71">
        <v>54.8</v>
      </c>
      <c r="E107" s="71">
        <v>16.3</v>
      </c>
      <c r="F107" s="71">
        <v>42.6</v>
      </c>
      <c r="G107" s="71">
        <v>88.7</v>
      </c>
      <c r="H107" s="71">
        <v>41</v>
      </c>
      <c r="I107" s="71">
        <v>1.78</v>
      </c>
      <c r="J107" s="71">
        <v>23.15</v>
      </c>
    </row>
    <row r="108" spans="1:10" x14ac:dyDescent="0.25">
      <c r="A108" s="40" t="s">
        <v>2383</v>
      </c>
      <c r="B108" s="61">
        <v>1172</v>
      </c>
      <c r="C108" s="71">
        <v>90.6</v>
      </c>
      <c r="D108" s="71">
        <v>87.3</v>
      </c>
      <c r="E108" s="71">
        <v>32.9</v>
      </c>
      <c r="F108" s="71">
        <v>68.3</v>
      </c>
      <c r="G108" s="71">
        <v>107</v>
      </c>
      <c r="H108" s="71">
        <v>26.6</v>
      </c>
      <c r="I108" s="71">
        <v>2.06</v>
      </c>
      <c r="J108" s="71">
        <v>22.74</v>
      </c>
    </row>
    <row r="109" spans="1:10" ht="102.75" x14ac:dyDescent="0.25">
      <c r="A109" s="43" t="s">
        <v>2384</v>
      </c>
      <c r="B109" s="62" t="s">
        <v>28</v>
      </c>
      <c r="C109" s="72" t="s">
        <v>28</v>
      </c>
      <c r="D109" s="72" t="s">
        <v>28</v>
      </c>
      <c r="E109" s="72" t="s">
        <v>28</v>
      </c>
      <c r="F109" s="72" t="s">
        <v>28</v>
      </c>
      <c r="G109" s="72" t="s">
        <v>28</v>
      </c>
      <c r="H109" s="72" t="s">
        <v>28</v>
      </c>
      <c r="I109" s="72" t="s">
        <v>28</v>
      </c>
      <c r="J109" s="72" t="s">
        <v>28</v>
      </c>
    </row>
    <row r="110" spans="1:10" ht="26.25" x14ac:dyDescent="0.25">
      <c r="A110" s="40" t="s">
        <v>2380</v>
      </c>
      <c r="B110" s="61">
        <v>1227</v>
      </c>
      <c r="C110" s="71">
        <v>78.5</v>
      </c>
      <c r="D110" s="71">
        <v>77.900000000000006</v>
      </c>
      <c r="E110" s="71">
        <v>18.3</v>
      </c>
      <c r="F110" s="71">
        <v>44.4</v>
      </c>
      <c r="G110" s="71">
        <v>85.3</v>
      </c>
      <c r="H110" s="71">
        <v>26.1</v>
      </c>
      <c r="I110" s="71">
        <v>1.67</v>
      </c>
      <c r="J110" s="71">
        <v>21.27</v>
      </c>
    </row>
    <row r="111" spans="1:10" ht="39" x14ac:dyDescent="0.25">
      <c r="A111" s="44" t="s">
        <v>2381</v>
      </c>
      <c r="B111" s="61">
        <v>1419</v>
      </c>
      <c r="C111" s="71">
        <v>92.8</v>
      </c>
      <c r="D111" s="71">
        <v>88.9</v>
      </c>
      <c r="E111" s="71">
        <v>26</v>
      </c>
      <c r="F111" s="71">
        <v>61.6</v>
      </c>
      <c r="G111" s="71">
        <v>135.19999999999999</v>
      </c>
      <c r="H111" s="71">
        <v>31.3</v>
      </c>
      <c r="I111" s="71">
        <v>2.0499999999999998</v>
      </c>
      <c r="J111" s="71">
        <v>22.05</v>
      </c>
    </row>
    <row r="112" spans="1:10" ht="39" x14ac:dyDescent="0.25">
      <c r="A112" s="44" t="s">
        <v>2382</v>
      </c>
      <c r="B112" s="61">
        <v>1755</v>
      </c>
      <c r="C112" s="71">
        <v>68.8</v>
      </c>
      <c r="D112" s="71">
        <v>63.5</v>
      </c>
      <c r="E112" s="71">
        <v>35.299999999999997</v>
      </c>
      <c r="F112" s="71">
        <v>64.099999999999994</v>
      </c>
      <c r="G112" s="71">
        <v>115.1</v>
      </c>
      <c r="H112" s="71">
        <v>43.4</v>
      </c>
      <c r="I112" s="71">
        <v>1.7</v>
      </c>
      <c r="J112" s="71">
        <v>24.73</v>
      </c>
    </row>
    <row r="113" spans="1:10" x14ac:dyDescent="0.25">
      <c r="A113" s="40" t="s">
        <v>2383</v>
      </c>
      <c r="B113" s="61">
        <v>1437</v>
      </c>
      <c r="C113" s="71">
        <v>90.6</v>
      </c>
      <c r="D113" s="71">
        <v>85.8</v>
      </c>
      <c r="E113" s="71">
        <v>32.9</v>
      </c>
      <c r="F113" s="71">
        <v>67.8</v>
      </c>
      <c r="G113" s="71">
        <v>104.5</v>
      </c>
      <c r="H113" s="71">
        <v>31.6</v>
      </c>
      <c r="I113" s="71">
        <v>1.99</v>
      </c>
      <c r="J113" s="71">
        <v>22</v>
      </c>
    </row>
    <row r="114" spans="1:10" ht="51.75" x14ac:dyDescent="0.25">
      <c r="A114" s="43" t="s">
        <v>2385</v>
      </c>
      <c r="B114" s="62" t="s">
        <v>28</v>
      </c>
      <c r="C114" s="72" t="s">
        <v>28</v>
      </c>
      <c r="D114" s="72" t="s">
        <v>28</v>
      </c>
      <c r="E114" s="72" t="s">
        <v>28</v>
      </c>
      <c r="F114" s="72" t="s">
        <v>28</v>
      </c>
      <c r="G114" s="72" t="s">
        <v>28</v>
      </c>
      <c r="H114" s="72" t="s">
        <v>28</v>
      </c>
      <c r="I114" s="72" t="s">
        <v>28</v>
      </c>
      <c r="J114" s="72" t="s">
        <v>28</v>
      </c>
    </row>
    <row r="115" spans="1:10" x14ac:dyDescent="0.25">
      <c r="A115" s="40" t="s">
        <v>2344</v>
      </c>
      <c r="B115" s="61">
        <v>1067</v>
      </c>
      <c r="C115" s="71">
        <v>81.599999999999994</v>
      </c>
      <c r="D115" s="71">
        <v>86.1</v>
      </c>
      <c r="E115" s="71">
        <v>21</v>
      </c>
      <c r="F115" s="71">
        <v>48.8</v>
      </c>
      <c r="G115" s="71">
        <v>93</v>
      </c>
      <c r="H115" s="71">
        <v>22.2</v>
      </c>
      <c r="I115" s="71">
        <v>1.7</v>
      </c>
      <c r="J115" s="71">
        <v>20.84</v>
      </c>
    </row>
    <row r="116" spans="1:10" x14ac:dyDescent="0.25">
      <c r="A116" s="44" t="s">
        <v>2386</v>
      </c>
      <c r="B116" s="61">
        <v>1624</v>
      </c>
      <c r="C116" s="71">
        <v>78.900000000000006</v>
      </c>
      <c r="D116" s="71">
        <v>74</v>
      </c>
      <c r="E116" s="71">
        <v>26.8</v>
      </c>
      <c r="F116" s="71">
        <v>49.3</v>
      </c>
      <c r="G116" s="71">
        <v>90.7</v>
      </c>
      <c r="H116" s="71">
        <v>35.4</v>
      </c>
      <c r="I116" s="71">
        <v>1.72</v>
      </c>
      <c r="J116" s="71">
        <v>21.81</v>
      </c>
    </row>
    <row r="117" spans="1:10" x14ac:dyDescent="0.25">
      <c r="A117" s="44" t="s">
        <v>2387</v>
      </c>
      <c r="B117" s="61">
        <v>2475</v>
      </c>
      <c r="C117" s="71">
        <v>82.2</v>
      </c>
      <c r="D117" s="71">
        <v>61.7</v>
      </c>
      <c r="E117" s="71">
        <v>23.9</v>
      </c>
      <c r="F117" s="71">
        <v>48.5</v>
      </c>
      <c r="G117" s="71">
        <v>88.7</v>
      </c>
      <c r="H117" s="71">
        <v>56</v>
      </c>
      <c r="I117" s="71">
        <v>1.86</v>
      </c>
      <c r="J117" s="71">
        <v>22.64</v>
      </c>
    </row>
    <row r="118" spans="1:10" x14ac:dyDescent="0.25">
      <c r="A118" s="40" t="s">
        <v>2388</v>
      </c>
      <c r="B118" s="61">
        <v>5251</v>
      </c>
      <c r="C118" s="71">
        <v>95.9</v>
      </c>
      <c r="D118" s="71">
        <v>67.3</v>
      </c>
      <c r="E118" s="71">
        <v>34.700000000000003</v>
      </c>
      <c r="F118" s="71">
        <v>68.8</v>
      </c>
      <c r="G118" s="71">
        <v>102.5</v>
      </c>
      <c r="H118" s="71">
        <v>119.5</v>
      </c>
      <c r="I118" s="71">
        <v>2.1800000000000002</v>
      </c>
      <c r="J118" s="71">
        <v>22.76</v>
      </c>
    </row>
    <row r="119" spans="1:10" ht="26.25" x14ac:dyDescent="0.25">
      <c r="A119" s="44" t="s">
        <v>2389</v>
      </c>
      <c r="B119" s="61">
        <v>12786</v>
      </c>
      <c r="C119" s="71">
        <v>90.7</v>
      </c>
      <c r="D119" s="71">
        <v>57.5</v>
      </c>
      <c r="E119" s="71">
        <v>0</v>
      </c>
      <c r="F119" s="71">
        <v>50.1</v>
      </c>
      <c r="G119" s="71">
        <v>86</v>
      </c>
      <c r="H119" s="71">
        <v>312.89999999999998</v>
      </c>
      <c r="I119" s="71">
        <v>2.2200000000000002</v>
      </c>
      <c r="J119" s="71">
        <v>24.47</v>
      </c>
    </row>
    <row r="120" spans="1:10" ht="39" x14ac:dyDescent="0.25">
      <c r="A120" s="44" t="s">
        <v>2390</v>
      </c>
      <c r="B120" s="60">
        <v>52</v>
      </c>
      <c r="C120" s="70">
        <v>5.4</v>
      </c>
      <c r="D120" s="70" t="s">
        <v>28</v>
      </c>
      <c r="E120" s="70">
        <v>0</v>
      </c>
      <c r="F120" s="70">
        <v>0</v>
      </c>
      <c r="G120" s="70">
        <v>1.3</v>
      </c>
      <c r="H120" s="70">
        <v>1.1000000000000001</v>
      </c>
      <c r="I120" s="70">
        <v>0.11</v>
      </c>
      <c r="J120" s="70">
        <v>20.68</v>
      </c>
    </row>
    <row r="121" spans="1:10" ht="64.5" x14ac:dyDescent="0.25">
      <c r="A121" s="43" t="s">
        <v>2404</v>
      </c>
      <c r="B121" s="62" t="s">
        <v>28</v>
      </c>
      <c r="C121" s="72" t="s">
        <v>28</v>
      </c>
      <c r="D121" s="72" t="s">
        <v>28</v>
      </c>
      <c r="E121" s="72" t="s">
        <v>28</v>
      </c>
      <c r="F121" s="72" t="s">
        <v>28</v>
      </c>
      <c r="G121" s="72" t="s">
        <v>28</v>
      </c>
      <c r="H121" s="72" t="s">
        <v>28</v>
      </c>
      <c r="I121" s="72" t="s">
        <v>28</v>
      </c>
      <c r="J121" s="72" t="s">
        <v>28</v>
      </c>
    </row>
    <row r="122" spans="1:10" ht="39" x14ac:dyDescent="0.25">
      <c r="A122" s="40" t="s">
        <v>2405</v>
      </c>
      <c r="B122" s="61">
        <v>1495</v>
      </c>
      <c r="C122" s="71">
        <v>85.4</v>
      </c>
      <c r="D122" s="71">
        <v>83</v>
      </c>
      <c r="E122" s="71">
        <v>24.3</v>
      </c>
      <c r="F122" s="71">
        <v>55.2</v>
      </c>
      <c r="G122" s="71">
        <v>103.9</v>
      </c>
      <c r="H122" s="71">
        <v>31.3</v>
      </c>
      <c r="I122" s="71">
        <v>1.79</v>
      </c>
      <c r="J122" s="71">
        <v>20.91</v>
      </c>
    </row>
    <row r="123" spans="1:10" ht="39" x14ac:dyDescent="0.25">
      <c r="A123" s="44" t="s">
        <v>2406</v>
      </c>
      <c r="B123" s="61">
        <v>1533</v>
      </c>
      <c r="C123" s="71">
        <v>83</v>
      </c>
      <c r="D123" s="71">
        <v>85.2</v>
      </c>
      <c r="E123" s="71">
        <v>23.6</v>
      </c>
      <c r="F123" s="71">
        <v>50.8</v>
      </c>
      <c r="G123" s="71">
        <v>101.4</v>
      </c>
      <c r="H123" s="71">
        <v>33.700000000000003</v>
      </c>
      <c r="I123" s="71">
        <v>1.82</v>
      </c>
      <c r="J123" s="71">
        <v>21.97</v>
      </c>
    </row>
    <row r="124" spans="1:10" ht="26.25" x14ac:dyDescent="0.25">
      <c r="A124" s="44" t="s">
        <v>2407</v>
      </c>
      <c r="B124" s="61">
        <v>3165</v>
      </c>
      <c r="C124" s="71">
        <v>76.400000000000006</v>
      </c>
      <c r="D124" s="71">
        <v>70.099999999999994</v>
      </c>
      <c r="E124" s="71">
        <v>15.8</v>
      </c>
      <c r="F124" s="71">
        <v>37.5</v>
      </c>
      <c r="G124" s="71">
        <v>83.4</v>
      </c>
      <c r="H124" s="71">
        <v>66.7</v>
      </c>
      <c r="I124" s="71">
        <v>1.61</v>
      </c>
      <c r="J124" s="71">
        <v>21.08</v>
      </c>
    </row>
    <row r="125" spans="1:10" ht="26.25" x14ac:dyDescent="0.25">
      <c r="A125" s="40" t="s">
        <v>2408</v>
      </c>
      <c r="B125" s="61">
        <v>442</v>
      </c>
      <c r="C125" s="71">
        <v>69.599999999999994</v>
      </c>
      <c r="D125" s="71">
        <v>66.5</v>
      </c>
      <c r="E125" s="71">
        <v>17</v>
      </c>
      <c r="F125" s="71">
        <v>43.1</v>
      </c>
      <c r="G125" s="71">
        <v>79.5</v>
      </c>
      <c r="H125" s="71">
        <v>10.4</v>
      </c>
      <c r="I125" s="71">
        <v>1.63</v>
      </c>
      <c r="J125" s="71">
        <v>23.47</v>
      </c>
    </row>
    <row r="126" spans="1:10" ht="26.25" x14ac:dyDescent="0.25">
      <c r="A126" s="44" t="s">
        <v>2409</v>
      </c>
      <c r="B126" s="61">
        <v>458</v>
      </c>
      <c r="C126" s="71">
        <v>49.3</v>
      </c>
      <c r="D126" s="71">
        <v>73.7</v>
      </c>
      <c r="E126" s="71">
        <v>5.9</v>
      </c>
      <c r="F126" s="71">
        <v>25.5</v>
      </c>
      <c r="G126" s="71">
        <v>58.4</v>
      </c>
      <c r="H126" s="71">
        <v>9.9</v>
      </c>
      <c r="I126" s="71">
        <v>1.06</v>
      </c>
      <c r="J126" s="71">
        <v>21.51</v>
      </c>
    </row>
    <row r="127" spans="1:10" ht="26.25" x14ac:dyDescent="0.25">
      <c r="A127" s="44" t="s">
        <v>2410</v>
      </c>
      <c r="B127" s="60">
        <v>9982</v>
      </c>
      <c r="C127" s="70">
        <v>127</v>
      </c>
      <c r="D127" s="70">
        <v>64.2</v>
      </c>
      <c r="E127" s="70">
        <v>55.6</v>
      </c>
      <c r="F127" s="70">
        <v>147.9</v>
      </c>
      <c r="G127" s="70">
        <v>668</v>
      </c>
      <c r="H127" s="70">
        <v>213.2</v>
      </c>
      <c r="I127" s="70">
        <v>2.71</v>
      </c>
      <c r="J127" s="70">
        <v>21.36</v>
      </c>
    </row>
    <row r="128" spans="1:10" x14ac:dyDescent="0.25">
      <c r="A128" s="44" t="s">
        <v>2383</v>
      </c>
      <c r="B128" s="60">
        <v>2131</v>
      </c>
      <c r="C128" s="70">
        <v>92.7</v>
      </c>
      <c r="D128" s="70">
        <v>94</v>
      </c>
      <c r="E128" s="70">
        <v>18.399999999999999</v>
      </c>
      <c r="F128" s="70">
        <v>45.1</v>
      </c>
      <c r="G128" s="70">
        <v>94.4</v>
      </c>
      <c r="H128" s="70">
        <v>48.7</v>
      </c>
      <c r="I128" s="70">
        <v>2.12</v>
      </c>
      <c r="J128" s="70">
        <v>22.85</v>
      </c>
    </row>
    <row r="129" spans="1:10" ht="39" x14ac:dyDescent="0.25">
      <c r="A129" s="44" t="s">
        <v>2411</v>
      </c>
      <c r="B129" s="60">
        <v>2101</v>
      </c>
      <c r="C129" s="70">
        <v>76.099999999999994</v>
      </c>
      <c r="D129" s="70" t="s">
        <v>2312</v>
      </c>
      <c r="E129" s="70">
        <v>24.6</v>
      </c>
      <c r="F129" s="70">
        <v>66.3</v>
      </c>
      <c r="G129" s="70">
        <v>96.4</v>
      </c>
      <c r="H129" s="70">
        <v>45</v>
      </c>
      <c r="I129" s="70">
        <v>1.63</v>
      </c>
      <c r="J129" s="70">
        <v>21.41</v>
      </c>
    </row>
    <row r="130" spans="1:10" ht="39" x14ac:dyDescent="0.25">
      <c r="A130" s="43" t="s">
        <v>2412</v>
      </c>
      <c r="B130" s="62" t="s">
        <v>28</v>
      </c>
      <c r="C130" s="72" t="s">
        <v>28</v>
      </c>
      <c r="D130" s="72" t="s">
        <v>28</v>
      </c>
      <c r="E130" s="72" t="s">
        <v>28</v>
      </c>
      <c r="F130" s="72" t="s">
        <v>28</v>
      </c>
      <c r="G130" s="72" t="s">
        <v>28</v>
      </c>
      <c r="H130" s="72" t="s">
        <v>28</v>
      </c>
      <c r="I130" s="72" t="s">
        <v>28</v>
      </c>
      <c r="J130" s="72" t="s">
        <v>28</v>
      </c>
    </row>
    <row r="131" spans="1:10" ht="26.25" x14ac:dyDescent="0.25">
      <c r="A131" s="44" t="s">
        <v>2413</v>
      </c>
      <c r="B131" s="61">
        <v>517</v>
      </c>
      <c r="C131" s="71">
        <v>54.3</v>
      </c>
      <c r="D131" s="71">
        <v>72</v>
      </c>
      <c r="E131" s="71">
        <v>8.8000000000000007</v>
      </c>
      <c r="F131" s="71">
        <v>31.4</v>
      </c>
      <c r="G131" s="71">
        <v>67.599999999999994</v>
      </c>
      <c r="H131" s="71">
        <v>11.6</v>
      </c>
      <c r="I131" s="71">
        <v>1.22</v>
      </c>
      <c r="J131" s="71">
        <v>22.41</v>
      </c>
    </row>
    <row r="132" spans="1:10" ht="26.25" x14ac:dyDescent="0.25">
      <c r="A132" s="40" t="s">
        <v>2414</v>
      </c>
      <c r="B132" s="60">
        <v>2681</v>
      </c>
      <c r="C132" s="70">
        <v>94.6</v>
      </c>
      <c r="D132" s="70">
        <v>88.6</v>
      </c>
      <c r="E132" s="70">
        <v>29.8</v>
      </c>
      <c r="F132" s="70">
        <v>64.400000000000006</v>
      </c>
      <c r="G132" s="70">
        <v>118.4</v>
      </c>
      <c r="H132" s="70">
        <v>54.9</v>
      </c>
      <c r="I132" s="70">
        <v>1.94</v>
      </c>
      <c r="J132" s="70">
        <v>20.47</v>
      </c>
    </row>
    <row r="133" spans="1:10" x14ac:dyDescent="0.25">
      <c r="A133" s="40" t="s">
        <v>2415</v>
      </c>
      <c r="B133" s="61">
        <v>2228</v>
      </c>
      <c r="C133" s="71">
        <v>85.3</v>
      </c>
      <c r="D133" s="71">
        <v>77.3</v>
      </c>
      <c r="E133" s="71">
        <v>25.8</v>
      </c>
      <c r="F133" s="71">
        <v>51</v>
      </c>
      <c r="G133" s="71">
        <v>97</v>
      </c>
      <c r="H133" s="71">
        <v>47.8</v>
      </c>
      <c r="I133" s="71">
        <v>1.83</v>
      </c>
      <c r="J133" s="71">
        <v>21.47</v>
      </c>
    </row>
    <row r="134" spans="1:10" ht="39" x14ac:dyDescent="0.25">
      <c r="A134" s="44" t="s">
        <v>2416</v>
      </c>
      <c r="B134" s="61">
        <v>913</v>
      </c>
      <c r="C134" s="71">
        <v>86.2</v>
      </c>
      <c r="D134" s="71">
        <v>87.8</v>
      </c>
      <c r="E134" s="71">
        <v>22</v>
      </c>
      <c r="F134" s="71">
        <v>52</v>
      </c>
      <c r="G134" s="71">
        <v>114.4</v>
      </c>
      <c r="H134" s="71">
        <v>20</v>
      </c>
      <c r="I134" s="71">
        <v>1.89</v>
      </c>
      <c r="J134" s="71">
        <v>21.91</v>
      </c>
    </row>
    <row r="135" spans="1:10" ht="51.75" x14ac:dyDescent="0.25">
      <c r="A135" s="44" t="s">
        <v>2417</v>
      </c>
      <c r="B135" s="61">
        <v>591</v>
      </c>
      <c r="C135" s="71">
        <v>81.2</v>
      </c>
      <c r="D135" s="71">
        <v>92.6</v>
      </c>
      <c r="E135" s="71">
        <v>16.600000000000001</v>
      </c>
      <c r="F135" s="71">
        <v>54</v>
      </c>
      <c r="G135" s="71">
        <v>126.1</v>
      </c>
      <c r="H135" s="71">
        <v>12</v>
      </c>
      <c r="I135" s="71">
        <v>1.66</v>
      </c>
      <c r="J135" s="71">
        <v>20.38</v>
      </c>
    </row>
    <row r="136" spans="1:10" ht="64.5" x14ac:dyDescent="0.25">
      <c r="A136" s="44" t="s">
        <v>2418</v>
      </c>
      <c r="B136" s="61">
        <v>745</v>
      </c>
      <c r="C136" s="71">
        <v>73.2</v>
      </c>
      <c r="D136" s="71">
        <v>67.8</v>
      </c>
      <c r="E136" s="71">
        <v>22.3</v>
      </c>
      <c r="F136" s="71">
        <v>46.9</v>
      </c>
      <c r="G136" s="71">
        <v>89.3</v>
      </c>
      <c r="H136" s="71">
        <v>16.399999999999999</v>
      </c>
      <c r="I136" s="71">
        <v>1.61</v>
      </c>
      <c r="J136" s="71">
        <v>22.05</v>
      </c>
    </row>
    <row r="137" spans="1:10" x14ac:dyDescent="0.25">
      <c r="A137" s="44" t="s">
        <v>2419</v>
      </c>
      <c r="B137" s="60">
        <v>2597</v>
      </c>
      <c r="C137" s="70">
        <v>80.7</v>
      </c>
      <c r="D137" s="70">
        <v>63.8</v>
      </c>
      <c r="E137" s="70">
        <v>29.5</v>
      </c>
      <c r="F137" s="70">
        <v>57.6</v>
      </c>
      <c r="G137" s="70">
        <v>112.8</v>
      </c>
      <c r="H137" s="70">
        <v>64.2</v>
      </c>
      <c r="I137" s="70">
        <v>2</v>
      </c>
      <c r="J137" s="70">
        <v>24.73</v>
      </c>
    </row>
    <row r="138" spans="1:10" x14ac:dyDescent="0.25">
      <c r="A138" s="44" t="s">
        <v>2383</v>
      </c>
      <c r="B138" s="60">
        <v>2447</v>
      </c>
      <c r="C138" s="70">
        <v>85.6</v>
      </c>
      <c r="D138" s="70">
        <v>102.3</v>
      </c>
      <c r="E138" s="70">
        <v>20.8</v>
      </c>
      <c r="F138" s="70">
        <v>46.6</v>
      </c>
      <c r="G138" s="70">
        <v>90.5</v>
      </c>
      <c r="H138" s="70">
        <v>53.1</v>
      </c>
      <c r="I138" s="70">
        <v>1.86</v>
      </c>
      <c r="J138" s="70">
        <v>21.7</v>
      </c>
    </row>
    <row r="139" spans="1:10" ht="39" x14ac:dyDescent="0.25">
      <c r="A139" s="44" t="s">
        <v>2411</v>
      </c>
      <c r="B139" s="60">
        <v>1957</v>
      </c>
      <c r="C139" s="70">
        <v>53.7</v>
      </c>
      <c r="D139" s="70">
        <v>105.9</v>
      </c>
      <c r="E139" s="70">
        <v>15</v>
      </c>
      <c r="F139" s="70">
        <v>42.4</v>
      </c>
      <c r="G139" s="70">
        <v>69.599999999999994</v>
      </c>
      <c r="H139" s="70">
        <v>43.6</v>
      </c>
      <c r="I139" s="70">
        <v>1.2</v>
      </c>
      <c r="J139" s="70">
        <v>22.28</v>
      </c>
    </row>
    <row r="140" spans="1:10" ht="39" x14ac:dyDescent="0.25">
      <c r="A140" s="43" t="s">
        <v>2420</v>
      </c>
      <c r="B140" s="62" t="s">
        <v>28</v>
      </c>
      <c r="C140" s="72" t="s">
        <v>28</v>
      </c>
      <c r="D140" s="72" t="s">
        <v>28</v>
      </c>
      <c r="E140" s="72" t="s">
        <v>28</v>
      </c>
      <c r="F140" s="72" t="s">
        <v>28</v>
      </c>
      <c r="G140" s="72" t="s">
        <v>28</v>
      </c>
      <c r="H140" s="72" t="s">
        <v>28</v>
      </c>
      <c r="I140" s="72" t="s">
        <v>28</v>
      </c>
      <c r="J140" s="72" t="s">
        <v>28</v>
      </c>
    </row>
    <row r="141" spans="1:10" x14ac:dyDescent="0.25">
      <c r="A141" s="40" t="s">
        <v>2421</v>
      </c>
      <c r="B141" s="61" t="s">
        <v>28</v>
      </c>
      <c r="C141" s="71" t="s">
        <v>28</v>
      </c>
      <c r="D141" s="71" t="s">
        <v>28</v>
      </c>
      <c r="E141" s="71" t="s">
        <v>28</v>
      </c>
      <c r="F141" s="71" t="s">
        <v>28</v>
      </c>
      <c r="G141" s="71" t="s">
        <v>28</v>
      </c>
      <c r="H141" s="71" t="s">
        <v>28</v>
      </c>
      <c r="I141" s="71" t="s">
        <v>28</v>
      </c>
      <c r="J141" s="71" t="s">
        <v>28</v>
      </c>
    </row>
    <row r="142" spans="1:10" x14ac:dyDescent="0.25">
      <c r="A142" s="42" t="s">
        <v>2422</v>
      </c>
      <c r="B142" s="61">
        <v>2283</v>
      </c>
      <c r="C142" s="71">
        <v>90.2</v>
      </c>
      <c r="D142" s="71">
        <v>78.3</v>
      </c>
      <c r="E142" s="71">
        <v>25.8</v>
      </c>
      <c r="F142" s="71">
        <v>57.4</v>
      </c>
      <c r="G142" s="71">
        <v>115.7</v>
      </c>
      <c r="H142" s="71">
        <v>48.3</v>
      </c>
      <c r="I142" s="71">
        <v>1.91</v>
      </c>
      <c r="J142" s="71">
        <v>21.14</v>
      </c>
    </row>
    <row r="143" spans="1:10" ht="26.25" x14ac:dyDescent="0.25">
      <c r="A143" s="42" t="s">
        <v>2423</v>
      </c>
      <c r="B143" s="61">
        <v>743</v>
      </c>
      <c r="C143" s="71">
        <v>66.900000000000006</v>
      </c>
      <c r="D143" s="71">
        <v>81.7</v>
      </c>
      <c r="E143" s="71">
        <v>14.5</v>
      </c>
      <c r="F143" s="71">
        <v>38.4</v>
      </c>
      <c r="G143" s="71">
        <v>80.2</v>
      </c>
      <c r="H143" s="71">
        <v>16.399999999999999</v>
      </c>
      <c r="I143" s="71">
        <v>1.48</v>
      </c>
      <c r="J143" s="71">
        <v>22.08</v>
      </c>
    </row>
    <row r="144" spans="1:10" ht="26.25" x14ac:dyDescent="0.25">
      <c r="A144" s="42" t="s">
        <v>2424</v>
      </c>
      <c r="B144" s="61">
        <v>615</v>
      </c>
      <c r="C144" s="71">
        <v>65.400000000000006</v>
      </c>
      <c r="D144" s="71">
        <v>77.5</v>
      </c>
      <c r="E144" s="71">
        <v>19.600000000000001</v>
      </c>
      <c r="F144" s="71">
        <v>43.6</v>
      </c>
      <c r="G144" s="71">
        <v>77</v>
      </c>
      <c r="H144" s="71">
        <v>13.2</v>
      </c>
      <c r="I144" s="71">
        <v>1.41</v>
      </c>
      <c r="J144" s="71">
        <v>21.51</v>
      </c>
    </row>
    <row r="145" spans="1:10" x14ac:dyDescent="0.25">
      <c r="A145" s="44" t="s">
        <v>2425</v>
      </c>
      <c r="B145" s="61">
        <v>2482</v>
      </c>
      <c r="C145" s="71">
        <v>93.6</v>
      </c>
      <c r="D145" s="71">
        <v>84.9</v>
      </c>
      <c r="E145" s="71">
        <v>25.5</v>
      </c>
      <c r="F145" s="71">
        <v>57.5</v>
      </c>
      <c r="G145" s="71">
        <v>114.9</v>
      </c>
      <c r="H145" s="71">
        <v>52.2</v>
      </c>
      <c r="I145" s="71">
        <v>1.97</v>
      </c>
      <c r="J145" s="71">
        <v>21.03</v>
      </c>
    </row>
    <row r="146" spans="1:10" ht="128.25" x14ac:dyDescent="0.25">
      <c r="A146" s="43" t="s">
        <v>2426</v>
      </c>
      <c r="B146" s="62" t="s">
        <v>28</v>
      </c>
      <c r="C146" s="72" t="s">
        <v>28</v>
      </c>
      <c r="D146" s="72" t="s">
        <v>28</v>
      </c>
      <c r="E146" s="72" t="s">
        <v>28</v>
      </c>
      <c r="F146" s="72" t="s">
        <v>28</v>
      </c>
      <c r="G146" s="72" t="s">
        <v>28</v>
      </c>
      <c r="H146" s="72" t="s">
        <v>28</v>
      </c>
      <c r="I146" s="72" t="s">
        <v>28</v>
      </c>
      <c r="J146" s="72" t="s">
        <v>28</v>
      </c>
    </row>
    <row r="147" spans="1:10" ht="51.75" x14ac:dyDescent="0.25">
      <c r="A147" s="40" t="s">
        <v>2427</v>
      </c>
      <c r="B147" s="61">
        <v>1796</v>
      </c>
      <c r="C147" s="71">
        <v>89.1</v>
      </c>
      <c r="D147" s="71">
        <v>81</v>
      </c>
      <c r="E147" s="71">
        <v>27.7</v>
      </c>
      <c r="F147" s="71">
        <v>55.8</v>
      </c>
      <c r="G147" s="71">
        <v>100.1</v>
      </c>
      <c r="H147" s="71">
        <v>37.799999999999997</v>
      </c>
      <c r="I147" s="71">
        <v>1.87</v>
      </c>
      <c r="J147" s="71">
        <v>21.04</v>
      </c>
    </row>
    <row r="148" spans="1:10" ht="26.25" x14ac:dyDescent="0.25">
      <c r="A148" s="42" t="s">
        <v>2428</v>
      </c>
      <c r="B148" s="61">
        <v>2908</v>
      </c>
      <c r="C148" s="71">
        <v>99.2</v>
      </c>
      <c r="D148" s="71">
        <v>103.6</v>
      </c>
      <c r="E148" s="71">
        <v>30.7</v>
      </c>
      <c r="F148" s="71">
        <v>57.3</v>
      </c>
      <c r="G148" s="71">
        <v>99.7</v>
      </c>
      <c r="H148" s="71">
        <v>55.9</v>
      </c>
      <c r="I148" s="71">
        <v>1.91</v>
      </c>
      <c r="J148" s="71">
        <v>19.22</v>
      </c>
    </row>
    <row r="149" spans="1:10" ht="51.75" x14ac:dyDescent="0.25">
      <c r="A149" s="42" t="s">
        <v>2429</v>
      </c>
      <c r="B149" s="61">
        <v>3165</v>
      </c>
      <c r="C149" s="71">
        <v>128.69999999999999</v>
      </c>
      <c r="D149" s="71">
        <v>87.8</v>
      </c>
      <c r="E149" s="71">
        <v>18.3</v>
      </c>
      <c r="F149" s="71">
        <v>69.099999999999994</v>
      </c>
      <c r="G149" s="71">
        <v>143.4</v>
      </c>
      <c r="H149" s="71">
        <v>66</v>
      </c>
      <c r="I149" s="71">
        <v>2.69</v>
      </c>
      <c r="J149" s="71">
        <v>20.86</v>
      </c>
    </row>
    <row r="150" spans="1:10" ht="39" x14ac:dyDescent="0.25">
      <c r="A150" s="42" t="s">
        <v>2430</v>
      </c>
      <c r="B150" s="61">
        <v>2013</v>
      </c>
      <c r="C150" s="71">
        <v>95</v>
      </c>
      <c r="D150" s="71">
        <v>86.8</v>
      </c>
      <c r="E150" s="71">
        <v>29.1</v>
      </c>
      <c r="F150" s="71">
        <v>54.7</v>
      </c>
      <c r="G150" s="71">
        <v>96.4</v>
      </c>
      <c r="H150" s="71">
        <v>41.4</v>
      </c>
      <c r="I150" s="71">
        <v>1.95</v>
      </c>
      <c r="J150" s="71">
        <v>20.55</v>
      </c>
    </row>
    <row r="151" spans="1:10" ht="51.75" x14ac:dyDescent="0.25">
      <c r="A151" s="42" t="s">
        <v>2431</v>
      </c>
      <c r="B151" s="60">
        <v>2052</v>
      </c>
      <c r="C151" s="70">
        <v>94.2</v>
      </c>
      <c r="D151" s="70">
        <v>87.5</v>
      </c>
      <c r="E151" s="70">
        <v>21.3</v>
      </c>
      <c r="F151" s="70">
        <v>50.1</v>
      </c>
      <c r="G151" s="70">
        <v>93.6</v>
      </c>
      <c r="H151" s="70">
        <v>41.9</v>
      </c>
      <c r="I151" s="70">
        <v>1.93</v>
      </c>
      <c r="J151" s="70">
        <v>20.43</v>
      </c>
    </row>
    <row r="152" spans="1:10" ht="51.75" x14ac:dyDescent="0.25">
      <c r="A152" s="42" t="s">
        <v>2432</v>
      </c>
      <c r="B152" s="60">
        <v>2312</v>
      </c>
      <c r="C152" s="70">
        <v>96.4</v>
      </c>
      <c r="D152" s="70">
        <v>74.400000000000006</v>
      </c>
      <c r="E152" s="70">
        <v>29.7</v>
      </c>
      <c r="F152" s="70">
        <v>57.2</v>
      </c>
      <c r="G152" s="70">
        <v>98.1</v>
      </c>
      <c r="H152" s="70">
        <v>48.7</v>
      </c>
      <c r="I152" s="70">
        <v>2.0299999999999998</v>
      </c>
      <c r="J152" s="70">
        <v>21.08</v>
      </c>
    </row>
    <row r="153" spans="1:10" ht="39" x14ac:dyDescent="0.25">
      <c r="A153" s="42" t="s">
        <v>2433</v>
      </c>
      <c r="B153" s="60">
        <v>1947</v>
      </c>
      <c r="C153" s="70">
        <v>88.9</v>
      </c>
      <c r="D153" s="70">
        <v>77.2</v>
      </c>
      <c r="E153" s="70">
        <v>28.6</v>
      </c>
      <c r="F153" s="70">
        <v>56.1</v>
      </c>
      <c r="G153" s="70">
        <v>100.2</v>
      </c>
      <c r="H153" s="70">
        <v>40.4</v>
      </c>
      <c r="I153" s="70">
        <v>1.85</v>
      </c>
      <c r="J153" s="70">
        <v>20.77</v>
      </c>
    </row>
    <row r="154" spans="1:10" ht="51.75" x14ac:dyDescent="0.25">
      <c r="A154" s="42" t="s">
        <v>2434</v>
      </c>
      <c r="B154" s="60">
        <v>2312</v>
      </c>
      <c r="C154" s="70">
        <v>95</v>
      </c>
      <c r="D154" s="70">
        <v>84.4</v>
      </c>
      <c r="E154" s="70">
        <v>30.6</v>
      </c>
      <c r="F154" s="70">
        <v>56.8</v>
      </c>
      <c r="G154" s="70">
        <v>103.5</v>
      </c>
      <c r="H154" s="70">
        <v>48.4</v>
      </c>
      <c r="I154" s="70">
        <v>1.99</v>
      </c>
      <c r="J154" s="70">
        <v>20.95</v>
      </c>
    </row>
    <row r="155" spans="1:10" ht="26.25" x14ac:dyDescent="0.25">
      <c r="A155" s="42" t="s">
        <v>2435</v>
      </c>
      <c r="B155" s="60">
        <v>2484</v>
      </c>
      <c r="C155" s="70">
        <v>95.7</v>
      </c>
      <c r="D155" s="70">
        <v>86.3</v>
      </c>
      <c r="E155" s="70">
        <v>32.1</v>
      </c>
      <c r="F155" s="70">
        <v>58.9</v>
      </c>
      <c r="G155" s="70">
        <v>112.3</v>
      </c>
      <c r="H155" s="70">
        <v>50.9</v>
      </c>
      <c r="I155" s="70">
        <v>1.96</v>
      </c>
      <c r="J155" s="70">
        <v>20.51</v>
      </c>
    </row>
    <row r="156" spans="1:10" ht="39" x14ac:dyDescent="0.25">
      <c r="A156" s="42" t="s">
        <v>2436</v>
      </c>
      <c r="B156" s="60">
        <v>2152</v>
      </c>
      <c r="C156" s="70">
        <v>99.5</v>
      </c>
      <c r="D156" s="70">
        <v>90.7</v>
      </c>
      <c r="E156" s="70">
        <v>28.5</v>
      </c>
      <c r="F156" s="70">
        <v>54.9</v>
      </c>
      <c r="G156" s="70">
        <v>106.7</v>
      </c>
      <c r="H156" s="70">
        <v>44.3</v>
      </c>
      <c r="I156" s="70">
        <v>2.0499999999999998</v>
      </c>
      <c r="J156" s="70">
        <v>20.58</v>
      </c>
    </row>
    <row r="157" spans="1:10" ht="39" x14ac:dyDescent="0.25">
      <c r="A157" s="42" t="s">
        <v>2437</v>
      </c>
      <c r="B157" s="60">
        <v>2169</v>
      </c>
      <c r="C157" s="70">
        <v>101</v>
      </c>
      <c r="D157" s="70">
        <v>86.9</v>
      </c>
      <c r="E157" s="70">
        <v>30.6</v>
      </c>
      <c r="F157" s="70">
        <v>57.3</v>
      </c>
      <c r="G157" s="70">
        <v>111.3</v>
      </c>
      <c r="H157" s="70">
        <v>44.3</v>
      </c>
      <c r="I157" s="70">
        <v>2.06</v>
      </c>
      <c r="J157" s="70">
        <v>20.440000000000001</v>
      </c>
    </row>
    <row r="158" spans="1:10" ht="39" x14ac:dyDescent="0.25">
      <c r="A158" s="42" t="s">
        <v>2438</v>
      </c>
      <c r="B158" s="60">
        <v>2019</v>
      </c>
      <c r="C158" s="70">
        <v>101.4</v>
      </c>
      <c r="D158" s="70">
        <v>92</v>
      </c>
      <c r="E158" s="70">
        <v>27.6</v>
      </c>
      <c r="F158" s="70">
        <v>56</v>
      </c>
      <c r="G158" s="70">
        <v>98.1</v>
      </c>
      <c r="H158" s="70">
        <v>39.9</v>
      </c>
      <c r="I158" s="70">
        <v>2</v>
      </c>
      <c r="J158" s="70">
        <v>19.760000000000002</v>
      </c>
    </row>
    <row r="159" spans="1:10" ht="64.5" x14ac:dyDescent="0.25">
      <c r="A159" s="42" t="s">
        <v>2439</v>
      </c>
      <c r="B159" s="60">
        <v>2737</v>
      </c>
      <c r="C159" s="70">
        <v>98</v>
      </c>
      <c r="D159" s="70">
        <v>84</v>
      </c>
      <c r="E159" s="70">
        <v>31.9</v>
      </c>
      <c r="F159" s="70">
        <v>58.7</v>
      </c>
      <c r="G159" s="70">
        <v>109.8</v>
      </c>
      <c r="H159" s="70">
        <v>56.9</v>
      </c>
      <c r="I159" s="70">
        <v>2.04</v>
      </c>
      <c r="J159" s="70">
        <v>20.79</v>
      </c>
    </row>
    <row r="160" spans="1:10" ht="39" x14ac:dyDescent="0.25">
      <c r="A160" s="42" t="s">
        <v>2440</v>
      </c>
      <c r="B160" s="60">
        <v>2798</v>
      </c>
      <c r="C160" s="70">
        <v>108.4</v>
      </c>
      <c r="D160" s="70">
        <v>113.9</v>
      </c>
      <c r="E160" s="70">
        <v>32.1</v>
      </c>
      <c r="F160" s="70">
        <v>53.2</v>
      </c>
      <c r="G160" s="70">
        <v>92.8</v>
      </c>
      <c r="H160" s="70">
        <v>54.5</v>
      </c>
      <c r="I160" s="70">
        <v>2.11</v>
      </c>
      <c r="J160" s="70">
        <v>19.47</v>
      </c>
    </row>
    <row r="161" spans="1:10" x14ac:dyDescent="0.25">
      <c r="A161" s="42" t="s">
        <v>2383</v>
      </c>
      <c r="B161" s="60">
        <v>1771</v>
      </c>
      <c r="C161" s="70">
        <v>81.7</v>
      </c>
      <c r="D161" s="70">
        <v>68.5</v>
      </c>
      <c r="E161" s="70">
        <v>35.1</v>
      </c>
      <c r="F161" s="70">
        <v>62.4</v>
      </c>
      <c r="G161" s="70">
        <v>137.6</v>
      </c>
      <c r="H161" s="70">
        <v>43.5</v>
      </c>
      <c r="I161" s="70">
        <v>2.0099999999999998</v>
      </c>
      <c r="J161" s="70">
        <v>24.56</v>
      </c>
    </row>
    <row r="162" spans="1:10" ht="39" x14ac:dyDescent="0.25">
      <c r="A162" s="44" t="s">
        <v>2441</v>
      </c>
      <c r="B162" s="60">
        <v>860</v>
      </c>
      <c r="C162" s="70">
        <v>69.400000000000006</v>
      </c>
      <c r="D162" s="70">
        <v>75.099999999999994</v>
      </c>
      <c r="E162" s="70">
        <v>14.8</v>
      </c>
      <c r="F162" s="70">
        <v>39.6</v>
      </c>
      <c r="G162" s="70">
        <v>81.2</v>
      </c>
      <c r="H162" s="70">
        <v>18.899999999999999</v>
      </c>
      <c r="I162" s="70">
        <v>1.52</v>
      </c>
      <c r="J162" s="70">
        <v>21.93</v>
      </c>
    </row>
    <row r="163" spans="1:10" ht="51.75" x14ac:dyDescent="0.25">
      <c r="A163" s="44" t="s">
        <v>2442</v>
      </c>
      <c r="B163" s="60">
        <v>1598</v>
      </c>
      <c r="C163" s="70">
        <v>84.5</v>
      </c>
      <c r="D163" s="70">
        <v>87.1</v>
      </c>
      <c r="E163" s="70">
        <v>16.899999999999999</v>
      </c>
      <c r="F163" s="70">
        <v>35.799999999999997</v>
      </c>
      <c r="G163" s="70">
        <v>79.8</v>
      </c>
      <c r="H163" s="70">
        <v>34.1</v>
      </c>
      <c r="I163" s="70">
        <v>1.8</v>
      </c>
      <c r="J163" s="70">
        <v>21.33</v>
      </c>
    </row>
    <row r="164" spans="1:10" ht="77.25" x14ac:dyDescent="0.25">
      <c r="A164" s="43" t="s">
        <v>2443</v>
      </c>
      <c r="B164" s="62" t="s">
        <v>28</v>
      </c>
      <c r="C164" s="72" t="s">
        <v>28</v>
      </c>
      <c r="D164" s="72" t="s">
        <v>28</v>
      </c>
      <c r="E164" s="72" t="s">
        <v>28</v>
      </c>
      <c r="F164" s="72" t="s">
        <v>28</v>
      </c>
      <c r="G164" s="72" t="s">
        <v>28</v>
      </c>
      <c r="H164" s="72" t="s">
        <v>28</v>
      </c>
      <c r="I164" s="72" t="s">
        <v>28</v>
      </c>
      <c r="J164" s="72" t="s">
        <v>28</v>
      </c>
    </row>
    <row r="165" spans="1:10" x14ac:dyDescent="0.25">
      <c r="A165" s="40" t="s">
        <v>2444</v>
      </c>
      <c r="B165" s="61">
        <v>1330</v>
      </c>
      <c r="C165" s="71">
        <v>82</v>
      </c>
      <c r="D165" s="71">
        <v>79</v>
      </c>
      <c r="E165" s="71">
        <v>23</v>
      </c>
      <c r="F165" s="71">
        <v>50</v>
      </c>
      <c r="G165" s="71">
        <v>93.7</v>
      </c>
      <c r="H165" s="71">
        <v>28.5</v>
      </c>
      <c r="I165" s="71">
        <v>1.76</v>
      </c>
      <c r="J165" s="71">
        <v>21.41</v>
      </c>
    </row>
    <row r="166" spans="1:10" ht="26.25" x14ac:dyDescent="0.25">
      <c r="A166" s="44" t="s">
        <v>2445</v>
      </c>
      <c r="B166" s="61">
        <v>1890</v>
      </c>
      <c r="C166" s="71">
        <v>94.4</v>
      </c>
      <c r="D166" s="71">
        <v>88.9</v>
      </c>
      <c r="E166" s="71">
        <v>37.5</v>
      </c>
      <c r="F166" s="71">
        <v>65.8</v>
      </c>
      <c r="G166" s="71">
        <v>122.3</v>
      </c>
      <c r="H166" s="71">
        <v>37.4</v>
      </c>
      <c r="I166" s="71">
        <v>1.87</v>
      </c>
      <c r="J166" s="71">
        <v>19.78</v>
      </c>
    </row>
    <row r="167" spans="1:10" x14ac:dyDescent="0.25">
      <c r="A167" s="44" t="s">
        <v>2446</v>
      </c>
      <c r="B167" s="61">
        <v>4780</v>
      </c>
      <c r="C167" s="71">
        <v>110.5</v>
      </c>
      <c r="D167" s="71">
        <v>87.1</v>
      </c>
      <c r="E167" s="71">
        <v>35.6</v>
      </c>
      <c r="F167" s="71">
        <v>69.2</v>
      </c>
      <c r="G167" s="71">
        <v>124.3</v>
      </c>
      <c r="H167" s="71">
        <v>101.5</v>
      </c>
      <c r="I167" s="71">
        <v>2.34</v>
      </c>
      <c r="J167" s="71">
        <v>21.22</v>
      </c>
    </row>
    <row r="168" spans="1:10" ht="26.25" x14ac:dyDescent="0.25">
      <c r="A168" s="40" t="s">
        <v>2447</v>
      </c>
      <c r="B168" s="61">
        <v>16919</v>
      </c>
      <c r="C168" s="71">
        <v>135.5</v>
      </c>
      <c r="D168" s="71">
        <v>98.2</v>
      </c>
      <c r="E168" s="71">
        <v>74</v>
      </c>
      <c r="F168" s="71">
        <v>113.2</v>
      </c>
      <c r="G168" s="71">
        <v>162.80000000000001</v>
      </c>
      <c r="H168" s="71">
        <v>362.8</v>
      </c>
      <c r="I168" s="71">
        <v>2.91</v>
      </c>
      <c r="J168" s="71">
        <v>21.44</v>
      </c>
    </row>
    <row r="169" spans="1:10" ht="39" x14ac:dyDescent="0.25">
      <c r="A169" s="44" t="s">
        <v>2448</v>
      </c>
      <c r="B169" s="61">
        <v>12331</v>
      </c>
      <c r="C169" s="71">
        <v>144.4</v>
      </c>
      <c r="D169" s="71">
        <v>115.9</v>
      </c>
      <c r="E169" s="71">
        <v>48.2</v>
      </c>
      <c r="F169" s="71">
        <v>70.900000000000006</v>
      </c>
      <c r="G169" s="71">
        <v>138.80000000000001</v>
      </c>
      <c r="H169" s="71">
        <v>235.8</v>
      </c>
      <c r="I169" s="71">
        <v>2.76</v>
      </c>
      <c r="J169" s="71">
        <v>19.12</v>
      </c>
    </row>
    <row r="170" spans="1:10" x14ac:dyDescent="0.25">
      <c r="A170" s="44" t="s">
        <v>2449</v>
      </c>
      <c r="B170" s="60">
        <v>1143</v>
      </c>
      <c r="C170" s="70">
        <v>75.7</v>
      </c>
      <c r="D170" s="70">
        <v>98.8</v>
      </c>
      <c r="E170" s="70">
        <v>11.6</v>
      </c>
      <c r="F170" s="70">
        <v>28.3</v>
      </c>
      <c r="G170" s="70">
        <v>62.6</v>
      </c>
      <c r="H170" s="70">
        <v>25.8</v>
      </c>
      <c r="I170" s="70">
        <v>1.71</v>
      </c>
      <c r="J170" s="70">
        <v>22.6</v>
      </c>
    </row>
    <row r="171" spans="1:10" x14ac:dyDescent="0.25">
      <c r="A171" s="44" t="s">
        <v>2383</v>
      </c>
      <c r="B171" s="60">
        <v>1750</v>
      </c>
      <c r="C171" s="70">
        <v>78.7</v>
      </c>
      <c r="D171" s="70">
        <v>79.599999999999994</v>
      </c>
      <c r="E171" s="70">
        <v>20.399999999999999</v>
      </c>
      <c r="F171" s="70">
        <v>37.5</v>
      </c>
      <c r="G171" s="70">
        <v>72.7</v>
      </c>
      <c r="H171" s="70">
        <v>37.5</v>
      </c>
      <c r="I171" s="70">
        <v>1.69</v>
      </c>
      <c r="J171" s="70">
        <v>21.42</v>
      </c>
    </row>
    <row r="172" spans="1:10" ht="102.75" x14ac:dyDescent="0.25">
      <c r="A172" s="43" t="s">
        <v>2450</v>
      </c>
      <c r="B172" s="62" t="s">
        <v>28</v>
      </c>
      <c r="C172" s="72" t="s">
        <v>28</v>
      </c>
      <c r="D172" s="72" t="s">
        <v>28</v>
      </c>
      <c r="E172" s="72" t="s">
        <v>28</v>
      </c>
      <c r="F172" s="72" t="s">
        <v>28</v>
      </c>
      <c r="G172" s="72" t="s">
        <v>28</v>
      </c>
      <c r="H172" s="72" t="s">
        <v>28</v>
      </c>
      <c r="I172" s="72" t="s">
        <v>28</v>
      </c>
      <c r="J172" s="72" t="s">
        <v>28</v>
      </c>
    </row>
    <row r="173" spans="1:10" x14ac:dyDescent="0.25">
      <c r="A173" s="40" t="s">
        <v>2444</v>
      </c>
      <c r="B173" s="61">
        <v>1364</v>
      </c>
      <c r="C173" s="71">
        <v>79.5</v>
      </c>
      <c r="D173" s="71">
        <v>72.400000000000006</v>
      </c>
      <c r="E173" s="71">
        <v>25</v>
      </c>
      <c r="F173" s="71">
        <v>50.1</v>
      </c>
      <c r="G173" s="71">
        <v>93.6</v>
      </c>
      <c r="H173" s="71">
        <v>30.2</v>
      </c>
      <c r="I173" s="71">
        <v>1.76</v>
      </c>
      <c r="J173" s="71">
        <v>22.15</v>
      </c>
    </row>
    <row r="174" spans="1:10" ht="26.25" x14ac:dyDescent="0.25">
      <c r="A174" s="44" t="s">
        <v>2445</v>
      </c>
      <c r="B174" s="61">
        <v>1702</v>
      </c>
      <c r="C174" s="71">
        <v>89.8</v>
      </c>
      <c r="D174" s="71">
        <v>85.9</v>
      </c>
      <c r="E174" s="71">
        <v>36.5</v>
      </c>
      <c r="F174" s="71">
        <v>64.099999999999994</v>
      </c>
      <c r="G174" s="71">
        <v>112.7</v>
      </c>
      <c r="H174" s="71">
        <v>32.9</v>
      </c>
      <c r="I174" s="71">
        <v>1.74</v>
      </c>
      <c r="J174" s="71">
        <v>19.329999999999998</v>
      </c>
    </row>
    <row r="175" spans="1:10" x14ac:dyDescent="0.25">
      <c r="A175" s="44" t="s">
        <v>2446</v>
      </c>
      <c r="B175" s="61">
        <v>1333</v>
      </c>
      <c r="C175" s="71">
        <v>82.7</v>
      </c>
      <c r="D175" s="71">
        <v>86.5</v>
      </c>
      <c r="E175" s="71">
        <v>30.6</v>
      </c>
      <c r="F175" s="71">
        <v>54.6</v>
      </c>
      <c r="G175" s="71">
        <v>97.9</v>
      </c>
      <c r="H175" s="71">
        <v>31.4</v>
      </c>
      <c r="I175" s="71">
        <v>1.95</v>
      </c>
      <c r="J175" s="71">
        <v>23.54</v>
      </c>
    </row>
    <row r="176" spans="1:10" ht="26.25" x14ac:dyDescent="0.25">
      <c r="A176" s="40" t="s">
        <v>2447</v>
      </c>
      <c r="B176" s="61">
        <v>16859</v>
      </c>
      <c r="C176" s="71">
        <v>135.69999999999999</v>
      </c>
      <c r="D176" s="71">
        <v>98.5</v>
      </c>
      <c r="E176" s="71">
        <v>74</v>
      </c>
      <c r="F176" s="71">
        <v>113.2</v>
      </c>
      <c r="G176" s="71">
        <v>162.80000000000001</v>
      </c>
      <c r="H176" s="71">
        <v>361.4</v>
      </c>
      <c r="I176" s="71">
        <v>2.91</v>
      </c>
      <c r="J176" s="71">
        <v>21.44</v>
      </c>
    </row>
    <row r="177" spans="1:10" x14ac:dyDescent="0.25">
      <c r="A177" s="44" t="s">
        <v>2449</v>
      </c>
      <c r="B177" s="60">
        <v>443</v>
      </c>
      <c r="C177" s="70">
        <v>49.3</v>
      </c>
      <c r="D177" s="70">
        <v>60.3</v>
      </c>
      <c r="E177" s="70">
        <v>8.8000000000000007</v>
      </c>
      <c r="F177" s="70">
        <v>19.399999999999999</v>
      </c>
      <c r="G177" s="70">
        <v>39.6</v>
      </c>
      <c r="H177" s="70">
        <v>10.5</v>
      </c>
      <c r="I177" s="70">
        <v>1.18</v>
      </c>
      <c r="J177" s="70">
        <v>23.82</v>
      </c>
    </row>
    <row r="178" spans="1:10" x14ac:dyDescent="0.25">
      <c r="A178" s="44" t="s">
        <v>2383</v>
      </c>
      <c r="B178" s="60">
        <v>481</v>
      </c>
      <c r="C178" s="70">
        <v>48</v>
      </c>
      <c r="D178" s="70">
        <v>64.7</v>
      </c>
      <c r="E178" s="70">
        <v>16.7</v>
      </c>
      <c r="F178" s="70">
        <v>31.2</v>
      </c>
      <c r="G178" s="70">
        <v>52.9</v>
      </c>
      <c r="H178" s="70">
        <v>11.5</v>
      </c>
      <c r="I178" s="70">
        <v>1.1499999999999999</v>
      </c>
      <c r="J178" s="70">
        <v>24</v>
      </c>
    </row>
    <row r="179" spans="1:10" ht="64.5" x14ac:dyDescent="0.25">
      <c r="A179" s="43" t="s">
        <v>2451</v>
      </c>
      <c r="B179" s="62" t="s">
        <v>28</v>
      </c>
      <c r="C179" s="72" t="s">
        <v>28</v>
      </c>
      <c r="D179" s="72" t="s">
        <v>28</v>
      </c>
      <c r="E179" s="72" t="s">
        <v>28</v>
      </c>
      <c r="F179" s="72" t="s">
        <v>28</v>
      </c>
      <c r="G179" s="72" t="s">
        <v>28</v>
      </c>
      <c r="H179" s="72" t="s">
        <v>28</v>
      </c>
      <c r="I179" s="72" t="s">
        <v>28</v>
      </c>
      <c r="J179" s="72" t="s">
        <v>28</v>
      </c>
    </row>
    <row r="180" spans="1:10" x14ac:dyDescent="0.25">
      <c r="A180" s="40" t="s">
        <v>2444</v>
      </c>
      <c r="B180" s="61">
        <v>1014</v>
      </c>
      <c r="C180" s="71">
        <v>70.400000000000006</v>
      </c>
      <c r="D180" s="71">
        <v>63.7</v>
      </c>
      <c r="E180" s="71">
        <v>21.9</v>
      </c>
      <c r="F180" s="71">
        <v>44.6</v>
      </c>
      <c r="G180" s="71">
        <v>84.1</v>
      </c>
      <c r="H180" s="71">
        <v>24.7</v>
      </c>
      <c r="I180" s="71">
        <v>1.72</v>
      </c>
      <c r="J180" s="71">
        <v>24.39</v>
      </c>
    </row>
    <row r="181" spans="1:10" ht="26.25" x14ac:dyDescent="0.25">
      <c r="A181" s="44" t="s">
        <v>2445</v>
      </c>
      <c r="B181" s="61">
        <v>1667</v>
      </c>
      <c r="C181" s="71">
        <v>90.1</v>
      </c>
      <c r="D181" s="71">
        <v>86.7</v>
      </c>
      <c r="E181" s="71">
        <v>36.799999999999997</v>
      </c>
      <c r="F181" s="71">
        <v>63.7</v>
      </c>
      <c r="G181" s="71">
        <v>112.7</v>
      </c>
      <c r="H181" s="71">
        <v>32</v>
      </c>
      <c r="I181" s="71">
        <v>1.73</v>
      </c>
      <c r="J181" s="71">
        <v>19.190000000000001</v>
      </c>
    </row>
    <row r="182" spans="1:10" x14ac:dyDescent="0.25">
      <c r="A182" s="44" t="s">
        <v>2446</v>
      </c>
      <c r="B182" s="61">
        <v>912</v>
      </c>
      <c r="C182" s="71">
        <v>73.7</v>
      </c>
      <c r="D182" s="71">
        <v>93.6</v>
      </c>
      <c r="E182" s="71">
        <v>33.6</v>
      </c>
      <c r="F182" s="71">
        <v>60.2</v>
      </c>
      <c r="G182" s="71">
        <v>116</v>
      </c>
      <c r="H182" s="71">
        <v>24.5</v>
      </c>
      <c r="I182" s="71">
        <v>1.98</v>
      </c>
      <c r="J182" s="71">
        <v>26.82</v>
      </c>
    </row>
    <row r="183" spans="1:10" ht="26.25" x14ac:dyDescent="0.25">
      <c r="A183" s="40" t="s">
        <v>2447</v>
      </c>
      <c r="B183" s="61">
        <v>16834</v>
      </c>
      <c r="C183" s="71">
        <v>137</v>
      </c>
      <c r="D183" s="71">
        <v>98.7</v>
      </c>
      <c r="E183" s="71">
        <v>74</v>
      </c>
      <c r="F183" s="71">
        <v>113.6</v>
      </c>
      <c r="G183" s="71">
        <v>163.19999999999999</v>
      </c>
      <c r="H183" s="71">
        <v>361.4</v>
      </c>
      <c r="I183" s="71">
        <v>2.94</v>
      </c>
      <c r="J183" s="71">
        <v>21.47</v>
      </c>
    </row>
    <row r="184" spans="1:10" x14ac:dyDescent="0.25">
      <c r="A184" s="44" t="s">
        <v>2449</v>
      </c>
      <c r="B184" s="60">
        <v>241</v>
      </c>
      <c r="C184" s="70">
        <v>32.299999999999997</v>
      </c>
      <c r="D184" s="70">
        <v>42.8</v>
      </c>
      <c r="E184" s="70">
        <v>8.1</v>
      </c>
      <c r="F184" s="70">
        <v>15.8</v>
      </c>
      <c r="G184" s="70">
        <v>33</v>
      </c>
      <c r="H184" s="70">
        <v>6.4</v>
      </c>
      <c r="I184" s="70">
        <v>0.85</v>
      </c>
      <c r="J184" s="70">
        <v>26.44</v>
      </c>
    </row>
    <row r="185" spans="1:10" x14ac:dyDescent="0.25">
      <c r="A185" s="44" t="s">
        <v>2383</v>
      </c>
      <c r="B185" s="60">
        <v>310</v>
      </c>
      <c r="C185" s="70">
        <v>34.799999999999997</v>
      </c>
      <c r="D185" s="70">
        <v>40.700000000000003</v>
      </c>
      <c r="E185" s="70">
        <v>8.1</v>
      </c>
      <c r="F185" s="70">
        <v>22.5</v>
      </c>
      <c r="G185" s="70">
        <v>43.6</v>
      </c>
      <c r="H185" s="70">
        <v>8.6999999999999993</v>
      </c>
      <c r="I185" s="70">
        <v>0.97</v>
      </c>
      <c r="J185" s="70">
        <v>28.02</v>
      </c>
    </row>
    <row r="186" spans="1:10" ht="90" x14ac:dyDescent="0.25">
      <c r="A186" s="43" t="s">
        <v>2452</v>
      </c>
      <c r="B186" s="62" t="s">
        <v>28</v>
      </c>
      <c r="C186" s="72" t="s">
        <v>28</v>
      </c>
      <c r="D186" s="72" t="s">
        <v>28</v>
      </c>
      <c r="E186" s="72" t="s">
        <v>28</v>
      </c>
      <c r="F186" s="72" t="s">
        <v>28</v>
      </c>
      <c r="G186" s="72" t="s">
        <v>28</v>
      </c>
      <c r="H186" s="72" t="s">
        <v>28</v>
      </c>
      <c r="I186" s="72" t="s">
        <v>28</v>
      </c>
      <c r="J186" s="72" t="s">
        <v>28</v>
      </c>
    </row>
    <row r="187" spans="1:10" x14ac:dyDescent="0.25">
      <c r="A187" s="40" t="s">
        <v>2444</v>
      </c>
      <c r="B187" s="61">
        <v>1433</v>
      </c>
      <c r="C187" s="71">
        <v>83.1</v>
      </c>
      <c r="D187" s="71">
        <v>76.8</v>
      </c>
      <c r="E187" s="71">
        <v>28.2</v>
      </c>
      <c r="F187" s="71">
        <v>55.3</v>
      </c>
      <c r="G187" s="71">
        <v>100.8</v>
      </c>
      <c r="H187" s="71">
        <v>30.9</v>
      </c>
      <c r="I187" s="71">
        <v>1.79</v>
      </c>
      <c r="J187" s="71">
        <v>21.56</v>
      </c>
    </row>
    <row r="188" spans="1:10" ht="26.25" x14ac:dyDescent="0.25">
      <c r="A188" s="44" t="s">
        <v>2445</v>
      </c>
      <c r="B188" s="61">
        <v>8190</v>
      </c>
      <c r="C188" s="71">
        <v>133.19999999999999</v>
      </c>
      <c r="D188" s="71">
        <v>93</v>
      </c>
      <c r="E188" s="71">
        <v>51.3</v>
      </c>
      <c r="F188" s="71">
        <v>66.3</v>
      </c>
      <c r="G188" s="71">
        <v>72.2</v>
      </c>
      <c r="H188" s="71">
        <v>136.69999999999999</v>
      </c>
      <c r="I188" s="71">
        <v>2.2200000000000002</v>
      </c>
      <c r="J188" s="71">
        <v>16.690000000000001</v>
      </c>
    </row>
    <row r="189" spans="1:10" ht="39" x14ac:dyDescent="0.25">
      <c r="A189" s="44" t="s">
        <v>2448</v>
      </c>
      <c r="B189" s="61">
        <v>12331</v>
      </c>
      <c r="C189" s="71">
        <v>144.4</v>
      </c>
      <c r="D189" s="71">
        <v>115.9</v>
      </c>
      <c r="E189" s="71">
        <v>48.2</v>
      </c>
      <c r="F189" s="71">
        <v>70.900000000000006</v>
      </c>
      <c r="G189" s="71">
        <v>138.80000000000001</v>
      </c>
      <c r="H189" s="71">
        <v>235.8</v>
      </c>
      <c r="I189" s="71">
        <v>2.76</v>
      </c>
      <c r="J189" s="71">
        <v>19.12</v>
      </c>
    </row>
    <row r="190" spans="1:10" ht="102.75" x14ac:dyDescent="0.25">
      <c r="A190" s="43" t="s">
        <v>2453</v>
      </c>
      <c r="B190" s="62" t="s">
        <v>28</v>
      </c>
      <c r="C190" s="72" t="s">
        <v>28</v>
      </c>
      <c r="D190" s="72" t="s">
        <v>28</v>
      </c>
      <c r="E190" s="72" t="s">
        <v>28</v>
      </c>
      <c r="F190" s="72" t="s">
        <v>28</v>
      </c>
      <c r="G190" s="72" t="s">
        <v>28</v>
      </c>
      <c r="H190" s="72" t="s">
        <v>28</v>
      </c>
      <c r="I190" s="72" t="s">
        <v>28</v>
      </c>
      <c r="J190" s="72" t="s">
        <v>28</v>
      </c>
    </row>
    <row r="191" spans="1:10" x14ac:dyDescent="0.25">
      <c r="A191" s="40" t="s">
        <v>2444</v>
      </c>
      <c r="B191" s="61">
        <v>1167</v>
      </c>
      <c r="C191" s="71">
        <v>72.5</v>
      </c>
      <c r="D191" s="71">
        <v>66.3</v>
      </c>
      <c r="E191" s="71">
        <v>24.1</v>
      </c>
      <c r="F191" s="71">
        <v>47.9</v>
      </c>
      <c r="G191" s="71">
        <v>87.5</v>
      </c>
      <c r="H191" s="71">
        <v>27.2</v>
      </c>
      <c r="I191" s="71">
        <v>1.69</v>
      </c>
      <c r="J191" s="71">
        <v>23.35</v>
      </c>
    </row>
    <row r="192" spans="1:10" ht="26.25" x14ac:dyDescent="0.25">
      <c r="A192" s="44" t="s">
        <v>2445</v>
      </c>
      <c r="B192" s="61">
        <v>2292</v>
      </c>
      <c r="C192" s="71">
        <v>101.9</v>
      </c>
      <c r="D192" s="71">
        <v>96.1</v>
      </c>
      <c r="E192" s="71">
        <v>43.3</v>
      </c>
      <c r="F192" s="71">
        <v>72.900000000000006</v>
      </c>
      <c r="G192" s="71">
        <v>147.30000000000001</v>
      </c>
      <c r="H192" s="71">
        <v>44.1</v>
      </c>
      <c r="I192" s="71">
        <v>1.96</v>
      </c>
      <c r="J192" s="71">
        <v>19.239999999999998</v>
      </c>
    </row>
    <row r="193" spans="1:10" x14ac:dyDescent="0.25">
      <c r="A193" s="44" t="s">
        <v>2446</v>
      </c>
      <c r="B193" s="61">
        <v>2247</v>
      </c>
      <c r="C193" s="71">
        <v>91.1</v>
      </c>
      <c r="D193" s="71">
        <v>107</v>
      </c>
      <c r="E193" s="71">
        <v>42.4</v>
      </c>
      <c r="F193" s="71">
        <v>64</v>
      </c>
      <c r="G193" s="71">
        <v>106.5</v>
      </c>
      <c r="H193" s="71">
        <v>56.1</v>
      </c>
      <c r="I193" s="71">
        <v>2.2799999999999998</v>
      </c>
      <c r="J193" s="71">
        <v>24.98</v>
      </c>
    </row>
    <row r="194" spans="1:10" ht="26.25" x14ac:dyDescent="0.25">
      <c r="A194" s="40" t="s">
        <v>2447</v>
      </c>
      <c r="B194" s="61">
        <v>25765</v>
      </c>
      <c r="C194" s="71">
        <v>143.30000000000001</v>
      </c>
      <c r="D194" s="71">
        <v>102.5</v>
      </c>
      <c r="E194" s="71">
        <v>79.5</v>
      </c>
      <c r="F194" s="71">
        <v>113.6</v>
      </c>
      <c r="G194" s="71">
        <v>166.2</v>
      </c>
      <c r="H194" s="71">
        <v>543.20000000000005</v>
      </c>
      <c r="I194" s="71">
        <v>3.02</v>
      </c>
      <c r="J194" s="71">
        <v>21.08</v>
      </c>
    </row>
    <row r="195" spans="1:10" x14ac:dyDescent="0.25">
      <c r="A195" s="44" t="s">
        <v>2449</v>
      </c>
      <c r="B195" s="60">
        <v>613</v>
      </c>
      <c r="C195" s="70">
        <v>55.1</v>
      </c>
      <c r="D195" s="70">
        <v>69</v>
      </c>
      <c r="E195" s="70">
        <v>13.3</v>
      </c>
      <c r="F195" s="70">
        <v>31.1</v>
      </c>
      <c r="G195" s="70">
        <v>65.900000000000006</v>
      </c>
      <c r="H195" s="70">
        <v>18.100000000000001</v>
      </c>
      <c r="I195" s="70">
        <v>1.63</v>
      </c>
      <c r="J195" s="70">
        <v>29.51</v>
      </c>
    </row>
    <row r="196" spans="1:10" ht="90" x14ac:dyDescent="0.25">
      <c r="A196" s="43" t="s">
        <v>2454</v>
      </c>
      <c r="B196" s="62" t="s">
        <v>28</v>
      </c>
      <c r="C196" s="72" t="s">
        <v>28</v>
      </c>
      <c r="D196" s="72" t="s">
        <v>28</v>
      </c>
      <c r="E196" s="72" t="s">
        <v>28</v>
      </c>
      <c r="F196" s="72" t="s">
        <v>28</v>
      </c>
      <c r="G196" s="72" t="s">
        <v>28</v>
      </c>
      <c r="H196" s="72" t="s">
        <v>28</v>
      </c>
      <c r="I196" s="72" t="s">
        <v>28</v>
      </c>
      <c r="J196" s="72" t="s">
        <v>28</v>
      </c>
    </row>
    <row r="197" spans="1:10" x14ac:dyDescent="0.25">
      <c r="A197" s="40" t="s">
        <v>2444</v>
      </c>
      <c r="B197" s="61">
        <v>2485</v>
      </c>
      <c r="C197" s="71">
        <v>99.8</v>
      </c>
      <c r="D197" s="71">
        <v>91.9</v>
      </c>
      <c r="E197" s="71">
        <v>31.4</v>
      </c>
      <c r="F197" s="71">
        <v>64.8</v>
      </c>
      <c r="G197" s="71">
        <v>148.69999999999999</v>
      </c>
      <c r="H197" s="71">
        <v>51.8</v>
      </c>
      <c r="I197" s="71">
        <v>2.08</v>
      </c>
      <c r="J197" s="71">
        <v>20.83</v>
      </c>
    </row>
    <row r="198" spans="1:10" ht="26.25" x14ac:dyDescent="0.25">
      <c r="A198" s="44" t="s">
        <v>2445</v>
      </c>
      <c r="B198" s="61">
        <v>4074</v>
      </c>
      <c r="C198" s="71">
        <v>121.7</v>
      </c>
      <c r="D198" s="71">
        <v>116.6</v>
      </c>
      <c r="E198" s="71">
        <v>58.3</v>
      </c>
      <c r="F198" s="71">
        <v>121.6</v>
      </c>
      <c r="G198" s="71">
        <v>277</v>
      </c>
      <c r="H198" s="71">
        <v>78.400000000000006</v>
      </c>
      <c r="I198" s="71">
        <v>2.34</v>
      </c>
      <c r="J198" s="71">
        <v>19.239999999999998</v>
      </c>
    </row>
    <row r="199" spans="1:10" x14ac:dyDescent="0.25">
      <c r="A199" s="44" t="s">
        <v>2449</v>
      </c>
      <c r="B199" s="61">
        <v>1159</v>
      </c>
      <c r="C199" s="71">
        <v>83.4</v>
      </c>
      <c r="D199" s="71">
        <v>84.7</v>
      </c>
      <c r="E199" s="71">
        <v>19.399999999999999</v>
      </c>
      <c r="F199" s="71">
        <v>48.1</v>
      </c>
      <c r="G199" s="71">
        <v>105.9</v>
      </c>
      <c r="H199" s="71">
        <v>31.3</v>
      </c>
      <c r="I199" s="71">
        <v>2.25</v>
      </c>
      <c r="J199" s="71">
        <v>27.03</v>
      </c>
    </row>
    <row r="200" spans="1:10" ht="77.25" x14ac:dyDescent="0.25">
      <c r="A200" s="43" t="s">
        <v>2455</v>
      </c>
      <c r="B200" s="62" t="s">
        <v>28</v>
      </c>
      <c r="C200" s="72" t="s">
        <v>28</v>
      </c>
      <c r="D200" s="72" t="s">
        <v>28</v>
      </c>
      <c r="E200" s="72" t="s">
        <v>28</v>
      </c>
      <c r="F200" s="72" t="s">
        <v>28</v>
      </c>
      <c r="G200" s="72" t="s">
        <v>28</v>
      </c>
      <c r="H200" s="72" t="s">
        <v>28</v>
      </c>
      <c r="I200" s="72" t="s">
        <v>28</v>
      </c>
      <c r="J200" s="72" t="s">
        <v>28</v>
      </c>
    </row>
    <row r="201" spans="1:10" ht="51.75" x14ac:dyDescent="0.25">
      <c r="A201" s="40" t="s">
        <v>2456</v>
      </c>
      <c r="B201" s="61">
        <v>1436</v>
      </c>
      <c r="C201" s="71">
        <v>84.7</v>
      </c>
      <c r="D201" s="71">
        <v>79.2</v>
      </c>
      <c r="E201" s="71">
        <v>27.2</v>
      </c>
      <c r="F201" s="71">
        <v>53.6</v>
      </c>
      <c r="G201" s="71">
        <v>98.7</v>
      </c>
      <c r="H201" s="71">
        <v>30.4</v>
      </c>
      <c r="I201" s="71">
        <v>1.79</v>
      </c>
      <c r="J201" s="71">
        <v>21.17</v>
      </c>
    </row>
    <row r="202" spans="1:10" ht="39" x14ac:dyDescent="0.25">
      <c r="A202" s="44" t="s">
        <v>2457</v>
      </c>
      <c r="B202" s="61">
        <v>1518</v>
      </c>
      <c r="C202" s="71">
        <v>85.4</v>
      </c>
      <c r="D202" s="71">
        <v>79</v>
      </c>
      <c r="E202" s="71">
        <v>28.3</v>
      </c>
      <c r="F202" s="71">
        <v>55.5</v>
      </c>
      <c r="G202" s="71">
        <v>101</v>
      </c>
      <c r="H202" s="71">
        <v>32.5</v>
      </c>
      <c r="I202" s="71">
        <v>1.83</v>
      </c>
      <c r="J202" s="71">
        <v>21.37</v>
      </c>
    </row>
    <row r="203" spans="1:10" ht="51.75" x14ac:dyDescent="0.25">
      <c r="A203" s="44" t="s">
        <v>2458</v>
      </c>
      <c r="B203" s="61">
        <v>1537</v>
      </c>
      <c r="C203" s="71">
        <v>86</v>
      </c>
      <c r="D203" s="71">
        <v>79.599999999999994</v>
      </c>
      <c r="E203" s="71">
        <v>28.5</v>
      </c>
      <c r="F203" s="71">
        <v>56.4</v>
      </c>
      <c r="G203" s="71">
        <v>103.5</v>
      </c>
      <c r="H203" s="71">
        <v>32.700000000000003</v>
      </c>
      <c r="I203" s="71">
        <v>1.83</v>
      </c>
      <c r="J203" s="71">
        <v>21.28</v>
      </c>
    </row>
    <row r="204" spans="1:10" ht="39" x14ac:dyDescent="0.25">
      <c r="A204" s="40" t="s">
        <v>2459</v>
      </c>
      <c r="B204" s="61">
        <v>2567</v>
      </c>
      <c r="C204" s="71">
        <v>105.8</v>
      </c>
      <c r="D204" s="71">
        <v>99</v>
      </c>
      <c r="E204" s="71">
        <v>35.799999999999997</v>
      </c>
      <c r="F204" s="71">
        <v>75.400000000000006</v>
      </c>
      <c r="G204" s="71">
        <v>173.7</v>
      </c>
      <c r="H204" s="71">
        <v>52.5</v>
      </c>
      <c r="I204" s="71">
        <v>2.17</v>
      </c>
      <c r="J204" s="71">
        <v>20.47</v>
      </c>
    </row>
    <row r="205" spans="1:10" ht="51.75" x14ac:dyDescent="0.25">
      <c r="A205" s="44" t="s">
        <v>2460</v>
      </c>
      <c r="B205" s="60">
        <v>1393</v>
      </c>
      <c r="C205" s="70">
        <v>71</v>
      </c>
      <c r="D205" s="70">
        <v>71.599999999999994</v>
      </c>
      <c r="E205" s="70">
        <v>17.899999999999999</v>
      </c>
      <c r="F205" s="70">
        <v>42.2</v>
      </c>
      <c r="G205" s="70">
        <v>77.599999999999994</v>
      </c>
      <c r="H205" s="70">
        <v>30.5</v>
      </c>
      <c r="I205" s="70">
        <v>1.55</v>
      </c>
      <c r="J205" s="70">
        <v>21.89</v>
      </c>
    </row>
    <row r="206" spans="1:10" ht="64.5" x14ac:dyDescent="0.25">
      <c r="A206" s="44" t="s">
        <v>2461</v>
      </c>
      <c r="B206" s="60">
        <v>6833</v>
      </c>
      <c r="C206" s="70">
        <v>109.3</v>
      </c>
      <c r="D206" s="70">
        <v>90.6</v>
      </c>
      <c r="E206" s="70">
        <v>45</v>
      </c>
      <c r="F206" s="70">
        <v>74.2</v>
      </c>
      <c r="G206" s="70">
        <v>136.6</v>
      </c>
      <c r="H206" s="70">
        <v>141.1</v>
      </c>
      <c r="I206" s="70">
        <v>2.2599999999999998</v>
      </c>
      <c r="J206" s="70">
        <v>20.65</v>
      </c>
    </row>
    <row r="207" spans="1:10" ht="39" x14ac:dyDescent="0.25">
      <c r="A207" s="43" t="s">
        <v>2462</v>
      </c>
      <c r="B207" s="62" t="s">
        <v>28</v>
      </c>
      <c r="C207" s="72" t="s">
        <v>28</v>
      </c>
      <c r="D207" s="72" t="s">
        <v>28</v>
      </c>
      <c r="E207" s="72" t="s">
        <v>28</v>
      </c>
      <c r="F207" s="72" t="s">
        <v>28</v>
      </c>
      <c r="G207" s="72" t="s">
        <v>28</v>
      </c>
      <c r="H207" s="72" t="s">
        <v>28</v>
      </c>
      <c r="I207" s="72" t="s">
        <v>28</v>
      </c>
      <c r="J207" s="72" t="s">
        <v>28</v>
      </c>
    </row>
    <row r="208" spans="1:10" ht="26.25" x14ac:dyDescent="0.25">
      <c r="A208" s="40" t="s">
        <v>2463</v>
      </c>
      <c r="B208" s="61">
        <v>217</v>
      </c>
      <c r="C208" s="71">
        <v>25.8</v>
      </c>
      <c r="D208" s="71">
        <v>70.8</v>
      </c>
      <c r="E208" s="71">
        <v>0</v>
      </c>
      <c r="F208" s="71">
        <v>2.2999999999999998</v>
      </c>
      <c r="G208" s="71">
        <v>18.399999999999999</v>
      </c>
      <c r="H208" s="71">
        <v>6.5</v>
      </c>
      <c r="I208" s="71">
        <v>0.78</v>
      </c>
      <c r="J208" s="71">
        <v>30.1</v>
      </c>
    </row>
    <row r="209" spans="1:10" x14ac:dyDescent="0.25">
      <c r="A209" s="44" t="s">
        <v>2464</v>
      </c>
      <c r="B209" s="61">
        <v>671</v>
      </c>
      <c r="C209" s="71">
        <v>46.2</v>
      </c>
      <c r="D209" s="71">
        <v>72.900000000000006</v>
      </c>
      <c r="E209" s="71">
        <v>13</v>
      </c>
      <c r="F209" s="71">
        <v>27.1</v>
      </c>
      <c r="G209" s="71">
        <v>53.9</v>
      </c>
      <c r="H209" s="71">
        <v>16.600000000000001</v>
      </c>
      <c r="I209" s="71">
        <v>1.1399999999999999</v>
      </c>
      <c r="J209" s="71">
        <v>24.74</v>
      </c>
    </row>
    <row r="210" spans="1:10" x14ac:dyDescent="0.25">
      <c r="A210" s="44" t="s">
        <v>2465</v>
      </c>
      <c r="B210" s="61">
        <v>1787</v>
      </c>
      <c r="C210" s="71">
        <v>88.6</v>
      </c>
      <c r="D210" s="71">
        <v>83.5</v>
      </c>
      <c r="E210" s="71">
        <v>25.8</v>
      </c>
      <c r="F210" s="71">
        <v>53.9</v>
      </c>
      <c r="G210" s="71">
        <v>98.9</v>
      </c>
      <c r="H210" s="71">
        <v>39</v>
      </c>
      <c r="I210" s="71">
        <v>1.94</v>
      </c>
      <c r="J210" s="71">
        <v>21.84</v>
      </c>
    </row>
    <row r="211" spans="1:10" x14ac:dyDescent="0.25">
      <c r="A211" s="47" t="s">
        <v>2466</v>
      </c>
      <c r="B211" s="61">
        <v>1521</v>
      </c>
      <c r="C211" s="71">
        <v>90.7</v>
      </c>
      <c r="D211" s="71">
        <v>78.8</v>
      </c>
      <c r="E211" s="71">
        <v>32.9</v>
      </c>
      <c r="F211" s="71">
        <v>59.7</v>
      </c>
      <c r="G211" s="71">
        <v>106.9</v>
      </c>
      <c r="H211" s="71">
        <v>31.4</v>
      </c>
      <c r="I211" s="71">
        <v>1.87</v>
      </c>
      <c r="J211" s="71">
        <v>20.67</v>
      </c>
    </row>
    <row r="212" spans="1:10" ht="39" x14ac:dyDescent="0.25">
      <c r="A212" s="43" t="s">
        <v>2467</v>
      </c>
      <c r="B212" s="62" t="s">
        <v>28</v>
      </c>
      <c r="C212" s="72" t="s">
        <v>28</v>
      </c>
      <c r="D212" s="72" t="s">
        <v>28</v>
      </c>
      <c r="E212" s="72" t="s">
        <v>28</v>
      </c>
      <c r="F212" s="72" t="s">
        <v>28</v>
      </c>
      <c r="G212" s="72" t="s">
        <v>28</v>
      </c>
      <c r="H212" s="72" t="s">
        <v>28</v>
      </c>
      <c r="I212" s="72" t="s">
        <v>28</v>
      </c>
      <c r="J212" s="72" t="s">
        <v>28</v>
      </c>
    </row>
    <row r="213" spans="1:10" ht="26.25" x14ac:dyDescent="0.25">
      <c r="A213" s="40" t="s">
        <v>2468</v>
      </c>
      <c r="B213" s="61">
        <v>173</v>
      </c>
      <c r="C213" s="71">
        <v>24.3</v>
      </c>
      <c r="D213" s="71">
        <v>78.7</v>
      </c>
      <c r="E213" s="71">
        <v>0</v>
      </c>
      <c r="F213" s="71">
        <v>6.5</v>
      </c>
      <c r="G213" s="71">
        <v>32.299999999999997</v>
      </c>
      <c r="H213" s="71">
        <v>3.9</v>
      </c>
      <c r="I213" s="71">
        <v>0.55000000000000004</v>
      </c>
      <c r="J213" s="71">
        <v>22.66</v>
      </c>
    </row>
    <row r="214" spans="1:10" x14ac:dyDescent="0.25">
      <c r="A214" s="44" t="s">
        <v>2464</v>
      </c>
      <c r="B214" s="61">
        <v>843</v>
      </c>
      <c r="C214" s="71">
        <v>52.3</v>
      </c>
      <c r="D214" s="71">
        <v>78.2</v>
      </c>
      <c r="E214" s="71">
        <v>19.600000000000001</v>
      </c>
      <c r="F214" s="71">
        <v>37</v>
      </c>
      <c r="G214" s="71">
        <v>75.400000000000006</v>
      </c>
      <c r="H214" s="71">
        <v>17.399999999999999</v>
      </c>
      <c r="I214" s="71">
        <v>1.08</v>
      </c>
      <c r="J214" s="71">
        <v>20.63</v>
      </c>
    </row>
    <row r="215" spans="1:10" x14ac:dyDescent="0.25">
      <c r="A215" s="44" t="s">
        <v>2465</v>
      </c>
      <c r="B215" s="61">
        <v>2388</v>
      </c>
      <c r="C215" s="71">
        <v>94.3</v>
      </c>
      <c r="D215" s="71">
        <v>84.8</v>
      </c>
      <c r="E215" s="71">
        <v>33.9</v>
      </c>
      <c r="F215" s="71">
        <v>61.5</v>
      </c>
      <c r="G215" s="71">
        <v>116.3</v>
      </c>
      <c r="H215" s="71">
        <v>51.8</v>
      </c>
      <c r="I215" s="71">
        <v>2.0499999999999998</v>
      </c>
      <c r="J215" s="71">
        <v>21.71</v>
      </c>
    </row>
    <row r="216" spans="1:10" x14ac:dyDescent="0.25">
      <c r="A216" s="47" t="s">
        <v>2466</v>
      </c>
      <c r="B216" s="61">
        <v>1523</v>
      </c>
      <c r="C216" s="71">
        <v>96.7</v>
      </c>
      <c r="D216" s="71">
        <v>76.099999999999994</v>
      </c>
      <c r="E216" s="71">
        <v>33.200000000000003</v>
      </c>
      <c r="F216" s="71">
        <v>61.3</v>
      </c>
      <c r="G216" s="71">
        <v>113.9</v>
      </c>
      <c r="H216" s="71">
        <v>32.6</v>
      </c>
      <c r="I216" s="71">
        <v>2.0699999999999998</v>
      </c>
      <c r="J216" s="71">
        <v>21.38</v>
      </c>
    </row>
    <row r="217" spans="1:10" ht="39" x14ac:dyDescent="0.25">
      <c r="A217" s="43" t="s">
        <v>2469</v>
      </c>
      <c r="B217" s="62" t="s">
        <v>28</v>
      </c>
      <c r="C217" s="72" t="s">
        <v>28</v>
      </c>
      <c r="D217" s="72" t="s">
        <v>28</v>
      </c>
      <c r="E217" s="72" t="s">
        <v>28</v>
      </c>
      <c r="F217" s="72" t="s">
        <v>28</v>
      </c>
      <c r="G217" s="72" t="s">
        <v>28</v>
      </c>
      <c r="H217" s="72" t="s">
        <v>28</v>
      </c>
      <c r="I217" s="72" t="s">
        <v>28</v>
      </c>
      <c r="J217" s="72" t="s">
        <v>28</v>
      </c>
    </row>
    <row r="218" spans="1:10" x14ac:dyDescent="0.25">
      <c r="A218" s="40" t="s">
        <v>2470</v>
      </c>
      <c r="B218" s="61">
        <v>62</v>
      </c>
      <c r="C218" s="71">
        <v>13.5</v>
      </c>
      <c r="D218" s="71">
        <v>74.2</v>
      </c>
      <c r="E218" s="71">
        <v>1.9</v>
      </c>
      <c r="F218" s="71">
        <v>8.1999999999999993</v>
      </c>
      <c r="G218" s="71">
        <v>12.5</v>
      </c>
      <c r="H218" s="71">
        <v>1.9</v>
      </c>
      <c r="I218" s="71">
        <v>0.42</v>
      </c>
      <c r="J218" s="71">
        <v>31.1</v>
      </c>
    </row>
    <row r="219" spans="1:10" x14ac:dyDescent="0.25">
      <c r="A219" s="44" t="s">
        <v>2464</v>
      </c>
      <c r="B219" s="61">
        <v>585</v>
      </c>
      <c r="C219" s="71">
        <v>50.9</v>
      </c>
      <c r="D219" s="71">
        <v>95.7</v>
      </c>
      <c r="E219" s="71">
        <v>16.8</v>
      </c>
      <c r="F219" s="71">
        <v>35.5</v>
      </c>
      <c r="G219" s="71">
        <v>67.599999999999994</v>
      </c>
      <c r="H219" s="71">
        <v>12.6</v>
      </c>
      <c r="I219" s="71">
        <v>1.1000000000000001</v>
      </c>
      <c r="J219" s="71">
        <v>21.62</v>
      </c>
    </row>
    <row r="220" spans="1:10" x14ac:dyDescent="0.25">
      <c r="A220" s="44" t="s">
        <v>2465</v>
      </c>
      <c r="B220" s="61">
        <v>1830</v>
      </c>
      <c r="C220" s="71">
        <v>87.6</v>
      </c>
      <c r="D220" s="71">
        <v>83.8</v>
      </c>
      <c r="E220" s="71">
        <v>30.9</v>
      </c>
      <c r="F220" s="71">
        <v>56.8</v>
      </c>
      <c r="G220" s="71">
        <v>102</v>
      </c>
      <c r="H220" s="71">
        <v>38.299999999999997</v>
      </c>
      <c r="I220" s="71">
        <v>1.83</v>
      </c>
      <c r="J220" s="71">
        <v>20.91</v>
      </c>
    </row>
    <row r="221" spans="1:10" x14ac:dyDescent="0.25">
      <c r="A221" s="47" t="s">
        <v>2466</v>
      </c>
      <c r="B221" s="61">
        <v>1460</v>
      </c>
      <c r="C221" s="71">
        <v>90.8</v>
      </c>
      <c r="D221" s="71">
        <v>72.3</v>
      </c>
      <c r="E221" s="71">
        <v>28.4</v>
      </c>
      <c r="F221" s="71">
        <v>57.7</v>
      </c>
      <c r="G221" s="71">
        <v>113.9</v>
      </c>
      <c r="H221" s="71">
        <v>31.9</v>
      </c>
      <c r="I221" s="71">
        <v>1.98</v>
      </c>
      <c r="J221" s="71">
        <v>21.82</v>
      </c>
    </row>
    <row r="222" spans="1:10" ht="64.5" x14ac:dyDescent="0.25">
      <c r="A222" s="47" t="s">
        <v>2471</v>
      </c>
      <c r="B222" s="61">
        <v>48</v>
      </c>
      <c r="C222" s="71">
        <v>6.6</v>
      </c>
      <c r="D222" s="71" t="s">
        <v>2312</v>
      </c>
      <c r="E222" s="71">
        <v>0</v>
      </c>
      <c r="F222" s="71">
        <v>0</v>
      </c>
      <c r="G222" s="71">
        <v>2.5</v>
      </c>
      <c r="H222" s="71">
        <v>1</v>
      </c>
      <c r="I222" s="71">
        <v>0.13</v>
      </c>
      <c r="J222" s="71">
        <v>20.11</v>
      </c>
    </row>
    <row r="223" spans="1:10" ht="39" x14ac:dyDescent="0.25">
      <c r="A223" s="43" t="s">
        <v>2472</v>
      </c>
      <c r="B223" s="62" t="s">
        <v>28</v>
      </c>
      <c r="C223" s="72" t="s">
        <v>28</v>
      </c>
      <c r="D223" s="72" t="s">
        <v>28</v>
      </c>
      <c r="E223" s="72" t="s">
        <v>28</v>
      </c>
      <c r="F223" s="72" t="s">
        <v>28</v>
      </c>
      <c r="G223" s="72" t="s">
        <v>28</v>
      </c>
      <c r="H223" s="72" t="s">
        <v>28</v>
      </c>
      <c r="I223" s="72" t="s">
        <v>28</v>
      </c>
      <c r="J223" s="72" t="s">
        <v>28</v>
      </c>
    </row>
    <row r="224" spans="1:10" x14ac:dyDescent="0.25">
      <c r="A224" s="40" t="s">
        <v>2470</v>
      </c>
      <c r="B224" s="61">
        <v>520</v>
      </c>
      <c r="C224" s="71">
        <v>52.3</v>
      </c>
      <c r="D224" s="71">
        <v>55.8</v>
      </c>
      <c r="E224" s="71">
        <v>16.3</v>
      </c>
      <c r="F224" s="71">
        <v>34.6</v>
      </c>
      <c r="G224" s="71">
        <v>69.099999999999994</v>
      </c>
      <c r="H224" s="71">
        <v>12.2</v>
      </c>
      <c r="I224" s="71">
        <v>1.23</v>
      </c>
      <c r="J224" s="71">
        <v>23.53</v>
      </c>
    </row>
    <row r="225" spans="1:10" x14ac:dyDescent="0.25">
      <c r="A225" s="44" t="s">
        <v>2464</v>
      </c>
      <c r="B225" s="61">
        <v>1780</v>
      </c>
      <c r="C225" s="71">
        <v>85.6</v>
      </c>
      <c r="D225" s="71">
        <v>79.7</v>
      </c>
      <c r="E225" s="71">
        <v>34.1</v>
      </c>
      <c r="F225" s="71">
        <v>61.5</v>
      </c>
      <c r="G225" s="71">
        <v>113.9</v>
      </c>
      <c r="H225" s="71">
        <v>37.700000000000003</v>
      </c>
      <c r="I225" s="71">
        <v>1.81</v>
      </c>
      <c r="J225" s="71">
        <v>21.17</v>
      </c>
    </row>
    <row r="226" spans="1:10" x14ac:dyDescent="0.25">
      <c r="A226" s="44" t="s">
        <v>2473</v>
      </c>
      <c r="B226" s="61">
        <v>5043</v>
      </c>
      <c r="C226" s="71">
        <v>146.9</v>
      </c>
      <c r="D226" s="71">
        <v>130.19999999999999</v>
      </c>
      <c r="E226" s="71">
        <v>51.3</v>
      </c>
      <c r="F226" s="71">
        <v>100.8</v>
      </c>
      <c r="G226" s="71">
        <v>209.5</v>
      </c>
      <c r="H226" s="71">
        <v>98.7</v>
      </c>
      <c r="I226" s="71">
        <v>2.88</v>
      </c>
      <c r="J226" s="71">
        <v>19.579999999999998</v>
      </c>
    </row>
    <row r="227" spans="1:10" ht="64.5" x14ac:dyDescent="0.25">
      <c r="A227" s="47" t="s">
        <v>2474</v>
      </c>
      <c r="B227" s="61">
        <v>2996</v>
      </c>
      <c r="C227" s="71">
        <v>125.3</v>
      </c>
      <c r="D227" s="71">
        <v>118.8</v>
      </c>
      <c r="E227" s="71">
        <v>12.5</v>
      </c>
      <c r="F227" s="71">
        <v>109.2</v>
      </c>
      <c r="G227" s="71">
        <v>241.2</v>
      </c>
      <c r="H227" s="71">
        <v>65.599999999999994</v>
      </c>
      <c r="I227" s="71">
        <v>2.74</v>
      </c>
      <c r="J227" s="71">
        <v>21.9</v>
      </c>
    </row>
    <row r="228" spans="1:10" ht="26.25" x14ac:dyDescent="0.25">
      <c r="A228" s="47" t="s">
        <v>2475</v>
      </c>
      <c r="B228" s="61">
        <v>0</v>
      </c>
      <c r="C228" s="71">
        <v>0</v>
      </c>
      <c r="D228" s="71">
        <v>0</v>
      </c>
      <c r="E228" s="71">
        <v>0</v>
      </c>
      <c r="F228" s="71">
        <v>0</v>
      </c>
      <c r="G228" s="71">
        <v>0</v>
      </c>
      <c r="H228" s="71">
        <v>0</v>
      </c>
      <c r="I228" s="71">
        <v>0</v>
      </c>
      <c r="J228" s="71" t="s">
        <v>28</v>
      </c>
    </row>
    <row r="229" spans="1:10" ht="90" x14ac:dyDescent="0.25">
      <c r="A229" s="43" t="s">
        <v>2476</v>
      </c>
      <c r="B229" s="62" t="s">
        <v>28</v>
      </c>
      <c r="C229" s="72" t="s">
        <v>28</v>
      </c>
      <c r="D229" s="72" t="s">
        <v>28</v>
      </c>
      <c r="E229" s="72" t="s">
        <v>28</v>
      </c>
      <c r="F229" s="72" t="s">
        <v>28</v>
      </c>
      <c r="G229" s="72" t="s">
        <v>28</v>
      </c>
      <c r="H229" s="72" t="s">
        <v>28</v>
      </c>
      <c r="I229" s="72" t="s">
        <v>28</v>
      </c>
      <c r="J229" s="72" t="s">
        <v>28</v>
      </c>
    </row>
    <row r="230" spans="1:10" ht="26.25" x14ac:dyDescent="0.25">
      <c r="A230" s="40" t="s">
        <v>2477</v>
      </c>
      <c r="B230" s="61">
        <v>1432</v>
      </c>
      <c r="C230" s="71">
        <v>75.900000000000006</v>
      </c>
      <c r="D230" s="71">
        <v>67.8</v>
      </c>
      <c r="E230" s="71">
        <v>25.2</v>
      </c>
      <c r="F230" s="71">
        <v>44.7</v>
      </c>
      <c r="G230" s="71">
        <v>78</v>
      </c>
      <c r="H230" s="71">
        <v>32.5</v>
      </c>
      <c r="I230" s="71">
        <v>1.72</v>
      </c>
      <c r="J230" s="71">
        <v>22.68</v>
      </c>
    </row>
    <row r="231" spans="1:10" x14ac:dyDescent="0.25">
      <c r="A231" s="44" t="s">
        <v>2478</v>
      </c>
      <c r="B231" s="61">
        <v>815</v>
      </c>
      <c r="C231" s="71">
        <v>71.099999999999994</v>
      </c>
      <c r="D231" s="71">
        <v>71.900000000000006</v>
      </c>
      <c r="E231" s="71">
        <v>30.5</v>
      </c>
      <c r="F231" s="71">
        <v>53.1</v>
      </c>
      <c r="G231" s="71">
        <v>92</v>
      </c>
      <c r="H231" s="71">
        <v>16.7</v>
      </c>
      <c r="I231" s="71">
        <v>1.46</v>
      </c>
      <c r="J231" s="71">
        <v>20.5</v>
      </c>
    </row>
    <row r="232" spans="1:10" ht="39" x14ac:dyDescent="0.25">
      <c r="A232" s="44" t="s">
        <v>2479</v>
      </c>
      <c r="B232" s="61">
        <v>1260</v>
      </c>
      <c r="C232" s="71">
        <v>75.7</v>
      </c>
      <c r="D232" s="71">
        <v>81.2</v>
      </c>
      <c r="E232" s="71">
        <v>23.2</v>
      </c>
      <c r="F232" s="71">
        <v>45.6</v>
      </c>
      <c r="G232" s="71">
        <v>82.3</v>
      </c>
      <c r="H232" s="71">
        <v>26.5</v>
      </c>
      <c r="I232" s="71">
        <v>1.59</v>
      </c>
      <c r="J232" s="71">
        <v>21.01</v>
      </c>
    </row>
    <row r="233" spans="1:10" ht="26.25" x14ac:dyDescent="0.25">
      <c r="A233" s="44" t="s">
        <v>2447</v>
      </c>
      <c r="B233" s="61">
        <v>16859</v>
      </c>
      <c r="C233" s="71">
        <v>135.69999999999999</v>
      </c>
      <c r="D233" s="71">
        <v>98.5</v>
      </c>
      <c r="E233" s="71">
        <v>74</v>
      </c>
      <c r="F233" s="71">
        <v>113.2</v>
      </c>
      <c r="G233" s="71">
        <v>162.80000000000001</v>
      </c>
      <c r="H233" s="71">
        <v>361.4</v>
      </c>
      <c r="I233" s="71">
        <v>2.91</v>
      </c>
      <c r="J233" s="71">
        <v>21.44</v>
      </c>
    </row>
    <row r="234" spans="1:10" x14ac:dyDescent="0.25">
      <c r="A234" s="44" t="s">
        <v>2480</v>
      </c>
      <c r="B234" s="61">
        <v>4157</v>
      </c>
      <c r="C234" s="71">
        <v>100.8</v>
      </c>
      <c r="D234" s="71">
        <v>89.9</v>
      </c>
      <c r="E234" s="71">
        <v>44.4</v>
      </c>
      <c r="F234" s="71">
        <v>66.8</v>
      </c>
      <c r="G234" s="71">
        <v>122</v>
      </c>
      <c r="H234" s="71">
        <v>79.8</v>
      </c>
      <c r="I234" s="71">
        <v>1.93</v>
      </c>
      <c r="J234" s="71">
        <v>19.190000000000001</v>
      </c>
    </row>
    <row r="235" spans="1:10" ht="39" x14ac:dyDescent="0.25">
      <c r="A235" s="44" t="s">
        <v>2481</v>
      </c>
      <c r="B235" s="61">
        <v>1457</v>
      </c>
      <c r="C235" s="71">
        <v>83</v>
      </c>
      <c r="D235" s="71">
        <v>79.900000000000006</v>
      </c>
      <c r="E235" s="71">
        <v>29.3</v>
      </c>
      <c r="F235" s="71">
        <v>57.4</v>
      </c>
      <c r="G235" s="71">
        <v>107.1</v>
      </c>
      <c r="H235" s="71">
        <v>31</v>
      </c>
      <c r="I235" s="71">
        <v>1.77</v>
      </c>
      <c r="J235" s="71">
        <v>21.27</v>
      </c>
    </row>
    <row r="236" spans="1:10" x14ac:dyDescent="0.25">
      <c r="A236" s="44" t="s">
        <v>2383</v>
      </c>
      <c r="B236" s="61">
        <v>3101</v>
      </c>
      <c r="C236" s="71">
        <v>121.6</v>
      </c>
      <c r="D236" s="71">
        <v>159.19999999999999</v>
      </c>
      <c r="E236" s="71">
        <v>28.2</v>
      </c>
      <c r="F236" s="71">
        <v>70.5</v>
      </c>
      <c r="G236" s="71">
        <v>165.1</v>
      </c>
      <c r="H236" s="71">
        <v>63.6</v>
      </c>
      <c r="I236" s="71">
        <v>2.4900000000000002</v>
      </c>
      <c r="J236" s="71">
        <v>20.5</v>
      </c>
    </row>
    <row r="237" spans="1:10" ht="90" x14ac:dyDescent="0.25">
      <c r="A237" s="43" t="s">
        <v>2482</v>
      </c>
      <c r="B237" s="62" t="s">
        <v>28</v>
      </c>
      <c r="C237" s="72" t="s">
        <v>28</v>
      </c>
      <c r="D237" s="72" t="s">
        <v>28</v>
      </c>
      <c r="E237" s="72" t="s">
        <v>28</v>
      </c>
      <c r="F237" s="72" t="s">
        <v>28</v>
      </c>
      <c r="G237" s="72" t="s">
        <v>28</v>
      </c>
      <c r="H237" s="72" t="s">
        <v>28</v>
      </c>
      <c r="I237" s="72" t="s">
        <v>28</v>
      </c>
      <c r="J237" s="72" t="s">
        <v>28</v>
      </c>
    </row>
    <row r="238" spans="1:10" ht="77.25" x14ac:dyDescent="0.25">
      <c r="A238" s="40" t="s">
        <v>2483</v>
      </c>
      <c r="B238" s="61">
        <v>702</v>
      </c>
      <c r="C238" s="71">
        <v>73.599999999999994</v>
      </c>
      <c r="D238" s="71">
        <v>71.900000000000006</v>
      </c>
      <c r="E238" s="71">
        <v>27.1</v>
      </c>
      <c r="F238" s="71">
        <v>52.6</v>
      </c>
      <c r="G238" s="71">
        <v>93.7</v>
      </c>
      <c r="H238" s="71">
        <v>15</v>
      </c>
      <c r="I238" s="71">
        <v>1.57</v>
      </c>
      <c r="J238" s="71">
        <v>21.32</v>
      </c>
    </row>
    <row r="239" spans="1:10" ht="26.25" x14ac:dyDescent="0.25">
      <c r="A239" s="40" t="s">
        <v>2477</v>
      </c>
      <c r="B239" s="61">
        <v>1357</v>
      </c>
      <c r="C239" s="71">
        <v>74.900000000000006</v>
      </c>
      <c r="D239" s="71">
        <v>65.8</v>
      </c>
      <c r="E239" s="71">
        <v>25.3</v>
      </c>
      <c r="F239" s="71">
        <v>45.2</v>
      </c>
      <c r="G239" s="71">
        <v>84.1</v>
      </c>
      <c r="H239" s="71">
        <v>30.8</v>
      </c>
      <c r="I239" s="71">
        <v>1.7</v>
      </c>
      <c r="J239" s="71">
        <v>22.7</v>
      </c>
    </row>
    <row r="240" spans="1:10" ht="51.75" x14ac:dyDescent="0.25">
      <c r="A240" s="44" t="s">
        <v>2484</v>
      </c>
      <c r="B240" s="61">
        <v>1429</v>
      </c>
      <c r="C240" s="71">
        <v>81.599999999999994</v>
      </c>
      <c r="D240" s="71">
        <v>82.1</v>
      </c>
      <c r="E240" s="71">
        <v>23.7</v>
      </c>
      <c r="F240" s="71">
        <v>48.2</v>
      </c>
      <c r="G240" s="71">
        <v>88.8</v>
      </c>
      <c r="H240" s="71">
        <v>30.4</v>
      </c>
      <c r="I240" s="71">
        <v>1.74</v>
      </c>
      <c r="J240" s="71">
        <v>21.28</v>
      </c>
    </row>
    <row r="241" spans="1:10" ht="39" x14ac:dyDescent="0.25">
      <c r="A241" s="44" t="s">
        <v>2448</v>
      </c>
      <c r="B241" s="60">
        <v>12331</v>
      </c>
      <c r="C241" s="70">
        <v>144.4</v>
      </c>
      <c r="D241" s="70">
        <v>115.9</v>
      </c>
      <c r="E241" s="70">
        <v>48.2</v>
      </c>
      <c r="F241" s="70">
        <v>70.900000000000006</v>
      </c>
      <c r="G241" s="70">
        <v>138.80000000000001</v>
      </c>
      <c r="H241" s="70">
        <v>235.8</v>
      </c>
      <c r="I241" s="70">
        <v>2.76</v>
      </c>
      <c r="J241" s="70">
        <v>19.12</v>
      </c>
    </row>
    <row r="242" spans="1:10" ht="26.25" x14ac:dyDescent="0.25">
      <c r="A242" s="44" t="s">
        <v>2485</v>
      </c>
      <c r="B242" s="60">
        <v>11374</v>
      </c>
      <c r="C242" s="70">
        <v>108.7</v>
      </c>
      <c r="D242" s="70">
        <v>84.4</v>
      </c>
      <c r="E242" s="70">
        <v>55.6</v>
      </c>
      <c r="F242" s="70">
        <v>80.599999999999994</v>
      </c>
      <c r="G242" s="70">
        <v>134.80000000000001</v>
      </c>
      <c r="H242" s="70">
        <v>233.7</v>
      </c>
      <c r="I242" s="70">
        <v>2.23</v>
      </c>
      <c r="J242" s="70">
        <v>20.55</v>
      </c>
    </row>
    <row r="243" spans="1:10" ht="51.75" x14ac:dyDescent="0.25">
      <c r="A243" s="44" t="s">
        <v>2486</v>
      </c>
      <c r="B243" s="60">
        <v>2080</v>
      </c>
      <c r="C243" s="70">
        <v>88</v>
      </c>
      <c r="D243" s="70">
        <v>84.6</v>
      </c>
      <c r="E243" s="70">
        <v>34.9</v>
      </c>
      <c r="F243" s="70">
        <v>64</v>
      </c>
      <c r="G243" s="70">
        <v>123.1</v>
      </c>
      <c r="H243" s="70">
        <v>44.5</v>
      </c>
      <c r="I243" s="70">
        <v>1.88</v>
      </c>
      <c r="J243" s="70">
        <v>21.37</v>
      </c>
    </row>
    <row r="244" spans="1:10" ht="26.25" x14ac:dyDescent="0.25">
      <c r="A244" s="44" t="s">
        <v>2487</v>
      </c>
      <c r="B244" s="60">
        <v>1604</v>
      </c>
      <c r="C244" s="70">
        <v>91.5</v>
      </c>
      <c r="D244" s="70">
        <v>100</v>
      </c>
      <c r="E244" s="70">
        <v>30.9</v>
      </c>
      <c r="F244" s="70">
        <v>64.900000000000006</v>
      </c>
      <c r="G244" s="70">
        <v>148.69999999999999</v>
      </c>
      <c r="H244" s="70">
        <v>33.1</v>
      </c>
      <c r="I244" s="70">
        <v>1.89</v>
      </c>
      <c r="J244" s="70">
        <v>20.62</v>
      </c>
    </row>
    <row r="245" spans="1:10" x14ac:dyDescent="0.25">
      <c r="A245" s="44" t="s">
        <v>2383</v>
      </c>
      <c r="B245" s="60" t="s">
        <v>2312</v>
      </c>
      <c r="C245" s="70">
        <v>137.4</v>
      </c>
      <c r="D245" s="70">
        <v>95.1</v>
      </c>
      <c r="E245" s="70">
        <v>16.7</v>
      </c>
      <c r="F245" s="70">
        <v>56.1</v>
      </c>
      <c r="G245" s="70">
        <v>102</v>
      </c>
      <c r="H245" s="70" t="s">
        <v>2312</v>
      </c>
      <c r="I245" s="70">
        <v>3.07</v>
      </c>
      <c r="J245" s="70">
        <v>22.36</v>
      </c>
    </row>
    <row r="246" spans="1:10" ht="115.5" x14ac:dyDescent="0.25">
      <c r="A246" s="43" t="s">
        <v>2488</v>
      </c>
      <c r="B246" s="62" t="s">
        <v>28</v>
      </c>
      <c r="C246" s="72" t="s">
        <v>28</v>
      </c>
      <c r="D246" s="72" t="s">
        <v>28</v>
      </c>
      <c r="E246" s="72" t="s">
        <v>28</v>
      </c>
      <c r="F246" s="72" t="s">
        <v>28</v>
      </c>
      <c r="G246" s="72" t="s">
        <v>28</v>
      </c>
      <c r="H246" s="72" t="s">
        <v>28</v>
      </c>
      <c r="I246" s="72" t="s">
        <v>28</v>
      </c>
      <c r="J246" s="72" t="s">
        <v>28</v>
      </c>
    </row>
    <row r="247" spans="1:10" x14ac:dyDescent="0.25">
      <c r="A247" s="40" t="s">
        <v>2489</v>
      </c>
      <c r="B247" s="61">
        <v>1155</v>
      </c>
      <c r="C247" s="71">
        <v>78.5</v>
      </c>
      <c r="D247" s="71">
        <v>75.5</v>
      </c>
      <c r="E247" s="71">
        <v>28.5</v>
      </c>
      <c r="F247" s="71">
        <v>55.9</v>
      </c>
      <c r="G247" s="71">
        <v>99.9</v>
      </c>
      <c r="H247" s="71">
        <v>24.3</v>
      </c>
      <c r="I247" s="71">
        <v>1.65</v>
      </c>
      <c r="J247" s="71">
        <v>21.05</v>
      </c>
    </row>
    <row r="248" spans="1:10" x14ac:dyDescent="0.25">
      <c r="A248" s="40" t="s">
        <v>2490</v>
      </c>
      <c r="B248" s="61">
        <v>1279</v>
      </c>
      <c r="C248" s="71">
        <v>82.1</v>
      </c>
      <c r="D248" s="71">
        <v>75.5</v>
      </c>
      <c r="E248" s="71">
        <v>30.6</v>
      </c>
      <c r="F248" s="71">
        <v>57.5</v>
      </c>
      <c r="G248" s="71">
        <v>101.9</v>
      </c>
      <c r="H248" s="71">
        <v>27.5</v>
      </c>
      <c r="I248" s="71">
        <v>1.77</v>
      </c>
      <c r="J248" s="71">
        <v>21.51</v>
      </c>
    </row>
    <row r="249" spans="1:10" ht="51.75" x14ac:dyDescent="0.25">
      <c r="A249" s="43" t="s">
        <v>2491</v>
      </c>
      <c r="B249" s="62" t="s">
        <v>28</v>
      </c>
      <c r="C249" s="72" t="s">
        <v>28</v>
      </c>
      <c r="D249" s="72" t="s">
        <v>28</v>
      </c>
      <c r="E249" s="72" t="s">
        <v>28</v>
      </c>
      <c r="F249" s="72" t="s">
        <v>28</v>
      </c>
      <c r="G249" s="72" t="s">
        <v>28</v>
      </c>
      <c r="H249" s="72" t="s">
        <v>28</v>
      </c>
      <c r="I249" s="72" t="s">
        <v>28</v>
      </c>
      <c r="J249" s="72" t="s">
        <v>28</v>
      </c>
    </row>
    <row r="250" spans="1:10" ht="26.25" x14ac:dyDescent="0.25">
      <c r="A250" s="40" t="s">
        <v>2492</v>
      </c>
      <c r="B250" s="61">
        <v>1257</v>
      </c>
      <c r="C250" s="71">
        <v>88.6</v>
      </c>
      <c r="D250" s="71">
        <v>83.9</v>
      </c>
      <c r="E250" s="71">
        <v>29.1</v>
      </c>
      <c r="F250" s="71">
        <v>57.5</v>
      </c>
      <c r="G250" s="71">
        <v>105.1</v>
      </c>
      <c r="H250" s="71">
        <v>26.3</v>
      </c>
      <c r="I250" s="71">
        <v>1.85</v>
      </c>
      <c r="J250" s="71">
        <v>20.94</v>
      </c>
    </row>
    <row r="251" spans="1:10" ht="26.25" x14ac:dyDescent="0.25">
      <c r="A251" s="40" t="s">
        <v>2493</v>
      </c>
      <c r="B251" s="61">
        <v>1206</v>
      </c>
      <c r="C251" s="71">
        <v>65.599999999999994</v>
      </c>
      <c r="D251" s="71">
        <v>58.5</v>
      </c>
      <c r="E251" s="71">
        <v>22.7</v>
      </c>
      <c r="F251" s="71">
        <v>45.1</v>
      </c>
      <c r="G251" s="71">
        <v>82.7</v>
      </c>
      <c r="H251" s="71">
        <v>28.1</v>
      </c>
      <c r="I251" s="71">
        <v>1.53</v>
      </c>
      <c r="J251" s="71">
        <v>23.26</v>
      </c>
    </row>
    <row r="252" spans="1:10" ht="77.25" x14ac:dyDescent="0.25">
      <c r="A252" s="44" t="s">
        <v>2494</v>
      </c>
      <c r="B252" s="61">
        <v>4563</v>
      </c>
      <c r="C252" s="71">
        <v>93.4</v>
      </c>
      <c r="D252" s="71">
        <v>83.3</v>
      </c>
      <c r="E252" s="71">
        <v>37.799999999999997</v>
      </c>
      <c r="F252" s="71">
        <v>66.3</v>
      </c>
      <c r="G252" s="71">
        <v>123.1</v>
      </c>
      <c r="H252" s="71">
        <v>96.5</v>
      </c>
      <c r="I252" s="71">
        <v>1.97</v>
      </c>
      <c r="J252" s="71">
        <v>21.14</v>
      </c>
    </row>
    <row r="253" spans="1:10" ht="90" x14ac:dyDescent="0.25">
      <c r="A253" s="43" t="s">
        <v>2495</v>
      </c>
      <c r="B253" s="62" t="s">
        <v>28</v>
      </c>
      <c r="C253" s="72" t="s">
        <v>28</v>
      </c>
      <c r="D253" s="72" t="s">
        <v>28</v>
      </c>
      <c r="E253" s="72" t="s">
        <v>28</v>
      </c>
      <c r="F253" s="72" t="s">
        <v>28</v>
      </c>
      <c r="G253" s="72" t="s">
        <v>28</v>
      </c>
      <c r="H253" s="72" t="s">
        <v>28</v>
      </c>
      <c r="I253" s="72" t="s">
        <v>28</v>
      </c>
      <c r="J253" s="72" t="s">
        <v>28</v>
      </c>
    </row>
    <row r="254" spans="1:10" ht="26.25" x14ac:dyDescent="0.25">
      <c r="A254" s="40" t="s">
        <v>2496</v>
      </c>
      <c r="B254" s="61">
        <v>1939</v>
      </c>
      <c r="C254" s="71">
        <v>92.2</v>
      </c>
      <c r="D254" s="71">
        <v>85.1</v>
      </c>
      <c r="E254" s="71">
        <v>28.3</v>
      </c>
      <c r="F254" s="71">
        <v>57.5</v>
      </c>
      <c r="G254" s="71">
        <v>104</v>
      </c>
      <c r="H254" s="71">
        <v>39.9</v>
      </c>
      <c r="I254" s="71">
        <v>1.9</v>
      </c>
      <c r="J254" s="71">
        <v>20.58</v>
      </c>
    </row>
    <row r="255" spans="1:10" ht="39" x14ac:dyDescent="0.25">
      <c r="A255" s="40" t="s">
        <v>2497</v>
      </c>
      <c r="B255" s="61">
        <v>1444</v>
      </c>
      <c r="C255" s="71">
        <v>83.8</v>
      </c>
      <c r="D255" s="71">
        <v>78.400000000000006</v>
      </c>
      <c r="E255" s="71">
        <v>26.2</v>
      </c>
      <c r="F255" s="71">
        <v>53.1</v>
      </c>
      <c r="G255" s="71">
        <v>99.6</v>
      </c>
      <c r="H255" s="71">
        <v>30.8</v>
      </c>
      <c r="I255" s="71">
        <v>1.79</v>
      </c>
      <c r="J255" s="71">
        <v>21.34</v>
      </c>
    </row>
    <row r="256" spans="1:10" ht="39" x14ac:dyDescent="0.25">
      <c r="A256" s="44" t="s">
        <v>2498</v>
      </c>
      <c r="B256" s="61">
        <v>2213</v>
      </c>
      <c r="C256" s="71">
        <v>94.7</v>
      </c>
      <c r="D256" s="71">
        <v>85</v>
      </c>
      <c r="E256" s="71">
        <v>31.2</v>
      </c>
      <c r="F256" s="71">
        <v>59.7</v>
      </c>
      <c r="G256" s="71">
        <v>113.6</v>
      </c>
      <c r="H256" s="71">
        <v>46.3</v>
      </c>
      <c r="I256" s="71">
        <v>1.98</v>
      </c>
      <c r="J256" s="71">
        <v>20.92</v>
      </c>
    </row>
    <row r="257" spans="1:10" ht="51.75" x14ac:dyDescent="0.25">
      <c r="A257" s="40" t="s">
        <v>2499</v>
      </c>
      <c r="B257" s="61">
        <v>4163</v>
      </c>
      <c r="C257" s="71">
        <v>93.5</v>
      </c>
      <c r="D257" s="71">
        <v>91.8</v>
      </c>
      <c r="E257" s="71">
        <v>31.8</v>
      </c>
      <c r="F257" s="71">
        <v>61.2</v>
      </c>
      <c r="G257" s="71">
        <v>109.8</v>
      </c>
      <c r="H257" s="71">
        <v>86.4</v>
      </c>
      <c r="I257" s="71">
        <v>1.94</v>
      </c>
      <c r="J257" s="71">
        <v>20.74</v>
      </c>
    </row>
    <row r="258" spans="1:10" x14ac:dyDescent="0.25">
      <c r="A258" s="40" t="s">
        <v>2500</v>
      </c>
      <c r="B258" s="61">
        <v>2978</v>
      </c>
      <c r="C258" s="71">
        <v>96</v>
      </c>
      <c r="D258" s="71">
        <v>88.4</v>
      </c>
      <c r="E258" s="71">
        <v>33.700000000000003</v>
      </c>
      <c r="F258" s="71">
        <v>61.5</v>
      </c>
      <c r="G258" s="71">
        <v>110.2</v>
      </c>
      <c r="H258" s="71">
        <v>62.2</v>
      </c>
      <c r="I258" s="71">
        <v>2.0099999999999998</v>
      </c>
      <c r="J258" s="71">
        <v>20.9</v>
      </c>
    </row>
    <row r="259" spans="1:10" x14ac:dyDescent="0.25">
      <c r="A259" s="44" t="s">
        <v>2501</v>
      </c>
      <c r="B259" s="61">
        <v>4993</v>
      </c>
      <c r="C259" s="71">
        <v>107.1</v>
      </c>
      <c r="D259" s="71">
        <v>91.2</v>
      </c>
      <c r="E259" s="71">
        <v>41.7</v>
      </c>
      <c r="F259" s="71">
        <v>71.400000000000006</v>
      </c>
      <c r="G259" s="71">
        <v>143.69999999999999</v>
      </c>
      <c r="H259" s="71">
        <v>104.7</v>
      </c>
      <c r="I259" s="71">
        <v>2.2400000000000002</v>
      </c>
      <c r="J259" s="71">
        <v>20.96</v>
      </c>
    </row>
    <row r="260" spans="1:10" x14ac:dyDescent="0.25">
      <c r="A260" s="44" t="s">
        <v>2383</v>
      </c>
      <c r="B260" s="61">
        <v>5924</v>
      </c>
      <c r="C260" s="71">
        <v>131.1</v>
      </c>
      <c r="D260" s="71">
        <v>105.4</v>
      </c>
      <c r="E260" s="71">
        <v>86.3</v>
      </c>
      <c r="F260" s="71">
        <v>162.4</v>
      </c>
      <c r="G260" s="71">
        <v>165.5</v>
      </c>
      <c r="H260" s="71">
        <v>130.5</v>
      </c>
      <c r="I260" s="71">
        <v>2.89</v>
      </c>
      <c r="J260" s="71">
        <v>22.02</v>
      </c>
    </row>
    <row r="261" spans="1:10" ht="102.75" x14ac:dyDescent="0.25">
      <c r="A261" s="43" t="s">
        <v>2502</v>
      </c>
      <c r="B261" s="62" t="s">
        <v>28</v>
      </c>
      <c r="C261" s="72" t="s">
        <v>28</v>
      </c>
      <c r="D261" s="72" t="s">
        <v>28</v>
      </c>
      <c r="E261" s="72" t="s">
        <v>28</v>
      </c>
      <c r="F261" s="72" t="s">
        <v>28</v>
      </c>
      <c r="G261" s="72" t="s">
        <v>28</v>
      </c>
      <c r="H261" s="72" t="s">
        <v>28</v>
      </c>
      <c r="I261" s="72" t="s">
        <v>28</v>
      </c>
      <c r="J261" s="72" t="s">
        <v>28</v>
      </c>
    </row>
    <row r="262" spans="1:10" ht="39" x14ac:dyDescent="0.25">
      <c r="A262" s="40" t="s">
        <v>2503</v>
      </c>
      <c r="B262" s="61">
        <v>1624</v>
      </c>
      <c r="C262" s="71">
        <v>87.9</v>
      </c>
      <c r="D262" s="71">
        <v>82</v>
      </c>
      <c r="E262" s="71">
        <v>28.6</v>
      </c>
      <c r="F262" s="71">
        <v>56.7</v>
      </c>
      <c r="G262" s="71">
        <v>105.5</v>
      </c>
      <c r="H262" s="71">
        <v>34.4</v>
      </c>
      <c r="I262" s="71">
        <v>1.86</v>
      </c>
      <c r="J262" s="71">
        <v>21.18</v>
      </c>
    </row>
    <row r="263" spans="1:10" ht="26.25" x14ac:dyDescent="0.25">
      <c r="A263" s="42" t="s">
        <v>2504</v>
      </c>
      <c r="B263" s="61">
        <v>4345</v>
      </c>
      <c r="C263" s="71">
        <v>124.3</v>
      </c>
      <c r="D263" s="71">
        <v>113.2</v>
      </c>
      <c r="E263" s="71">
        <v>73.099999999999994</v>
      </c>
      <c r="F263" s="71">
        <v>161.19999999999999</v>
      </c>
      <c r="G263" s="71">
        <v>310.2</v>
      </c>
      <c r="H263" s="71">
        <v>87.9</v>
      </c>
      <c r="I263" s="71">
        <v>2.5099999999999998</v>
      </c>
      <c r="J263" s="71">
        <v>20.22</v>
      </c>
    </row>
    <row r="264" spans="1:10" ht="26.25" x14ac:dyDescent="0.25">
      <c r="A264" s="42" t="s">
        <v>2505</v>
      </c>
      <c r="B264" s="61">
        <v>3622</v>
      </c>
      <c r="C264" s="71">
        <v>115.5</v>
      </c>
      <c r="D264" s="71">
        <v>105.2</v>
      </c>
      <c r="E264" s="71">
        <v>56.6</v>
      </c>
      <c r="F264" s="71">
        <v>112.3</v>
      </c>
      <c r="G264" s="71">
        <v>244.7</v>
      </c>
      <c r="H264" s="71">
        <v>75.2</v>
      </c>
      <c r="I264" s="71">
        <v>2.4</v>
      </c>
      <c r="J264" s="71">
        <v>20.77</v>
      </c>
    </row>
    <row r="265" spans="1:10" ht="51.75" x14ac:dyDescent="0.25">
      <c r="A265" s="42" t="s">
        <v>2506</v>
      </c>
      <c r="B265" s="61">
        <v>6779</v>
      </c>
      <c r="C265" s="71">
        <v>127</v>
      </c>
      <c r="D265" s="71">
        <v>143.5</v>
      </c>
      <c r="E265" s="71">
        <v>74.3</v>
      </c>
      <c r="F265" s="71">
        <v>150.80000000000001</v>
      </c>
      <c r="G265" s="71">
        <v>246.2</v>
      </c>
      <c r="H265" s="71">
        <v>137.4</v>
      </c>
      <c r="I265" s="71">
        <v>2.57</v>
      </c>
      <c r="J265" s="71">
        <v>20.27</v>
      </c>
    </row>
    <row r="266" spans="1:10" ht="39" x14ac:dyDescent="0.25">
      <c r="A266" s="42" t="s">
        <v>2507</v>
      </c>
      <c r="B266" s="61">
        <v>4411</v>
      </c>
      <c r="C266" s="71">
        <v>114</v>
      </c>
      <c r="D266" s="71">
        <v>102.2</v>
      </c>
      <c r="E266" s="71">
        <v>57.1</v>
      </c>
      <c r="F266" s="71">
        <v>112.7</v>
      </c>
      <c r="G266" s="71">
        <v>246.2</v>
      </c>
      <c r="H266" s="71">
        <v>89.7</v>
      </c>
      <c r="I266" s="71">
        <v>2.3199999999999998</v>
      </c>
      <c r="J266" s="71">
        <v>20.329999999999998</v>
      </c>
    </row>
    <row r="267" spans="1:10" ht="64.5" x14ac:dyDescent="0.25">
      <c r="A267" s="42" t="s">
        <v>2508</v>
      </c>
      <c r="B267" s="61">
        <v>1530</v>
      </c>
      <c r="C267" s="71">
        <v>83.1</v>
      </c>
      <c r="D267" s="71">
        <v>76.599999999999994</v>
      </c>
      <c r="E267" s="71">
        <v>27.2</v>
      </c>
      <c r="F267" s="71">
        <v>51.4</v>
      </c>
      <c r="G267" s="71">
        <v>88.7</v>
      </c>
      <c r="H267" s="71">
        <v>32.299999999999997</v>
      </c>
      <c r="I267" s="71">
        <v>1.76</v>
      </c>
      <c r="J267" s="71">
        <v>21.13</v>
      </c>
    </row>
    <row r="268" spans="1:10" ht="39" x14ac:dyDescent="0.25">
      <c r="A268" s="42" t="s">
        <v>2509</v>
      </c>
      <c r="B268" s="61">
        <v>4354</v>
      </c>
      <c r="C268" s="71">
        <v>95.1</v>
      </c>
      <c r="D268" s="71">
        <v>84.1</v>
      </c>
      <c r="E268" s="71">
        <v>39.700000000000003</v>
      </c>
      <c r="F268" s="71">
        <v>67.900000000000006</v>
      </c>
      <c r="G268" s="71">
        <v>117.8</v>
      </c>
      <c r="H268" s="71">
        <v>90.7</v>
      </c>
      <c r="I268" s="71">
        <v>1.98</v>
      </c>
      <c r="J268" s="71">
        <v>20.83</v>
      </c>
    </row>
    <row r="269" spans="1:10" ht="39" x14ac:dyDescent="0.25">
      <c r="A269" s="44" t="s">
        <v>2510</v>
      </c>
      <c r="B269" s="60">
        <v>313</v>
      </c>
      <c r="C269" s="70">
        <v>36.6</v>
      </c>
      <c r="D269" s="70">
        <v>53.2</v>
      </c>
      <c r="E269" s="70">
        <v>1.2</v>
      </c>
      <c r="F269" s="70">
        <v>18.2</v>
      </c>
      <c r="G269" s="70">
        <v>51.3</v>
      </c>
      <c r="H269" s="70">
        <v>7.6</v>
      </c>
      <c r="I269" s="70">
        <v>0.89</v>
      </c>
      <c r="J269" s="70">
        <v>24.37</v>
      </c>
    </row>
    <row r="270" spans="1:10" ht="90" x14ac:dyDescent="0.25">
      <c r="A270" s="43" t="s">
        <v>2511</v>
      </c>
      <c r="B270" s="62" t="s">
        <v>28</v>
      </c>
      <c r="C270" s="72" t="s">
        <v>28</v>
      </c>
      <c r="D270" s="72" t="s">
        <v>28</v>
      </c>
      <c r="E270" s="72" t="s">
        <v>28</v>
      </c>
      <c r="F270" s="72" t="s">
        <v>28</v>
      </c>
      <c r="G270" s="72" t="s">
        <v>28</v>
      </c>
      <c r="H270" s="72" t="s">
        <v>28</v>
      </c>
      <c r="I270" s="72" t="s">
        <v>28</v>
      </c>
      <c r="J270" s="72" t="s">
        <v>28</v>
      </c>
    </row>
    <row r="271" spans="1:10" ht="39" x14ac:dyDescent="0.25">
      <c r="A271" s="40" t="s">
        <v>2512</v>
      </c>
      <c r="B271" s="61">
        <v>1656</v>
      </c>
      <c r="C271" s="71">
        <v>85.5</v>
      </c>
      <c r="D271" s="71">
        <v>78.099999999999994</v>
      </c>
      <c r="E271" s="71">
        <v>29.1</v>
      </c>
      <c r="F271" s="71">
        <v>56.2</v>
      </c>
      <c r="G271" s="71">
        <v>101.1</v>
      </c>
      <c r="H271" s="71">
        <v>35.4</v>
      </c>
      <c r="I271" s="71">
        <v>1.83</v>
      </c>
      <c r="J271" s="71">
        <v>21.35</v>
      </c>
    </row>
    <row r="272" spans="1:10" ht="64.5" x14ac:dyDescent="0.25">
      <c r="A272" s="42" t="s">
        <v>2513</v>
      </c>
      <c r="B272" s="61">
        <v>1696</v>
      </c>
      <c r="C272" s="71">
        <v>85.7</v>
      </c>
      <c r="D272" s="71">
        <v>77.8</v>
      </c>
      <c r="E272" s="71">
        <v>29.7</v>
      </c>
      <c r="F272" s="71">
        <v>56.4</v>
      </c>
      <c r="G272" s="71">
        <v>101.6</v>
      </c>
      <c r="H272" s="71">
        <v>36.200000000000003</v>
      </c>
      <c r="I272" s="71">
        <v>1.83</v>
      </c>
      <c r="J272" s="71">
        <v>21.36</v>
      </c>
    </row>
    <row r="273" spans="1:10" ht="51.75" x14ac:dyDescent="0.25">
      <c r="A273" s="42" t="s">
        <v>2514</v>
      </c>
      <c r="B273" s="61">
        <v>3230</v>
      </c>
      <c r="C273" s="71">
        <v>95.1</v>
      </c>
      <c r="D273" s="71">
        <v>67.8</v>
      </c>
      <c r="E273" s="71">
        <v>34.5</v>
      </c>
      <c r="F273" s="71">
        <v>59</v>
      </c>
      <c r="G273" s="71">
        <v>105.5</v>
      </c>
      <c r="H273" s="71">
        <v>68.599999999999994</v>
      </c>
      <c r="I273" s="71">
        <v>2.02</v>
      </c>
      <c r="J273" s="71">
        <v>21.24</v>
      </c>
    </row>
    <row r="274" spans="1:10" ht="39" x14ac:dyDescent="0.25">
      <c r="A274" s="48" t="s">
        <v>2515</v>
      </c>
      <c r="B274" s="61">
        <v>2002</v>
      </c>
      <c r="C274" s="71">
        <v>86.1</v>
      </c>
      <c r="D274" s="71">
        <v>74.5</v>
      </c>
      <c r="E274" s="71">
        <v>30</v>
      </c>
      <c r="F274" s="71">
        <v>54.8</v>
      </c>
      <c r="G274" s="71">
        <v>94.8</v>
      </c>
      <c r="H274" s="71">
        <v>42.5</v>
      </c>
      <c r="I274" s="71">
        <v>1.83</v>
      </c>
      <c r="J274" s="71">
        <v>21.23</v>
      </c>
    </row>
    <row r="275" spans="1:10" ht="26.25" x14ac:dyDescent="0.25">
      <c r="A275" s="48" t="s">
        <v>2516</v>
      </c>
      <c r="B275" s="61">
        <v>2737</v>
      </c>
      <c r="C275" s="71">
        <v>89.6</v>
      </c>
      <c r="D275" s="71">
        <v>75.400000000000006</v>
      </c>
      <c r="E275" s="71">
        <v>34.5</v>
      </c>
      <c r="F275" s="71">
        <v>60.4</v>
      </c>
      <c r="G275" s="71">
        <v>104.3</v>
      </c>
      <c r="H275" s="71">
        <v>58.6</v>
      </c>
      <c r="I275" s="71">
        <v>1.92</v>
      </c>
      <c r="J275" s="71">
        <v>21.4</v>
      </c>
    </row>
    <row r="276" spans="1:10" ht="26.25" x14ac:dyDescent="0.25">
      <c r="A276" s="48" t="s">
        <v>2517</v>
      </c>
      <c r="B276" s="61">
        <v>2050</v>
      </c>
      <c r="C276" s="71">
        <v>88.4</v>
      </c>
      <c r="D276" s="71">
        <v>75.599999999999994</v>
      </c>
      <c r="E276" s="71">
        <v>32.4</v>
      </c>
      <c r="F276" s="71">
        <v>57.9</v>
      </c>
      <c r="G276" s="71">
        <v>101.6</v>
      </c>
      <c r="H276" s="71">
        <v>43.6</v>
      </c>
      <c r="I276" s="71">
        <v>1.88</v>
      </c>
      <c r="J276" s="71">
        <v>21.26</v>
      </c>
    </row>
    <row r="277" spans="1:10" ht="26.25" x14ac:dyDescent="0.25">
      <c r="A277" s="48" t="s">
        <v>2518</v>
      </c>
      <c r="B277" s="61">
        <v>1327</v>
      </c>
      <c r="C277" s="71">
        <v>80.099999999999994</v>
      </c>
      <c r="D277" s="71">
        <v>76.900000000000006</v>
      </c>
      <c r="E277" s="71">
        <v>27.4</v>
      </c>
      <c r="F277" s="71">
        <v>53.6</v>
      </c>
      <c r="G277" s="71">
        <v>96.4</v>
      </c>
      <c r="H277" s="71">
        <v>28.9</v>
      </c>
      <c r="I277" s="71">
        <v>1.74</v>
      </c>
      <c r="J277" s="71">
        <v>21.77</v>
      </c>
    </row>
    <row r="278" spans="1:10" ht="26.25" x14ac:dyDescent="0.25">
      <c r="A278" s="48" t="s">
        <v>2519</v>
      </c>
      <c r="B278" s="61">
        <v>1792</v>
      </c>
      <c r="C278" s="71">
        <v>85.6</v>
      </c>
      <c r="D278" s="71">
        <v>77.3</v>
      </c>
      <c r="E278" s="71">
        <v>29.8</v>
      </c>
      <c r="F278" s="71">
        <v>57</v>
      </c>
      <c r="G278" s="71">
        <v>100.3</v>
      </c>
      <c r="H278" s="71">
        <v>38.4</v>
      </c>
      <c r="I278" s="71">
        <v>1.83</v>
      </c>
      <c r="J278" s="71">
        <v>21.43</v>
      </c>
    </row>
    <row r="279" spans="1:10" ht="26.25" x14ac:dyDescent="0.25">
      <c r="A279" s="48" t="s">
        <v>2520</v>
      </c>
      <c r="B279" s="61">
        <v>2362</v>
      </c>
      <c r="C279" s="71">
        <v>86.2</v>
      </c>
      <c r="D279" s="71">
        <v>74.599999999999994</v>
      </c>
      <c r="E279" s="71">
        <v>31.5</v>
      </c>
      <c r="F279" s="71">
        <v>54.8</v>
      </c>
      <c r="G279" s="71">
        <v>88.6</v>
      </c>
      <c r="H279" s="71">
        <v>50.4</v>
      </c>
      <c r="I279" s="71">
        <v>1.84</v>
      </c>
      <c r="J279" s="71">
        <v>21.33</v>
      </c>
    </row>
    <row r="280" spans="1:10" ht="64.5" x14ac:dyDescent="0.25">
      <c r="A280" s="43" t="s">
        <v>2521</v>
      </c>
      <c r="B280" s="59" t="s">
        <v>28</v>
      </c>
      <c r="C280" s="69" t="s">
        <v>28</v>
      </c>
      <c r="D280" s="69" t="s">
        <v>28</v>
      </c>
      <c r="E280" s="69" t="s">
        <v>28</v>
      </c>
      <c r="F280" s="69" t="s">
        <v>28</v>
      </c>
      <c r="G280" s="69" t="s">
        <v>28</v>
      </c>
      <c r="H280" s="69" t="s">
        <v>28</v>
      </c>
      <c r="I280" s="69" t="s">
        <v>28</v>
      </c>
      <c r="J280" s="69" t="s">
        <v>28</v>
      </c>
    </row>
    <row r="281" spans="1:10" x14ac:dyDescent="0.25">
      <c r="A281" s="40" t="s">
        <v>2522</v>
      </c>
      <c r="B281" s="61">
        <v>238</v>
      </c>
      <c r="C281" s="71">
        <v>37.6</v>
      </c>
      <c r="D281" s="71">
        <v>98</v>
      </c>
      <c r="E281" s="71">
        <v>1.2</v>
      </c>
      <c r="F281" s="71">
        <v>16.600000000000001</v>
      </c>
      <c r="G281" s="71">
        <v>53.1</v>
      </c>
      <c r="H281" s="71">
        <v>5.3</v>
      </c>
      <c r="I281" s="71">
        <v>0.84</v>
      </c>
      <c r="J281" s="71">
        <v>22.33</v>
      </c>
    </row>
    <row r="282" spans="1:10" x14ac:dyDescent="0.25">
      <c r="A282" s="44" t="s">
        <v>2523</v>
      </c>
      <c r="B282" s="61">
        <v>581</v>
      </c>
      <c r="C282" s="71">
        <v>75.599999999999994</v>
      </c>
      <c r="D282" s="71">
        <v>104.8</v>
      </c>
      <c r="E282" s="71">
        <v>25</v>
      </c>
      <c r="F282" s="71">
        <v>52</v>
      </c>
      <c r="G282" s="71">
        <v>111.3</v>
      </c>
      <c r="H282" s="71">
        <v>12.4</v>
      </c>
      <c r="I282" s="71">
        <v>1.61</v>
      </c>
      <c r="J282" s="71">
        <v>21.35</v>
      </c>
    </row>
    <row r="283" spans="1:10" x14ac:dyDescent="0.25">
      <c r="A283" s="44" t="s">
        <v>2357</v>
      </c>
      <c r="B283" s="61">
        <v>899</v>
      </c>
      <c r="C283" s="71">
        <v>78.3</v>
      </c>
      <c r="D283" s="71">
        <v>76.900000000000006</v>
      </c>
      <c r="E283" s="71">
        <v>29.7</v>
      </c>
      <c r="F283" s="71">
        <v>53.7</v>
      </c>
      <c r="G283" s="71">
        <v>93.2</v>
      </c>
      <c r="H283" s="71">
        <v>19.100000000000001</v>
      </c>
      <c r="I283" s="71">
        <v>1.66</v>
      </c>
      <c r="J283" s="71">
        <v>21.21</v>
      </c>
    </row>
    <row r="284" spans="1:10" x14ac:dyDescent="0.25">
      <c r="A284" s="44" t="s">
        <v>2358</v>
      </c>
      <c r="B284" s="61">
        <v>1402</v>
      </c>
      <c r="C284" s="71">
        <v>72</v>
      </c>
      <c r="D284" s="71">
        <v>78.099999999999994</v>
      </c>
      <c r="E284" s="71">
        <v>34.9</v>
      </c>
      <c r="F284" s="71">
        <v>58.5</v>
      </c>
      <c r="G284" s="71">
        <v>84.1</v>
      </c>
      <c r="H284" s="71">
        <v>32.200000000000003</v>
      </c>
      <c r="I284" s="71">
        <v>1.65</v>
      </c>
      <c r="J284" s="71">
        <v>22.94</v>
      </c>
    </row>
    <row r="285" spans="1:10" x14ac:dyDescent="0.25">
      <c r="A285" s="40" t="s">
        <v>2359</v>
      </c>
      <c r="B285" s="61">
        <v>3159</v>
      </c>
      <c r="C285" s="71">
        <v>85.6</v>
      </c>
      <c r="D285" s="71">
        <v>87.7</v>
      </c>
      <c r="E285" s="71">
        <v>38.799999999999997</v>
      </c>
      <c r="F285" s="71">
        <v>63.9</v>
      </c>
      <c r="G285" s="71">
        <v>111.6</v>
      </c>
      <c r="H285" s="71">
        <v>67</v>
      </c>
      <c r="I285" s="71">
        <v>1.81</v>
      </c>
      <c r="J285" s="71">
        <v>21.2</v>
      </c>
    </row>
    <row r="286" spans="1:10" x14ac:dyDescent="0.25">
      <c r="A286" s="44" t="s">
        <v>2360</v>
      </c>
      <c r="B286" s="61">
        <v>4504</v>
      </c>
      <c r="C286" s="71">
        <v>77.900000000000006</v>
      </c>
      <c r="D286" s="71">
        <v>69.5</v>
      </c>
      <c r="E286" s="71">
        <v>39.700000000000003</v>
      </c>
      <c r="F286" s="71">
        <v>64.8</v>
      </c>
      <c r="G286" s="71">
        <v>94.6</v>
      </c>
      <c r="H286" s="71">
        <v>97.6</v>
      </c>
      <c r="I286" s="71">
        <v>1.69</v>
      </c>
      <c r="J286" s="71">
        <v>21.67</v>
      </c>
    </row>
    <row r="287" spans="1:10" ht="26.25" x14ac:dyDescent="0.25">
      <c r="A287" s="44" t="s">
        <v>2361</v>
      </c>
      <c r="B287" s="61">
        <v>10432</v>
      </c>
      <c r="C287" s="71">
        <v>98.8</v>
      </c>
      <c r="D287" s="71">
        <v>76.8</v>
      </c>
      <c r="E287" s="71">
        <v>49.4</v>
      </c>
      <c r="F287" s="71">
        <v>70.900000000000006</v>
      </c>
      <c r="G287" s="71">
        <v>106.6</v>
      </c>
      <c r="H287" s="71">
        <v>214.5</v>
      </c>
      <c r="I287" s="71">
        <v>2.0299999999999998</v>
      </c>
      <c r="J287" s="71">
        <v>20.56</v>
      </c>
    </row>
    <row r="288" spans="1:10" ht="26.25" x14ac:dyDescent="0.25">
      <c r="A288" s="44" t="s">
        <v>2362</v>
      </c>
      <c r="B288" s="61">
        <v>28387</v>
      </c>
      <c r="C288" s="71">
        <v>109.9</v>
      </c>
      <c r="D288" s="71">
        <v>62.5</v>
      </c>
      <c r="E288" s="71">
        <v>51.3</v>
      </c>
      <c r="F288" s="71">
        <v>74</v>
      </c>
      <c r="G288" s="71">
        <v>120.2</v>
      </c>
      <c r="H288" s="71">
        <v>600.9</v>
      </c>
      <c r="I288" s="71">
        <v>2.33</v>
      </c>
      <c r="J288" s="71">
        <v>21.17</v>
      </c>
    </row>
    <row r="289" spans="1:10" ht="51.75" x14ac:dyDescent="0.25">
      <c r="A289" s="43" t="s">
        <v>2524</v>
      </c>
      <c r="B289" s="59" t="s">
        <v>28</v>
      </c>
      <c r="C289" s="69" t="s">
        <v>28</v>
      </c>
      <c r="D289" s="69" t="s">
        <v>28</v>
      </c>
      <c r="E289" s="69" t="s">
        <v>28</v>
      </c>
      <c r="F289" s="69" t="s">
        <v>28</v>
      </c>
      <c r="G289" s="69" t="s">
        <v>28</v>
      </c>
      <c r="H289" s="69" t="s">
        <v>28</v>
      </c>
      <c r="I289" s="69" t="s">
        <v>28</v>
      </c>
      <c r="J289" s="69" t="s">
        <v>28</v>
      </c>
    </row>
    <row r="290" spans="1:10" x14ac:dyDescent="0.25">
      <c r="A290" s="40" t="s">
        <v>2522</v>
      </c>
      <c r="B290" s="61">
        <v>530</v>
      </c>
      <c r="C290" s="71">
        <v>63.4</v>
      </c>
      <c r="D290" s="71">
        <v>100.9</v>
      </c>
      <c r="E290" s="71">
        <v>8.6</v>
      </c>
      <c r="F290" s="71">
        <v>34</v>
      </c>
      <c r="G290" s="71">
        <v>84</v>
      </c>
      <c r="H290" s="71">
        <v>11.7</v>
      </c>
      <c r="I290" s="71">
        <v>1.4</v>
      </c>
      <c r="J290" s="71">
        <v>22.06</v>
      </c>
    </row>
    <row r="291" spans="1:10" x14ac:dyDescent="0.25">
      <c r="A291" s="44" t="s">
        <v>2523</v>
      </c>
      <c r="B291" s="61">
        <v>780</v>
      </c>
      <c r="C291" s="71">
        <v>71.7</v>
      </c>
      <c r="D291" s="71">
        <v>85.4</v>
      </c>
      <c r="E291" s="71">
        <v>27</v>
      </c>
      <c r="F291" s="71">
        <v>51.3</v>
      </c>
      <c r="G291" s="71">
        <v>91.5</v>
      </c>
      <c r="H291" s="71">
        <v>16.7</v>
      </c>
      <c r="I291" s="71">
        <v>1.54</v>
      </c>
      <c r="J291" s="71">
        <v>21.47</v>
      </c>
    </row>
    <row r="292" spans="1:10" x14ac:dyDescent="0.25">
      <c r="A292" s="44" t="s">
        <v>2357</v>
      </c>
      <c r="B292" s="61">
        <v>1994</v>
      </c>
      <c r="C292" s="71">
        <v>83.6</v>
      </c>
      <c r="D292" s="71">
        <v>78.7</v>
      </c>
      <c r="E292" s="71">
        <v>35.5</v>
      </c>
      <c r="F292" s="71">
        <v>56.1</v>
      </c>
      <c r="G292" s="71">
        <v>86.6</v>
      </c>
      <c r="H292" s="71">
        <v>42.6</v>
      </c>
      <c r="I292" s="71">
        <v>1.79</v>
      </c>
      <c r="J292" s="71">
        <v>21.36</v>
      </c>
    </row>
    <row r="293" spans="1:10" x14ac:dyDescent="0.25">
      <c r="A293" s="44" t="s">
        <v>2358</v>
      </c>
      <c r="B293" s="61">
        <v>3965</v>
      </c>
      <c r="C293" s="71">
        <v>86.1</v>
      </c>
      <c r="D293" s="71">
        <v>77.5</v>
      </c>
      <c r="E293" s="71">
        <v>40.6</v>
      </c>
      <c r="F293" s="71">
        <v>63.2</v>
      </c>
      <c r="G293" s="71">
        <v>107.2</v>
      </c>
      <c r="H293" s="71">
        <v>85.3</v>
      </c>
      <c r="I293" s="71">
        <v>1.85</v>
      </c>
      <c r="J293" s="71">
        <v>21.5</v>
      </c>
    </row>
    <row r="294" spans="1:10" x14ac:dyDescent="0.25">
      <c r="A294" s="40" t="s">
        <v>2359</v>
      </c>
      <c r="B294" s="61">
        <v>6318</v>
      </c>
      <c r="C294" s="71">
        <v>94.1</v>
      </c>
      <c r="D294" s="71">
        <v>77.8</v>
      </c>
      <c r="E294" s="71">
        <v>42</v>
      </c>
      <c r="F294" s="71">
        <v>65.099999999999994</v>
      </c>
      <c r="G294" s="71">
        <v>105.4</v>
      </c>
      <c r="H294" s="71">
        <v>129.80000000000001</v>
      </c>
      <c r="I294" s="71">
        <v>1.93</v>
      </c>
      <c r="J294" s="71">
        <v>20.55</v>
      </c>
    </row>
    <row r="295" spans="1:10" x14ac:dyDescent="0.25">
      <c r="A295" s="44" t="s">
        <v>2360</v>
      </c>
      <c r="B295" s="61">
        <v>8795</v>
      </c>
      <c r="C295" s="71">
        <v>96.7</v>
      </c>
      <c r="D295" s="71">
        <v>61.4</v>
      </c>
      <c r="E295" s="71">
        <v>50.3</v>
      </c>
      <c r="F295" s="71">
        <v>70.400000000000006</v>
      </c>
      <c r="G295" s="71">
        <v>102</v>
      </c>
      <c r="H295" s="71">
        <v>185.8</v>
      </c>
      <c r="I295" s="71">
        <v>2.04</v>
      </c>
      <c r="J295" s="71">
        <v>21.13</v>
      </c>
    </row>
    <row r="296" spans="1:10" ht="26.25" x14ac:dyDescent="0.25">
      <c r="A296" s="44" t="s">
        <v>2361</v>
      </c>
      <c r="B296" s="61">
        <v>15188</v>
      </c>
      <c r="C296" s="71">
        <v>100.6</v>
      </c>
      <c r="D296" s="71">
        <v>79.400000000000006</v>
      </c>
      <c r="E296" s="71">
        <v>46.5</v>
      </c>
      <c r="F296" s="71">
        <v>61.3</v>
      </c>
      <c r="G296" s="71">
        <v>90.1</v>
      </c>
      <c r="H296" s="71">
        <v>307.60000000000002</v>
      </c>
      <c r="I296" s="71">
        <v>2.04</v>
      </c>
      <c r="J296" s="71">
        <v>20.25</v>
      </c>
    </row>
    <row r="297" spans="1:10" ht="26.25" x14ac:dyDescent="0.25">
      <c r="A297" s="44" t="s">
        <v>2362</v>
      </c>
      <c r="B297" s="61">
        <v>30170</v>
      </c>
      <c r="C297" s="71">
        <v>107.4</v>
      </c>
      <c r="D297" s="71">
        <v>54.4</v>
      </c>
      <c r="E297" s="71">
        <v>55.8</v>
      </c>
      <c r="F297" s="71">
        <v>77.7</v>
      </c>
      <c r="G297" s="71">
        <v>126.1</v>
      </c>
      <c r="H297" s="71">
        <v>667</v>
      </c>
      <c r="I297" s="71">
        <v>2.38</v>
      </c>
      <c r="J297" s="71">
        <v>22.11</v>
      </c>
    </row>
    <row r="298" spans="1:10" ht="51.75" x14ac:dyDescent="0.25">
      <c r="A298" s="43" t="s">
        <v>2525</v>
      </c>
      <c r="B298" s="59" t="s">
        <v>28</v>
      </c>
      <c r="C298" s="69" t="s">
        <v>28</v>
      </c>
      <c r="D298" s="69" t="s">
        <v>28</v>
      </c>
      <c r="E298" s="69" t="s">
        <v>28</v>
      </c>
      <c r="F298" s="69" t="s">
        <v>28</v>
      </c>
      <c r="G298" s="69" t="s">
        <v>28</v>
      </c>
      <c r="H298" s="69" t="s">
        <v>28</v>
      </c>
      <c r="I298" s="69" t="s">
        <v>28</v>
      </c>
      <c r="J298" s="69" t="s">
        <v>28</v>
      </c>
    </row>
    <row r="299" spans="1:10" x14ac:dyDescent="0.25">
      <c r="A299" s="40" t="s">
        <v>2522</v>
      </c>
      <c r="B299" s="61">
        <v>572</v>
      </c>
      <c r="C299" s="71">
        <v>64.599999999999994</v>
      </c>
      <c r="D299" s="71">
        <v>88</v>
      </c>
      <c r="E299" s="71">
        <v>13.3</v>
      </c>
      <c r="F299" s="71">
        <v>36.9</v>
      </c>
      <c r="G299" s="71">
        <v>81.099999999999994</v>
      </c>
      <c r="H299" s="71">
        <v>12.3</v>
      </c>
      <c r="I299" s="71">
        <v>1.38</v>
      </c>
      <c r="J299" s="71">
        <v>21.42</v>
      </c>
    </row>
    <row r="300" spans="1:10" x14ac:dyDescent="0.25">
      <c r="A300" s="44" t="s">
        <v>2523</v>
      </c>
      <c r="B300" s="61">
        <v>1740</v>
      </c>
      <c r="C300" s="71">
        <v>79.7</v>
      </c>
      <c r="D300" s="71">
        <v>79.2</v>
      </c>
      <c r="E300" s="71">
        <v>33.9</v>
      </c>
      <c r="F300" s="71">
        <v>59.6</v>
      </c>
      <c r="G300" s="71">
        <v>100.3</v>
      </c>
      <c r="H300" s="71">
        <v>37.5</v>
      </c>
      <c r="I300" s="71">
        <v>1.72</v>
      </c>
      <c r="J300" s="71">
        <v>21.54</v>
      </c>
    </row>
    <row r="301" spans="1:10" x14ac:dyDescent="0.25">
      <c r="A301" s="44" t="s">
        <v>2357</v>
      </c>
      <c r="B301" s="61">
        <v>5820</v>
      </c>
      <c r="C301" s="71">
        <v>90.5</v>
      </c>
      <c r="D301" s="71">
        <v>72</v>
      </c>
      <c r="E301" s="71">
        <v>40.1</v>
      </c>
      <c r="F301" s="71">
        <v>62.4</v>
      </c>
      <c r="G301" s="71">
        <v>110.2</v>
      </c>
      <c r="H301" s="71">
        <v>120.5</v>
      </c>
      <c r="I301" s="71">
        <v>1.87</v>
      </c>
      <c r="J301" s="71">
        <v>20.71</v>
      </c>
    </row>
    <row r="302" spans="1:10" x14ac:dyDescent="0.25">
      <c r="A302" s="44" t="s">
        <v>2358</v>
      </c>
      <c r="B302" s="61">
        <v>11797</v>
      </c>
      <c r="C302" s="71">
        <v>103.8</v>
      </c>
      <c r="D302" s="71">
        <v>78.5</v>
      </c>
      <c r="E302" s="71">
        <v>46.8</v>
      </c>
      <c r="F302" s="71">
        <v>75.900000000000006</v>
      </c>
      <c r="G302" s="71">
        <v>119.5</v>
      </c>
      <c r="H302" s="71">
        <v>260.3</v>
      </c>
      <c r="I302" s="71">
        <v>2.29</v>
      </c>
      <c r="J302" s="71">
        <v>22.07</v>
      </c>
    </row>
    <row r="303" spans="1:10" x14ac:dyDescent="0.25">
      <c r="A303" s="40" t="s">
        <v>2359</v>
      </c>
      <c r="B303" s="61">
        <v>15550</v>
      </c>
      <c r="C303" s="71">
        <v>105.5</v>
      </c>
      <c r="D303" s="71">
        <v>59.3</v>
      </c>
      <c r="E303" s="71">
        <v>50.7</v>
      </c>
      <c r="F303" s="71">
        <v>89</v>
      </c>
      <c r="G303" s="71">
        <v>171.7</v>
      </c>
      <c r="H303" s="71">
        <v>316.7</v>
      </c>
      <c r="I303" s="71">
        <v>2.15</v>
      </c>
      <c r="J303" s="71">
        <v>20.37</v>
      </c>
    </row>
    <row r="304" spans="1:10" ht="26.25" x14ac:dyDescent="0.25">
      <c r="A304" s="40" t="s">
        <v>2526</v>
      </c>
      <c r="B304" s="61">
        <v>38977</v>
      </c>
      <c r="C304" s="71">
        <v>143.6</v>
      </c>
      <c r="D304" s="71">
        <v>73</v>
      </c>
      <c r="E304" s="71">
        <v>64.7</v>
      </c>
      <c r="F304" s="71">
        <v>102.2</v>
      </c>
      <c r="G304" s="71">
        <v>208.9</v>
      </c>
      <c r="H304" s="71">
        <v>836.2</v>
      </c>
      <c r="I304" s="71">
        <v>3.08</v>
      </c>
      <c r="J304" s="71">
        <v>21.45</v>
      </c>
    </row>
    <row r="305" spans="1:10" ht="51.75" x14ac:dyDescent="0.25">
      <c r="A305" s="43" t="s">
        <v>2527</v>
      </c>
      <c r="B305" s="59" t="s">
        <v>28</v>
      </c>
      <c r="C305" s="69" t="s">
        <v>28</v>
      </c>
      <c r="D305" s="69" t="s">
        <v>28</v>
      </c>
      <c r="E305" s="69" t="s">
        <v>28</v>
      </c>
      <c r="F305" s="69" t="s">
        <v>28</v>
      </c>
      <c r="G305" s="69" t="s">
        <v>28</v>
      </c>
      <c r="H305" s="69" t="s">
        <v>28</v>
      </c>
      <c r="I305" s="69" t="s">
        <v>28</v>
      </c>
      <c r="J305" s="69" t="s">
        <v>28</v>
      </c>
    </row>
    <row r="306" spans="1:10" x14ac:dyDescent="0.25">
      <c r="A306" s="40" t="s">
        <v>2522</v>
      </c>
      <c r="B306" s="61">
        <v>546</v>
      </c>
      <c r="C306" s="71">
        <v>66.599999999999994</v>
      </c>
      <c r="D306" s="71">
        <v>94.2</v>
      </c>
      <c r="E306" s="71">
        <v>11.7</v>
      </c>
      <c r="F306" s="71">
        <v>37.1</v>
      </c>
      <c r="G306" s="71">
        <v>89.5</v>
      </c>
      <c r="H306" s="71">
        <v>11.8</v>
      </c>
      <c r="I306" s="71">
        <v>1.44</v>
      </c>
      <c r="J306" s="71">
        <v>21.62</v>
      </c>
    </row>
    <row r="307" spans="1:10" x14ac:dyDescent="0.25">
      <c r="A307" s="44" t="s">
        <v>2344</v>
      </c>
      <c r="B307" s="61">
        <v>907</v>
      </c>
      <c r="C307" s="71">
        <v>70.400000000000006</v>
      </c>
      <c r="D307" s="71">
        <v>90</v>
      </c>
      <c r="E307" s="71">
        <v>27.6</v>
      </c>
      <c r="F307" s="71">
        <v>49.7</v>
      </c>
      <c r="G307" s="71">
        <v>81.099999999999994</v>
      </c>
      <c r="H307" s="71">
        <v>19.3</v>
      </c>
      <c r="I307" s="71">
        <v>1.5</v>
      </c>
      <c r="J307" s="71">
        <v>21.32</v>
      </c>
    </row>
    <row r="308" spans="1:10" x14ac:dyDescent="0.25">
      <c r="A308" s="44" t="s">
        <v>2528</v>
      </c>
      <c r="B308" s="61">
        <v>2465</v>
      </c>
      <c r="C308" s="71">
        <v>78.599999999999994</v>
      </c>
      <c r="D308" s="71">
        <v>74.099999999999994</v>
      </c>
      <c r="E308" s="71">
        <v>36.4</v>
      </c>
      <c r="F308" s="71">
        <v>59.7</v>
      </c>
      <c r="G308" s="71">
        <v>96</v>
      </c>
      <c r="H308" s="71">
        <v>52.8</v>
      </c>
      <c r="I308" s="71">
        <v>1.68</v>
      </c>
      <c r="J308" s="71">
        <v>21.43</v>
      </c>
    </row>
    <row r="309" spans="1:10" x14ac:dyDescent="0.25">
      <c r="A309" s="44" t="s">
        <v>2357</v>
      </c>
      <c r="B309" s="61">
        <v>6782</v>
      </c>
      <c r="C309" s="71">
        <v>88.5</v>
      </c>
      <c r="D309" s="71">
        <v>74.7</v>
      </c>
      <c r="E309" s="71">
        <v>44.3</v>
      </c>
      <c r="F309" s="71">
        <v>62.7</v>
      </c>
      <c r="G309" s="71">
        <v>96.5</v>
      </c>
      <c r="H309" s="71">
        <v>143.30000000000001</v>
      </c>
      <c r="I309" s="71">
        <v>1.87</v>
      </c>
      <c r="J309" s="71">
        <v>21.13</v>
      </c>
    </row>
    <row r="310" spans="1:10" ht="26.25" x14ac:dyDescent="0.25">
      <c r="A310" s="44" t="s">
        <v>2529</v>
      </c>
      <c r="B310" s="61">
        <v>20490</v>
      </c>
      <c r="C310" s="71">
        <v>117.3</v>
      </c>
      <c r="D310" s="71">
        <v>66.099999999999994</v>
      </c>
      <c r="E310" s="71">
        <v>61.3</v>
      </c>
      <c r="F310" s="71">
        <v>80.3</v>
      </c>
      <c r="G310" s="71">
        <v>113.9</v>
      </c>
      <c r="H310" s="71">
        <v>437.3</v>
      </c>
      <c r="I310" s="71">
        <v>2.5</v>
      </c>
      <c r="J310" s="71">
        <v>21.34</v>
      </c>
    </row>
    <row r="311" spans="1:10" ht="51.75" x14ac:dyDescent="0.25">
      <c r="A311" s="43" t="s">
        <v>2530</v>
      </c>
      <c r="B311" s="59" t="s">
        <v>28</v>
      </c>
      <c r="C311" s="69" t="s">
        <v>28</v>
      </c>
      <c r="D311" s="69" t="s">
        <v>28</v>
      </c>
      <c r="E311" s="69" t="s">
        <v>28</v>
      </c>
      <c r="F311" s="69" t="s">
        <v>28</v>
      </c>
      <c r="G311" s="69" t="s">
        <v>28</v>
      </c>
      <c r="H311" s="69" t="s">
        <v>28</v>
      </c>
      <c r="I311" s="69" t="s">
        <v>28</v>
      </c>
      <c r="J311" s="69" t="s">
        <v>28</v>
      </c>
    </row>
    <row r="312" spans="1:10" x14ac:dyDescent="0.25">
      <c r="A312" s="40" t="s">
        <v>2522</v>
      </c>
      <c r="B312" s="61">
        <v>447</v>
      </c>
      <c r="C312" s="71">
        <v>49.9</v>
      </c>
      <c r="D312" s="71">
        <v>68.2</v>
      </c>
      <c r="E312" s="71">
        <v>8</v>
      </c>
      <c r="F312" s="71">
        <v>29.6</v>
      </c>
      <c r="G312" s="71">
        <v>67</v>
      </c>
      <c r="H312" s="71">
        <v>10.199999999999999</v>
      </c>
      <c r="I312" s="71">
        <v>1.1399999999999999</v>
      </c>
      <c r="J312" s="71">
        <v>22.84</v>
      </c>
    </row>
    <row r="313" spans="1:10" x14ac:dyDescent="0.25">
      <c r="A313" s="44" t="s">
        <v>2344</v>
      </c>
      <c r="B313" s="61">
        <v>609</v>
      </c>
      <c r="C313" s="71">
        <v>69.8</v>
      </c>
      <c r="D313" s="71">
        <v>69.599999999999994</v>
      </c>
      <c r="E313" s="71">
        <v>27.3</v>
      </c>
      <c r="F313" s="71">
        <v>54.2</v>
      </c>
      <c r="G313" s="71">
        <v>99.6</v>
      </c>
      <c r="H313" s="71">
        <v>12.8</v>
      </c>
      <c r="I313" s="71">
        <v>1.47</v>
      </c>
      <c r="J313" s="71">
        <v>21.05</v>
      </c>
    </row>
    <row r="314" spans="1:10" x14ac:dyDescent="0.25">
      <c r="A314" s="44" t="s">
        <v>2528</v>
      </c>
      <c r="B314" s="61">
        <v>1266</v>
      </c>
      <c r="C314" s="71">
        <v>79.599999999999994</v>
      </c>
      <c r="D314" s="71">
        <v>74.099999999999994</v>
      </c>
      <c r="E314" s="71">
        <v>32.9</v>
      </c>
      <c r="F314" s="71">
        <v>57.6</v>
      </c>
      <c r="G314" s="71">
        <v>107</v>
      </c>
      <c r="H314" s="71">
        <v>27.6</v>
      </c>
      <c r="I314" s="71">
        <v>1.74</v>
      </c>
      <c r="J314" s="71">
        <v>21.83</v>
      </c>
    </row>
    <row r="315" spans="1:10" x14ac:dyDescent="0.25">
      <c r="A315" s="44" t="s">
        <v>2357</v>
      </c>
      <c r="B315" s="61">
        <v>2471</v>
      </c>
      <c r="C315" s="71">
        <v>95.3</v>
      </c>
      <c r="D315" s="71">
        <v>76.900000000000006</v>
      </c>
      <c r="E315" s="71">
        <v>43.4</v>
      </c>
      <c r="F315" s="71">
        <v>74.5</v>
      </c>
      <c r="G315" s="71">
        <v>170.2</v>
      </c>
      <c r="H315" s="71">
        <v>54.1</v>
      </c>
      <c r="I315" s="71">
        <v>2.09</v>
      </c>
      <c r="J315" s="71">
        <v>21.91</v>
      </c>
    </row>
    <row r="316" spans="1:10" x14ac:dyDescent="0.25">
      <c r="A316" s="44" t="s">
        <v>2358</v>
      </c>
      <c r="B316" s="61">
        <v>5264</v>
      </c>
      <c r="C316" s="71">
        <v>99.1</v>
      </c>
      <c r="D316" s="71">
        <v>78.3</v>
      </c>
      <c r="E316" s="71">
        <v>48.4</v>
      </c>
      <c r="F316" s="71">
        <v>80</v>
      </c>
      <c r="G316" s="71">
        <v>138.5</v>
      </c>
      <c r="H316" s="71">
        <v>110.4</v>
      </c>
      <c r="I316" s="71">
        <v>2.08</v>
      </c>
      <c r="J316" s="71">
        <v>20.98</v>
      </c>
    </row>
    <row r="317" spans="1:10" x14ac:dyDescent="0.25">
      <c r="A317" s="44" t="s">
        <v>2359</v>
      </c>
      <c r="B317" s="61">
        <v>6774</v>
      </c>
      <c r="C317" s="71">
        <v>89</v>
      </c>
      <c r="D317" s="71">
        <v>80.3</v>
      </c>
      <c r="E317" s="71">
        <v>52.9</v>
      </c>
      <c r="F317" s="71">
        <v>73.400000000000006</v>
      </c>
      <c r="G317" s="71">
        <v>128</v>
      </c>
      <c r="H317" s="71">
        <v>151.4</v>
      </c>
      <c r="I317" s="71">
        <v>1.99</v>
      </c>
      <c r="J317" s="71">
        <v>22.35</v>
      </c>
    </row>
    <row r="318" spans="1:10" x14ac:dyDescent="0.25">
      <c r="A318" s="44" t="s">
        <v>2360</v>
      </c>
      <c r="B318" s="61">
        <v>8961</v>
      </c>
      <c r="C318" s="71">
        <v>98.6</v>
      </c>
      <c r="D318" s="71">
        <v>98.4</v>
      </c>
      <c r="E318" s="71">
        <v>56.7</v>
      </c>
      <c r="F318" s="71">
        <v>86.8</v>
      </c>
      <c r="G318" s="71">
        <v>144.1</v>
      </c>
      <c r="H318" s="71">
        <v>186.2</v>
      </c>
      <c r="I318" s="71">
        <v>2.0499999999999998</v>
      </c>
      <c r="J318" s="71">
        <v>20.78</v>
      </c>
    </row>
    <row r="319" spans="1:10" ht="26.25" x14ac:dyDescent="0.25">
      <c r="A319" s="44" t="s">
        <v>2531</v>
      </c>
      <c r="B319" s="61">
        <v>26874</v>
      </c>
      <c r="C319" s="71">
        <v>133.4</v>
      </c>
      <c r="D319" s="71">
        <v>113</v>
      </c>
      <c r="E319" s="71">
        <v>62.6</v>
      </c>
      <c r="F319" s="71">
        <v>93.4</v>
      </c>
      <c r="G319" s="71">
        <v>143</v>
      </c>
      <c r="H319" s="71">
        <v>508.6</v>
      </c>
      <c r="I319" s="71">
        <v>2.52</v>
      </c>
      <c r="J319" s="71">
        <v>18.920000000000002</v>
      </c>
    </row>
    <row r="320" spans="1:10" ht="166.5" x14ac:dyDescent="0.25">
      <c r="A320" s="43" t="s">
        <v>2532</v>
      </c>
      <c r="B320" s="59" t="s">
        <v>28</v>
      </c>
      <c r="C320" s="69" t="s">
        <v>28</v>
      </c>
      <c r="D320" s="69" t="s">
        <v>28</v>
      </c>
      <c r="E320" s="69" t="s">
        <v>28</v>
      </c>
      <c r="F320" s="69" t="s">
        <v>28</v>
      </c>
      <c r="G320" s="69" t="s">
        <v>28</v>
      </c>
      <c r="H320" s="69" t="s">
        <v>28</v>
      </c>
      <c r="I320" s="69" t="s">
        <v>28</v>
      </c>
      <c r="J320" s="69" t="s">
        <v>28</v>
      </c>
    </row>
    <row r="321" spans="1:10" ht="51.75" x14ac:dyDescent="0.25">
      <c r="A321" s="40" t="s">
        <v>2533</v>
      </c>
      <c r="B321" s="61">
        <v>7264</v>
      </c>
      <c r="C321" s="71">
        <v>112.5</v>
      </c>
      <c r="D321" s="71">
        <v>108.4</v>
      </c>
      <c r="E321" s="71">
        <v>50.3</v>
      </c>
      <c r="F321" s="71">
        <v>88.6</v>
      </c>
      <c r="G321" s="71">
        <v>218</v>
      </c>
      <c r="H321" s="71">
        <v>148.1</v>
      </c>
      <c r="I321" s="71">
        <v>2.29</v>
      </c>
      <c r="J321" s="71">
        <v>20.38</v>
      </c>
    </row>
    <row r="322" spans="1:10" ht="51.75" x14ac:dyDescent="0.25">
      <c r="A322" s="44" t="s">
        <v>2534</v>
      </c>
      <c r="B322" s="61">
        <v>6957</v>
      </c>
      <c r="C322" s="71">
        <v>123.2</v>
      </c>
      <c r="D322" s="71">
        <v>110</v>
      </c>
      <c r="E322" s="71">
        <v>86.1</v>
      </c>
      <c r="F322" s="71">
        <v>136.6</v>
      </c>
      <c r="G322" s="71">
        <v>220.7</v>
      </c>
      <c r="H322" s="71">
        <v>146.5</v>
      </c>
      <c r="I322" s="71">
        <v>2.59</v>
      </c>
      <c r="J322" s="71">
        <v>21.05</v>
      </c>
    </row>
    <row r="323" spans="1:10" ht="51.75" x14ac:dyDescent="0.25">
      <c r="A323" s="44" t="s">
        <v>2535</v>
      </c>
      <c r="B323" s="61">
        <v>12491</v>
      </c>
      <c r="C323" s="71">
        <v>106.7</v>
      </c>
      <c r="D323" s="71">
        <v>92.2</v>
      </c>
      <c r="E323" s="71">
        <v>47.1</v>
      </c>
      <c r="F323" s="71">
        <v>71.900000000000006</v>
      </c>
      <c r="G323" s="71">
        <v>110.2</v>
      </c>
      <c r="H323" s="71">
        <v>246.9</v>
      </c>
      <c r="I323" s="71">
        <v>2.11</v>
      </c>
      <c r="J323" s="71">
        <v>19.760000000000002</v>
      </c>
    </row>
    <row r="324" spans="1:10" ht="77.25" x14ac:dyDescent="0.25">
      <c r="A324" s="44" t="s">
        <v>2536</v>
      </c>
      <c r="B324" s="61">
        <v>6372</v>
      </c>
      <c r="C324" s="71">
        <v>111.4</v>
      </c>
      <c r="D324" s="71">
        <v>117.2</v>
      </c>
      <c r="E324" s="71">
        <v>36.6</v>
      </c>
      <c r="F324" s="71">
        <v>68.8</v>
      </c>
      <c r="G324" s="71">
        <v>132.5</v>
      </c>
      <c r="H324" s="71">
        <v>124.4</v>
      </c>
      <c r="I324" s="71">
        <v>2.17</v>
      </c>
      <c r="J324" s="71">
        <v>19.53</v>
      </c>
    </row>
    <row r="325" spans="1:10" ht="39" x14ac:dyDescent="0.25">
      <c r="A325" s="44" t="s">
        <v>2537</v>
      </c>
      <c r="B325" s="61">
        <v>1614</v>
      </c>
      <c r="C325" s="71">
        <v>84.5</v>
      </c>
      <c r="D325" s="71">
        <v>87.2</v>
      </c>
      <c r="E325" s="71">
        <v>22.2</v>
      </c>
      <c r="F325" s="71">
        <v>46</v>
      </c>
      <c r="G325" s="71">
        <v>86.5</v>
      </c>
      <c r="H325" s="71">
        <v>33.5</v>
      </c>
      <c r="I325" s="71">
        <v>1.76</v>
      </c>
      <c r="J325" s="71">
        <v>20.78</v>
      </c>
    </row>
    <row r="326" spans="1:10" ht="90" x14ac:dyDescent="0.25">
      <c r="A326" s="43" t="s">
        <v>2538</v>
      </c>
      <c r="B326" s="59" t="s">
        <v>28</v>
      </c>
      <c r="C326" s="69" t="s">
        <v>28</v>
      </c>
      <c r="D326" s="69" t="s">
        <v>28</v>
      </c>
      <c r="E326" s="69" t="s">
        <v>28</v>
      </c>
      <c r="F326" s="69" t="s">
        <v>28</v>
      </c>
      <c r="G326" s="69" t="s">
        <v>28</v>
      </c>
      <c r="H326" s="69" t="s">
        <v>28</v>
      </c>
      <c r="I326" s="69" t="s">
        <v>28</v>
      </c>
      <c r="J326" s="69" t="s">
        <v>28</v>
      </c>
    </row>
    <row r="327" spans="1:10" ht="51.75" x14ac:dyDescent="0.25">
      <c r="A327" s="40" t="s">
        <v>2539</v>
      </c>
      <c r="B327" s="61">
        <v>14047</v>
      </c>
      <c r="C327" s="71">
        <v>122.1</v>
      </c>
      <c r="D327" s="71">
        <v>75.2</v>
      </c>
      <c r="E327" s="71">
        <v>50.9</v>
      </c>
      <c r="F327" s="71">
        <v>85.7</v>
      </c>
      <c r="G327" s="71">
        <v>129.4</v>
      </c>
      <c r="H327" s="71">
        <v>294.5</v>
      </c>
      <c r="I327" s="71">
        <v>2.56</v>
      </c>
      <c r="J327" s="71">
        <v>20.96</v>
      </c>
    </row>
    <row r="328" spans="1:10" ht="51.75" x14ac:dyDescent="0.25">
      <c r="A328" s="44" t="s">
        <v>2540</v>
      </c>
      <c r="B328" s="61">
        <v>6956</v>
      </c>
      <c r="C328" s="71">
        <v>95.7</v>
      </c>
      <c r="D328" s="71">
        <v>76.3</v>
      </c>
      <c r="E328" s="71">
        <v>42</v>
      </c>
      <c r="F328" s="71">
        <v>67.8</v>
      </c>
      <c r="G328" s="71">
        <v>111.5</v>
      </c>
      <c r="H328" s="71">
        <v>143.80000000000001</v>
      </c>
      <c r="I328" s="71">
        <v>1.98</v>
      </c>
      <c r="J328" s="71">
        <v>20.67</v>
      </c>
    </row>
    <row r="329" spans="1:10" ht="51.75" x14ac:dyDescent="0.25">
      <c r="A329" s="44" t="s">
        <v>2541</v>
      </c>
      <c r="B329" s="61">
        <v>5346</v>
      </c>
      <c r="C329" s="71">
        <v>88.9</v>
      </c>
      <c r="D329" s="71">
        <v>101.9</v>
      </c>
      <c r="E329" s="71">
        <v>39.700000000000003</v>
      </c>
      <c r="F329" s="71">
        <v>59.7</v>
      </c>
      <c r="G329" s="71">
        <v>86.6</v>
      </c>
      <c r="H329" s="71">
        <v>103.4</v>
      </c>
      <c r="I329" s="71">
        <v>1.72</v>
      </c>
      <c r="J329" s="71">
        <v>19.329999999999998</v>
      </c>
    </row>
    <row r="330" spans="1:10" ht="102.75" x14ac:dyDescent="0.25">
      <c r="A330" s="43" t="s">
        <v>2542</v>
      </c>
      <c r="B330" s="62" t="s">
        <v>28</v>
      </c>
      <c r="C330" s="72" t="s">
        <v>28</v>
      </c>
      <c r="D330" s="72" t="s">
        <v>28</v>
      </c>
      <c r="E330" s="72" t="s">
        <v>28</v>
      </c>
      <c r="F330" s="72" t="s">
        <v>28</v>
      </c>
      <c r="G330" s="72" t="s">
        <v>28</v>
      </c>
      <c r="H330" s="72" t="s">
        <v>28</v>
      </c>
      <c r="I330" s="72" t="s">
        <v>28</v>
      </c>
      <c r="J330" s="72" t="s">
        <v>28</v>
      </c>
    </row>
    <row r="331" spans="1:10" ht="26.25" x14ac:dyDescent="0.25">
      <c r="A331" s="44" t="s">
        <v>2543</v>
      </c>
      <c r="B331" s="61">
        <v>5228</v>
      </c>
      <c r="C331" s="71">
        <v>102.2</v>
      </c>
      <c r="D331" s="71">
        <v>88.8</v>
      </c>
      <c r="E331" s="71">
        <v>38.6</v>
      </c>
      <c r="F331" s="71">
        <v>66.8</v>
      </c>
      <c r="G331" s="71">
        <v>123.8</v>
      </c>
      <c r="H331" s="71">
        <v>108</v>
      </c>
      <c r="I331" s="71">
        <v>2.11</v>
      </c>
      <c r="J331" s="71">
        <v>20.67</v>
      </c>
    </row>
    <row r="332" spans="1:10" ht="51.75" x14ac:dyDescent="0.25">
      <c r="A332" s="44" t="s">
        <v>2544</v>
      </c>
      <c r="B332" s="61">
        <v>1952</v>
      </c>
      <c r="C332" s="71">
        <v>89.6</v>
      </c>
      <c r="D332" s="71">
        <v>79.7</v>
      </c>
      <c r="E332" s="71">
        <v>32.799999999999997</v>
      </c>
      <c r="F332" s="71">
        <v>60.3</v>
      </c>
      <c r="G332" s="71">
        <v>110.2</v>
      </c>
      <c r="H332" s="71">
        <v>41.5</v>
      </c>
      <c r="I332" s="71">
        <v>1.9</v>
      </c>
      <c r="J332" s="71">
        <v>21.24</v>
      </c>
    </row>
    <row r="333" spans="1:10" ht="54" x14ac:dyDescent="0.25">
      <c r="A333" s="44" t="s">
        <v>2610</v>
      </c>
      <c r="B333" s="61">
        <v>4752</v>
      </c>
      <c r="C333" s="71">
        <v>100.1</v>
      </c>
      <c r="D333" s="71">
        <v>87.6</v>
      </c>
      <c r="E333" s="71">
        <v>37.1</v>
      </c>
      <c r="F333" s="71">
        <v>65.8</v>
      </c>
      <c r="G333" s="71">
        <v>111.6</v>
      </c>
      <c r="H333" s="71">
        <v>100.3</v>
      </c>
      <c r="I333" s="71">
        <v>2.11</v>
      </c>
      <c r="J333" s="71">
        <v>21.11</v>
      </c>
    </row>
    <row r="334" spans="1:10" ht="115.5" x14ac:dyDescent="0.25">
      <c r="A334" s="43" t="s">
        <v>2546</v>
      </c>
      <c r="B334" s="62" t="s">
        <v>28</v>
      </c>
      <c r="C334" s="72" t="s">
        <v>28</v>
      </c>
      <c r="D334" s="72" t="s">
        <v>28</v>
      </c>
      <c r="E334" s="72" t="s">
        <v>28</v>
      </c>
      <c r="F334" s="72" t="s">
        <v>28</v>
      </c>
      <c r="G334" s="72" t="s">
        <v>28</v>
      </c>
      <c r="H334" s="72" t="s">
        <v>28</v>
      </c>
      <c r="I334" s="72" t="s">
        <v>28</v>
      </c>
      <c r="J334" s="72" t="s">
        <v>28</v>
      </c>
    </row>
    <row r="335" spans="1:10" ht="39" x14ac:dyDescent="0.25">
      <c r="A335" s="40" t="s">
        <v>2547</v>
      </c>
      <c r="B335" s="61">
        <v>1743</v>
      </c>
      <c r="C335" s="71">
        <v>87</v>
      </c>
      <c r="D335" s="71">
        <v>84.3</v>
      </c>
      <c r="E335" s="71">
        <v>27.5</v>
      </c>
      <c r="F335" s="71">
        <v>54.4</v>
      </c>
      <c r="G335" s="71">
        <v>99.6</v>
      </c>
      <c r="H335" s="71">
        <v>36.200000000000003</v>
      </c>
      <c r="I335" s="71">
        <v>1.81</v>
      </c>
      <c r="J335" s="71">
        <v>20.79</v>
      </c>
    </row>
    <row r="336" spans="1:10" ht="39" x14ac:dyDescent="0.25">
      <c r="A336" s="40" t="s">
        <v>2548</v>
      </c>
      <c r="B336" s="61">
        <v>2118</v>
      </c>
      <c r="C336" s="71">
        <v>88.2</v>
      </c>
      <c r="D336" s="71">
        <v>78.2</v>
      </c>
      <c r="E336" s="71">
        <v>27.1</v>
      </c>
      <c r="F336" s="71">
        <v>55.9</v>
      </c>
      <c r="G336" s="71">
        <v>106.1</v>
      </c>
      <c r="H336" s="71">
        <v>44.5</v>
      </c>
      <c r="I336" s="71">
        <v>1.85</v>
      </c>
      <c r="J336" s="71">
        <v>20.99</v>
      </c>
    </row>
    <row r="337" spans="1:10" ht="39" x14ac:dyDescent="0.25">
      <c r="A337" s="40" t="s">
        <v>2549</v>
      </c>
      <c r="B337" s="61">
        <v>3013</v>
      </c>
      <c r="C337" s="71">
        <v>103.9</v>
      </c>
      <c r="D337" s="71">
        <v>87</v>
      </c>
      <c r="E337" s="71">
        <v>30.6</v>
      </c>
      <c r="F337" s="71">
        <v>58.6</v>
      </c>
      <c r="G337" s="71">
        <v>116.1</v>
      </c>
      <c r="H337" s="71">
        <v>62.6</v>
      </c>
      <c r="I337" s="71">
        <v>2.16</v>
      </c>
      <c r="J337" s="71">
        <v>20.77</v>
      </c>
    </row>
    <row r="338" spans="1:10" ht="51.75" x14ac:dyDescent="0.25">
      <c r="A338" s="44" t="s">
        <v>2550</v>
      </c>
      <c r="B338" s="61">
        <v>1654</v>
      </c>
      <c r="C338" s="71">
        <v>96</v>
      </c>
      <c r="D338" s="71">
        <v>91.5</v>
      </c>
      <c r="E338" s="71">
        <v>30.3</v>
      </c>
      <c r="F338" s="71">
        <v>60.3</v>
      </c>
      <c r="G338" s="71">
        <v>120.3</v>
      </c>
      <c r="H338" s="71">
        <v>34.5</v>
      </c>
      <c r="I338" s="71">
        <v>2</v>
      </c>
      <c r="J338" s="71">
        <v>20.86</v>
      </c>
    </row>
    <row r="339" spans="1:10" ht="39" x14ac:dyDescent="0.25">
      <c r="A339" s="44" t="s">
        <v>2551</v>
      </c>
      <c r="B339" s="61">
        <v>3400</v>
      </c>
      <c r="C339" s="71">
        <v>90.3</v>
      </c>
      <c r="D339" s="71">
        <v>91.7</v>
      </c>
      <c r="E339" s="71">
        <v>24.6</v>
      </c>
      <c r="F339" s="71">
        <v>49.7</v>
      </c>
      <c r="G339" s="71">
        <v>84.1</v>
      </c>
      <c r="H339" s="71">
        <v>69.400000000000006</v>
      </c>
      <c r="I339" s="71">
        <v>1.84</v>
      </c>
      <c r="J339" s="71">
        <v>20.399999999999999</v>
      </c>
    </row>
    <row r="340" spans="1:10" ht="39" x14ac:dyDescent="0.25">
      <c r="A340" s="44" t="s">
        <v>2552</v>
      </c>
      <c r="B340" s="61">
        <v>3193</v>
      </c>
      <c r="C340" s="71">
        <v>96.8</v>
      </c>
      <c r="D340" s="71">
        <v>83.8</v>
      </c>
      <c r="E340" s="71">
        <v>35.6</v>
      </c>
      <c r="F340" s="71">
        <v>64.099999999999994</v>
      </c>
      <c r="G340" s="71">
        <v>122.8</v>
      </c>
      <c r="H340" s="71">
        <v>69.099999999999994</v>
      </c>
      <c r="I340" s="71">
        <v>2.09</v>
      </c>
      <c r="J340" s="71">
        <v>21.63</v>
      </c>
    </row>
    <row r="341" spans="1:10" ht="26.25" x14ac:dyDescent="0.25">
      <c r="A341" s="40" t="s">
        <v>2553</v>
      </c>
      <c r="B341" s="61">
        <v>4225</v>
      </c>
      <c r="C341" s="71">
        <v>95.7</v>
      </c>
      <c r="D341" s="71">
        <v>83.8</v>
      </c>
      <c r="E341" s="71">
        <v>37.700000000000003</v>
      </c>
      <c r="F341" s="71">
        <v>68.099999999999994</v>
      </c>
      <c r="G341" s="71">
        <v>117.1</v>
      </c>
      <c r="H341" s="71">
        <v>89.4</v>
      </c>
      <c r="I341" s="71">
        <v>2.0299999999999998</v>
      </c>
      <c r="J341" s="71">
        <v>21.16</v>
      </c>
    </row>
    <row r="342" spans="1:10" ht="51.75" x14ac:dyDescent="0.25">
      <c r="A342" s="40" t="s">
        <v>2554</v>
      </c>
      <c r="B342" s="61">
        <v>4637</v>
      </c>
      <c r="C342" s="71">
        <v>111.3</v>
      </c>
      <c r="D342" s="71">
        <v>100.3</v>
      </c>
      <c r="E342" s="71">
        <v>43.7</v>
      </c>
      <c r="F342" s="71">
        <v>80.099999999999994</v>
      </c>
      <c r="G342" s="71">
        <v>162.4</v>
      </c>
      <c r="H342" s="71">
        <v>94.3</v>
      </c>
      <c r="I342" s="71">
        <v>2.2599999999999998</v>
      </c>
      <c r="J342" s="71">
        <v>20.34</v>
      </c>
    </row>
    <row r="343" spans="1:10" ht="39" x14ac:dyDescent="0.25">
      <c r="A343" s="44" t="s">
        <v>2555</v>
      </c>
      <c r="B343" s="61">
        <v>4942</v>
      </c>
      <c r="C343" s="71">
        <v>101.3</v>
      </c>
      <c r="D343" s="71">
        <v>80.5</v>
      </c>
      <c r="E343" s="71">
        <v>24.4</v>
      </c>
      <c r="F343" s="71">
        <v>62.4</v>
      </c>
      <c r="G343" s="71">
        <v>122.8</v>
      </c>
      <c r="H343" s="71">
        <v>104</v>
      </c>
      <c r="I343" s="71">
        <v>2.13</v>
      </c>
      <c r="J343" s="71">
        <v>21.05</v>
      </c>
    </row>
    <row r="344" spans="1:10" ht="39" x14ac:dyDescent="0.25">
      <c r="A344" s="44" t="s">
        <v>2556</v>
      </c>
      <c r="B344" s="61">
        <v>2326</v>
      </c>
      <c r="C344" s="71">
        <v>86.5</v>
      </c>
      <c r="D344" s="71">
        <v>83.6</v>
      </c>
      <c r="E344" s="71">
        <v>30.9</v>
      </c>
      <c r="F344" s="71">
        <v>55.9</v>
      </c>
      <c r="G344" s="71">
        <v>110.2</v>
      </c>
      <c r="H344" s="71">
        <v>54.7</v>
      </c>
      <c r="I344" s="71">
        <v>2.0299999999999998</v>
      </c>
      <c r="J344" s="71">
        <v>23.51</v>
      </c>
    </row>
    <row r="345" spans="1:10" ht="66.75" x14ac:dyDescent="0.25">
      <c r="A345" s="44" t="s">
        <v>2590</v>
      </c>
      <c r="B345" s="61">
        <v>5762</v>
      </c>
      <c r="C345" s="71">
        <v>99.5</v>
      </c>
      <c r="D345" s="71">
        <v>90.8</v>
      </c>
      <c r="E345" s="71">
        <v>47.5</v>
      </c>
      <c r="F345" s="71">
        <v>78.2</v>
      </c>
      <c r="G345" s="71">
        <v>126.5</v>
      </c>
      <c r="H345" s="71">
        <v>127.5</v>
      </c>
      <c r="I345" s="71">
        <v>2.2000000000000002</v>
      </c>
      <c r="J345" s="71">
        <v>22.13</v>
      </c>
    </row>
    <row r="346" spans="1:10" ht="141" x14ac:dyDescent="0.25">
      <c r="A346" s="43" t="s">
        <v>2558</v>
      </c>
      <c r="B346" s="62" t="s">
        <v>28</v>
      </c>
      <c r="C346" s="72" t="s">
        <v>28</v>
      </c>
      <c r="D346" s="72" t="s">
        <v>28</v>
      </c>
      <c r="E346" s="72" t="s">
        <v>28</v>
      </c>
      <c r="F346" s="72" t="s">
        <v>28</v>
      </c>
      <c r="G346" s="72" t="s">
        <v>28</v>
      </c>
      <c r="H346" s="72" t="s">
        <v>28</v>
      </c>
      <c r="I346" s="72" t="s">
        <v>28</v>
      </c>
      <c r="J346" s="72" t="s">
        <v>28</v>
      </c>
    </row>
    <row r="347" spans="1:10" x14ac:dyDescent="0.25">
      <c r="A347" s="40" t="s">
        <v>2489</v>
      </c>
      <c r="B347" s="61">
        <v>1358</v>
      </c>
      <c r="C347" s="71">
        <v>79.5</v>
      </c>
      <c r="D347" s="71">
        <v>73.400000000000006</v>
      </c>
      <c r="E347" s="71">
        <v>26.8</v>
      </c>
      <c r="F347" s="71">
        <v>52</v>
      </c>
      <c r="G347" s="71">
        <v>92.2</v>
      </c>
      <c r="H347" s="71">
        <v>29.3</v>
      </c>
      <c r="I347" s="71">
        <v>1.72</v>
      </c>
      <c r="J347" s="71">
        <v>21.59</v>
      </c>
    </row>
    <row r="348" spans="1:10" x14ac:dyDescent="0.25">
      <c r="A348" s="40" t="s">
        <v>2490</v>
      </c>
      <c r="B348" s="61">
        <v>1424</v>
      </c>
      <c r="C348" s="71">
        <v>80.099999999999994</v>
      </c>
      <c r="D348" s="71">
        <v>73.3</v>
      </c>
      <c r="E348" s="71">
        <v>27.4</v>
      </c>
      <c r="F348" s="71">
        <v>53</v>
      </c>
      <c r="G348" s="71">
        <v>94.1</v>
      </c>
      <c r="H348" s="71">
        <v>31</v>
      </c>
      <c r="I348" s="71">
        <v>1.74</v>
      </c>
      <c r="J348" s="71">
        <v>21.74</v>
      </c>
    </row>
    <row r="349" spans="1:10" x14ac:dyDescent="0.25">
      <c r="A349" s="40" t="s">
        <v>2559</v>
      </c>
      <c r="B349" s="61">
        <v>1351</v>
      </c>
      <c r="C349" s="71">
        <v>81.8</v>
      </c>
      <c r="D349" s="71">
        <v>76.7</v>
      </c>
      <c r="E349" s="71">
        <v>25.6</v>
      </c>
      <c r="F349" s="71">
        <v>51.4</v>
      </c>
      <c r="G349" s="71">
        <v>95.1</v>
      </c>
      <c r="H349" s="71">
        <v>28.9</v>
      </c>
      <c r="I349" s="71">
        <v>1.75</v>
      </c>
      <c r="J349" s="71">
        <v>21.39</v>
      </c>
    </row>
  </sheetData>
  <mergeCells count="10">
    <mergeCell ref="A2:J2"/>
    <mergeCell ref="B3:G3"/>
    <mergeCell ref="H3:J3"/>
    <mergeCell ref="B4:B5"/>
    <mergeCell ref="C4:C5"/>
    <mergeCell ref="D4:D5"/>
    <mergeCell ref="E4:G4"/>
    <mergeCell ref="H4:H5"/>
    <mergeCell ref="I4:I5"/>
    <mergeCell ref="J4:J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G25" sqref="G25"/>
    </sheetView>
  </sheetViews>
  <sheetFormatPr defaultRowHeight="12.75" x14ac:dyDescent="0.2"/>
  <cols>
    <col min="1" max="1" width="11" style="17" customWidth="1"/>
    <col min="2" max="2" width="10.85546875" style="18" customWidth="1"/>
    <col min="3" max="3" width="14.140625" style="18" customWidth="1"/>
    <col min="4" max="4" width="29.7109375" style="17" customWidth="1"/>
    <col min="5" max="256" width="9.140625" style="17"/>
    <col min="257" max="257" width="11" style="17" customWidth="1"/>
    <col min="258" max="258" width="10.85546875" style="17" customWidth="1"/>
    <col min="259" max="259" width="14.140625" style="17" customWidth="1"/>
    <col min="260" max="260" width="29.7109375" style="17" customWidth="1"/>
    <col min="261" max="512" width="9.140625" style="17"/>
    <col min="513" max="513" width="11" style="17" customWidth="1"/>
    <col min="514" max="514" width="10.85546875" style="17" customWidth="1"/>
    <col min="515" max="515" width="14.140625" style="17" customWidth="1"/>
    <col min="516" max="516" width="29.7109375" style="17" customWidth="1"/>
    <col min="517" max="768" width="9.140625" style="17"/>
    <col min="769" max="769" width="11" style="17" customWidth="1"/>
    <col min="770" max="770" width="10.85546875" style="17" customWidth="1"/>
    <col min="771" max="771" width="14.140625" style="17" customWidth="1"/>
    <col min="772" max="772" width="29.7109375" style="17" customWidth="1"/>
    <col min="773" max="1024" width="9.140625" style="17"/>
    <col min="1025" max="1025" width="11" style="17" customWidth="1"/>
    <col min="1026" max="1026" width="10.85546875" style="17" customWidth="1"/>
    <col min="1027" max="1027" width="14.140625" style="17" customWidth="1"/>
    <col min="1028" max="1028" width="29.7109375" style="17" customWidth="1"/>
    <col min="1029" max="1280" width="9.140625" style="17"/>
    <col min="1281" max="1281" width="11" style="17" customWidth="1"/>
    <col min="1282" max="1282" width="10.85546875" style="17" customWidth="1"/>
    <col min="1283" max="1283" width="14.140625" style="17" customWidth="1"/>
    <col min="1284" max="1284" width="29.7109375" style="17" customWidth="1"/>
    <col min="1285" max="1536" width="9.140625" style="17"/>
    <col min="1537" max="1537" width="11" style="17" customWidth="1"/>
    <col min="1538" max="1538" width="10.85546875" style="17" customWidth="1"/>
    <col min="1539" max="1539" width="14.140625" style="17" customWidth="1"/>
    <col min="1540" max="1540" width="29.7109375" style="17" customWidth="1"/>
    <col min="1541" max="1792" width="9.140625" style="17"/>
    <col min="1793" max="1793" width="11" style="17" customWidth="1"/>
    <col min="1794" max="1794" width="10.85546875" style="17" customWidth="1"/>
    <col min="1795" max="1795" width="14.140625" style="17" customWidth="1"/>
    <col min="1796" max="1796" width="29.7109375" style="17" customWidth="1"/>
    <col min="1797" max="2048" width="9.140625" style="17"/>
    <col min="2049" max="2049" width="11" style="17" customWidth="1"/>
    <col min="2050" max="2050" width="10.85546875" style="17" customWidth="1"/>
    <col min="2051" max="2051" width="14.140625" style="17" customWidth="1"/>
    <col min="2052" max="2052" width="29.7109375" style="17" customWidth="1"/>
    <col min="2053" max="2304" width="9.140625" style="17"/>
    <col min="2305" max="2305" width="11" style="17" customWidth="1"/>
    <col min="2306" max="2306" width="10.85546875" style="17" customWidth="1"/>
    <col min="2307" max="2307" width="14.140625" style="17" customWidth="1"/>
    <col min="2308" max="2308" width="29.7109375" style="17" customWidth="1"/>
    <col min="2309" max="2560" width="9.140625" style="17"/>
    <col min="2561" max="2561" width="11" style="17" customWidth="1"/>
    <col min="2562" max="2562" width="10.85546875" style="17" customWidth="1"/>
    <col min="2563" max="2563" width="14.140625" style="17" customWidth="1"/>
    <col min="2564" max="2564" width="29.7109375" style="17" customWidth="1"/>
    <col min="2565" max="2816" width="9.140625" style="17"/>
    <col min="2817" max="2817" width="11" style="17" customWidth="1"/>
    <col min="2818" max="2818" width="10.85546875" style="17" customWidth="1"/>
    <col min="2819" max="2819" width="14.140625" style="17" customWidth="1"/>
    <col min="2820" max="2820" width="29.7109375" style="17" customWidth="1"/>
    <col min="2821" max="3072" width="9.140625" style="17"/>
    <col min="3073" max="3073" width="11" style="17" customWidth="1"/>
    <col min="3074" max="3074" width="10.85546875" style="17" customWidth="1"/>
    <col min="3075" max="3075" width="14.140625" style="17" customWidth="1"/>
    <col min="3076" max="3076" width="29.7109375" style="17" customWidth="1"/>
    <col min="3077" max="3328" width="9.140625" style="17"/>
    <col min="3329" max="3329" width="11" style="17" customWidth="1"/>
    <col min="3330" max="3330" width="10.85546875" style="17" customWidth="1"/>
    <col min="3331" max="3331" width="14.140625" style="17" customWidth="1"/>
    <col min="3332" max="3332" width="29.7109375" style="17" customWidth="1"/>
    <col min="3333" max="3584" width="9.140625" style="17"/>
    <col min="3585" max="3585" width="11" style="17" customWidth="1"/>
    <col min="3586" max="3586" width="10.85546875" style="17" customWidth="1"/>
    <col min="3587" max="3587" width="14.140625" style="17" customWidth="1"/>
    <col min="3588" max="3588" width="29.7109375" style="17" customWidth="1"/>
    <col min="3589" max="3840" width="9.140625" style="17"/>
    <col min="3841" max="3841" width="11" style="17" customWidth="1"/>
    <col min="3842" max="3842" width="10.85546875" style="17" customWidth="1"/>
    <col min="3843" max="3843" width="14.140625" style="17" customWidth="1"/>
    <col min="3844" max="3844" width="29.7109375" style="17" customWidth="1"/>
    <col min="3845" max="4096" width="9.140625" style="17"/>
    <col min="4097" max="4097" width="11" style="17" customWidth="1"/>
    <col min="4098" max="4098" width="10.85546875" style="17" customWidth="1"/>
    <col min="4099" max="4099" width="14.140625" style="17" customWidth="1"/>
    <col min="4100" max="4100" width="29.7109375" style="17" customWidth="1"/>
    <col min="4101" max="4352" width="9.140625" style="17"/>
    <col min="4353" max="4353" width="11" style="17" customWidth="1"/>
    <col min="4354" max="4354" width="10.85546875" style="17" customWidth="1"/>
    <col min="4355" max="4355" width="14.140625" style="17" customWidth="1"/>
    <col min="4356" max="4356" width="29.7109375" style="17" customWidth="1"/>
    <col min="4357" max="4608" width="9.140625" style="17"/>
    <col min="4609" max="4609" width="11" style="17" customWidth="1"/>
    <col min="4610" max="4610" width="10.85546875" style="17" customWidth="1"/>
    <col min="4611" max="4611" width="14.140625" style="17" customWidth="1"/>
    <col min="4612" max="4612" width="29.7109375" style="17" customWidth="1"/>
    <col min="4613" max="4864" width="9.140625" style="17"/>
    <col min="4865" max="4865" width="11" style="17" customWidth="1"/>
    <col min="4866" max="4866" width="10.85546875" style="17" customWidth="1"/>
    <col min="4867" max="4867" width="14.140625" style="17" customWidth="1"/>
    <col min="4868" max="4868" width="29.7109375" style="17" customWidth="1"/>
    <col min="4869" max="5120" width="9.140625" style="17"/>
    <col min="5121" max="5121" width="11" style="17" customWidth="1"/>
    <col min="5122" max="5122" width="10.85546875" style="17" customWidth="1"/>
    <col min="5123" max="5123" width="14.140625" style="17" customWidth="1"/>
    <col min="5124" max="5124" width="29.7109375" style="17" customWidth="1"/>
    <col min="5125" max="5376" width="9.140625" style="17"/>
    <col min="5377" max="5377" width="11" style="17" customWidth="1"/>
    <col min="5378" max="5378" width="10.85546875" style="17" customWidth="1"/>
    <col min="5379" max="5379" width="14.140625" style="17" customWidth="1"/>
    <col min="5380" max="5380" width="29.7109375" style="17" customWidth="1"/>
    <col min="5381" max="5632" width="9.140625" style="17"/>
    <col min="5633" max="5633" width="11" style="17" customWidth="1"/>
    <col min="5634" max="5634" width="10.85546875" style="17" customWidth="1"/>
    <col min="5635" max="5635" width="14.140625" style="17" customWidth="1"/>
    <col min="5636" max="5636" width="29.7109375" style="17" customWidth="1"/>
    <col min="5637" max="5888" width="9.140625" style="17"/>
    <col min="5889" max="5889" width="11" style="17" customWidth="1"/>
    <col min="5890" max="5890" width="10.85546875" style="17" customWidth="1"/>
    <col min="5891" max="5891" width="14.140625" style="17" customWidth="1"/>
    <col min="5892" max="5892" width="29.7109375" style="17" customWidth="1"/>
    <col min="5893" max="6144" width="9.140625" style="17"/>
    <col min="6145" max="6145" width="11" style="17" customWidth="1"/>
    <col min="6146" max="6146" width="10.85546875" style="17" customWidth="1"/>
    <col min="6147" max="6147" width="14.140625" style="17" customWidth="1"/>
    <col min="6148" max="6148" width="29.7109375" style="17" customWidth="1"/>
    <col min="6149" max="6400" width="9.140625" style="17"/>
    <col min="6401" max="6401" width="11" style="17" customWidth="1"/>
    <col min="6402" max="6402" width="10.85546875" style="17" customWidth="1"/>
    <col min="6403" max="6403" width="14.140625" style="17" customWidth="1"/>
    <col min="6404" max="6404" width="29.7109375" style="17" customWidth="1"/>
    <col min="6405" max="6656" width="9.140625" style="17"/>
    <col min="6657" max="6657" width="11" style="17" customWidth="1"/>
    <col min="6658" max="6658" width="10.85546875" style="17" customWidth="1"/>
    <col min="6659" max="6659" width="14.140625" style="17" customWidth="1"/>
    <col min="6660" max="6660" width="29.7109375" style="17" customWidth="1"/>
    <col min="6661" max="6912" width="9.140625" style="17"/>
    <col min="6913" max="6913" width="11" style="17" customWidth="1"/>
    <col min="6914" max="6914" width="10.85546875" style="17" customWidth="1"/>
    <col min="6915" max="6915" width="14.140625" style="17" customWidth="1"/>
    <col min="6916" max="6916" width="29.7109375" style="17" customWidth="1"/>
    <col min="6917" max="7168" width="9.140625" style="17"/>
    <col min="7169" max="7169" width="11" style="17" customWidth="1"/>
    <col min="7170" max="7170" width="10.85546875" style="17" customWidth="1"/>
    <col min="7171" max="7171" width="14.140625" style="17" customWidth="1"/>
    <col min="7172" max="7172" width="29.7109375" style="17" customWidth="1"/>
    <col min="7173" max="7424" width="9.140625" style="17"/>
    <col min="7425" max="7425" width="11" style="17" customWidth="1"/>
    <col min="7426" max="7426" width="10.85546875" style="17" customWidth="1"/>
    <col min="7427" max="7427" width="14.140625" style="17" customWidth="1"/>
    <col min="7428" max="7428" width="29.7109375" style="17" customWidth="1"/>
    <col min="7429" max="7680" width="9.140625" style="17"/>
    <col min="7681" max="7681" width="11" style="17" customWidth="1"/>
    <col min="7682" max="7682" width="10.85546875" style="17" customWidth="1"/>
    <col min="7683" max="7683" width="14.140625" style="17" customWidth="1"/>
    <col min="7684" max="7684" width="29.7109375" style="17" customWidth="1"/>
    <col min="7685" max="7936" width="9.140625" style="17"/>
    <col min="7937" max="7937" width="11" style="17" customWidth="1"/>
    <col min="7938" max="7938" width="10.85546875" style="17" customWidth="1"/>
    <col min="7939" max="7939" width="14.140625" style="17" customWidth="1"/>
    <col min="7940" max="7940" width="29.7109375" style="17" customWidth="1"/>
    <col min="7941" max="8192" width="9.140625" style="17"/>
    <col min="8193" max="8193" width="11" style="17" customWidth="1"/>
    <col min="8194" max="8194" width="10.85546875" style="17" customWidth="1"/>
    <col min="8195" max="8195" width="14.140625" style="17" customWidth="1"/>
    <col min="8196" max="8196" width="29.7109375" style="17" customWidth="1"/>
    <col min="8197" max="8448" width="9.140625" style="17"/>
    <col min="8449" max="8449" width="11" style="17" customWidth="1"/>
    <col min="8450" max="8450" width="10.85546875" style="17" customWidth="1"/>
    <col min="8451" max="8451" width="14.140625" style="17" customWidth="1"/>
    <col min="8452" max="8452" width="29.7109375" style="17" customWidth="1"/>
    <col min="8453" max="8704" width="9.140625" style="17"/>
    <col min="8705" max="8705" width="11" style="17" customWidth="1"/>
    <col min="8706" max="8706" width="10.85546875" style="17" customWidth="1"/>
    <col min="8707" max="8707" width="14.140625" style="17" customWidth="1"/>
    <col min="8708" max="8708" width="29.7109375" style="17" customWidth="1"/>
    <col min="8709" max="8960" width="9.140625" style="17"/>
    <col min="8961" max="8961" width="11" style="17" customWidth="1"/>
    <col min="8962" max="8962" width="10.85546875" style="17" customWidth="1"/>
    <col min="8963" max="8963" width="14.140625" style="17" customWidth="1"/>
    <col min="8964" max="8964" width="29.7109375" style="17" customWidth="1"/>
    <col min="8965" max="9216" width="9.140625" style="17"/>
    <col min="9217" max="9217" width="11" style="17" customWidth="1"/>
    <col min="9218" max="9218" width="10.85546875" style="17" customWidth="1"/>
    <col min="9219" max="9219" width="14.140625" style="17" customWidth="1"/>
    <col min="9220" max="9220" width="29.7109375" style="17" customWidth="1"/>
    <col min="9221" max="9472" width="9.140625" style="17"/>
    <col min="9473" max="9473" width="11" style="17" customWidth="1"/>
    <col min="9474" max="9474" width="10.85546875" style="17" customWidth="1"/>
    <col min="9475" max="9475" width="14.140625" style="17" customWidth="1"/>
    <col min="9476" max="9476" width="29.7109375" style="17" customWidth="1"/>
    <col min="9477" max="9728" width="9.140625" style="17"/>
    <col min="9729" max="9729" width="11" style="17" customWidth="1"/>
    <col min="9730" max="9730" width="10.85546875" style="17" customWidth="1"/>
    <col min="9731" max="9731" width="14.140625" style="17" customWidth="1"/>
    <col min="9732" max="9732" width="29.7109375" style="17" customWidth="1"/>
    <col min="9733" max="9984" width="9.140625" style="17"/>
    <col min="9985" max="9985" width="11" style="17" customWidth="1"/>
    <col min="9986" max="9986" width="10.85546875" style="17" customWidth="1"/>
    <col min="9987" max="9987" width="14.140625" style="17" customWidth="1"/>
    <col min="9988" max="9988" width="29.7109375" style="17" customWidth="1"/>
    <col min="9989" max="10240" width="9.140625" style="17"/>
    <col min="10241" max="10241" width="11" style="17" customWidth="1"/>
    <col min="10242" max="10242" width="10.85546875" style="17" customWidth="1"/>
    <col min="10243" max="10243" width="14.140625" style="17" customWidth="1"/>
    <col min="10244" max="10244" width="29.7109375" style="17" customWidth="1"/>
    <col min="10245" max="10496" width="9.140625" style="17"/>
    <col min="10497" max="10497" width="11" style="17" customWidth="1"/>
    <col min="10498" max="10498" width="10.85546875" style="17" customWidth="1"/>
    <col min="10499" max="10499" width="14.140625" style="17" customWidth="1"/>
    <col min="10500" max="10500" width="29.7109375" style="17" customWidth="1"/>
    <col min="10501" max="10752" width="9.140625" style="17"/>
    <col min="10753" max="10753" width="11" style="17" customWidth="1"/>
    <col min="10754" max="10754" width="10.85546875" style="17" customWidth="1"/>
    <col min="10755" max="10755" width="14.140625" style="17" customWidth="1"/>
    <col min="10756" max="10756" width="29.7109375" style="17" customWidth="1"/>
    <col min="10757" max="11008" width="9.140625" style="17"/>
    <col min="11009" max="11009" width="11" style="17" customWidth="1"/>
    <col min="11010" max="11010" width="10.85546875" style="17" customWidth="1"/>
    <col min="11011" max="11011" width="14.140625" style="17" customWidth="1"/>
    <col min="11012" max="11012" width="29.7109375" style="17" customWidth="1"/>
    <col min="11013" max="11264" width="9.140625" style="17"/>
    <col min="11265" max="11265" width="11" style="17" customWidth="1"/>
    <col min="11266" max="11266" width="10.85546875" style="17" customWidth="1"/>
    <col min="11267" max="11267" width="14.140625" style="17" customWidth="1"/>
    <col min="11268" max="11268" width="29.7109375" style="17" customWidth="1"/>
    <col min="11269" max="11520" width="9.140625" style="17"/>
    <col min="11521" max="11521" width="11" style="17" customWidth="1"/>
    <col min="11522" max="11522" width="10.85546875" style="17" customWidth="1"/>
    <col min="11523" max="11523" width="14.140625" style="17" customWidth="1"/>
    <col min="11524" max="11524" width="29.7109375" style="17" customWidth="1"/>
    <col min="11525" max="11776" width="9.140625" style="17"/>
    <col min="11777" max="11777" width="11" style="17" customWidth="1"/>
    <col min="11778" max="11778" width="10.85546875" style="17" customWidth="1"/>
    <col min="11779" max="11779" width="14.140625" style="17" customWidth="1"/>
    <col min="11780" max="11780" width="29.7109375" style="17" customWidth="1"/>
    <col min="11781" max="12032" width="9.140625" style="17"/>
    <col min="12033" max="12033" width="11" style="17" customWidth="1"/>
    <col min="12034" max="12034" width="10.85546875" style="17" customWidth="1"/>
    <col min="12035" max="12035" width="14.140625" style="17" customWidth="1"/>
    <col min="12036" max="12036" width="29.7109375" style="17" customWidth="1"/>
    <col min="12037" max="12288" width="9.140625" style="17"/>
    <col min="12289" max="12289" width="11" style="17" customWidth="1"/>
    <col min="12290" max="12290" width="10.85546875" style="17" customWidth="1"/>
    <col min="12291" max="12291" width="14.140625" style="17" customWidth="1"/>
    <col min="12292" max="12292" width="29.7109375" style="17" customWidth="1"/>
    <col min="12293" max="12544" width="9.140625" style="17"/>
    <col min="12545" max="12545" width="11" style="17" customWidth="1"/>
    <col min="12546" max="12546" width="10.85546875" style="17" customWidth="1"/>
    <col min="12547" max="12547" width="14.140625" style="17" customWidth="1"/>
    <col min="12548" max="12548" width="29.7109375" style="17" customWidth="1"/>
    <col min="12549" max="12800" width="9.140625" style="17"/>
    <col min="12801" max="12801" width="11" style="17" customWidth="1"/>
    <col min="12802" max="12802" width="10.85546875" style="17" customWidth="1"/>
    <col min="12803" max="12803" width="14.140625" style="17" customWidth="1"/>
    <col min="12804" max="12804" width="29.7109375" style="17" customWidth="1"/>
    <col min="12805" max="13056" width="9.140625" style="17"/>
    <col min="13057" max="13057" width="11" style="17" customWidth="1"/>
    <col min="13058" max="13058" width="10.85546875" style="17" customWidth="1"/>
    <col min="13059" max="13059" width="14.140625" style="17" customWidth="1"/>
    <col min="13060" max="13060" width="29.7109375" style="17" customWidth="1"/>
    <col min="13061" max="13312" width="9.140625" style="17"/>
    <col min="13313" max="13313" width="11" style="17" customWidth="1"/>
    <col min="13314" max="13314" width="10.85546875" style="17" customWidth="1"/>
    <col min="13315" max="13315" width="14.140625" style="17" customWidth="1"/>
    <col min="13316" max="13316" width="29.7109375" style="17" customWidth="1"/>
    <col min="13317" max="13568" width="9.140625" style="17"/>
    <col min="13569" max="13569" width="11" style="17" customWidth="1"/>
    <col min="13570" max="13570" width="10.85546875" style="17" customWidth="1"/>
    <col min="13571" max="13571" width="14.140625" style="17" customWidth="1"/>
    <col min="13572" max="13572" width="29.7109375" style="17" customWidth="1"/>
    <col min="13573" max="13824" width="9.140625" style="17"/>
    <col min="13825" max="13825" width="11" style="17" customWidth="1"/>
    <col min="13826" max="13826" width="10.85546875" style="17" customWidth="1"/>
    <col min="13827" max="13827" width="14.140625" style="17" customWidth="1"/>
    <col min="13828" max="13828" width="29.7109375" style="17" customWidth="1"/>
    <col min="13829" max="14080" width="9.140625" style="17"/>
    <col min="14081" max="14081" width="11" style="17" customWidth="1"/>
    <col min="14082" max="14082" width="10.85546875" style="17" customWidth="1"/>
    <col min="14083" max="14083" width="14.140625" style="17" customWidth="1"/>
    <col min="14084" max="14084" width="29.7109375" style="17" customWidth="1"/>
    <col min="14085" max="14336" width="9.140625" style="17"/>
    <col min="14337" max="14337" width="11" style="17" customWidth="1"/>
    <col min="14338" max="14338" width="10.85546875" style="17" customWidth="1"/>
    <col min="14339" max="14339" width="14.140625" style="17" customWidth="1"/>
    <col min="14340" max="14340" width="29.7109375" style="17" customWidth="1"/>
    <col min="14341" max="14592" width="9.140625" style="17"/>
    <col min="14593" max="14593" width="11" style="17" customWidth="1"/>
    <col min="14594" max="14594" width="10.85546875" style="17" customWidth="1"/>
    <col min="14595" max="14595" width="14.140625" style="17" customWidth="1"/>
    <col min="14596" max="14596" width="29.7109375" style="17" customWidth="1"/>
    <col min="14597" max="14848" width="9.140625" style="17"/>
    <col min="14849" max="14849" width="11" style="17" customWidth="1"/>
    <col min="14850" max="14850" width="10.85546875" style="17" customWidth="1"/>
    <col min="14851" max="14851" width="14.140625" style="17" customWidth="1"/>
    <col min="14852" max="14852" width="29.7109375" style="17" customWidth="1"/>
    <col min="14853" max="15104" width="9.140625" style="17"/>
    <col min="15105" max="15105" width="11" style="17" customWidth="1"/>
    <col min="15106" max="15106" width="10.85546875" style="17" customWidth="1"/>
    <col min="15107" max="15107" width="14.140625" style="17" customWidth="1"/>
    <col min="15108" max="15108" width="29.7109375" style="17" customWidth="1"/>
    <col min="15109" max="15360" width="9.140625" style="17"/>
    <col min="15361" max="15361" width="11" style="17" customWidth="1"/>
    <col min="15362" max="15362" width="10.85546875" style="17" customWidth="1"/>
    <col min="15363" max="15363" width="14.140625" style="17" customWidth="1"/>
    <col min="15364" max="15364" width="29.7109375" style="17" customWidth="1"/>
    <col min="15365" max="15616" width="9.140625" style="17"/>
    <col min="15617" max="15617" width="11" style="17" customWidth="1"/>
    <col min="15618" max="15618" width="10.85546875" style="17" customWidth="1"/>
    <col min="15619" max="15619" width="14.140625" style="17" customWidth="1"/>
    <col min="15620" max="15620" width="29.7109375" style="17" customWidth="1"/>
    <col min="15621" max="15872" width="9.140625" style="17"/>
    <col min="15873" max="15873" width="11" style="17" customWidth="1"/>
    <col min="15874" max="15874" width="10.85546875" style="17" customWidth="1"/>
    <col min="15875" max="15875" width="14.140625" style="17" customWidth="1"/>
    <col min="15876" max="15876" width="29.7109375" style="17" customWidth="1"/>
    <col min="15877" max="16128" width="9.140625" style="17"/>
    <col min="16129" max="16129" width="11" style="17" customWidth="1"/>
    <col min="16130" max="16130" width="10.85546875" style="17" customWidth="1"/>
    <col min="16131" max="16131" width="14.140625" style="17" customWidth="1"/>
    <col min="16132" max="16132" width="29.7109375" style="17" customWidth="1"/>
    <col min="16133" max="16384" width="9.140625" style="17"/>
  </cols>
  <sheetData>
    <row r="1" spans="1:5" ht="51" customHeight="1" x14ac:dyDescent="0.25">
      <c r="A1" s="150" t="s">
        <v>2252</v>
      </c>
      <c r="B1" s="151"/>
      <c r="C1" s="151"/>
      <c r="D1" s="151"/>
    </row>
    <row r="3" spans="1:5" x14ac:dyDescent="0.2">
      <c r="A3" s="17" t="s">
        <v>2253</v>
      </c>
    </row>
    <row r="4" spans="1:5" x14ac:dyDescent="0.2">
      <c r="A4" s="17" t="s">
        <v>2254</v>
      </c>
    </row>
    <row r="6" spans="1:5" s="21" customFormat="1" x14ac:dyDescent="0.25">
      <c r="A6" s="19" t="s">
        <v>2255</v>
      </c>
      <c r="B6" s="20" t="s">
        <v>2256</v>
      </c>
      <c r="C6" s="19" t="s">
        <v>2257</v>
      </c>
      <c r="D6" s="19" t="s">
        <v>2258</v>
      </c>
      <c r="E6" s="27" t="s">
        <v>2256</v>
      </c>
    </row>
    <row r="7" spans="1:5" x14ac:dyDescent="0.2">
      <c r="A7" s="22" t="s">
        <v>2259</v>
      </c>
      <c r="B7" s="23">
        <v>0</v>
      </c>
      <c r="C7" s="28">
        <v>0</v>
      </c>
      <c r="D7" s="22" t="s">
        <v>2260</v>
      </c>
      <c r="E7" s="17" t="str">
        <f>IF(B7=0,"",IF(COUNTIF($B$7:B7,B7)=1,D7,E6))</f>
        <v/>
      </c>
    </row>
    <row r="8" spans="1:5" x14ac:dyDescent="0.2">
      <c r="A8" s="22" t="s">
        <v>2259</v>
      </c>
      <c r="B8" s="24" t="s">
        <v>2259</v>
      </c>
      <c r="C8" s="28">
        <v>0</v>
      </c>
      <c r="D8" s="25" t="s">
        <v>2261</v>
      </c>
      <c r="E8" s="17" t="str">
        <f>IF(B8=0,"",IF(COUNTIF($B$7:B8,B8)=1,D8,E7))</f>
        <v>New England Division</v>
      </c>
    </row>
    <row r="9" spans="1:5" x14ac:dyDescent="0.2">
      <c r="A9" s="22" t="s">
        <v>2259</v>
      </c>
      <c r="B9" s="24" t="s">
        <v>2259</v>
      </c>
      <c r="C9" s="22">
        <v>9</v>
      </c>
      <c r="D9" s="26" t="s">
        <v>2262</v>
      </c>
      <c r="E9" s="17" t="str">
        <f>IF(B9=0,"",IF(COUNTIF($B$7:B9,B9)=1,D9,E8))</f>
        <v>New England Division</v>
      </c>
    </row>
    <row r="10" spans="1:5" x14ac:dyDescent="0.2">
      <c r="A10" s="22" t="s">
        <v>2259</v>
      </c>
      <c r="B10" s="24" t="s">
        <v>2259</v>
      </c>
      <c r="C10" s="22">
        <v>23</v>
      </c>
      <c r="D10" s="26" t="s">
        <v>2263</v>
      </c>
      <c r="E10" s="17" t="str">
        <f>IF(B10=0,"",IF(COUNTIF($B$7:B10,B10)=1,D10,E9))</f>
        <v>New England Division</v>
      </c>
    </row>
    <row r="11" spans="1:5" x14ac:dyDescent="0.2">
      <c r="A11" s="22" t="s">
        <v>2259</v>
      </c>
      <c r="B11" s="24" t="s">
        <v>2259</v>
      </c>
      <c r="C11" s="22">
        <v>25</v>
      </c>
      <c r="D11" s="26" t="s">
        <v>2264</v>
      </c>
      <c r="E11" s="17" t="str">
        <f>IF(B11=0,"",IF(COUNTIF($B$7:B11,B11)=1,D11,E10))</f>
        <v>New England Division</v>
      </c>
    </row>
    <row r="12" spans="1:5" x14ac:dyDescent="0.2">
      <c r="A12" s="22" t="s">
        <v>2259</v>
      </c>
      <c r="B12" s="24" t="s">
        <v>2259</v>
      </c>
      <c r="C12" s="22">
        <v>33</v>
      </c>
      <c r="D12" s="26" t="s">
        <v>1850</v>
      </c>
      <c r="E12" s="17" t="str">
        <f>IF(B12=0,"",IF(COUNTIF($B$7:B12,B12)=1,D12,E11))</f>
        <v>New England Division</v>
      </c>
    </row>
    <row r="13" spans="1:5" x14ac:dyDescent="0.2">
      <c r="A13" s="22" t="s">
        <v>2259</v>
      </c>
      <c r="B13" s="24" t="s">
        <v>2259</v>
      </c>
      <c r="C13" s="22">
        <v>44</v>
      </c>
      <c r="D13" s="26" t="s">
        <v>2006</v>
      </c>
      <c r="E13" s="17" t="str">
        <f>IF(B13=0,"",IF(COUNTIF($B$7:B13,B13)=1,D13,E12))</f>
        <v>New England Division</v>
      </c>
    </row>
    <row r="14" spans="1:5" x14ac:dyDescent="0.2">
      <c r="A14" s="22" t="s">
        <v>2259</v>
      </c>
      <c r="B14" s="24" t="s">
        <v>2259</v>
      </c>
      <c r="C14" s="22">
        <v>50</v>
      </c>
      <c r="D14" s="26" t="s">
        <v>2145</v>
      </c>
      <c r="E14" s="17" t="str">
        <f>IF(B14=0,"",IF(COUNTIF($B$7:B14,B14)=1,D14,E13))</f>
        <v>New England Division</v>
      </c>
    </row>
    <row r="15" spans="1:5" x14ac:dyDescent="0.2">
      <c r="A15" s="22" t="s">
        <v>2259</v>
      </c>
      <c r="B15" s="24" t="s">
        <v>2265</v>
      </c>
      <c r="C15" s="28">
        <v>0</v>
      </c>
      <c r="D15" s="25" t="s">
        <v>2266</v>
      </c>
      <c r="E15" s="17" t="str">
        <f>IF(B15=0,"",IF(COUNTIF($B$7:B15,B15)=1,D15,E14))</f>
        <v>Middle Atlantic Division</v>
      </c>
    </row>
    <row r="16" spans="1:5" x14ac:dyDescent="0.2">
      <c r="A16" s="22" t="s">
        <v>2259</v>
      </c>
      <c r="B16" s="24" t="s">
        <v>2265</v>
      </c>
      <c r="C16" s="22">
        <v>34</v>
      </c>
      <c r="D16" s="26" t="s">
        <v>1857</v>
      </c>
      <c r="E16" s="17" t="str">
        <f>IF(B16=0,"",IF(COUNTIF($B$7:B16,B16)=1,D16,E15))</f>
        <v>Middle Atlantic Division</v>
      </c>
    </row>
    <row r="17" spans="1:5" x14ac:dyDescent="0.2">
      <c r="A17" s="22" t="s">
        <v>2259</v>
      </c>
      <c r="B17" s="24" t="s">
        <v>2265</v>
      </c>
      <c r="C17" s="22">
        <v>36</v>
      </c>
      <c r="D17" s="26" t="s">
        <v>961</v>
      </c>
      <c r="E17" s="17" t="str">
        <f>IF(B17=0,"",IF(COUNTIF($B$7:B17,B17)=1,D17,E16))</f>
        <v>Middle Atlantic Division</v>
      </c>
    </row>
    <row r="18" spans="1:5" x14ac:dyDescent="0.2">
      <c r="A18" s="22" t="s">
        <v>2259</v>
      </c>
      <c r="B18" s="24" t="s">
        <v>2265</v>
      </c>
      <c r="C18" s="22">
        <v>42</v>
      </c>
      <c r="D18" s="26" t="s">
        <v>1988</v>
      </c>
      <c r="E18" s="17" t="str">
        <f>IF(B18=0,"",IF(COUNTIF($B$7:B18,B18)=1,D18,E17))</f>
        <v>Middle Atlantic Division</v>
      </c>
    </row>
    <row r="19" spans="1:5" x14ac:dyDescent="0.2">
      <c r="A19" s="22" t="s">
        <v>2265</v>
      </c>
      <c r="B19" s="23" t="s">
        <v>2267</v>
      </c>
      <c r="C19" s="28">
        <v>0</v>
      </c>
      <c r="D19" s="22" t="s">
        <v>2268</v>
      </c>
      <c r="E19" s="17" t="str">
        <f>IF(B19=0,"",IF(COUNTIF($B$7:B19,B19)=1,D19,E18))</f>
        <v>Middle Atlantic Division</v>
      </c>
    </row>
    <row r="20" spans="1:5" x14ac:dyDescent="0.2">
      <c r="A20" s="22" t="s">
        <v>2265</v>
      </c>
      <c r="B20" s="24" t="s">
        <v>2269</v>
      </c>
      <c r="C20" s="28">
        <v>0</v>
      </c>
      <c r="D20" s="25" t="s">
        <v>2270</v>
      </c>
      <c r="E20" s="17" t="str">
        <f>IF(B20=0,"",IF(COUNTIF($B$7:B20,B20)=1,D20,E19))</f>
        <v>East North Central Division</v>
      </c>
    </row>
    <row r="21" spans="1:5" x14ac:dyDescent="0.2">
      <c r="A21" s="22" t="s">
        <v>2265</v>
      </c>
      <c r="B21" s="24" t="s">
        <v>2269</v>
      </c>
      <c r="C21" s="22">
        <v>17</v>
      </c>
      <c r="D21" s="26" t="s">
        <v>1564</v>
      </c>
      <c r="E21" s="17" t="str">
        <f>IF(B21=0,"",IF(COUNTIF($B$7:B21,B21)=1,D21,E20))</f>
        <v>East North Central Division</v>
      </c>
    </row>
    <row r="22" spans="1:5" x14ac:dyDescent="0.2">
      <c r="A22" s="22" t="s">
        <v>2265</v>
      </c>
      <c r="B22" s="24" t="s">
        <v>2269</v>
      </c>
      <c r="C22" s="22">
        <v>18</v>
      </c>
      <c r="D22" s="26" t="s">
        <v>1579</v>
      </c>
      <c r="E22" s="17" t="str">
        <f>IF(B22=0,"",IF(COUNTIF($B$7:B22,B22)=1,D22,E21))</f>
        <v>East North Central Division</v>
      </c>
    </row>
    <row r="23" spans="1:5" x14ac:dyDescent="0.2">
      <c r="A23" s="22" t="s">
        <v>2265</v>
      </c>
      <c r="B23" s="24" t="s">
        <v>2269</v>
      </c>
      <c r="C23" s="22">
        <v>26</v>
      </c>
      <c r="D23" s="26" t="s">
        <v>1698</v>
      </c>
      <c r="E23" s="17" t="str">
        <f>IF(B23=0,"",IF(COUNTIF($B$7:B23,B23)=1,D23,E22))</f>
        <v>East North Central Division</v>
      </c>
    </row>
    <row r="24" spans="1:5" x14ac:dyDescent="0.2">
      <c r="A24" s="22" t="s">
        <v>2265</v>
      </c>
      <c r="B24" s="24" t="s">
        <v>2269</v>
      </c>
      <c r="C24" s="22">
        <v>39</v>
      </c>
      <c r="D24" s="26" t="s">
        <v>694</v>
      </c>
      <c r="E24" s="17" t="str">
        <f>IF(B24=0,"",IF(COUNTIF($B$7:B24,B24)=1,D24,E23))</f>
        <v>East North Central Division</v>
      </c>
    </row>
    <row r="25" spans="1:5" x14ac:dyDescent="0.2">
      <c r="A25" s="22" t="s">
        <v>2265</v>
      </c>
      <c r="B25" s="24" t="s">
        <v>2269</v>
      </c>
      <c r="C25" s="22">
        <v>55</v>
      </c>
      <c r="D25" s="26" t="s">
        <v>2219</v>
      </c>
      <c r="E25" s="17" t="str">
        <f>IF(B25=0,"",IF(COUNTIF($B$7:B25,B25)=1,D25,E24))</f>
        <v>East North Central Division</v>
      </c>
    </row>
    <row r="26" spans="1:5" x14ac:dyDescent="0.2">
      <c r="A26" s="22" t="s">
        <v>2265</v>
      </c>
      <c r="B26" s="24" t="s">
        <v>2271</v>
      </c>
      <c r="C26" s="28">
        <v>0</v>
      </c>
      <c r="D26" s="25" t="s">
        <v>2272</v>
      </c>
      <c r="E26" s="17" t="str">
        <f>IF(B26=0,"",IF(COUNTIF($B$7:B26,B26)=1,D26,E25))</f>
        <v>West North Central Division</v>
      </c>
    </row>
    <row r="27" spans="1:5" x14ac:dyDescent="0.2">
      <c r="A27" s="22" t="s">
        <v>2265</v>
      </c>
      <c r="B27" s="24" t="s">
        <v>2271</v>
      </c>
      <c r="C27" s="22">
        <v>19</v>
      </c>
      <c r="D27" s="26" t="s">
        <v>615</v>
      </c>
      <c r="E27" s="17" t="str">
        <f>IF(B27=0,"",IF(COUNTIF($B$7:B27,B27)=1,D27,E26))</f>
        <v>West North Central Division</v>
      </c>
    </row>
    <row r="28" spans="1:5" x14ac:dyDescent="0.2">
      <c r="A28" s="22" t="s">
        <v>2265</v>
      </c>
      <c r="B28" s="24" t="s">
        <v>2271</v>
      </c>
      <c r="C28" s="22">
        <v>20</v>
      </c>
      <c r="D28" s="26" t="s">
        <v>1616</v>
      </c>
      <c r="E28" s="17" t="str">
        <f>IF(B28=0,"",IF(COUNTIF($B$7:B28,B28)=1,D28,E27))</f>
        <v>West North Central Division</v>
      </c>
    </row>
    <row r="29" spans="1:5" x14ac:dyDescent="0.2">
      <c r="A29" s="22" t="s">
        <v>2265</v>
      </c>
      <c r="B29" s="24" t="s">
        <v>2271</v>
      </c>
      <c r="C29" s="22">
        <v>27</v>
      </c>
      <c r="D29" s="26" t="s">
        <v>1743</v>
      </c>
      <c r="E29" s="17" t="str">
        <f>IF(B29=0,"",IF(COUNTIF($B$7:B29,B29)=1,D29,E28))</f>
        <v>West North Central Division</v>
      </c>
    </row>
    <row r="30" spans="1:5" x14ac:dyDescent="0.2">
      <c r="A30" s="22" t="s">
        <v>2265</v>
      </c>
      <c r="B30" s="24" t="s">
        <v>2271</v>
      </c>
      <c r="C30" s="22">
        <v>29</v>
      </c>
      <c r="D30" s="26" t="s">
        <v>1784</v>
      </c>
      <c r="E30" s="17" t="str">
        <f>IF(B30=0,"",IF(COUNTIF($B$7:B30,B30)=1,D30,E29))</f>
        <v>West North Central Division</v>
      </c>
    </row>
    <row r="31" spans="1:5" x14ac:dyDescent="0.2">
      <c r="A31" s="22" t="s">
        <v>2265</v>
      </c>
      <c r="B31" s="24" t="s">
        <v>2271</v>
      </c>
      <c r="C31" s="22">
        <v>31</v>
      </c>
      <c r="D31" s="26" t="s">
        <v>1826</v>
      </c>
      <c r="E31" s="17" t="str">
        <f>IF(B31=0,"",IF(COUNTIF($B$7:B31,B31)=1,D31,E30))</f>
        <v>West North Central Division</v>
      </c>
    </row>
    <row r="32" spans="1:5" x14ac:dyDescent="0.2">
      <c r="A32" s="22" t="s">
        <v>2265</v>
      </c>
      <c r="B32" s="24" t="s">
        <v>2271</v>
      </c>
      <c r="C32" s="22">
        <v>38</v>
      </c>
      <c r="D32" s="26" t="s">
        <v>1924</v>
      </c>
      <c r="E32" s="17" t="str">
        <f>IF(B32=0,"",IF(COUNTIF($B$7:B32,B32)=1,D32,E31))</f>
        <v>West North Central Division</v>
      </c>
    </row>
    <row r="33" spans="1:5" x14ac:dyDescent="0.2">
      <c r="A33" s="22" t="s">
        <v>2265</v>
      </c>
      <c r="B33" s="24" t="s">
        <v>2271</v>
      </c>
      <c r="C33" s="22">
        <v>46</v>
      </c>
      <c r="D33" s="26" t="s">
        <v>2027</v>
      </c>
      <c r="E33" s="17" t="str">
        <f>IF(B33=0,"",IF(COUNTIF($B$7:B33,B33)=1,D33,E32))</f>
        <v>West North Central Division</v>
      </c>
    </row>
    <row r="34" spans="1:5" x14ac:dyDescent="0.2">
      <c r="A34" s="22" t="s">
        <v>2269</v>
      </c>
      <c r="B34" s="23" t="s">
        <v>2267</v>
      </c>
      <c r="C34" s="28">
        <v>0</v>
      </c>
      <c r="D34" s="22" t="s">
        <v>2273</v>
      </c>
      <c r="E34" s="17" t="str">
        <f>IF(B34=0,"",IF(COUNTIF($B$7:B34,B34)=1,D34,E33))</f>
        <v>West North Central Division</v>
      </c>
    </row>
    <row r="35" spans="1:5" x14ac:dyDescent="0.2">
      <c r="A35" s="22" t="s">
        <v>2269</v>
      </c>
      <c r="B35" s="24" t="s">
        <v>2274</v>
      </c>
      <c r="C35" s="28">
        <v>0</v>
      </c>
      <c r="D35" s="25" t="s">
        <v>2275</v>
      </c>
      <c r="E35" s="17" t="str">
        <f>IF(B35=0,"",IF(COUNTIF($B$7:B35,B35)=1,D35,E34))</f>
        <v>South Atlantic Division</v>
      </c>
    </row>
    <row r="36" spans="1:5" x14ac:dyDescent="0.2">
      <c r="A36" s="22" t="s">
        <v>2269</v>
      </c>
      <c r="B36" s="24" t="s">
        <v>2274</v>
      </c>
      <c r="C36" s="22">
        <v>10</v>
      </c>
      <c r="D36" s="26" t="s">
        <v>584</v>
      </c>
      <c r="E36" s="17" t="str">
        <f>IF(B36=0,"",IF(COUNTIF($B$7:B36,B36)=1,D36,E35))</f>
        <v>South Atlantic Division</v>
      </c>
    </row>
    <row r="37" spans="1:5" x14ac:dyDescent="0.2">
      <c r="A37" s="22" t="s">
        <v>2269</v>
      </c>
      <c r="B37" s="24" t="s">
        <v>2274</v>
      </c>
      <c r="C37" s="22">
        <v>11</v>
      </c>
      <c r="D37" s="26" t="s">
        <v>423</v>
      </c>
      <c r="E37" s="17" t="str">
        <f>IF(B37=0,"",IF(COUNTIF($B$7:B37,B37)=1,D37,E36))</f>
        <v>South Atlantic Division</v>
      </c>
    </row>
    <row r="38" spans="1:5" x14ac:dyDescent="0.2">
      <c r="A38" s="22" t="s">
        <v>2269</v>
      </c>
      <c r="B38" s="24" t="s">
        <v>2274</v>
      </c>
      <c r="C38" s="22">
        <v>12</v>
      </c>
      <c r="D38" s="26" t="s">
        <v>1494</v>
      </c>
      <c r="E38" s="17" t="str">
        <f>IF(B38=0,"",IF(COUNTIF($B$7:B38,B38)=1,D38,E37))</f>
        <v>South Atlantic Division</v>
      </c>
    </row>
    <row r="39" spans="1:5" x14ac:dyDescent="0.2">
      <c r="A39" s="22" t="s">
        <v>2269</v>
      </c>
      <c r="B39" s="24" t="s">
        <v>2274</v>
      </c>
      <c r="C39" s="22">
        <v>13</v>
      </c>
      <c r="D39" s="26" t="s">
        <v>1532</v>
      </c>
      <c r="E39" s="17" t="str">
        <f>IF(B39=0,"",IF(COUNTIF($B$7:B39,B39)=1,D39,E38))</f>
        <v>South Atlantic Division</v>
      </c>
    </row>
    <row r="40" spans="1:5" x14ac:dyDescent="0.2">
      <c r="A40" s="22" t="s">
        <v>2269</v>
      </c>
      <c r="B40" s="24" t="s">
        <v>2274</v>
      </c>
      <c r="C40" s="22">
        <v>24</v>
      </c>
      <c r="D40" s="26" t="s">
        <v>2276</v>
      </c>
      <c r="E40" s="17" t="str">
        <f>IF(B40=0,"",IF(COUNTIF($B$7:B40,B40)=1,D40,E39))</f>
        <v>South Atlantic Division</v>
      </c>
    </row>
    <row r="41" spans="1:5" x14ac:dyDescent="0.2">
      <c r="A41" s="22" t="s">
        <v>2269</v>
      </c>
      <c r="B41" s="24" t="s">
        <v>2274</v>
      </c>
      <c r="C41" s="22">
        <v>37</v>
      </c>
      <c r="D41" s="26" t="s">
        <v>1887</v>
      </c>
      <c r="E41" s="17" t="str">
        <f>IF(B41=0,"",IF(COUNTIF($B$7:B41,B41)=1,D41,E40))</f>
        <v>South Atlantic Division</v>
      </c>
    </row>
    <row r="42" spans="1:5" x14ac:dyDescent="0.2">
      <c r="A42" s="22" t="s">
        <v>2269</v>
      </c>
      <c r="B42" s="24" t="s">
        <v>2274</v>
      </c>
      <c r="C42" s="22">
        <v>45</v>
      </c>
      <c r="D42" s="26" t="s">
        <v>2010</v>
      </c>
      <c r="E42" s="17" t="str">
        <f>IF(B42=0,"",IF(COUNTIF($B$7:B42,B42)=1,D42,E41))</f>
        <v>South Atlantic Division</v>
      </c>
    </row>
    <row r="43" spans="1:5" x14ac:dyDescent="0.2">
      <c r="A43" s="22" t="s">
        <v>2269</v>
      </c>
      <c r="B43" s="24" t="s">
        <v>2274</v>
      </c>
      <c r="C43" s="22">
        <v>51</v>
      </c>
      <c r="D43" s="26" t="s">
        <v>2155</v>
      </c>
      <c r="E43" s="17" t="str">
        <f>IF(B43=0,"",IF(COUNTIF($B$7:B43,B43)=1,D43,E42))</f>
        <v>South Atlantic Division</v>
      </c>
    </row>
    <row r="44" spans="1:5" x14ac:dyDescent="0.2">
      <c r="A44" s="22" t="s">
        <v>2269</v>
      </c>
      <c r="B44" s="24" t="s">
        <v>2274</v>
      </c>
      <c r="C44" s="22">
        <v>54</v>
      </c>
      <c r="D44" s="26" t="s">
        <v>2277</v>
      </c>
      <c r="E44" s="17" t="str">
        <f>IF(B44=0,"",IF(COUNTIF($B$7:B44,B44)=1,D44,E43))</f>
        <v>South Atlantic Division</v>
      </c>
    </row>
    <row r="45" spans="1:5" x14ac:dyDescent="0.2">
      <c r="A45" s="22" t="s">
        <v>2269</v>
      </c>
      <c r="B45" s="24" t="s">
        <v>2278</v>
      </c>
      <c r="C45" s="28">
        <v>0</v>
      </c>
      <c r="D45" s="25" t="s">
        <v>2279</v>
      </c>
      <c r="E45" s="17" t="str">
        <f>IF(B45=0,"",IF(COUNTIF($B$7:B45,B45)=1,D45,E44))</f>
        <v>East South Central Division</v>
      </c>
    </row>
    <row r="46" spans="1:5" x14ac:dyDescent="0.2">
      <c r="A46" s="22" t="s">
        <v>2269</v>
      </c>
      <c r="B46" s="24" t="s">
        <v>2278</v>
      </c>
      <c r="C46" s="22">
        <v>1</v>
      </c>
      <c r="D46" s="26" t="s">
        <v>1379</v>
      </c>
      <c r="E46" s="17" t="str">
        <f>IF(B46=0,"",IF(COUNTIF($B$7:B46,B46)=1,D46,E45))</f>
        <v>East South Central Division</v>
      </c>
    </row>
    <row r="47" spans="1:5" x14ac:dyDescent="0.2">
      <c r="A47" s="22" t="s">
        <v>2269</v>
      </c>
      <c r="B47" s="24" t="s">
        <v>2278</v>
      </c>
      <c r="C47" s="22">
        <v>21</v>
      </c>
      <c r="D47" s="26" t="s">
        <v>1634</v>
      </c>
      <c r="E47" s="17" t="str">
        <f>IF(B47=0,"",IF(COUNTIF($B$7:B47,B47)=1,D47,E46))</f>
        <v>East South Central Division</v>
      </c>
    </row>
    <row r="48" spans="1:5" x14ac:dyDescent="0.2">
      <c r="A48" s="22" t="s">
        <v>2269</v>
      </c>
      <c r="B48" s="24" t="s">
        <v>2278</v>
      </c>
      <c r="C48" s="22">
        <v>28</v>
      </c>
      <c r="D48" s="26" t="s">
        <v>329</v>
      </c>
      <c r="E48" s="17" t="str">
        <f>IF(B48=0,"",IF(COUNTIF($B$7:B48,B48)=1,D48,E47))</f>
        <v>East South Central Division</v>
      </c>
    </row>
    <row r="49" spans="1:5" x14ac:dyDescent="0.2">
      <c r="A49" s="22" t="s">
        <v>2269</v>
      </c>
      <c r="B49" s="24" t="s">
        <v>2278</v>
      </c>
      <c r="C49" s="22">
        <v>47</v>
      </c>
      <c r="D49" s="26" t="s">
        <v>2043</v>
      </c>
      <c r="E49" s="17" t="str">
        <f>IF(B49=0,"",IF(COUNTIF($B$7:B49,B49)=1,D49,E48))</f>
        <v>East South Central Division</v>
      </c>
    </row>
    <row r="50" spans="1:5" x14ac:dyDescent="0.2">
      <c r="A50" s="22" t="s">
        <v>2269</v>
      </c>
      <c r="B50" s="24" t="s">
        <v>2280</v>
      </c>
      <c r="C50" s="28">
        <v>0</v>
      </c>
      <c r="D50" s="25" t="s">
        <v>2281</v>
      </c>
      <c r="E50" s="17" t="str">
        <f>IF(B50=0,"",IF(COUNTIF($B$7:B50,B50)=1,D50,E49))</f>
        <v>West South Central Division</v>
      </c>
    </row>
    <row r="51" spans="1:5" x14ac:dyDescent="0.2">
      <c r="A51" s="22" t="s">
        <v>2269</v>
      </c>
      <c r="B51" s="24" t="s">
        <v>2280</v>
      </c>
      <c r="C51" s="22">
        <v>5</v>
      </c>
      <c r="D51" s="26" t="s">
        <v>1425</v>
      </c>
      <c r="E51" s="17" t="str">
        <f>IF(B51=0,"",IF(COUNTIF($B$7:B51,B51)=1,D51,E50))</f>
        <v>West South Central Division</v>
      </c>
    </row>
    <row r="52" spans="1:5" x14ac:dyDescent="0.2">
      <c r="A52" s="22" t="s">
        <v>2269</v>
      </c>
      <c r="B52" s="24" t="s">
        <v>2280</v>
      </c>
      <c r="C52" s="22">
        <v>22</v>
      </c>
      <c r="D52" s="26" t="s">
        <v>1659</v>
      </c>
      <c r="E52" s="17" t="str">
        <f>IF(B52=0,"",IF(COUNTIF($B$7:B52,B52)=1,D52,E51))</f>
        <v>West South Central Division</v>
      </c>
    </row>
    <row r="53" spans="1:5" x14ac:dyDescent="0.2">
      <c r="A53" s="22" t="s">
        <v>2269</v>
      </c>
      <c r="B53" s="24" t="s">
        <v>2280</v>
      </c>
      <c r="C53" s="22">
        <v>40</v>
      </c>
      <c r="D53" s="26" t="s">
        <v>1953</v>
      </c>
      <c r="E53" s="17" t="str">
        <f>IF(B53=0,"",IF(COUNTIF($B$7:B53,B53)=1,D53,E52))</f>
        <v>West South Central Division</v>
      </c>
    </row>
    <row r="54" spans="1:5" x14ac:dyDescent="0.2">
      <c r="A54" s="22" t="s">
        <v>2269</v>
      </c>
      <c r="B54" s="24" t="s">
        <v>2280</v>
      </c>
      <c r="C54" s="22">
        <v>48</v>
      </c>
      <c r="D54" s="26" t="s">
        <v>869</v>
      </c>
      <c r="E54" s="17" t="str">
        <f>IF(B54=0,"",IF(COUNTIF($B$7:B54,B54)=1,D54,E53))</f>
        <v>West South Central Division</v>
      </c>
    </row>
    <row r="55" spans="1:5" x14ac:dyDescent="0.2">
      <c r="A55" s="22" t="s">
        <v>2271</v>
      </c>
      <c r="B55" s="23" t="s">
        <v>2267</v>
      </c>
      <c r="C55" s="28">
        <v>0</v>
      </c>
      <c r="D55" s="22" t="s">
        <v>2282</v>
      </c>
      <c r="E55" s="17" t="str">
        <f>IF(B55=0,"",IF(COUNTIF($B$7:B55,B55)=1,D55,E54))</f>
        <v>West South Central Division</v>
      </c>
    </row>
    <row r="56" spans="1:5" x14ac:dyDescent="0.2">
      <c r="A56" s="22" t="s">
        <v>2271</v>
      </c>
      <c r="B56" s="24" t="s">
        <v>2283</v>
      </c>
      <c r="C56" s="28">
        <v>0</v>
      </c>
      <c r="D56" s="25" t="s">
        <v>2284</v>
      </c>
      <c r="E56" s="17" t="str">
        <f>IF(B56=0,"",IF(COUNTIF($B$7:B56,B56)=1,D56,E55))</f>
        <v>Mountain Division</v>
      </c>
    </row>
    <row r="57" spans="1:5" x14ac:dyDescent="0.2">
      <c r="A57" s="22" t="s">
        <v>2271</v>
      </c>
      <c r="B57" s="24" t="s">
        <v>2283</v>
      </c>
      <c r="C57" s="22">
        <v>4</v>
      </c>
      <c r="D57" s="26" t="s">
        <v>1410</v>
      </c>
      <c r="E57" s="17" t="str">
        <f>IF(B57=0,"",IF(COUNTIF($B$7:B57,B57)=1,D57,E56))</f>
        <v>Mountain Division</v>
      </c>
    </row>
    <row r="58" spans="1:5" x14ac:dyDescent="0.2">
      <c r="A58" s="22" t="s">
        <v>2271</v>
      </c>
      <c r="B58" s="24" t="s">
        <v>2283</v>
      </c>
      <c r="C58" s="22">
        <v>8</v>
      </c>
      <c r="D58" s="26" t="s">
        <v>1477</v>
      </c>
      <c r="E58" s="17" t="str">
        <f>IF(B58=0,"",IF(COUNTIF($B$7:B58,B58)=1,D58,E57))</f>
        <v>Mountain Division</v>
      </c>
    </row>
    <row r="59" spans="1:5" x14ac:dyDescent="0.2">
      <c r="A59" s="22" t="s">
        <v>2271</v>
      </c>
      <c r="B59" s="24" t="s">
        <v>2283</v>
      </c>
      <c r="C59" s="22">
        <v>16</v>
      </c>
      <c r="D59" s="26" t="s">
        <v>535</v>
      </c>
      <c r="E59" s="17" t="str">
        <f>IF(B59=0,"",IF(COUNTIF($B$7:B59,B59)=1,D59,E58))</f>
        <v>Mountain Division</v>
      </c>
    </row>
    <row r="60" spans="1:5" x14ac:dyDescent="0.2">
      <c r="A60" s="22" t="s">
        <v>2271</v>
      </c>
      <c r="B60" s="24" t="s">
        <v>2283</v>
      </c>
      <c r="C60" s="22">
        <v>30</v>
      </c>
      <c r="D60" s="26" t="s">
        <v>1805</v>
      </c>
      <c r="E60" s="17" t="str">
        <f>IF(B60=0,"",IF(COUNTIF($B$7:B60,B60)=1,D60,E59))</f>
        <v>Mountain Division</v>
      </c>
    </row>
    <row r="61" spans="1:5" x14ac:dyDescent="0.2">
      <c r="A61" s="22" t="s">
        <v>2271</v>
      </c>
      <c r="B61" s="24" t="s">
        <v>2283</v>
      </c>
      <c r="C61" s="22">
        <v>32</v>
      </c>
      <c r="D61" s="26" t="s">
        <v>330</v>
      </c>
      <c r="E61" s="17" t="str">
        <f>IF(B61=0,"",IF(COUNTIF($B$7:B61,B61)=1,D61,E60))</f>
        <v>Mountain Division</v>
      </c>
    </row>
    <row r="62" spans="1:5" x14ac:dyDescent="0.2">
      <c r="A62" s="22" t="s">
        <v>2271</v>
      </c>
      <c r="B62" s="24" t="s">
        <v>2283</v>
      </c>
      <c r="C62" s="22">
        <v>35</v>
      </c>
      <c r="D62" s="26" t="s">
        <v>1869</v>
      </c>
      <c r="E62" s="17" t="str">
        <f>IF(B62=0,"",IF(COUNTIF($B$7:B62,B62)=1,D62,E61))</f>
        <v>Mountain Division</v>
      </c>
    </row>
    <row r="63" spans="1:5" x14ac:dyDescent="0.2">
      <c r="A63" s="22" t="s">
        <v>2271</v>
      </c>
      <c r="B63" s="24" t="s">
        <v>2283</v>
      </c>
      <c r="C63" s="22">
        <v>49</v>
      </c>
      <c r="D63" s="26" t="s">
        <v>2138</v>
      </c>
      <c r="E63" s="17" t="str">
        <f>IF(B63=0,"",IF(COUNTIF($B$7:B63,B63)=1,D63,E62))</f>
        <v>Mountain Division</v>
      </c>
    </row>
    <row r="64" spans="1:5" x14ac:dyDescent="0.2">
      <c r="A64" s="22" t="s">
        <v>2271</v>
      </c>
      <c r="B64" s="24" t="s">
        <v>2283</v>
      </c>
      <c r="C64" s="22">
        <v>56</v>
      </c>
      <c r="D64" s="26" t="s">
        <v>1358</v>
      </c>
      <c r="E64" s="17" t="str">
        <f>IF(B64=0,"",IF(COUNTIF($B$7:B64,B64)=1,D64,E63))</f>
        <v>Mountain Division</v>
      </c>
    </row>
    <row r="65" spans="1:5" x14ac:dyDescent="0.2">
      <c r="A65" s="22" t="s">
        <v>2271</v>
      </c>
      <c r="B65" s="24" t="s">
        <v>2285</v>
      </c>
      <c r="C65" s="28">
        <v>0</v>
      </c>
      <c r="D65" s="25" t="s">
        <v>2286</v>
      </c>
      <c r="E65" s="17" t="str">
        <f>IF(B65=0,"",IF(COUNTIF($B$7:B65,B65)=1,D65,E64))</f>
        <v>Pacific Division</v>
      </c>
    </row>
    <row r="66" spans="1:5" x14ac:dyDescent="0.2">
      <c r="A66" s="22" t="s">
        <v>2271</v>
      </c>
      <c r="B66" s="24" t="s">
        <v>2285</v>
      </c>
      <c r="C66" s="22">
        <v>2</v>
      </c>
      <c r="D66" s="26" t="s">
        <v>1381</v>
      </c>
      <c r="E66" s="17" t="str">
        <f>IF(B66=0,"",IF(COUNTIF($B$7:B66,B66)=1,D66,E65))</f>
        <v>Pacific Division</v>
      </c>
    </row>
    <row r="67" spans="1:5" x14ac:dyDescent="0.2">
      <c r="A67" s="22" t="s">
        <v>2271</v>
      </c>
      <c r="B67" s="24" t="s">
        <v>2285</v>
      </c>
      <c r="C67" s="22">
        <v>6</v>
      </c>
      <c r="D67" s="26" t="s">
        <v>1435</v>
      </c>
      <c r="E67" s="17" t="str">
        <f>IF(B67=0,"",IF(COUNTIF($B$7:B67,B67)=1,D67,E66))</f>
        <v>Pacific Division</v>
      </c>
    </row>
    <row r="68" spans="1:5" x14ac:dyDescent="0.2">
      <c r="A68" s="22" t="s">
        <v>2271</v>
      </c>
      <c r="B68" s="24" t="s">
        <v>2285</v>
      </c>
      <c r="C68" s="22">
        <v>15</v>
      </c>
      <c r="D68" s="26" t="s">
        <v>508</v>
      </c>
      <c r="E68" s="17" t="str">
        <f>IF(B68=0,"",IF(COUNTIF($B$7:B68,B68)=1,D68,E67))</f>
        <v>Pacific Division</v>
      </c>
    </row>
    <row r="69" spans="1:5" x14ac:dyDescent="0.2">
      <c r="A69" s="22" t="s">
        <v>2271</v>
      </c>
      <c r="B69" s="24" t="s">
        <v>2285</v>
      </c>
      <c r="C69" s="22">
        <v>41</v>
      </c>
      <c r="D69" s="26" t="s">
        <v>1802</v>
      </c>
      <c r="E69" s="17" t="str">
        <f>IF(B69=0,"",IF(COUNTIF($B$7:B69,B69)=1,D69,E68))</f>
        <v>Pacific Division</v>
      </c>
    </row>
    <row r="70" spans="1:5" x14ac:dyDescent="0.2">
      <c r="A70" s="22" t="s">
        <v>2271</v>
      </c>
      <c r="B70" s="24" t="s">
        <v>2285</v>
      </c>
      <c r="C70" s="22">
        <v>53</v>
      </c>
      <c r="D70" s="26" t="s">
        <v>308</v>
      </c>
      <c r="E70" s="17" t="str">
        <f>IF(B70=0,"",IF(COUNTIF($B$7:B70,B70)=1,D70,E69))</f>
        <v>Pacific Division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841"/>
  <sheetViews>
    <sheetView topLeftCell="B1" workbookViewId="0">
      <selection activeCell="B1" sqref="B1"/>
    </sheetView>
  </sheetViews>
  <sheetFormatPr defaultRowHeight="15" x14ac:dyDescent="0.25"/>
  <cols>
    <col min="1" max="1" width="18.7109375" customWidth="1"/>
    <col min="2" max="2" width="49" customWidth="1"/>
  </cols>
  <sheetData>
    <row r="1" spans="1:34" ht="15" customHeight="1" thickBot="1" x14ac:dyDescent="0.3">
      <c r="B1" s="102" t="s">
        <v>2748</v>
      </c>
      <c r="C1" s="103">
        <v>2020</v>
      </c>
      <c r="D1" s="103">
        <v>2021</v>
      </c>
      <c r="E1" s="103">
        <v>2022</v>
      </c>
      <c r="F1" s="103">
        <v>2023</v>
      </c>
      <c r="G1" s="103">
        <v>2024</v>
      </c>
      <c r="H1" s="103">
        <v>2025</v>
      </c>
      <c r="I1" s="103">
        <v>2026</v>
      </c>
      <c r="J1" s="103">
        <v>2027</v>
      </c>
      <c r="K1" s="103">
        <v>2028</v>
      </c>
      <c r="L1" s="103">
        <v>2029</v>
      </c>
      <c r="M1" s="103">
        <v>2030</v>
      </c>
      <c r="N1" s="103">
        <v>2031</v>
      </c>
      <c r="O1" s="103">
        <v>2032</v>
      </c>
      <c r="P1" s="103">
        <v>2033</v>
      </c>
      <c r="Q1" s="103">
        <v>2034</v>
      </c>
      <c r="R1" s="103">
        <v>2035</v>
      </c>
      <c r="S1" s="103">
        <v>2036</v>
      </c>
      <c r="T1" s="103">
        <v>2037</v>
      </c>
      <c r="U1" s="103">
        <v>2038</v>
      </c>
      <c r="V1" s="103">
        <v>2039</v>
      </c>
      <c r="W1" s="103">
        <v>2040</v>
      </c>
      <c r="X1" s="103">
        <v>2041</v>
      </c>
      <c r="Y1" s="103">
        <v>2042</v>
      </c>
      <c r="Z1" s="103">
        <v>2043</v>
      </c>
      <c r="AA1" s="103">
        <v>2044</v>
      </c>
      <c r="AB1" s="103">
        <v>2045</v>
      </c>
      <c r="AC1" s="103">
        <v>2046</v>
      </c>
      <c r="AD1" s="103">
        <v>2047</v>
      </c>
      <c r="AE1" s="103">
        <v>2048</v>
      </c>
      <c r="AF1" s="103">
        <v>2049</v>
      </c>
      <c r="AG1" s="103">
        <v>2050</v>
      </c>
    </row>
    <row r="2" spans="1:34" ht="15" customHeight="1" thickTop="1" x14ac:dyDescent="0.25"/>
    <row r="3" spans="1:34" ht="15" customHeight="1" x14ac:dyDescent="0.25">
      <c r="C3" s="104" t="s">
        <v>20</v>
      </c>
      <c r="D3" s="104" t="s">
        <v>2749</v>
      </c>
      <c r="E3" s="105"/>
      <c r="F3" s="105"/>
      <c r="G3" s="105"/>
      <c r="H3" s="105"/>
    </row>
    <row r="4" spans="1:34" ht="15" customHeight="1" x14ac:dyDescent="0.25">
      <c r="C4" s="104" t="s">
        <v>21</v>
      </c>
      <c r="D4" s="104" t="s">
        <v>2750</v>
      </c>
      <c r="E4" s="105"/>
      <c r="F4" s="105"/>
      <c r="G4" s="104" t="s">
        <v>22</v>
      </c>
      <c r="H4" s="105"/>
    </row>
    <row r="5" spans="1:34" ht="15" customHeight="1" x14ac:dyDescent="0.25">
      <c r="C5" s="104" t="s">
        <v>23</v>
      </c>
      <c r="D5" s="104" t="s">
        <v>2751</v>
      </c>
      <c r="E5" s="105"/>
      <c r="F5" s="105"/>
      <c r="G5" s="105"/>
      <c r="H5" s="105"/>
    </row>
    <row r="6" spans="1:34" ht="15" customHeight="1" x14ac:dyDescent="0.25">
      <c r="C6" s="104" t="s">
        <v>24</v>
      </c>
      <c r="D6" s="105"/>
      <c r="E6" s="104" t="s">
        <v>2752</v>
      </c>
      <c r="F6" s="105"/>
      <c r="G6" s="105"/>
      <c r="H6" s="105"/>
    </row>
    <row r="7" spans="1:34" ht="15" customHeight="1" x14ac:dyDescent="0.25">
      <c r="C7" s="105"/>
      <c r="D7" s="105"/>
      <c r="E7" s="105"/>
      <c r="F7" s="105"/>
      <c r="G7" s="105"/>
      <c r="H7" s="105"/>
    </row>
    <row r="10" spans="1:34" ht="15" customHeight="1" x14ac:dyDescent="0.25">
      <c r="A10" s="8" t="s">
        <v>25</v>
      </c>
      <c r="B10" s="106" t="s">
        <v>26</v>
      </c>
      <c r="AH10" s="107" t="s">
        <v>2753</v>
      </c>
    </row>
    <row r="11" spans="1:34" ht="15" customHeight="1" x14ac:dyDescent="0.25">
      <c r="B11" s="102" t="s">
        <v>27</v>
      </c>
      <c r="AH11" s="107" t="s">
        <v>2754</v>
      </c>
    </row>
    <row r="12" spans="1:34" ht="15" customHeight="1" x14ac:dyDescent="0.25">
      <c r="B12" s="10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07" t="s">
        <v>2755</v>
      </c>
    </row>
    <row r="13" spans="1:34" ht="15" customHeight="1" thickBot="1" x14ac:dyDescent="0.3">
      <c r="B13" s="103" t="s">
        <v>29</v>
      </c>
      <c r="C13" s="103">
        <v>2020</v>
      </c>
      <c r="D13" s="103">
        <v>2021</v>
      </c>
      <c r="E13" s="103">
        <v>2022</v>
      </c>
      <c r="F13" s="103">
        <v>2023</v>
      </c>
      <c r="G13" s="103">
        <v>2024</v>
      </c>
      <c r="H13" s="103">
        <v>2025</v>
      </c>
      <c r="I13" s="103">
        <v>2026</v>
      </c>
      <c r="J13" s="103">
        <v>2027</v>
      </c>
      <c r="K13" s="103">
        <v>2028</v>
      </c>
      <c r="L13" s="103">
        <v>2029</v>
      </c>
      <c r="M13" s="103">
        <v>2030</v>
      </c>
      <c r="N13" s="103">
        <v>2031</v>
      </c>
      <c r="O13" s="103">
        <v>2032</v>
      </c>
      <c r="P13" s="103">
        <v>2033</v>
      </c>
      <c r="Q13" s="103">
        <v>2034</v>
      </c>
      <c r="R13" s="103">
        <v>2035</v>
      </c>
      <c r="S13" s="103">
        <v>2036</v>
      </c>
      <c r="T13" s="103">
        <v>2037</v>
      </c>
      <c r="U13" s="103">
        <v>2038</v>
      </c>
      <c r="V13" s="103">
        <v>2039</v>
      </c>
      <c r="W13" s="103">
        <v>2040</v>
      </c>
      <c r="X13" s="103">
        <v>2041</v>
      </c>
      <c r="Y13" s="103">
        <v>2042</v>
      </c>
      <c r="Z13" s="103">
        <v>2043</v>
      </c>
      <c r="AA13" s="103">
        <v>2044</v>
      </c>
      <c r="AB13" s="103">
        <v>2045</v>
      </c>
      <c r="AC13" s="103">
        <v>2046</v>
      </c>
      <c r="AD13" s="103">
        <v>2047</v>
      </c>
      <c r="AE13" s="103">
        <v>2048</v>
      </c>
      <c r="AF13" s="103">
        <v>2049</v>
      </c>
      <c r="AG13" s="103">
        <v>2050</v>
      </c>
      <c r="AH13" s="108" t="s">
        <v>2756</v>
      </c>
    </row>
    <row r="14" spans="1:34" ht="15" customHeight="1" thickTop="1" x14ac:dyDescent="0.25"/>
    <row r="15" spans="1:34" ht="15" customHeight="1" x14ac:dyDescent="0.25">
      <c r="B15" s="109" t="s">
        <v>30</v>
      </c>
    </row>
    <row r="16" spans="1:34" ht="15" customHeight="1" x14ac:dyDescent="0.25">
      <c r="B16" s="109" t="s">
        <v>31</v>
      </c>
    </row>
    <row r="17" spans="1:34" ht="15" customHeight="1" x14ac:dyDescent="0.25">
      <c r="A17" s="8" t="s">
        <v>32</v>
      </c>
      <c r="B17" s="110" t="s">
        <v>33</v>
      </c>
      <c r="C17" s="111">
        <v>84.750443000000004</v>
      </c>
      <c r="D17" s="111">
        <v>85.593650999999994</v>
      </c>
      <c r="E17" s="111">
        <v>86.439353999999994</v>
      </c>
      <c r="F17" s="111">
        <v>87.273476000000002</v>
      </c>
      <c r="G17" s="111">
        <v>88.112289000000004</v>
      </c>
      <c r="H17" s="111">
        <v>88.984466999999995</v>
      </c>
      <c r="I17" s="111">
        <v>89.856285</v>
      </c>
      <c r="J17" s="111">
        <v>90.700255999999996</v>
      </c>
      <c r="K17" s="111">
        <v>91.516670000000005</v>
      </c>
      <c r="L17" s="111">
        <v>92.31514</v>
      </c>
      <c r="M17" s="111">
        <v>93.093277</v>
      </c>
      <c r="N17" s="111">
        <v>93.847504000000001</v>
      </c>
      <c r="O17" s="111">
        <v>94.588798999999995</v>
      </c>
      <c r="P17" s="111">
        <v>95.310699</v>
      </c>
      <c r="Q17" s="111">
        <v>96.006423999999996</v>
      </c>
      <c r="R17" s="111">
        <v>96.697852999999995</v>
      </c>
      <c r="S17" s="111">
        <v>97.377669999999995</v>
      </c>
      <c r="T17" s="111">
        <v>98.047127000000003</v>
      </c>
      <c r="U17" s="111">
        <v>98.708320999999998</v>
      </c>
      <c r="V17" s="111">
        <v>99.360045999999997</v>
      </c>
      <c r="W17" s="111">
        <v>100.015579</v>
      </c>
      <c r="X17" s="111">
        <v>100.67042499999999</v>
      </c>
      <c r="Y17" s="111">
        <v>101.321327</v>
      </c>
      <c r="Z17" s="111">
        <v>101.97403</v>
      </c>
      <c r="AA17" s="111">
        <v>102.63200399999999</v>
      </c>
      <c r="AB17" s="111">
        <v>103.292885</v>
      </c>
      <c r="AC17" s="111">
        <v>103.95903</v>
      </c>
      <c r="AD17" s="111">
        <v>104.621376</v>
      </c>
      <c r="AE17" s="111">
        <v>105.279099</v>
      </c>
      <c r="AF17" s="111">
        <v>105.93704200000001</v>
      </c>
      <c r="AG17" s="111">
        <v>106.59596999999999</v>
      </c>
      <c r="AH17" s="112">
        <v>7.6740000000000003E-3</v>
      </c>
    </row>
    <row r="18" spans="1:34" ht="15" customHeight="1" x14ac:dyDescent="0.25">
      <c r="A18" s="8" t="s">
        <v>34</v>
      </c>
      <c r="B18" s="110" t="s">
        <v>35</v>
      </c>
      <c r="C18" s="111">
        <v>31.968703999999999</v>
      </c>
      <c r="D18" s="111">
        <v>32.227837000000001</v>
      </c>
      <c r="E18" s="111">
        <v>32.484608000000001</v>
      </c>
      <c r="F18" s="111">
        <v>32.738888000000003</v>
      </c>
      <c r="G18" s="111">
        <v>33.007179000000001</v>
      </c>
      <c r="H18" s="111">
        <v>33.292563999999999</v>
      </c>
      <c r="I18" s="111">
        <v>33.572524999999999</v>
      </c>
      <c r="J18" s="111">
        <v>33.830120000000001</v>
      </c>
      <c r="K18" s="111">
        <v>34.072906000000003</v>
      </c>
      <c r="L18" s="111">
        <v>34.306412000000002</v>
      </c>
      <c r="M18" s="111">
        <v>34.532425000000003</v>
      </c>
      <c r="N18" s="111">
        <v>34.747349</v>
      </c>
      <c r="O18" s="111">
        <v>34.956161000000002</v>
      </c>
      <c r="P18" s="111">
        <v>35.154221</v>
      </c>
      <c r="Q18" s="111">
        <v>35.343120999999996</v>
      </c>
      <c r="R18" s="111">
        <v>35.533417</v>
      </c>
      <c r="S18" s="111">
        <v>35.720860000000002</v>
      </c>
      <c r="T18" s="111">
        <v>35.907597000000003</v>
      </c>
      <c r="U18" s="111">
        <v>36.095905000000002</v>
      </c>
      <c r="V18" s="111">
        <v>36.288265000000003</v>
      </c>
      <c r="W18" s="111">
        <v>36.482737999999998</v>
      </c>
      <c r="X18" s="111">
        <v>36.677245999999997</v>
      </c>
      <c r="Y18" s="111">
        <v>36.872318</v>
      </c>
      <c r="Z18" s="111">
        <v>37.067024000000004</v>
      </c>
      <c r="AA18" s="111">
        <v>37.256568999999999</v>
      </c>
      <c r="AB18" s="111">
        <v>37.445788999999998</v>
      </c>
      <c r="AC18" s="111">
        <v>37.632339000000002</v>
      </c>
      <c r="AD18" s="111">
        <v>37.817363999999998</v>
      </c>
      <c r="AE18" s="111">
        <v>38.004612000000002</v>
      </c>
      <c r="AF18" s="111">
        <v>38.195267000000001</v>
      </c>
      <c r="AG18" s="111">
        <v>38.390739000000004</v>
      </c>
      <c r="AH18" s="112">
        <v>6.1209999999999997E-3</v>
      </c>
    </row>
    <row r="19" spans="1:34" ht="15" customHeight="1" x14ac:dyDescent="0.25">
      <c r="A19" s="8" t="s">
        <v>36</v>
      </c>
      <c r="B19" s="110" t="s">
        <v>37</v>
      </c>
      <c r="C19" s="111">
        <v>6.6634640000000003</v>
      </c>
      <c r="D19" s="111">
        <v>6.648326</v>
      </c>
      <c r="E19" s="111">
        <v>6.6349809999999998</v>
      </c>
      <c r="F19" s="111">
        <v>6.6270980000000002</v>
      </c>
      <c r="G19" s="111">
        <v>6.6301110000000003</v>
      </c>
      <c r="H19" s="111">
        <v>6.6438389999999998</v>
      </c>
      <c r="I19" s="111">
        <v>6.6647319999999999</v>
      </c>
      <c r="J19" s="111">
        <v>6.6755149999999999</v>
      </c>
      <c r="K19" s="111">
        <v>6.6752149999999997</v>
      </c>
      <c r="L19" s="111">
        <v>6.6643829999999999</v>
      </c>
      <c r="M19" s="111">
        <v>6.6437489999999997</v>
      </c>
      <c r="N19" s="111">
        <v>6.6163879999999997</v>
      </c>
      <c r="O19" s="111">
        <v>6.5872099999999998</v>
      </c>
      <c r="P19" s="111">
        <v>6.5578779999999997</v>
      </c>
      <c r="Q19" s="111">
        <v>6.5291990000000002</v>
      </c>
      <c r="R19" s="111">
        <v>6.5056529999999997</v>
      </c>
      <c r="S19" s="111">
        <v>6.4859489999999997</v>
      </c>
      <c r="T19" s="111">
        <v>6.4669280000000002</v>
      </c>
      <c r="U19" s="111">
        <v>6.4478850000000003</v>
      </c>
      <c r="V19" s="111">
        <v>6.4311499999999997</v>
      </c>
      <c r="W19" s="111">
        <v>6.4196759999999999</v>
      </c>
      <c r="X19" s="111">
        <v>6.4115140000000004</v>
      </c>
      <c r="Y19" s="111">
        <v>6.4053599999999999</v>
      </c>
      <c r="Z19" s="111">
        <v>6.4005179999999999</v>
      </c>
      <c r="AA19" s="111">
        <v>6.3960670000000004</v>
      </c>
      <c r="AB19" s="111">
        <v>6.3921130000000002</v>
      </c>
      <c r="AC19" s="111">
        <v>6.3880730000000003</v>
      </c>
      <c r="AD19" s="111">
        <v>6.3811840000000002</v>
      </c>
      <c r="AE19" s="111">
        <v>6.3724800000000004</v>
      </c>
      <c r="AF19" s="111">
        <v>6.3639049999999999</v>
      </c>
      <c r="AG19" s="111">
        <v>6.3539099999999999</v>
      </c>
      <c r="AH19" s="112">
        <v>-1.5839999999999999E-3</v>
      </c>
    </row>
    <row r="20" spans="1:34" ht="15" customHeight="1" x14ac:dyDescent="0.25">
      <c r="A20" s="8" t="s">
        <v>38</v>
      </c>
      <c r="B20" s="109" t="s">
        <v>39</v>
      </c>
      <c r="C20" s="113">
        <v>123.382614</v>
      </c>
      <c r="D20" s="113">
        <v>124.46981</v>
      </c>
      <c r="E20" s="113">
        <v>125.55894499999999</v>
      </c>
      <c r="F20" s="113">
        <v>126.639458</v>
      </c>
      <c r="G20" s="113">
        <v>127.74957999999999</v>
      </c>
      <c r="H20" s="113">
        <v>128.92086800000001</v>
      </c>
      <c r="I20" s="113">
        <v>130.093536</v>
      </c>
      <c r="J20" s="113">
        <v>131.20590200000001</v>
      </c>
      <c r="K20" s="113">
        <v>132.26478599999999</v>
      </c>
      <c r="L20" s="113">
        <v>133.285934</v>
      </c>
      <c r="M20" s="113">
        <v>134.26945499999999</v>
      </c>
      <c r="N20" s="113">
        <v>135.211243</v>
      </c>
      <c r="O20" s="113">
        <v>136.13215600000001</v>
      </c>
      <c r="P20" s="113">
        <v>137.022797</v>
      </c>
      <c r="Q20" s="113">
        <v>137.87875399999999</v>
      </c>
      <c r="R20" s="113">
        <v>138.736908</v>
      </c>
      <c r="S20" s="113">
        <v>139.584473</v>
      </c>
      <c r="T20" s="113">
        <v>140.421661</v>
      </c>
      <c r="U20" s="113">
        <v>141.25212099999999</v>
      </c>
      <c r="V20" s="113">
        <v>142.07946799999999</v>
      </c>
      <c r="W20" s="113">
        <v>142.91799900000001</v>
      </c>
      <c r="X20" s="113">
        <v>143.759186</v>
      </c>
      <c r="Y20" s="113">
        <v>144.59901400000001</v>
      </c>
      <c r="Z20" s="113">
        <v>145.44155900000001</v>
      </c>
      <c r="AA20" s="113">
        <v>146.28465299999999</v>
      </c>
      <c r="AB20" s="113">
        <v>147.130798</v>
      </c>
      <c r="AC20" s="113">
        <v>147.979446</v>
      </c>
      <c r="AD20" s="113">
        <v>148.81991600000001</v>
      </c>
      <c r="AE20" s="113">
        <v>149.65618900000001</v>
      </c>
      <c r="AF20" s="113">
        <v>150.496216</v>
      </c>
      <c r="AG20" s="113">
        <v>151.340622</v>
      </c>
      <c r="AH20" s="114">
        <v>6.8310000000000003E-3</v>
      </c>
    </row>
    <row r="21" spans="1:34" ht="15" customHeight="1" x14ac:dyDescent="0.25"/>
    <row r="22" spans="1:34" ht="15" customHeight="1" x14ac:dyDescent="0.25">
      <c r="A22" s="8" t="s">
        <v>40</v>
      </c>
      <c r="B22" s="109" t="s">
        <v>41</v>
      </c>
      <c r="C22" s="115">
        <v>1789.3104249999999</v>
      </c>
      <c r="D22" s="115">
        <v>1795.3580320000001</v>
      </c>
      <c r="E22" s="115">
        <v>1801.376587</v>
      </c>
      <c r="F22" s="115">
        <v>1807.3267820000001</v>
      </c>
      <c r="G22" s="115">
        <v>1813.0863039999999</v>
      </c>
      <c r="H22" s="115">
        <v>1818.685669</v>
      </c>
      <c r="I22" s="115">
        <v>1824.2563479999999</v>
      </c>
      <c r="J22" s="115">
        <v>1829.960327</v>
      </c>
      <c r="K22" s="115">
        <v>1835.7445070000001</v>
      </c>
      <c r="L22" s="115">
        <v>1841.5789789999999</v>
      </c>
      <c r="M22" s="115">
        <v>1847.446533</v>
      </c>
      <c r="N22" s="115">
        <v>1853.3516850000001</v>
      </c>
      <c r="O22" s="115">
        <v>1859.25647</v>
      </c>
      <c r="P22" s="115">
        <v>1865.1762699999999</v>
      </c>
      <c r="Q22" s="115">
        <v>1871.079712</v>
      </c>
      <c r="R22" s="115">
        <v>1876.9129640000001</v>
      </c>
      <c r="S22" s="115">
        <v>1882.700928</v>
      </c>
      <c r="T22" s="115">
        <v>1888.442871</v>
      </c>
      <c r="U22" s="115">
        <v>1894.134033</v>
      </c>
      <c r="V22" s="115">
        <v>1899.7410890000001</v>
      </c>
      <c r="W22" s="115">
        <v>1905.2928469999999</v>
      </c>
      <c r="X22" s="115">
        <v>1910.8061520000001</v>
      </c>
      <c r="Y22" s="115">
        <v>1916.274048</v>
      </c>
      <c r="Z22" s="115">
        <v>1921.723389</v>
      </c>
      <c r="AA22" s="115">
        <v>1927.200317</v>
      </c>
      <c r="AB22" s="115">
        <v>1932.6645510000001</v>
      </c>
      <c r="AC22" s="115">
        <v>1938.1435550000001</v>
      </c>
      <c r="AD22" s="115">
        <v>1943.619751</v>
      </c>
      <c r="AE22" s="115">
        <v>1949.05835</v>
      </c>
      <c r="AF22" s="115">
        <v>1954.455811</v>
      </c>
      <c r="AG22" s="115">
        <v>1959.8107910000001</v>
      </c>
      <c r="AH22" s="114">
        <v>3.039E-3</v>
      </c>
    </row>
    <row r="23" spans="1:34" ht="15" customHeight="1" x14ac:dyDescent="0.25"/>
    <row r="24" spans="1:34" ht="15" customHeight="1" x14ac:dyDescent="0.25">
      <c r="B24" s="109" t="s">
        <v>42</v>
      </c>
    </row>
    <row r="25" spans="1:34" ht="15" customHeight="1" x14ac:dyDescent="0.25">
      <c r="B25" s="109" t="s">
        <v>43</v>
      </c>
    </row>
    <row r="26" spans="1:34" ht="15" customHeight="1" x14ac:dyDescent="0.25">
      <c r="A26" s="8" t="s">
        <v>44</v>
      </c>
      <c r="B26" s="110" t="s">
        <v>2757</v>
      </c>
      <c r="C26" s="116">
        <v>92.738051999999996</v>
      </c>
      <c r="D26" s="116">
        <v>91.586494000000002</v>
      </c>
      <c r="E26" s="116">
        <v>91.932486999999995</v>
      </c>
      <c r="F26" s="116">
        <v>91.318259999999995</v>
      </c>
      <c r="G26" s="116">
        <v>90.823273</v>
      </c>
      <c r="H26" s="116">
        <v>90.223350999999994</v>
      </c>
      <c r="I26" s="116">
        <v>89.613349999999997</v>
      </c>
      <c r="J26" s="116">
        <v>88.99015</v>
      </c>
      <c r="K26" s="116">
        <v>88.429419999999993</v>
      </c>
      <c r="L26" s="116">
        <v>87.893828999999997</v>
      </c>
      <c r="M26" s="116">
        <v>87.318877999999998</v>
      </c>
      <c r="N26" s="116">
        <v>86.789642000000001</v>
      </c>
      <c r="O26" s="116">
        <v>86.329741999999996</v>
      </c>
      <c r="P26" s="116">
        <v>85.926925999999995</v>
      </c>
      <c r="Q26" s="116">
        <v>85.607529</v>
      </c>
      <c r="R26" s="116">
        <v>85.342170999999993</v>
      </c>
      <c r="S26" s="116">
        <v>85.099845999999999</v>
      </c>
      <c r="T26" s="116">
        <v>84.882080000000002</v>
      </c>
      <c r="U26" s="116">
        <v>84.683700999999999</v>
      </c>
      <c r="V26" s="116">
        <v>84.499213999999995</v>
      </c>
      <c r="W26" s="116">
        <v>84.319466000000006</v>
      </c>
      <c r="X26" s="116">
        <v>84.135581999999999</v>
      </c>
      <c r="Y26" s="116">
        <v>83.962128000000007</v>
      </c>
      <c r="Z26" s="116">
        <v>83.800156000000001</v>
      </c>
      <c r="AA26" s="116">
        <v>83.656654000000003</v>
      </c>
      <c r="AB26" s="116">
        <v>83.525161999999995</v>
      </c>
      <c r="AC26" s="116">
        <v>83.412841999999998</v>
      </c>
      <c r="AD26" s="116">
        <v>83.307243</v>
      </c>
      <c r="AE26" s="116">
        <v>83.243790000000004</v>
      </c>
      <c r="AF26" s="116">
        <v>83.194534000000004</v>
      </c>
      <c r="AG26" s="116">
        <v>83.153289999999998</v>
      </c>
      <c r="AH26" s="112">
        <v>-3.63E-3</v>
      </c>
    </row>
    <row r="27" spans="1:34" ht="15" customHeight="1" x14ac:dyDescent="0.25">
      <c r="A27" s="8" t="s">
        <v>45</v>
      </c>
      <c r="B27" s="110" t="s">
        <v>2731</v>
      </c>
      <c r="C27" s="116">
        <v>92.104782</v>
      </c>
      <c r="D27" s="116">
        <v>90.867767000000001</v>
      </c>
      <c r="E27" s="116">
        <v>91.143921000000006</v>
      </c>
      <c r="F27" s="116">
        <v>90.463226000000006</v>
      </c>
      <c r="G27" s="116">
        <v>89.904442000000003</v>
      </c>
      <c r="H27" s="116">
        <v>89.241905000000003</v>
      </c>
      <c r="I27" s="116">
        <v>88.568969999999993</v>
      </c>
      <c r="J27" s="116">
        <v>87.883223999999998</v>
      </c>
      <c r="K27" s="116">
        <v>87.260002</v>
      </c>
      <c r="L27" s="116">
        <v>86.662102000000004</v>
      </c>
      <c r="M27" s="116">
        <v>86.023964000000007</v>
      </c>
      <c r="N27" s="116">
        <v>85.430344000000005</v>
      </c>
      <c r="O27" s="116">
        <v>84.905265999999997</v>
      </c>
      <c r="P27" s="116">
        <v>84.436522999999994</v>
      </c>
      <c r="Q27" s="116">
        <v>84.050179</v>
      </c>
      <c r="R27" s="116">
        <v>83.717567000000003</v>
      </c>
      <c r="S27" s="116">
        <v>83.407295000000005</v>
      </c>
      <c r="T27" s="116">
        <v>83.12088</v>
      </c>
      <c r="U27" s="116">
        <v>82.852920999999995</v>
      </c>
      <c r="V27" s="116">
        <v>82.598061000000001</v>
      </c>
      <c r="W27" s="116">
        <v>82.347037999999998</v>
      </c>
      <c r="X27" s="116">
        <v>82.090896999999998</v>
      </c>
      <c r="Y27" s="116">
        <v>81.843886999999995</v>
      </c>
      <c r="Z27" s="116">
        <v>81.606949</v>
      </c>
      <c r="AA27" s="116">
        <v>81.386993000000004</v>
      </c>
      <c r="AB27" s="116">
        <v>81.177184999999994</v>
      </c>
      <c r="AC27" s="116">
        <v>80.985129999999998</v>
      </c>
      <c r="AD27" s="116">
        <v>80.798255999999995</v>
      </c>
      <c r="AE27" s="116">
        <v>80.651488999999998</v>
      </c>
      <c r="AF27" s="116">
        <v>80.517357000000004</v>
      </c>
      <c r="AG27" s="116">
        <v>80.389617999999999</v>
      </c>
      <c r="AH27" s="112">
        <v>-4.5240000000000002E-3</v>
      </c>
    </row>
    <row r="28" spans="1:34" ht="15" customHeight="1" x14ac:dyDescent="0.25">
      <c r="B28" s="109" t="s">
        <v>46</v>
      </c>
    </row>
    <row r="29" spans="1:34" ht="15" customHeight="1" x14ac:dyDescent="0.25">
      <c r="A29" s="8" t="s">
        <v>47</v>
      </c>
      <c r="B29" s="110" t="s">
        <v>2757</v>
      </c>
      <c r="C29" s="116">
        <v>51.828938000000001</v>
      </c>
      <c r="D29" s="116">
        <v>51.012939000000003</v>
      </c>
      <c r="E29" s="116">
        <v>51.034573000000002</v>
      </c>
      <c r="F29" s="116">
        <v>50.526699000000001</v>
      </c>
      <c r="G29" s="116">
        <v>50.093189000000002</v>
      </c>
      <c r="H29" s="116">
        <v>49.609096999999998</v>
      </c>
      <c r="I29" s="116">
        <v>49.123221999999998</v>
      </c>
      <c r="J29" s="116">
        <v>48.629550999999999</v>
      </c>
      <c r="K29" s="116">
        <v>48.170876</v>
      </c>
      <c r="L29" s="116">
        <v>47.727428000000003</v>
      </c>
      <c r="M29" s="116">
        <v>47.264633000000003</v>
      </c>
      <c r="N29" s="116">
        <v>46.828479999999999</v>
      </c>
      <c r="O29" s="116">
        <v>46.432403999999998</v>
      </c>
      <c r="P29" s="116">
        <v>46.069065000000002</v>
      </c>
      <c r="Q29" s="116">
        <v>45.753010000000003</v>
      </c>
      <c r="R29" s="116">
        <v>45.469433000000002</v>
      </c>
      <c r="S29" s="116">
        <v>45.200935000000001</v>
      </c>
      <c r="T29" s="116">
        <v>44.948185000000002</v>
      </c>
      <c r="U29" s="116">
        <v>44.708401000000002</v>
      </c>
      <c r="V29" s="116">
        <v>44.479331999999999</v>
      </c>
      <c r="W29" s="116">
        <v>44.255383000000002</v>
      </c>
      <c r="X29" s="116">
        <v>44.031460000000003</v>
      </c>
      <c r="Y29" s="116">
        <v>43.815303999999998</v>
      </c>
      <c r="Z29" s="116">
        <v>43.606772999999997</v>
      </c>
      <c r="AA29" s="116">
        <v>43.408386</v>
      </c>
      <c r="AB29" s="116">
        <v>43.217616999999997</v>
      </c>
      <c r="AC29" s="116">
        <v>43.037495</v>
      </c>
      <c r="AD29" s="116">
        <v>42.861904000000003</v>
      </c>
      <c r="AE29" s="116">
        <v>42.709747</v>
      </c>
      <c r="AF29" s="116">
        <v>42.566597000000002</v>
      </c>
      <c r="AG29" s="116">
        <v>42.429240999999998</v>
      </c>
      <c r="AH29" s="112">
        <v>-6.6480000000000003E-3</v>
      </c>
    </row>
    <row r="30" spans="1:34" ht="15" customHeight="1" x14ac:dyDescent="0.25">
      <c r="A30" s="8" t="s">
        <v>48</v>
      </c>
      <c r="B30" s="110" t="s">
        <v>2731</v>
      </c>
      <c r="C30" s="116">
        <v>51.475014000000002</v>
      </c>
      <c r="D30" s="116">
        <v>50.612617</v>
      </c>
      <c r="E30" s="116">
        <v>50.596817000000001</v>
      </c>
      <c r="F30" s="116">
        <v>50.053607999999997</v>
      </c>
      <c r="G30" s="116">
        <v>49.586410999999998</v>
      </c>
      <c r="H30" s="116">
        <v>49.069450000000003</v>
      </c>
      <c r="I30" s="116">
        <v>48.550724000000002</v>
      </c>
      <c r="J30" s="116">
        <v>48.024661999999999</v>
      </c>
      <c r="K30" s="116">
        <v>47.533847999999999</v>
      </c>
      <c r="L30" s="116">
        <v>47.058585999999998</v>
      </c>
      <c r="M30" s="116">
        <v>46.563709000000003</v>
      </c>
      <c r="N30" s="116">
        <v>46.095050999999998</v>
      </c>
      <c r="O30" s="116">
        <v>45.666248000000003</v>
      </c>
      <c r="P30" s="116">
        <v>45.269996999999996</v>
      </c>
      <c r="Q30" s="116">
        <v>44.920684999999999</v>
      </c>
      <c r="R30" s="116">
        <v>44.603862999999997</v>
      </c>
      <c r="S30" s="116">
        <v>44.301932999999998</v>
      </c>
      <c r="T30" s="116">
        <v>44.015563999999998</v>
      </c>
      <c r="U30" s="116">
        <v>43.741847999999997</v>
      </c>
      <c r="V30" s="116">
        <v>43.478588000000002</v>
      </c>
      <c r="W30" s="116">
        <v>43.220146</v>
      </c>
      <c r="X30" s="116">
        <v>42.961390999999999</v>
      </c>
      <c r="Y30" s="116">
        <v>42.709907999999999</v>
      </c>
      <c r="Z30" s="116">
        <v>42.465499999999999</v>
      </c>
      <c r="AA30" s="116">
        <v>42.230685999999999</v>
      </c>
      <c r="AB30" s="116">
        <v>42.002730999999997</v>
      </c>
      <c r="AC30" s="116">
        <v>41.784897000000001</v>
      </c>
      <c r="AD30" s="116">
        <v>41.571021999999999</v>
      </c>
      <c r="AE30" s="116">
        <v>41.379719000000001</v>
      </c>
      <c r="AF30" s="116">
        <v>41.196815000000001</v>
      </c>
      <c r="AG30" s="116">
        <v>41.019069999999999</v>
      </c>
      <c r="AH30" s="112">
        <v>-7.5399999999999998E-3</v>
      </c>
    </row>
    <row r="32" spans="1:34" x14ac:dyDescent="0.25">
      <c r="B32" s="109" t="s">
        <v>2758</v>
      </c>
    </row>
    <row r="33" spans="1:34" x14ac:dyDescent="0.25">
      <c r="B33" s="109" t="s">
        <v>2759</v>
      </c>
    </row>
    <row r="34" spans="1:34" x14ac:dyDescent="0.25">
      <c r="A34" s="8" t="s">
        <v>49</v>
      </c>
      <c r="B34" s="110" t="s">
        <v>50</v>
      </c>
      <c r="C34" s="111">
        <v>0.64898400000000001</v>
      </c>
      <c r="D34" s="111">
        <v>0.698291</v>
      </c>
      <c r="E34" s="111">
        <v>0.70646799999999998</v>
      </c>
      <c r="F34" s="111">
        <v>0.70282699999999998</v>
      </c>
      <c r="G34" s="111">
        <v>0.70100700000000005</v>
      </c>
      <c r="H34" s="111">
        <v>0.69955000000000001</v>
      </c>
      <c r="I34" s="111">
        <v>0.69717200000000001</v>
      </c>
      <c r="J34" s="111">
        <v>0.69381800000000005</v>
      </c>
      <c r="K34" s="111">
        <v>0.69023100000000004</v>
      </c>
      <c r="L34" s="111">
        <v>0.68633999999999995</v>
      </c>
      <c r="M34" s="111">
        <v>0.68220999999999998</v>
      </c>
      <c r="N34" s="111">
        <v>0.677813</v>
      </c>
      <c r="O34" s="111">
        <v>0.67333100000000001</v>
      </c>
      <c r="P34" s="111">
        <v>0.66909799999999997</v>
      </c>
      <c r="Q34" s="111">
        <v>0.66502499999999998</v>
      </c>
      <c r="R34" s="111">
        <v>0.66157299999999997</v>
      </c>
      <c r="S34" s="111">
        <v>0.65805199999999997</v>
      </c>
      <c r="T34" s="111">
        <v>0.65450399999999997</v>
      </c>
      <c r="U34" s="111">
        <v>0.65083400000000002</v>
      </c>
      <c r="V34" s="111">
        <v>0.64706300000000005</v>
      </c>
      <c r="W34" s="111">
        <v>0.64349699999999999</v>
      </c>
      <c r="X34" s="111">
        <v>0.63974600000000004</v>
      </c>
      <c r="Y34" s="111">
        <v>0.635992</v>
      </c>
      <c r="Z34" s="111">
        <v>0.63249</v>
      </c>
      <c r="AA34" s="111">
        <v>0.62895299999999998</v>
      </c>
      <c r="AB34" s="111">
        <v>0.62526700000000002</v>
      </c>
      <c r="AC34" s="111">
        <v>0.62189499999999998</v>
      </c>
      <c r="AD34" s="111">
        <v>0.618506</v>
      </c>
      <c r="AE34" s="111">
        <v>0.61529800000000001</v>
      </c>
      <c r="AF34" s="111">
        <v>0.61255000000000004</v>
      </c>
      <c r="AG34" s="111">
        <v>0.60998300000000005</v>
      </c>
      <c r="AH34" s="112">
        <v>-2.0639999999999999E-3</v>
      </c>
    </row>
    <row r="35" spans="1:34" x14ac:dyDescent="0.25">
      <c r="A35" s="8" t="s">
        <v>51</v>
      </c>
      <c r="B35" s="110" t="s">
        <v>52</v>
      </c>
      <c r="C35" s="111">
        <v>0.80538299999999996</v>
      </c>
      <c r="D35" s="111">
        <v>0.76629999999999998</v>
      </c>
      <c r="E35" s="111">
        <v>0.862066</v>
      </c>
      <c r="F35" s="111">
        <v>0.87731000000000003</v>
      </c>
      <c r="G35" s="111">
        <v>0.89366500000000004</v>
      </c>
      <c r="H35" s="111">
        <v>0.91085099999999997</v>
      </c>
      <c r="I35" s="111">
        <v>0.92764500000000005</v>
      </c>
      <c r="J35" s="111">
        <v>0.94383300000000003</v>
      </c>
      <c r="K35" s="111">
        <v>0.95990799999999998</v>
      </c>
      <c r="L35" s="111">
        <v>0.97595699999999996</v>
      </c>
      <c r="M35" s="111">
        <v>0.99166100000000001</v>
      </c>
      <c r="N35" s="111">
        <v>1.0076400000000001</v>
      </c>
      <c r="O35" s="111">
        <v>1.0244169999999999</v>
      </c>
      <c r="P35" s="111">
        <v>1.0419830000000001</v>
      </c>
      <c r="Q35" s="111">
        <v>1.0606640000000001</v>
      </c>
      <c r="R35" s="111">
        <v>1.0810999999999999</v>
      </c>
      <c r="S35" s="111">
        <v>1.1021099999999999</v>
      </c>
      <c r="T35" s="111">
        <v>1.124333</v>
      </c>
      <c r="U35" s="111">
        <v>1.1463190000000001</v>
      </c>
      <c r="V35" s="111">
        <v>1.1682380000000001</v>
      </c>
      <c r="W35" s="111">
        <v>1.1908369999999999</v>
      </c>
      <c r="X35" s="111">
        <v>1.2130559999999999</v>
      </c>
      <c r="Y35" s="111">
        <v>1.2363010000000001</v>
      </c>
      <c r="Z35" s="111">
        <v>1.259563</v>
      </c>
      <c r="AA35" s="111">
        <v>1.2838290000000001</v>
      </c>
      <c r="AB35" s="111">
        <v>1.3078540000000001</v>
      </c>
      <c r="AC35" s="111">
        <v>1.3327100000000001</v>
      </c>
      <c r="AD35" s="111">
        <v>1.3578159999999999</v>
      </c>
      <c r="AE35" s="111">
        <v>1.3846069999999999</v>
      </c>
      <c r="AF35" s="111">
        <v>1.4118980000000001</v>
      </c>
      <c r="AG35" s="111">
        <v>1.440232</v>
      </c>
      <c r="AH35" s="112">
        <v>1.9564000000000002E-2</v>
      </c>
    </row>
    <row r="36" spans="1:34" x14ac:dyDescent="0.25">
      <c r="A36" s="8" t="s">
        <v>53</v>
      </c>
      <c r="B36" s="110" t="s">
        <v>54</v>
      </c>
      <c r="C36" s="111">
        <v>0.60754699999999995</v>
      </c>
      <c r="D36" s="111">
        <v>0.61014400000000002</v>
      </c>
      <c r="E36" s="111">
        <v>0.61307400000000001</v>
      </c>
      <c r="F36" s="111">
        <v>0.61509000000000003</v>
      </c>
      <c r="G36" s="111">
        <v>0.61784600000000001</v>
      </c>
      <c r="H36" s="111">
        <v>0.62017199999999995</v>
      </c>
      <c r="I36" s="111">
        <v>0.62165599999999999</v>
      </c>
      <c r="J36" s="111">
        <v>0.62265599999999999</v>
      </c>
      <c r="K36" s="111">
        <v>0.62332200000000004</v>
      </c>
      <c r="L36" s="111">
        <v>0.62390000000000001</v>
      </c>
      <c r="M36" s="111">
        <v>0.62448300000000001</v>
      </c>
      <c r="N36" s="111">
        <v>0.62500299999999998</v>
      </c>
      <c r="O36" s="111">
        <v>0.62585900000000005</v>
      </c>
      <c r="P36" s="111">
        <v>0.62711399999999995</v>
      </c>
      <c r="Q36" s="111">
        <v>0.62881900000000002</v>
      </c>
      <c r="R36" s="111">
        <v>0.631185</v>
      </c>
      <c r="S36" s="111">
        <v>0.63385100000000005</v>
      </c>
      <c r="T36" s="111">
        <v>0.63667799999999997</v>
      </c>
      <c r="U36" s="111">
        <v>0.63955099999999998</v>
      </c>
      <c r="V36" s="111">
        <v>0.64216099999999998</v>
      </c>
      <c r="W36" s="111">
        <v>0.64469600000000005</v>
      </c>
      <c r="X36" s="111">
        <v>0.64713500000000002</v>
      </c>
      <c r="Y36" s="111">
        <v>0.64963400000000004</v>
      </c>
      <c r="Z36" s="111">
        <v>0.65232999999999997</v>
      </c>
      <c r="AA36" s="111">
        <v>0.65517400000000003</v>
      </c>
      <c r="AB36" s="111">
        <v>0.65808800000000001</v>
      </c>
      <c r="AC36" s="111">
        <v>0.66132500000000005</v>
      </c>
      <c r="AD36" s="111">
        <v>0.66480600000000001</v>
      </c>
      <c r="AE36" s="111">
        <v>0.66864299999999999</v>
      </c>
      <c r="AF36" s="111">
        <v>0.67298500000000006</v>
      </c>
      <c r="AG36" s="111">
        <v>0.67757100000000003</v>
      </c>
      <c r="AH36" s="112">
        <v>3.643E-3</v>
      </c>
    </row>
    <row r="37" spans="1:34" x14ac:dyDescent="0.25">
      <c r="A37" s="8" t="s">
        <v>55</v>
      </c>
      <c r="B37" s="110" t="s">
        <v>56</v>
      </c>
      <c r="C37" s="111">
        <v>0.29757099999999997</v>
      </c>
      <c r="D37" s="111">
        <v>0.295346</v>
      </c>
      <c r="E37" s="111">
        <v>0.293794</v>
      </c>
      <c r="F37" s="111">
        <v>0.29208899999999999</v>
      </c>
      <c r="G37" s="111">
        <v>0.29061599999999999</v>
      </c>
      <c r="H37" s="111">
        <v>0.28947400000000001</v>
      </c>
      <c r="I37" s="111">
        <v>0.28854099999999999</v>
      </c>
      <c r="J37" s="111">
        <v>0.28769600000000001</v>
      </c>
      <c r="K37" s="111">
        <v>0.28695900000000002</v>
      </c>
      <c r="L37" s="111">
        <v>0.28637600000000002</v>
      </c>
      <c r="M37" s="111">
        <v>0.28598000000000001</v>
      </c>
      <c r="N37" s="111">
        <v>0.28582600000000002</v>
      </c>
      <c r="O37" s="111">
        <v>0.28596500000000002</v>
      </c>
      <c r="P37" s="111">
        <v>0.28639300000000001</v>
      </c>
      <c r="Q37" s="111">
        <v>0.28710599999999997</v>
      </c>
      <c r="R37" s="111">
        <v>0.28817399999999999</v>
      </c>
      <c r="S37" s="111">
        <v>0.28956700000000002</v>
      </c>
      <c r="T37" s="111">
        <v>0.29125800000000002</v>
      </c>
      <c r="U37" s="111">
        <v>0.29325600000000002</v>
      </c>
      <c r="V37" s="111">
        <v>0.29553299999999999</v>
      </c>
      <c r="W37" s="111">
        <v>0.298126</v>
      </c>
      <c r="X37" s="111">
        <v>0.30101800000000001</v>
      </c>
      <c r="Y37" s="111">
        <v>0.30418000000000001</v>
      </c>
      <c r="Z37" s="111">
        <v>0.30732399999999999</v>
      </c>
      <c r="AA37" s="111">
        <v>0.31043999999999999</v>
      </c>
      <c r="AB37" s="111">
        <v>0.31352000000000002</v>
      </c>
      <c r="AC37" s="111">
        <v>0.31655800000000001</v>
      </c>
      <c r="AD37" s="111">
        <v>0.31952199999999997</v>
      </c>
      <c r="AE37" s="111">
        <v>0.322411</v>
      </c>
      <c r="AF37" s="111">
        <v>0.325241</v>
      </c>
      <c r="AG37" s="111">
        <v>0.328011</v>
      </c>
      <c r="AH37" s="112">
        <v>3.2520000000000001E-3</v>
      </c>
    </row>
    <row r="38" spans="1:34" x14ac:dyDescent="0.25">
      <c r="A38" s="8" t="s">
        <v>57</v>
      </c>
      <c r="B38" s="110" t="s">
        <v>58</v>
      </c>
      <c r="C38" s="111">
        <v>5.5007E-2</v>
      </c>
      <c r="D38" s="111">
        <v>5.5161000000000002E-2</v>
      </c>
      <c r="E38" s="111">
        <v>5.5460000000000002E-2</v>
      </c>
      <c r="F38" s="111">
        <v>5.5750000000000001E-2</v>
      </c>
      <c r="G38" s="111">
        <v>5.6044999999999998E-2</v>
      </c>
      <c r="H38" s="111">
        <v>5.6356999999999997E-2</v>
      </c>
      <c r="I38" s="111">
        <v>5.6662999999999998E-2</v>
      </c>
      <c r="J38" s="111">
        <v>5.6938000000000002E-2</v>
      </c>
      <c r="K38" s="111">
        <v>5.7182999999999998E-2</v>
      </c>
      <c r="L38" s="111">
        <v>5.7389000000000003E-2</v>
      </c>
      <c r="M38" s="111">
        <v>5.7556000000000003E-2</v>
      </c>
      <c r="N38" s="111">
        <v>5.7675999999999998E-2</v>
      </c>
      <c r="O38" s="111">
        <v>5.7755000000000001E-2</v>
      </c>
      <c r="P38" s="111">
        <v>5.7840999999999997E-2</v>
      </c>
      <c r="Q38" s="111">
        <v>5.7946999999999999E-2</v>
      </c>
      <c r="R38" s="111">
        <v>5.8089000000000002E-2</v>
      </c>
      <c r="S38" s="111">
        <v>5.8269000000000001E-2</v>
      </c>
      <c r="T38" s="111">
        <v>5.8487999999999998E-2</v>
      </c>
      <c r="U38" s="111">
        <v>5.8698E-2</v>
      </c>
      <c r="V38" s="111">
        <v>5.8899E-2</v>
      </c>
      <c r="W38" s="111">
        <v>5.9097999999999998E-2</v>
      </c>
      <c r="X38" s="111">
        <v>5.9290000000000002E-2</v>
      </c>
      <c r="Y38" s="111">
        <v>5.9472999999999998E-2</v>
      </c>
      <c r="Z38" s="111">
        <v>5.9649000000000001E-2</v>
      </c>
      <c r="AA38" s="111">
        <v>5.9818000000000003E-2</v>
      </c>
      <c r="AB38" s="111">
        <v>5.9979999999999999E-2</v>
      </c>
      <c r="AC38" s="111">
        <v>6.0138999999999998E-2</v>
      </c>
      <c r="AD38" s="111">
        <v>6.0290000000000003E-2</v>
      </c>
      <c r="AE38" s="111">
        <v>6.0440000000000001E-2</v>
      </c>
      <c r="AF38" s="111">
        <v>6.0595000000000003E-2</v>
      </c>
      <c r="AG38" s="111">
        <v>6.0755999999999998E-2</v>
      </c>
      <c r="AH38" s="112">
        <v>3.3189999999999999E-3</v>
      </c>
    </row>
    <row r="39" spans="1:34" x14ac:dyDescent="0.25">
      <c r="A39" s="8" t="s">
        <v>59</v>
      </c>
      <c r="B39" s="110" t="s">
        <v>60</v>
      </c>
      <c r="C39" s="111">
        <v>0.21642</v>
      </c>
      <c r="D39" s="111">
        <v>0.220336</v>
      </c>
      <c r="E39" s="111">
        <v>0.224132</v>
      </c>
      <c r="F39" s="111">
        <v>0.22769200000000001</v>
      </c>
      <c r="G39" s="111">
        <v>0.23162199999999999</v>
      </c>
      <c r="H39" s="111">
        <v>0.23560700000000001</v>
      </c>
      <c r="I39" s="111">
        <v>0.239343</v>
      </c>
      <c r="J39" s="111">
        <v>0.242757</v>
      </c>
      <c r="K39" s="111">
        <v>0.246061</v>
      </c>
      <c r="L39" s="111">
        <v>0.24932599999999999</v>
      </c>
      <c r="M39" s="111">
        <v>0.25254500000000002</v>
      </c>
      <c r="N39" s="111">
        <v>0.25559799999999999</v>
      </c>
      <c r="O39" s="111">
        <v>0.25867800000000002</v>
      </c>
      <c r="P39" s="111">
        <v>0.26185199999999997</v>
      </c>
      <c r="Q39" s="111">
        <v>0.265235</v>
      </c>
      <c r="R39" s="111">
        <v>0.268841</v>
      </c>
      <c r="S39" s="111">
        <v>0.27256999999999998</v>
      </c>
      <c r="T39" s="111">
        <v>0.27624399999999999</v>
      </c>
      <c r="U39" s="111">
        <v>0.27982899999999999</v>
      </c>
      <c r="V39" s="111">
        <v>0.28336299999999998</v>
      </c>
      <c r="W39" s="111">
        <v>0.28689100000000001</v>
      </c>
      <c r="X39" s="111">
        <v>0.29037000000000002</v>
      </c>
      <c r="Y39" s="111">
        <v>0.29383700000000001</v>
      </c>
      <c r="Z39" s="111">
        <v>0.29735</v>
      </c>
      <c r="AA39" s="111">
        <v>0.30087399999999997</v>
      </c>
      <c r="AB39" s="111">
        <v>0.30434699999999998</v>
      </c>
      <c r="AC39" s="111">
        <v>0.307894</v>
      </c>
      <c r="AD39" s="111">
        <v>0.31149100000000002</v>
      </c>
      <c r="AE39" s="111">
        <v>0.31518600000000002</v>
      </c>
      <c r="AF39" s="111">
        <v>0.31905499999999998</v>
      </c>
      <c r="AG39" s="111">
        <v>0.32299800000000001</v>
      </c>
      <c r="AH39" s="112">
        <v>1.3436999999999999E-2</v>
      </c>
    </row>
    <row r="40" spans="1:34" x14ac:dyDescent="0.25">
      <c r="A40" s="8" t="s">
        <v>61</v>
      </c>
      <c r="B40" s="110" t="s">
        <v>62</v>
      </c>
      <c r="C40" s="111">
        <v>6.9181000000000006E-2</v>
      </c>
      <c r="D40" s="111">
        <v>6.8847000000000005E-2</v>
      </c>
      <c r="E40" s="111">
        <v>6.8697999999999995E-2</v>
      </c>
      <c r="F40" s="111">
        <v>6.8526000000000004E-2</v>
      </c>
      <c r="G40" s="111">
        <v>6.8339999999999998E-2</v>
      </c>
      <c r="H40" s="111">
        <v>6.8156999999999995E-2</v>
      </c>
      <c r="I40" s="111">
        <v>6.7953E-2</v>
      </c>
      <c r="J40" s="111">
        <v>6.7707000000000003E-2</v>
      </c>
      <c r="K40" s="111">
        <v>6.7460999999999993E-2</v>
      </c>
      <c r="L40" s="111">
        <v>6.7224000000000006E-2</v>
      </c>
      <c r="M40" s="111">
        <v>6.6994999999999999E-2</v>
      </c>
      <c r="N40" s="111">
        <v>6.6774E-2</v>
      </c>
      <c r="O40" s="111">
        <v>6.6570000000000004E-2</v>
      </c>
      <c r="P40" s="111">
        <v>6.6382999999999998E-2</v>
      </c>
      <c r="Q40" s="111">
        <v>6.6213999999999995E-2</v>
      </c>
      <c r="R40" s="111">
        <v>6.6076999999999997E-2</v>
      </c>
      <c r="S40" s="111">
        <v>6.5975000000000006E-2</v>
      </c>
      <c r="T40" s="111">
        <v>6.5902000000000002E-2</v>
      </c>
      <c r="U40" s="111">
        <v>6.5862000000000004E-2</v>
      </c>
      <c r="V40" s="111">
        <v>6.5854999999999997E-2</v>
      </c>
      <c r="W40" s="111">
        <v>6.5888000000000002E-2</v>
      </c>
      <c r="X40" s="111">
        <v>6.5965999999999997E-2</v>
      </c>
      <c r="Y40" s="111">
        <v>6.6082000000000002E-2</v>
      </c>
      <c r="Z40" s="111">
        <v>6.6247E-2</v>
      </c>
      <c r="AA40" s="111">
        <v>6.6464999999999996E-2</v>
      </c>
      <c r="AB40" s="111">
        <v>6.6737000000000005E-2</v>
      </c>
      <c r="AC40" s="111">
        <v>6.7062999999999998E-2</v>
      </c>
      <c r="AD40" s="111">
        <v>6.7429000000000003E-2</v>
      </c>
      <c r="AE40" s="111">
        <v>6.7790000000000003E-2</v>
      </c>
      <c r="AF40" s="111">
        <v>6.8152000000000004E-2</v>
      </c>
      <c r="AG40" s="111">
        <v>6.8514000000000005E-2</v>
      </c>
      <c r="AH40" s="112">
        <v>-3.2299999999999999E-4</v>
      </c>
    </row>
    <row r="41" spans="1:34" x14ac:dyDescent="0.25">
      <c r="A41" s="8" t="s">
        <v>63</v>
      </c>
      <c r="B41" s="110" t="s">
        <v>64</v>
      </c>
      <c r="C41" s="111">
        <v>0.21124499999999999</v>
      </c>
      <c r="D41" s="111">
        <v>0.20465800000000001</v>
      </c>
      <c r="E41" s="111">
        <v>0.20252100000000001</v>
      </c>
      <c r="F41" s="111">
        <v>0.20193</v>
      </c>
      <c r="G41" s="111">
        <v>0.202401</v>
      </c>
      <c r="H41" s="111">
        <v>0.201491</v>
      </c>
      <c r="I41" s="111">
        <v>0.200873</v>
      </c>
      <c r="J41" s="111">
        <v>0.20083799999999999</v>
      </c>
      <c r="K41" s="111">
        <v>0.201379</v>
      </c>
      <c r="L41" s="111">
        <v>0.20219599999999999</v>
      </c>
      <c r="M41" s="111">
        <v>0.200463</v>
      </c>
      <c r="N41" s="111">
        <v>0.19920399999999999</v>
      </c>
      <c r="O41" s="111">
        <v>0.19839200000000001</v>
      </c>
      <c r="P41" s="111">
        <v>0.197965</v>
      </c>
      <c r="Q41" s="111">
        <v>0.19794500000000001</v>
      </c>
      <c r="R41" s="111">
        <v>0.19828599999999999</v>
      </c>
      <c r="S41" s="111">
        <v>0.19874800000000001</v>
      </c>
      <c r="T41" s="111">
        <v>0.19925100000000001</v>
      </c>
      <c r="U41" s="111">
        <v>0.19975699999999999</v>
      </c>
      <c r="V41" s="111">
        <v>0.20028799999999999</v>
      </c>
      <c r="W41" s="111">
        <v>0.197496</v>
      </c>
      <c r="X41" s="111">
        <v>0.195328</v>
      </c>
      <c r="Y41" s="111">
        <v>0.19364100000000001</v>
      </c>
      <c r="Z41" s="111">
        <v>0.19243299999999999</v>
      </c>
      <c r="AA41" s="111">
        <v>0.19162399999999999</v>
      </c>
      <c r="AB41" s="111">
        <v>0.19103800000000001</v>
      </c>
      <c r="AC41" s="111">
        <v>0.19062899999999999</v>
      </c>
      <c r="AD41" s="111">
        <v>0.190303</v>
      </c>
      <c r="AE41" s="111">
        <v>0.190083</v>
      </c>
      <c r="AF41" s="111">
        <v>0.19001399999999999</v>
      </c>
      <c r="AG41" s="111">
        <v>0.190188</v>
      </c>
      <c r="AH41" s="112">
        <v>-3.4940000000000001E-3</v>
      </c>
    </row>
    <row r="42" spans="1:34" x14ac:dyDescent="0.25">
      <c r="A42" s="8" t="s">
        <v>65</v>
      </c>
      <c r="B42" s="110" t="s">
        <v>2760</v>
      </c>
      <c r="C42" s="111">
        <v>3.6778999999999999E-2</v>
      </c>
      <c r="D42" s="111">
        <v>3.7026000000000003E-2</v>
      </c>
      <c r="E42" s="111">
        <v>3.7374999999999999E-2</v>
      </c>
      <c r="F42" s="111">
        <v>3.7720999999999998E-2</v>
      </c>
      <c r="G42" s="111">
        <v>3.8074999999999998E-2</v>
      </c>
      <c r="H42" s="111">
        <v>3.8448999999999997E-2</v>
      </c>
      <c r="I42" s="111">
        <v>3.8823999999999997E-2</v>
      </c>
      <c r="J42" s="111">
        <v>3.918E-2</v>
      </c>
      <c r="K42" s="111">
        <v>3.9523000000000003E-2</v>
      </c>
      <c r="L42" s="111">
        <v>3.9855000000000002E-2</v>
      </c>
      <c r="M42" s="111">
        <v>4.0193E-2</v>
      </c>
      <c r="N42" s="111">
        <v>4.0518999999999999E-2</v>
      </c>
      <c r="O42" s="111">
        <v>4.0839E-2</v>
      </c>
      <c r="P42" s="111">
        <v>4.1152000000000001E-2</v>
      </c>
      <c r="Q42" s="111">
        <v>4.1454999999999999E-2</v>
      </c>
      <c r="R42" s="111">
        <v>4.1758999999999998E-2</v>
      </c>
      <c r="S42" s="111">
        <v>4.206E-2</v>
      </c>
      <c r="T42" s="111">
        <v>4.2358E-2</v>
      </c>
      <c r="U42" s="111">
        <v>4.2653000000000003E-2</v>
      </c>
      <c r="V42" s="111">
        <v>4.2944999999999997E-2</v>
      </c>
      <c r="W42" s="111">
        <v>4.3240000000000001E-2</v>
      </c>
      <c r="X42" s="111">
        <v>4.3534999999999997E-2</v>
      </c>
      <c r="Y42" s="111">
        <v>4.3829E-2</v>
      </c>
      <c r="Z42" s="111">
        <v>4.4122000000000001E-2</v>
      </c>
      <c r="AA42" s="111">
        <v>4.4415999999999997E-2</v>
      </c>
      <c r="AB42" s="111">
        <v>4.4708999999999999E-2</v>
      </c>
      <c r="AC42" s="111">
        <v>4.5004000000000002E-2</v>
      </c>
      <c r="AD42" s="111">
        <v>4.5295000000000002E-2</v>
      </c>
      <c r="AE42" s="111">
        <v>4.5585000000000001E-2</v>
      </c>
      <c r="AF42" s="111">
        <v>4.5874999999999999E-2</v>
      </c>
      <c r="AG42" s="111">
        <v>4.6168000000000001E-2</v>
      </c>
      <c r="AH42" s="112">
        <v>7.607E-3</v>
      </c>
    </row>
    <row r="43" spans="1:34" x14ac:dyDescent="0.25">
      <c r="A43" s="8" t="s">
        <v>66</v>
      </c>
      <c r="B43" s="110" t="s">
        <v>2761</v>
      </c>
      <c r="C43" s="111">
        <v>2.6616999999999998E-2</v>
      </c>
      <c r="D43" s="111">
        <v>2.6991999999999999E-2</v>
      </c>
      <c r="E43" s="111">
        <v>2.7431000000000001E-2</v>
      </c>
      <c r="F43" s="111">
        <v>2.7858999999999998E-2</v>
      </c>
      <c r="G43" s="111">
        <v>2.8282999999999999E-2</v>
      </c>
      <c r="H43" s="111">
        <v>2.8708999999999998E-2</v>
      </c>
      <c r="I43" s="111">
        <v>2.9123E-2</v>
      </c>
      <c r="J43" s="111">
        <v>2.9508E-2</v>
      </c>
      <c r="K43" s="111">
        <v>2.9918E-2</v>
      </c>
      <c r="L43" s="111">
        <v>3.0360000000000002E-2</v>
      </c>
      <c r="M43" s="111">
        <v>3.083E-2</v>
      </c>
      <c r="N43" s="111">
        <v>3.1329999999999997E-2</v>
      </c>
      <c r="O43" s="111">
        <v>3.1868E-2</v>
      </c>
      <c r="P43" s="111">
        <v>3.2445000000000002E-2</v>
      </c>
      <c r="Q43" s="111">
        <v>3.3062000000000001E-2</v>
      </c>
      <c r="R43" s="111">
        <v>3.3676999999999999E-2</v>
      </c>
      <c r="S43" s="111">
        <v>3.4289E-2</v>
      </c>
      <c r="T43" s="111">
        <v>3.4896000000000003E-2</v>
      </c>
      <c r="U43" s="111">
        <v>3.5500999999999998E-2</v>
      </c>
      <c r="V43" s="111">
        <v>3.6103000000000003E-2</v>
      </c>
      <c r="W43" s="111">
        <v>3.6706000000000003E-2</v>
      </c>
      <c r="X43" s="111">
        <v>3.7309000000000002E-2</v>
      </c>
      <c r="Y43" s="111">
        <v>3.7909999999999999E-2</v>
      </c>
      <c r="Z43" s="111">
        <v>3.8510000000000003E-2</v>
      </c>
      <c r="AA43" s="111">
        <v>3.9109999999999999E-2</v>
      </c>
      <c r="AB43" s="111">
        <v>3.9710000000000002E-2</v>
      </c>
      <c r="AC43" s="111">
        <v>4.0308999999999998E-2</v>
      </c>
      <c r="AD43" s="111">
        <v>4.0904999999999997E-2</v>
      </c>
      <c r="AE43" s="111">
        <v>4.1499000000000001E-2</v>
      </c>
      <c r="AF43" s="111">
        <v>4.2092999999999998E-2</v>
      </c>
      <c r="AG43" s="111">
        <v>4.2686000000000002E-2</v>
      </c>
      <c r="AH43" s="112">
        <v>1.5869999999999999E-2</v>
      </c>
    </row>
    <row r="44" spans="1:34" x14ac:dyDescent="0.25">
      <c r="A44" s="8" t="s">
        <v>67</v>
      </c>
      <c r="B44" s="110" t="s">
        <v>2762</v>
      </c>
      <c r="C44" s="111">
        <v>0.20913000000000001</v>
      </c>
      <c r="D44" s="111">
        <v>0.20516200000000001</v>
      </c>
      <c r="E44" s="111">
        <v>0.202737</v>
      </c>
      <c r="F44" s="111">
        <v>0.20082800000000001</v>
      </c>
      <c r="G44" s="111">
        <v>0.19992599999999999</v>
      </c>
      <c r="H44" s="111">
        <v>0.19981199999999999</v>
      </c>
      <c r="I44" s="111">
        <v>0.20025999999999999</v>
      </c>
      <c r="J44" s="111">
        <v>0.201233</v>
      </c>
      <c r="K44" s="111">
        <v>0.20279</v>
      </c>
      <c r="L44" s="111">
        <v>0.20499000000000001</v>
      </c>
      <c r="M44" s="111">
        <v>0.20774500000000001</v>
      </c>
      <c r="N44" s="111">
        <v>0.21087900000000001</v>
      </c>
      <c r="O44" s="111">
        <v>0.21451600000000001</v>
      </c>
      <c r="P44" s="111">
        <v>0.21862799999999999</v>
      </c>
      <c r="Q44" s="111">
        <v>0.22312899999999999</v>
      </c>
      <c r="R44" s="111">
        <v>0.22802700000000001</v>
      </c>
      <c r="S44" s="111">
        <v>0.23313400000000001</v>
      </c>
      <c r="T44" s="111">
        <v>0.23827000000000001</v>
      </c>
      <c r="U44" s="111">
        <v>0.24330499999999999</v>
      </c>
      <c r="V44" s="111">
        <v>0.24812600000000001</v>
      </c>
      <c r="W44" s="111">
        <v>0.252637</v>
      </c>
      <c r="X44" s="111">
        <v>0.25661600000000001</v>
      </c>
      <c r="Y44" s="111">
        <v>0.26006899999999999</v>
      </c>
      <c r="Z44" s="111">
        <v>0.26324199999999998</v>
      </c>
      <c r="AA44" s="111">
        <v>0.266345</v>
      </c>
      <c r="AB44" s="111">
        <v>0.26934000000000002</v>
      </c>
      <c r="AC44" s="111">
        <v>0.27229599999999998</v>
      </c>
      <c r="AD44" s="111">
        <v>0.27520499999999998</v>
      </c>
      <c r="AE44" s="111">
        <v>0.27812999999999999</v>
      </c>
      <c r="AF44" s="111">
        <v>0.28109899999999999</v>
      </c>
      <c r="AG44" s="111">
        <v>0.284057</v>
      </c>
      <c r="AH44" s="112">
        <v>1.026E-2</v>
      </c>
    </row>
    <row r="45" spans="1:34" x14ac:dyDescent="0.25">
      <c r="A45" s="8" t="s">
        <v>68</v>
      </c>
      <c r="B45" s="110" t="s">
        <v>2763</v>
      </c>
      <c r="C45" s="111">
        <v>8.6663000000000004E-2</v>
      </c>
      <c r="D45" s="111">
        <v>8.3815000000000001E-2</v>
      </c>
      <c r="E45" s="111">
        <v>8.1571000000000005E-2</v>
      </c>
      <c r="F45" s="111">
        <v>7.9480999999999996E-2</v>
      </c>
      <c r="G45" s="111">
        <v>7.7709E-2</v>
      </c>
      <c r="H45" s="111">
        <v>7.6121999999999995E-2</v>
      </c>
      <c r="I45" s="111">
        <v>7.4638999999999997E-2</v>
      </c>
      <c r="J45" s="111">
        <v>7.3223999999999997E-2</v>
      </c>
      <c r="K45" s="111">
        <v>7.1899000000000005E-2</v>
      </c>
      <c r="L45" s="111">
        <v>7.0669999999999997E-2</v>
      </c>
      <c r="M45" s="111">
        <v>6.9486999999999993E-2</v>
      </c>
      <c r="N45" s="111">
        <v>6.8283999999999997E-2</v>
      </c>
      <c r="O45" s="111">
        <v>6.7100000000000007E-2</v>
      </c>
      <c r="P45" s="111">
        <v>6.5909999999999996E-2</v>
      </c>
      <c r="Q45" s="111">
        <v>6.4686999999999995E-2</v>
      </c>
      <c r="R45" s="111">
        <v>6.3421000000000005E-2</v>
      </c>
      <c r="S45" s="111">
        <v>6.2059000000000003E-2</v>
      </c>
      <c r="T45" s="111">
        <v>6.0712000000000002E-2</v>
      </c>
      <c r="U45" s="111">
        <v>5.9373000000000002E-2</v>
      </c>
      <c r="V45" s="111">
        <v>5.8027000000000002E-2</v>
      </c>
      <c r="W45" s="111">
        <v>5.6675000000000003E-2</v>
      </c>
      <c r="X45" s="111">
        <v>5.5294999999999997E-2</v>
      </c>
      <c r="Y45" s="111">
        <v>5.3886999999999997E-2</v>
      </c>
      <c r="Z45" s="111">
        <v>5.2461000000000001E-2</v>
      </c>
      <c r="AA45" s="111">
        <v>5.1003E-2</v>
      </c>
      <c r="AB45" s="111">
        <v>4.9484E-2</v>
      </c>
      <c r="AC45" s="111">
        <v>4.7905000000000003E-2</v>
      </c>
      <c r="AD45" s="111">
        <v>4.6247999999999997E-2</v>
      </c>
      <c r="AE45" s="111">
        <v>4.4521999999999999E-2</v>
      </c>
      <c r="AF45" s="111">
        <v>4.2687000000000003E-2</v>
      </c>
      <c r="AG45" s="111">
        <v>4.0729000000000001E-2</v>
      </c>
      <c r="AH45" s="112">
        <v>-2.4854999999999999E-2</v>
      </c>
    </row>
    <row r="46" spans="1:34" x14ac:dyDescent="0.25">
      <c r="A46" s="8" t="s">
        <v>69</v>
      </c>
      <c r="B46" s="110" t="s">
        <v>70</v>
      </c>
      <c r="C46" s="111">
        <v>7.8188999999999995E-2</v>
      </c>
      <c r="D46" s="111">
        <v>8.4182999999999994E-2</v>
      </c>
      <c r="E46" s="111">
        <v>8.5001999999999994E-2</v>
      </c>
      <c r="F46" s="111">
        <v>8.5620000000000002E-2</v>
      </c>
      <c r="G46" s="111">
        <v>8.6391999999999997E-2</v>
      </c>
      <c r="H46" s="111">
        <v>8.7022000000000002E-2</v>
      </c>
      <c r="I46" s="111">
        <v>8.7474999999999997E-2</v>
      </c>
      <c r="J46" s="111">
        <v>8.7863999999999998E-2</v>
      </c>
      <c r="K46" s="111">
        <v>8.8203000000000004E-2</v>
      </c>
      <c r="L46" s="111">
        <v>8.8428000000000007E-2</v>
      </c>
      <c r="M46" s="111">
        <v>8.8433999999999999E-2</v>
      </c>
      <c r="N46" s="111">
        <v>8.8325000000000001E-2</v>
      </c>
      <c r="O46" s="111">
        <v>8.8066000000000005E-2</v>
      </c>
      <c r="P46" s="111">
        <v>8.7601999999999999E-2</v>
      </c>
      <c r="Q46" s="111">
        <v>8.6923E-2</v>
      </c>
      <c r="R46" s="111">
        <v>8.6102999999999999E-2</v>
      </c>
      <c r="S46" s="111">
        <v>8.5139000000000006E-2</v>
      </c>
      <c r="T46" s="111">
        <v>8.4037000000000001E-2</v>
      </c>
      <c r="U46" s="111">
        <v>8.2822999999999994E-2</v>
      </c>
      <c r="V46" s="111">
        <v>8.1584000000000004E-2</v>
      </c>
      <c r="W46" s="111">
        <v>8.0390000000000003E-2</v>
      </c>
      <c r="X46" s="111">
        <v>7.9242000000000007E-2</v>
      </c>
      <c r="Y46" s="111">
        <v>7.8127000000000002E-2</v>
      </c>
      <c r="Z46" s="111">
        <v>7.7107999999999996E-2</v>
      </c>
      <c r="AA46" s="111">
        <v>7.6200000000000004E-2</v>
      </c>
      <c r="AB46" s="111">
        <v>7.5408000000000003E-2</v>
      </c>
      <c r="AC46" s="111">
        <v>7.4749999999999997E-2</v>
      </c>
      <c r="AD46" s="111">
        <v>7.4200000000000002E-2</v>
      </c>
      <c r="AE46" s="111">
        <v>7.3778999999999997E-2</v>
      </c>
      <c r="AF46" s="111">
        <v>7.3468000000000006E-2</v>
      </c>
      <c r="AG46" s="111">
        <v>7.3273000000000005E-2</v>
      </c>
      <c r="AH46" s="112">
        <v>-2.1619999999999999E-3</v>
      </c>
    </row>
    <row r="47" spans="1:34" x14ac:dyDescent="0.25">
      <c r="A47" s="8" t="s">
        <v>71</v>
      </c>
      <c r="B47" s="110" t="s">
        <v>82</v>
      </c>
      <c r="C47" s="111">
        <v>1.782232</v>
      </c>
      <c r="D47" s="111">
        <v>1.818837</v>
      </c>
      <c r="E47" s="111">
        <v>1.7344930000000001</v>
      </c>
      <c r="F47" s="111">
        <v>1.7519929999999999</v>
      </c>
      <c r="G47" s="111">
        <v>1.7678430000000001</v>
      </c>
      <c r="H47" s="111">
        <v>1.7855730000000001</v>
      </c>
      <c r="I47" s="111">
        <v>1.8115870000000001</v>
      </c>
      <c r="J47" s="111">
        <v>1.8356129999999999</v>
      </c>
      <c r="K47" s="111">
        <v>1.8602780000000001</v>
      </c>
      <c r="L47" s="111">
        <v>1.8846989999999999</v>
      </c>
      <c r="M47" s="111">
        <v>1.9090450000000001</v>
      </c>
      <c r="N47" s="111">
        <v>1.9318519999999999</v>
      </c>
      <c r="O47" s="111">
        <v>1.955325</v>
      </c>
      <c r="P47" s="111">
        <v>1.97879</v>
      </c>
      <c r="Q47" s="111">
        <v>2.0066739999999998</v>
      </c>
      <c r="R47" s="111">
        <v>2.0347849999999998</v>
      </c>
      <c r="S47" s="111">
        <v>2.063161</v>
      </c>
      <c r="T47" s="111">
        <v>2.0911780000000002</v>
      </c>
      <c r="U47" s="111">
        <v>2.118852</v>
      </c>
      <c r="V47" s="111">
        <v>2.1473849999999999</v>
      </c>
      <c r="W47" s="111">
        <v>2.1765509999999999</v>
      </c>
      <c r="X47" s="111">
        <v>2.2055920000000002</v>
      </c>
      <c r="Y47" s="111">
        <v>2.235001</v>
      </c>
      <c r="Z47" s="111">
        <v>2.264894</v>
      </c>
      <c r="AA47" s="111">
        <v>2.294718</v>
      </c>
      <c r="AB47" s="111">
        <v>2.3253870000000001</v>
      </c>
      <c r="AC47" s="111">
        <v>2.355893</v>
      </c>
      <c r="AD47" s="111">
        <v>2.3862860000000001</v>
      </c>
      <c r="AE47" s="111">
        <v>2.4192659999999999</v>
      </c>
      <c r="AF47" s="111">
        <v>2.4529139999999998</v>
      </c>
      <c r="AG47" s="111">
        <v>2.4869430000000001</v>
      </c>
      <c r="AH47" s="112">
        <v>1.1168000000000001E-2</v>
      </c>
    </row>
    <row r="48" spans="1:34" x14ac:dyDescent="0.25">
      <c r="A48" s="8" t="s">
        <v>73</v>
      </c>
      <c r="B48" s="109" t="s">
        <v>2764</v>
      </c>
      <c r="C48" s="113">
        <v>5.1309459999999998</v>
      </c>
      <c r="D48" s="113">
        <v>5.1750970000000001</v>
      </c>
      <c r="E48" s="113">
        <v>5.1948220000000003</v>
      </c>
      <c r="F48" s="113">
        <v>5.2247170000000001</v>
      </c>
      <c r="G48" s="113">
        <v>5.2597699999999996</v>
      </c>
      <c r="H48" s="113">
        <v>5.2973460000000001</v>
      </c>
      <c r="I48" s="113">
        <v>5.3417539999999999</v>
      </c>
      <c r="J48" s="113">
        <v>5.3828639999999996</v>
      </c>
      <c r="K48" s="113">
        <v>5.4251149999999999</v>
      </c>
      <c r="L48" s="113">
        <v>5.4677100000000003</v>
      </c>
      <c r="M48" s="113">
        <v>5.5076280000000004</v>
      </c>
      <c r="N48" s="113">
        <v>5.5467219999999999</v>
      </c>
      <c r="O48" s="113">
        <v>5.5886829999999996</v>
      </c>
      <c r="P48" s="113">
        <v>5.6331569999999997</v>
      </c>
      <c r="Q48" s="113">
        <v>5.6848840000000003</v>
      </c>
      <c r="R48" s="113">
        <v>5.7410990000000002</v>
      </c>
      <c r="S48" s="113">
        <v>5.7989839999999999</v>
      </c>
      <c r="T48" s="113">
        <v>5.8581079999999996</v>
      </c>
      <c r="U48" s="113">
        <v>5.9166119999999998</v>
      </c>
      <c r="V48" s="113">
        <v>5.9755700000000003</v>
      </c>
      <c r="W48" s="113">
        <v>6.0327279999999996</v>
      </c>
      <c r="X48" s="113">
        <v>6.0894979999999999</v>
      </c>
      <c r="Y48" s="113">
        <v>6.147964</v>
      </c>
      <c r="Z48" s="113">
        <v>6.2077249999999999</v>
      </c>
      <c r="AA48" s="113">
        <v>6.2689680000000001</v>
      </c>
      <c r="AB48" s="113">
        <v>6.3308669999999996</v>
      </c>
      <c r="AC48" s="113">
        <v>6.3943700000000003</v>
      </c>
      <c r="AD48" s="113">
        <v>6.4583029999999999</v>
      </c>
      <c r="AE48" s="113">
        <v>6.5272379999999997</v>
      </c>
      <c r="AF48" s="113">
        <v>6.5986260000000003</v>
      </c>
      <c r="AG48" s="113">
        <v>6.6721069999999996</v>
      </c>
      <c r="AH48" s="114">
        <v>8.7930000000000005E-3</v>
      </c>
    </row>
    <row r="49" spans="1:34" x14ac:dyDescent="0.25">
      <c r="A49" s="8" t="s">
        <v>2765</v>
      </c>
      <c r="B49" s="110" t="s">
        <v>2766</v>
      </c>
      <c r="C49" s="111">
        <v>7.8133999999999995E-2</v>
      </c>
      <c r="D49" s="111">
        <v>8.9459999999999998E-2</v>
      </c>
      <c r="E49" s="111">
        <v>9.9012000000000003E-2</v>
      </c>
      <c r="F49" s="111">
        <v>0.108281</v>
      </c>
      <c r="G49" s="111">
        <v>0.11738</v>
      </c>
      <c r="H49" s="111">
        <v>0.126529</v>
      </c>
      <c r="I49" s="111">
        <v>0.13586699999999999</v>
      </c>
      <c r="J49" s="111">
        <v>0.145236</v>
      </c>
      <c r="K49" s="111">
        <v>0.154673</v>
      </c>
      <c r="L49" s="111">
        <v>0.16417200000000001</v>
      </c>
      <c r="M49" s="111">
        <v>0.17386699999999999</v>
      </c>
      <c r="N49" s="111">
        <v>0.18379300000000001</v>
      </c>
      <c r="O49" s="111">
        <v>0.19391700000000001</v>
      </c>
      <c r="P49" s="111">
        <v>0.20421900000000001</v>
      </c>
      <c r="Q49" s="111">
        <v>0.214726</v>
      </c>
      <c r="R49" s="111">
        <v>0.22539300000000001</v>
      </c>
      <c r="S49" s="111">
        <v>0.23625399999999999</v>
      </c>
      <c r="T49" s="111">
        <v>0.247311</v>
      </c>
      <c r="U49" s="111">
        <v>0.25860100000000003</v>
      </c>
      <c r="V49" s="111">
        <v>0.27011499999999999</v>
      </c>
      <c r="W49" s="111">
        <v>0.28189500000000001</v>
      </c>
      <c r="X49" s="111">
        <v>0.29394199999999998</v>
      </c>
      <c r="Y49" s="111">
        <v>0.30629499999999998</v>
      </c>
      <c r="Z49" s="111">
        <v>0.31898300000000002</v>
      </c>
      <c r="AA49" s="111">
        <v>0.33201700000000001</v>
      </c>
      <c r="AB49" s="111">
        <v>0.34545999999999999</v>
      </c>
      <c r="AC49" s="111">
        <v>0.35925099999999999</v>
      </c>
      <c r="AD49" s="111">
        <v>0.373388</v>
      </c>
      <c r="AE49" s="111">
        <v>0.38795400000000002</v>
      </c>
      <c r="AF49" s="111">
        <v>0.40290599999999999</v>
      </c>
      <c r="AG49" s="111">
        <v>0.41825600000000002</v>
      </c>
      <c r="AH49" s="112">
        <v>5.7514999999999997E-2</v>
      </c>
    </row>
    <row r="50" spans="1:34" ht="15" customHeight="1" x14ac:dyDescent="0.25">
      <c r="A50" s="8" t="s">
        <v>2767</v>
      </c>
      <c r="B50" s="109" t="s">
        <v>2768</v>
      </c>
      <c r="C50" s="113">
        <v>5.0528120000000003</v>
      </c>
      <c r="D50" s="113">
        <v>5.0856370000000002</v>
      </c>
      <c r="E50" s="113">
        <v>5.0958110000000003</v>
      </c>
      <c r="F50" s="113">
        <v>5.1164360000000002</v>
      </c>
      <c r="G50" s="113">
        <v>5.1423909999999999</v>
      </c>
      <c r="H50" s="113">
        <v>5.1708170000000004</v>
      </c>
      <c r="I50" s="113">
        <v>5.2058869999999997</v>
      </c>
      <c r="J50" s="113">
        <v>5.237628</v>
      </c>
      <c r="K50" s="113">
        <v>5.2704420000000001</v>
      </c>
      <c r="L50" s="113">
        <v>5.3035379999999996</v>
      </c>
      <c r="M50" s="113">
        <v>5.333761</v>
      </c>
      <c r="N50" s="113">
        <v>5.3629300000000004</v>
      </c>
      <c r="O50" s="113">
        <v>5.3947649999999996</v>
      </c>
      <c r="P50" s="113">
        <v>5.4289379999999996</v>
      </c>
      <c r="Q50" s="113">
        <v>5.4701579999999996</v>
      </c>
      <c r="R50" s="113">
        <v>5.5157069999999999</v>
      </c>
      <c r="S50" s="113">
        <v>5.562729</v>
      </c>
      <c r="T50" s="113">
        <v>5.6107959999999997</v>
      </c>
      <c r="U50" s="113">
        <v>5.65801</v>
      </c>
      <c r="V50" s="113">
        <v>5.7054549999999997</v>
      </c>
      <c r="W50" s="113">
        <v>5.7508330000000001</v>
      </c>
      <c r="X50" s="113">
        <v>5.7955560000000004</v>
      </c>
      <c r="Y50" s="113">
        <v>5.8416689999999996</v>
      </c>
      <c r="Z50" s="113">
        <v>5.8887409999999996</v>
      </c>
      <c r="AA50" s="113">
        <v>5.9369509999999996</v>
      </c>
      <c r="AB50" s="113">
        <v>5.9854070000000004</v>
      </c>
      <c r="AC50" s="113">
        <v>6.0351189999999999</v>
      </c>
      <c r="AD50" s="113">
        <v>6.0849159999999998</v>
      </c>
      <c r="AE50" s="113">
        <v>6.139284</v>
      </c>
      <c r="AF50" s="113">
        <v>6.1957209999999998</v>
      </c>
      <c r="AG50" s="113">
        <v>6.253851</v>
      </c>
      <c r="AH50" s="114">
        <v>7.1339999999999997E-3</v>
      </c>
    </row>
    <row r="51" spans="1:34" ht="15" customHeight="1" x14ac:dyDescent="0.25"/>
    <row r="52" spans="1:34" ht="15" customHeight="1" x14ac:dyDescent="0.25">
      <c r="B52" s="109" t="s">
        <v>75</v>
      </c>
    </row>
    <row r="53" spans="1:34" ht="15" customHeight="1" x14ac:dyDescent="0.25">
      <c r="A53" s="8" t="s">
        <v>76</v>
      </c>
      <c r="B53" s="110" t="s">
        <v>50</v>
      </c>
      <c r="C53" s="111">
        <v>3.5271979999999998</v>
      </c>
      <c r="D53" s="111">
        <v>3.4068170000000002</v>
      </c>
      <c r="E53" s="111">
        <v>3.5381719999999999</v>
      </c>
      <c r="F53" s="111">
        <v>3.5356019999999999</v>
      </c>
      <c r="G53" s="111">
        <v>3.5398179999999999</v>
      </c>
      <c r="H53" s="111">
        <v>3.535704</v>
      </c>
      <c r="I53" s="111">
        <v>3.5229430000000002</v>
      </c>
      <c r="J53" s="111">
        <v>3.505328</v>
      </c>
      <c r="K53" s="111">
        <v>3.4882430000000002</v>
      </c>
      <c r="L53" s="111">
        <v>3.4696370000000001</v>
      </c>
      <c r="M53" s="111">
        <v>3.4476300000000002</v>
      </c>
      <c r="N53" s="111">
        <v>3.4280680000000001</v>
      </c>
      <c r="O53" s="111">
        <v>3.4110649999999998</v>
      </c>
      <c r="P53" s="111">
        <v>3.3951519999999999</v>
      </c>
      <c r="Q53" s="111">
        <v>3.3800249999999998</v>
      </c>
      <c r="R53" s="111">
        <v>3.3672270000000002</v>
      </c>
      <c r="S53" s="111">
        <v>3.3551799999999998</v>
      </c>
      <c r="T53" s="111">
        <v>3.3433769999999998</v>
      </c>
      <c r="U53" s="111">
        <v>3.3330289999999998</v>
      </c>
      <c r="V53" s="111">
        <v>3.3236430000000001</v>
      </c>
      <c r="W53" s="111">
        <v>3.3156490000000001</v>
      </c>
      <c r="X53" s="111">
        <v>3.3071489999999999</v>
      </c>
      <c r="Y53" s="111">
        <v>3.298006</v>
      </c>
      <c r="Z53" s="111">
        <v>3.2885770000000001</v>
      </c>
      <c r="AA53" s="111">
        <v>3.2791389999999998</v>
      </c>
      <c r="AB53" s="111">
        <v>3.2696429999999999</v>
      </c>
      <c r="AC53" s="111">
        <v>3.2606869999999999</v>
      </c>
      <c r="AD53" s="111">
        <v>3.2516229999999999</v>
      </c>
      <c r="AE53" s="111">
        <v>3.2431939999999999</v>
      </c>
      <c r="AF53" s="111">
        <v>3.234245</v>
      </c>
      <c r="AG53" s="111">
        <v>3.2248079999999999</v>
      </c>
      <c r="AH53" s="112">
        <v>-2.983E-3</v>
      </c>
    </row>
    <row r="54" spans="1:34" ht="15" customHeight="1" x14ac:dyDescent="0.25">
      <c r="A54" s="8" t="s">
        <v>77</v>
      </c>
      <c r="B54" s="110" t="s">
        <v>52</v>
      </c>
      <c r="C54" s="111">
        <v>5.8618000000000003E-2</v>
      </c>
      <c r="D54" s="111">
        <v>5.5421999999999999E-2</v>
      </c>
      <c r="E54" s="111">
        <v>6.0291999999999998E-2</v>
      </c>
      <c r="F54" s="111">
        <v>6.0192000000000002E-2</v>
      </c>
      <c r="G54" s="111">
        <v>6.0163000000000001E-2</v>
      </c>
      <c r="H54" s="111">
        <v>6.0023E-2</v>
      </c>
      <c r="I54" s="111">
        <v>5.9796000000000002E-2</v>
      </c>
      <c r="J54" s="111">
        <v>5.9541999999999998E-2</v>
      </c>
      <c r="K54" s="111">
        <v>5.9324000000000002E-2</v>
      </c>
      <c r="L54" s="111">
        <v>5.9101000000000001E-2</v>
      </c>
      <c r="M54" s="111">
        <v>5.8810000000000001E-2</v>
      </c>
      <c r="N54" s="111">
        <v>5.8534999999999997E-2</v>
      </c>
      <c r="O54" s="111">
        <v>5.8282E-2</v>
      </c>
      <c r="P54" s="111">
        <v>5.8022999999999998E-2</v>
      </c>
      <c r="Q54" s="111">
        <v>5.7819000000000002E-2</v>
      </c>
      <c r="R54" s="111">
        <v>5.7718999999999999E-2</v>
      </c>
      <c r="S54" s="111">
        <v>5.7716999999999997E-2</v>
      </c>
      <c r="T54" s="111">
        <v>5.7849999999999999E-2</v>
      </c>
      <c r="U54" s="111">
        <v>5.8006000000000002E-2</v>
      </c>
      <c r="V54" s="111">
        <v>5.8187000000000003E-2</v>
      </c>
      <c r="W54" s="111">
        <v>5.8388000000000002E-2</v>
      </c>
      <c r="X54" s="111">
        <v>5.8542999999999998E-2</v>
      </c>
      <c r="Y54" s="111">
        <v>5.8715000000000003E-2</v>
      </c>
      <c r="Z54" s="111">
        <v>5.8860999999999997E-2</v>
      </c>
      <c r="AA54" s="111">
        <v>5.9041999999999997E-2</v>
      </c>
      <c r="AB54" s="111">
        <v>5.9193999999999997E-2</v>
      </c>
      <c r="AC54" s="111">
        <v>5.9373000000000002E-2</v>
      </c>
      <c r="AD54" s="111">
        <v>5.9533000000000003E-2</v>
      </c>
      <c r="AE54" s="111">
        <v>5.9739E-2</v>
      </c>
      <c r="AF54" s="111">
        <v>5.9929999999999997E-2</v>
      </c>
      <c r="AG54" s="111">
        <v>6.0134E-2</v>
      </c>
      <c r="AH54" s="112">
        <v>8.52E-4</v>
      </c>
    </row>
    <row r="55" spans="1:34" ht="15" customHeight="1" x14ac:dyDescent="0.25">
      <c r="A55" s="8" t="s">
        <v>78</v>
      </c>
      <c r="B55" s="110" t="s">
        <v>54</v>
      </c>
      <c r="C55" s="111">
        <v>1.007279</v>
      </c>
      <c r="D55" s="111">
        <v>1.0041690000000001</v>
      </c>
      <c r="E55" s="111">
        <v>1.007347</v>
      </c>
      <c r="F55" s="111">
        <v>1.014073</v>
      </c>
      <c r="G55" s="111">
        <v>1.0237890000000001</v>
      </c>
      <c r="H55" s="111">
        <v>1.0331030000000001</v>
      </c>
      <c r="I55" s="111">
        <v>1.0415760000000001</v>
      </c>
      <c r="J55" s="111">
        <v>1.0490330000000001</v>
      </c>
      <c r="K55" s="111">
        <v>1.0568759999999999</v>
      </c>
      <c r="L55" s="111">
        <v>1.0648519999999999</v>
      </c>
      <c r="M55" s="111">
        <v>1.0706519999999999</v>
      </c>
      <c r="N55" s="111">
        <v>1.0764830000000001</v>
      </c>
      <c r="O55" s="111">
        <v>1.0828819999999999</v>
      </c>
      <c r="P55" s="111">
        <v>1.089521</v>
      </c>
      <c r="Q55" s="111">
        <v>1.095863</v>
      </c>
      <c r="R55" s="111">
        <v>1.10233</v>
      </c>
      <c r="S55" s="111">
        <v>1.108471</v>
      </c>
      <c r="T55" s="111">
        <v>1.114128</v>
      </c>
      <c r="U55" s="111">
        <v>1.1194850000000001</v>
      </c>
      <c r="V55" s="111">
        <v>1.124763</v>
      </c>
      <c r="W55" s="111">
        <v>1.1300380000000001</v>
      </c>
      <c r="X55" s="111">
        <v>1.1350690000000001</v>
      </c>
      <c r="Y55" s="111">
        <v>1.139977</v>
      </c>
      <c r="Z55" s="111">
        <v>1.1451070000000001</v>
      </c>
      <c r="AA55" s="111">
        <v>1.1505080000000001</v>
      </c>
      <c r="AB55" s="111">
        <v>1.1562790000000001</v>
      </c>
      <c r="AC55" s="111">
        <v>1.16249</v>
      </c>
      <c r="AD55" s="111">
        <v>1.1689529999999999</v>
      </c>
      <c r="AE55" s="111">
        <v>1.175813</v>
      </c>
      <c r="AF55" s="111">
        <v>1.18275</v>
      </c>
      <c r="AG55" s="111">
        <v>1.189524</v>
      </c>
      <c r="AH55" s="112">
        <v>5.5589999999999997E-3</v>
      </c>
    </row>
    <row r="56" spans="1:34" ht="15" customHeight="1" x14ac:dyDescent="0.25">
      <c r="A56" s="8" t="s">
        <v>79</v>
      </c>
      <c r="B56" s="110" t="s">
        <v>58</v>
      </c>
      <c r="C56" s="111">
        <v>0.10345600000000001</v>
      </c>
      <c r="D56" s="111">
        <v>0.103327</v>
      </c>
      <c r="E56" s="111">
        <v>0.103488</v>
      </c>
      <c r="F56" s="111">
        <v>0.103641</v>
      </c>
      <c r="G56" s="111">
        <v>0.103815</v>
      </c>
      <c r="H56" s="111">
        <v>0.10403</v>
      </c>
      <c r="I56" s="111">
        <v>0.10424</v>
      </c>
      <c r="J56" s="111">
        <v>0.104418</v>
      </c>
      <c r="K56" s="111">
        <v>0.10459599999999999</v>
      </c>
      <c r="L56" s="111">
        <v>0.104837</v>
      </c>
      <c r="M56" s="111">
        <v>0.105138</v>
      </c>
      <c r="N56" s="111">
        <v>0.105513</v>
      </c>
      <c r="O56" s="111">
        <v>0.105978</v>
      </c>
      <c r="P56" s="111">
        <v>0.10654</v>
      </c>
      <c r="Q56" s="111">
        <v>0.107144</v>
      </c>
      <c r="R56" s="111">
        <v>0.10781</v>
      </c>
      <c r="S56" s="111">
        <v>0.10852199999999999</v>
      </c>
      <c r="T56" s="111">
        <v>0.109274</v>
      </c>
      <c r="U56" s="111">
        <v>0.11004700000000001</v>
      </c>
      <c r="V56" s="111">
        <v>0.110843</v>
      </c>
      <c r="W56" s="111">
        <v>0.11167000000000001</v>
      </c>
      <c r="X56" s="111">
        <v>0.112526</v>
      </c>
      <c r="Y56" s="111">
        <v>0.113409</v>
      </c>
      <c r="Z56" s="111">
        <v>0.11432199999999999</v>
      </c>
      <c r="AA56" s="111">
        <v>0.115263</v>
      </c>
      <c r="AB56" s="111">
        <v>0.116226</v>
      </c>
      <c r="AC56" s="111">
        <v>0.117205</v>
      </c>
      <c r="AD56" s="111">
        <v>0.118188</v>
      </c>
      <c r="AE56" s="111">
        <v>0.11916499999999999</v>
      </c>
      <c r="AF56" s="111">
        <v>0.120132</v>
      </c>
      <c r="AG56" s="111">
        <v>0.12108099999999999</v>
      </c>
      <c r="AH56" s="112">
        <v>5.2570000000000004E-3</v>
      </c>
    </row>
    <row r="57" spans="1:34" ht="15" customHeight="1" x14ac:dyDescent="0.25">
      <c r="A57" s="8" t="s">
        <v>80</v>
      </c>
      <c r="B57" s="110" t="s">
        <v>60</v>
      </c>
      <c r="C57" s="111">
        <v>3.9426999999999997E-2</v>
      </c>
      <c r="D57" s="111">
        <v>3.9794000000000003E-2</v>
      </c>
      <c r="E57" s="111">
        <v>4.0383000000000002E-2</v>
      </c>
      <c r="F57" s="111">
        <v>4.1098000000000003E-2</v>
      </c>
      <c r="G57" s="111">
        <v>4.1911999999999998E-2</v>
      </c>
      <c r="H57" s="111">
        <v>4.2687999999999997E-2</v>
      </c>
      <c r="I57" s="111">
        <v>4.3422000000000002E-2</v>
      </c>
      <c r="J57" s="111">
        <v>4.4122000000000001E-2</v>
      </c>
      <c r="K57" s="111">
        <v>4.4798999999999999E-2</v>
      </c>
      <c r="L57" s="111">
        <v>4.5449999999999997E-2</v>
      </c>
      <c r="M57" s="111">
        <v>4.5976000000000003E-2</v>
      </c>
      <c r="N57" s="111">
        <v>4.6544000000000002E-2</v>
      </c>
      <c r="O57" s="111">
        <v>4.7157999999999999E-2</v>
      </c>
      <c r="P57" s="111">
        <v>4.7801000000000003E-2</v>
      </c>
      <c r="Q57" s="111">
        <v>4.8443E-2</v>
      </c>
      <c r="R57" s="111">
        <v>4.9086999999999999E-2</v>
      </c>
      <c r="S57" s="111">
        <v>4.9716000000000003E-2</v>
      </c>
      <c r="T57" s="111">
        <v>5.0361999999999997E-2</v>
      </c>
      <c r="U57" s="111">
        <v>5.1031E-2</v>
      </c>
      <c r="V57" s="111">
        <v>5.1721000000000003E-2</v>
      </c>
      <c r="W57" s="111">
        <v>5.2427000000000001E-2</v>
      </c>
      <c r="X57" s="111">
        <v>5.3130999999999998E-2</v>
      </c>
      <c r="Y57" s="111">
        <v>5.3830999999999997E-2</v>
      </c>
      <c r="Z57" s="111">
        <v>5.4533999999999999E-2</v>
      </c>
      <c r="AA57" s="111">
        <v>5.5234999999999999E-2</v>
      </c>
      <c r="AB57" s="111">
        <v>5.5934999999999999E-2</v>
      </c>
      <c r="AC57" s="111">
        <v>5.6635999999999999E-2</v>
      </c>
      <c r="AD57" s="111">
        <v>5.7333000000000002E-2</v>
      </c>
      <c r="AE57" s="111">
        <v>5.8035000000000003E-2</v>
      </c>
      <c r="AF57" s="111">
        <v>5.8729000000000003E-2</v>
      </c>
      <c r="AG57" s="111">
        <v>5.9408000000000002E-2</v>
      </c>
      <c r="AH57" s="112">
        <v>1.376E-2</v>
      </c>
    </row>
    <row r="58" spans="1:34" ht="15" customHeight="1" x14ac:dyDescent="0.25">
      <c r="A58" s="8" t="s">
        <v>81</v>
      </c>
      <c r="B58" s="110" t="s">
        <v>2679</v>
      </c>
      <c r="C58" s="111">
        <v>0.233372</v>
      </c>
      <c r="D58" s="111">
        <v>0.23185500000000001</v>
      </c>
      <c r="E58" s="111">
        <v>0.23150200000000001</v>
      </c>
      <c r="F58" s="111">
        <v>0.23178599999999999</v>
      </c>
      <c r="G58" s="111">
        <v>0.23241100000000001</v>
      </c>
      <c r="H58" s="111">
        <v>0.232655</v>
      </c>
      <c r="I58" s="111">
        <v>0.232517</v>
      </c>
      <c r="J58" s="111">
        <v>0.23203799999999999</v>
      </c>
      <c r="K58" s="111">
        <v>0.23147699999999999</v>
      </c>
      <c r="L58" s="111">
        <v>0.23080999999999999</v>
      </c>
      <c r="M58" s="111">
        <v>0.229433</v>
      </c>
      <c r="N58" s="111">
        <v>0.22833200000000001</v>
      </c>
      <c r="O58" s="111">
        <v>0.22751299999999999</v>
      </c>
      <c r="P58" s="111">
        <v>0.226939</v>
      </c>
      <c r="Q58" s="111">
        <v>0.22645000000000001</v>
      </c>
      <c r="R58" s="111">
        <v>0.22605900000000001</v>
      </c>
      <c r="S58" s="111">
        <v>0.22570499999999999</v>
      </c>
      <c r="T58" s="111">
        <v>0.225355</v>
      </c>
      <c r="U58" s="111">
        <v>0.22502800000000001</v>
      </c>
      <c r="V58" s="111">
        <v>0.22472800000000001</v>
      </c>
      <c r="W58" s="111">
        <v>0.22443299999999999</v>
      </c>
      <c r="X58" s="111">
        <v>0.22409799999999999</v>
      </c>
      <c r="Y58" s="111">
        <v>0.22373199999999999</v>
      </c>
      <c r="Z58" s="111">
        <v>0.22336800000000001</v>
      </c>
      <c r="AA58" s="111">
        <v>0.223001</v>
      </c>
      <c r="AB58" s="111">
        <v>0.222637</v>
      </c>
      <c r="AC58" s="111">
        <v>0.22229299999999999</v>
      </c>
      <c r="AD58" s="111">
        <v>0.22195400000000001</v>
      </c>
      <c r="AE58" s="111">
        <v>0.22166</v>
      </c>
      <c r="AF58" s="111">
        <v>0.221362</v>
      </c>
      <c r="AG58" s="111">
        <v>0.221026</v>
      </c>
      <c r="AH58" s="112">
        <v>-1.81E-3</v>
      </c>
    </row>
    <row r="59" spans="1:34" ht="15" customHeight="1" x14ac:dyDescent="0.25">
      <c r="A59" s="8" t="s">
        <v>83</v>
      </c>
      <c r="B59" s="109" t="s">
        <v>74</v>
      </c>
      <c r="C59" s="113">
        <v>4.9693500000000004</v>
      </c>
      <c r="D59" s="113">
        <v>4.8413839999999997</v>
      </c>
      <c r="E59" s="113">
        <v>4.9811839999999998</v>
      </c>
      <c r="F59" s="113">
        <v>4.9863920000000004</v>
      </c>
      <c r="G59" s="113">
        <v>5.0019070000000001</v>
      </c>
      <c r="H59" s="113">
        <v>5.008203</v>
      </c>
      <c r="I59" s="113">
        <v>5.0044950000000004</v>
      </c>
      <c r="J59" s="113">
        <v>4.9944800000000003</v>
      </c>
      <c r="K59" s="113">
        <v>4.9853160000000001</v>
      </c>
      <c r="L59" s="113">
        <v>4.9746870000000003</v>
      </c>
      <c r="M59" s="113">
        <v>4.9576399999999996</v>
      </c>
      <c r="N59" s="113">
        <v>4.9434750000000003</v>
      </c>
      <c r="O59" s="113">
        <v>4.9328779999999997</v>
      </c>
      <c r="P59" s="113">
        <v>4.9239769999999998</v>
      </c>
      <c r="Q59" s="113">
        <v>4.9157450000000003</v>
      </c>
      <c r="R59" s="113">
        <v>4.9102319999999997</v>
      </c>
      <c r="S59" s="113">
        <v>4.9053110000000002</v>
      </c>
      <c r="T59" s="113">
        <v>4.9003480000000001</v>
      </c>
      <c r="U59" s="113">
        <v>4.8966260000000004</v>
      </c>
      <c r="V59" s="113">
        <v>4.893885</v>
      </c>
      <c r="W59" s="113">
        <v>4.8926049999999996</v>
      </c>
      <c r="X59" s="113">
        <v>4.8905159999999999</v>
      </c>
      <c r="Y59" s="113">
        <v>4.88767</v>
      </c>
      <c r="Z59" s="113">
        <v>4.8847680000000002</v>
      </c>
      <c r="AA59" s="113">
        <v>4.8821870000000001</v>
      </c>
      <c r="AB59" s="113">
        <v>4.8799149999999996</v>
      </c>
      <c r="AC59" s="113">
        <v>4.8786829999999997</v>
      </c>
      <c r="AD59" s="113">
        <v>4.8775849999999998</v>
      </c>
      <c r="AE59" s="113">
        <v>4.877605</v>
      </c>
      <c r="AF59" s="113">
        <v>4.877148</v>
      </c>
      <c r="AG59" s="113">
        <v>4.8759800000000002</v>
      </c>
      <c r="AH59" s="114">
        <v>-6.3199999999999997E-4</v>
      </c>
    </row>
    <row r="60" spans="1:34" ht="15" customHeight="1" x14ac:dyDescent="0.25"/>
    <row r="61" spans="1:34" ht="15" customHeight="1" x14ac:dyDescent="0.25">
      <c r="B61" s="109" t="s">
        <v>2769</v>
      </c>
    </row>
    <row r="62" spans="1:34" ht="15" customHeight="1" x14ac:dyDescent="0.25">
      <c r="A62" s="8" t="s">
        <v>84</v>
      </c>
      <c r="B62" s="110" t="s">
        <v>50</v>
      </c>
      <c r="C62" s="111">
        <v>0.372664</v>
      </c>
      <c r="D62" s="111">
        <v>0.399955</v>
      </c>
      <c r="E62" s="111">
        <v>0.39968799999999999</v>
      </c>
      <c r="F62" s="111">
        <v>0.38928299999999999</v>
      </c>
      <c r="G62" s="111">
        <v>0.37951299999999999</v>
      </c>
      <c r="H62" s="111">
        <v>0.37123200000000001</v>
      </c>
      <c r="I62" s="111">
        <v>0.36319899999999999</v>
      </c>
      <c r="J62" s="111">
        <v>0.35584300000000002</v>
      </c>
      <c r="K62" s="111">
        <v>0.34920899999999999</v>
      </c>
      <c r="L62" s="111">
        <v>0.34301399999999999</v>
      </c>
      <c r="M62" s="111">
        <v>0.337038</v>
      </c>
      <c r="N62" s="111">
        <v>0.33146399999999998</v>
      </c>
      <c r="O62" s="111">
        <v>0.32606499999999999</v>
      </c>
      <c r="P62" s="111">
        <v>0.320905</v>
      </c>
      <c r="Q62" s="111">
        <v>0.31589800000000001</v>
      </c>
      <c r="R62" s="111">
        <v>0.31137300000000001</v>
      </c>
      <c r="S62" s="111">
        <v>0.30709900000000001</v>
      </c>
      <c r="T62" s="111">
        <v>0.30277500000000002</v>
      </c>
      <c r="U62" s="111">
        <v>0.29836299999999999</v>
      </c>
      <c r="V62" s="111">
        <v>0.29428900000000002</v>
      </c>
      <c r="W62" s="111">
        <v>0.29003899999999999</v>
      </c>
      <c r="X62" s="111">
        <v>0.28581899999999999</v>
      </c>
      <c r="Y62" s="111">
        <v>0.281613</v>
      </c>
      <c r="Z62" s="111">
        <v>0.27742600000000001</v>
      </c>
      <c r="AA62" s="111">
        <v>0.27319500000000002</v>
      </c>
      <c r="AB62" s="111">
        <v>0.268874</v>
      </c>
      <c r="AC62" s="111">
        <v>0.26463199999999998</v>
      </c>
      <c r="AD62" s="111">
        <v>0.26042599999999999</v>
      </c>
      <c r="AE62" s="111">
        <v>0.256324</v>
      </c>
      <c r="AF62" s="111">
        <v>0.25215399999999999</v>
      </c>
      <c r="AG62" s="111">
        <v>0.24796299999999999</v>
      </c>
      <c r="AH62" s="112">
        <v>-1.3488E-2</v>
      </c>
    </row>
    <row r="63" spans="1:34" ht="15" customHeight="1" x14ac:dyDescent="0.25">
      <c r="A63" s="8" t="s">
        <v>85</v>
      </c>
      <c r="B63" s="110" t="s">
        <v>54</v>
      </c>
      <c r="C63" s="111">
        <v>4.8758999999999997E-2</v>
      </c>
      <c r="D63" s="111">
        <v>4.7107999999999997E-2</v>
      </c>
      <c r="E63" s="111">
        <v>4.5227999999999997E-2</v>
      </c>
      <c r="F63" s="111">
        <v>4.3108E-2</v>
      </c>
      <c r="G63" s="111">
        <v>4.1235000000000001E-2</v>
      </c>
      <c r="H63" s="111">
        <v>3.9720999999999999E-2</v>
      </c>
      <c r="I63" s="111">
        <v>3.8404000000000001E-2</v>
      </c>
      <c r="J63" s="111">
        <v>3.7331000000000003E-2</v>
      </c>
      <c r="K63" s="111">
        <v>3.6495E-2</v>
      </c>
      <c r="L63" s="111">
        <v>3.5866000000000002E-2</v>
      </c>
      <c r="M63" s="111">
        <v>3.5411999999999999E-2</v>
      </c>
      <c r="N63" s="111">
        <v>3.4931999999999998E-2</v>
      </c>
      <c r="O63" s="111">
        <v>3.4422000000000001E-2</v>
      </c>
      <c r="P63" s="111">
        <v>3.3897999999999998E-2</v>
      </c>
      <c r="Q63" s="111">
        <v>3.3360000000000001E-2</v>
      </c>
      <c r="R63" s="111">
        <v>3.2837999999999999E-2</v>
      </c>
      <c r="S63" s="111">
        <v>3.2328999999999997E-2</v>
      </c>
      <c r="T63" s="111">
        <v>3.1798E-2</v>
      </c>
      <c r="U63" s="111">
        <v>3.1244000000000001E-2</v>
      </c>
      <c r="V63" s="111">
        <v>3.0721999999999999E-2</v>
      </c>
      <c r="W63" s="111">
        <v>3.0176000000000001E-2</v>
      </c>
      <c r="X63" s="111">
        <v>2.9644E-2</v>
      </c>
      <c r="Y63" s="111">
        <v>2.9135999999999999E-2</v>
      </c>
      <c r="Z63" s="111">
        <v>2.8657999999999999E-2</v>
      </c>
      <c r="AA63" s="111">
        <v>2.8198999999999998E-2</v>
      </c>
      <c r="AB63" s="111">
        <v>2.775E-2</v>
      </c>
      <c r="AC63" s="111">
        <v>2.733E-2</v>
      </c>
      <c r="AD63" s="111">
        <v>2.6935000000000001E-2</v>
      </c>
      <c r="AE63" s="111">
        <v>2.6564000000000001E-2</v>
      </c>
      <c r="AF63" s="111">
        <v>2.6193999999999999E-2</v>
      </c>
      <c r="AG63" s="111">
        <v>2.5829000000000001E-2</v>
      </c>
      <c r="AH63" s="112">
        <v>-2.0957E-2</v>
      </c>
    </row>
    <row r="64" spans="1:34" ht="15" customHeight="1" x14ac:dyDescent="0.25">
      <c r="A64" s="8" t="s">
        <v>86</v>
      </c>
      <c r="B64" s="110" t="s">
        <v>2770</v>
      </c>
      <c r="C64" s="111">
        <v>7.8510000000000003E-3</v>
      </c>
      <c r="D64" s="111">
        <v>7.9019999999999993E-3</v>
      </c>
      <c r="E64" s="111">
        <v>7.8910000000000004E-3</v>
      </c>
      <c r="F64" s="111">
        <v>7.8130000000000005E-3</v>
      </c>
      <c r="G64" s="111">
        <v>7.7390000000000002E-3</v>
      </c>
      <c r="H64" s="111">
        <v>7.6880000000000004E-3</v>
      </c>
      <c r="I64" s="111">
        <v>7.6400000000000001E-3</v>
      </c>
      <c r="J64" s="111">
        <v>7.5989999999999999E-3</v>
      </c>
      <c r="K64" s="111">
        <v>7.5659999999999998E-3</v>
      </c>
      <c r="L64" s="111">
        <v>7.5360000000000002E-3</v>
      </c>
      <c r="M64" s="111">
        <v>7.5050000000000004E-3</v>
      </c>
      <c r="N64" s="111">
        <v>7.4790000000000004E-3</v>
      </c>
      <c r="O64" s="111">
        <v>7.4539999999999997E-3</v>
      </c>
      <c r="P64" s="111">
        <v>7.43E-3</v>
      </c>
      <c r="Q64" s="111">
        <v>7.4079999999999997E-3</v>
      </c>
      <c r="R64" s="111">
        <v>7.3920000000000001E-3</v>
      </c>
      <c r="S64" s="111">
        <v>7.3800000000000003E-3</v>
      </c>
      <c r="T64" s="111">
        <v>7.3629999999999998E-3</v>
      </c>
      <c r="U64" s="111">
        <v>7.3419999999999996E-3</v>
      </c>
      <c r="V64" s="111">
        <v>7.326E-3</v>
      </c>
      <c r="W64" s="111">
        <v>7.3020000000000003E-3</v>
      </c>
      <c r="X64" s="111">
        <v>7.2789999999999999E-3</v>
      </c>
      <c r="Y64" s="111">
        <v>7.2560000000000003E-3</v>
      </c>
      <c r="Z64" s="111">
        <v>7.2360000000000002E-3</v>
      </c>
      <c r="AA64" s="111">
        <v>7.2139999999999999E-3</v>
      </c>
      <c r="AB64" s="111">
        <v>7.1900000000000002E-3</v>
      </c>
      <c r="AC64" s="111">
        <v>7.1679999999999999E-3</v>
      </c>
      <c r="AD64" s="111">
        <v>7.1479999999999998E-3</v>
      </c>
      <c r="AE64" s="111">
        <v>7.1310000000000002E-3</v>
      </c>
      <c r="AF64" s="111">
        <v>7.1120000000000003E-3</v>
      </c>
      <c r="AG64" s="111">
        <v>7.0920000000000002E-3</v>
      </c>
      <c r="AH64" s="112">
        <v>-3.3800000000000002E-3</v>
      </c>
    </row>
    <row r="65" spans="1:34" ht="15" customHeight="1" x14ac:dyDescent="0.25">
      <c r="A65" s="8" t="s">
        <v>88</v>
      </c>
      <c r="B65" s="109" t="s">
        <v>74</v>
      </c>
      <c r="C65" s="113">
        <v>0.42927399999999999</v>
      </c>
      <c r="D65" s="113">
        <v>0.45496599999999998</v>
      </c>
      <c r="E65" s="113">
        <v>0.45280599999999999</v>
      </c>
      <c r="F65" s="113">
        <v>0.44020399999999998</v>
      </c>
      <c r="G65" s="113">
        <v>0.42848700000000001</v>
      </c>
      <c r="H65" s="113">
        <v>0.41864099999999999</v>
      </c>
      <c r="I65" s="113">
        <v>0.40924300000000002</v>
      </c>
      <c r="J65" s="113">
        <v>0.40077299999999999</v>
      </c>
      <c r="K65" s="113">
        <v>0.39327000000000001</v>
      </c>
      <c r="L65" s="113">
        <v>0.38641599999999998</v>
      </c>
      <c r="M65" s="113">
        <v>0.37995499999999999</v>
      </c>
      <c r="N65" s="113">
        <v>0.37387599999999999</v>
      </c>
      <c r="O65" s="113">
        <v>0.36794100000000002</v>
      </c>
      <c r="P65" s="113">
        <v>0.36223300000000003</v>
      </c>
      <c r="Q65" s="113">
        <v>0.35666599999999998</v>
      </c>
      <c r="R65" s="113">
        <v>0.351603</v>
      </c>
      <c r="S65" s="113">
        <v>0.34680699999999998</v>
      </c>
      <c r="T65" s="113">
        <v>0.34193600000000002</v>
      </c>
      <c r="U65" s="113">
        <v>0.336949</v>
      </c>
      <c r="V65" s="113">
        <v>0.33233699999999999</v>
      </c>
      <c r="W65" s="113">
        <v>0.32751799999999998</v>
      </c>
      <c r="X65" s="113">
        <v>0.32274199999999997</v>
      </c>
      <c r="Y65" s="113">
        <v>0.31800600000000001</v>
      </c>
      <c r="Z65" s="113">
        <v>0.31331900000000001</v>
      </c>
      <c r="AA65" s="113">
        <v>0.30860799999999999</v>
      </c>
      <c r="AB65" s="113">
        <v>0.30381399999999997</v>
      </c>
      <c r="AC65" s="113">
        <v>0.29912899999999998</v>
      </c>
      <c r="AD65" s="113">
        <v>0.29450900000000002</v>
      </c>
      <c r="AE65" s="113">
        <v>0.29001900000000003</v>
      </c>
      <c r="AF65" s="113">
        <v>0.28545999999999999</v>
      </c>
      <c r="AG65" s="113">
        <v>0.28089700000000001</v>
      </c>
      <c r="AH65" s="114">
        <v>-1.4037000000000001E-2</v>
      </c>
    </row>
    <row r="67" spans="1:34" ht="15" customHeight="1" x14ac:dyDescent="0.25">
      <c r="B67" s="109" t="s">
        <v>89</v>
      </c>
    </row>
    <row r="68" spans="1:34" ht="15" customHeight="1" x14ac:dyDescent="0.25">
      <c r="A68" s="8" t="s">
        <v>90</v>
      </c>
      <c r="B68" s="110" t="s">
        <v>50</v>
      </c>
      <c r="C68" s="111">
        <v>0.30082599999999998</v>
      </c>
      <c r="D68" s="111">
        <v>0.319245</v>
      </c>
      <c r="E68" s="111">
        <v>0.31642700000000001</v>
      </c>
      <c r="F68" s="111">
        <v>0.31378600000000001</v>
      </c>
      <c r="G68" s="111">
        <v>0.311282</v>
      </c>
      <c r="H68" s="111">
        <v>0.30873200000000001</v>
      </c>
      <c r="I68" s="111">
        <v>0.30631199999999997</v>
      </c>
      <c r="J68" s="111">
        <v>0.30398900000000001</v>
      </c>
      <c r="K68" s="111">
        <v>0.30152699999999999</v>
      </c>
      <c r="L68" s="111">
        <v>0.29885800000000001</v>
      </c>
      <c r="M68" s="111">
        <v>0.29563699999999998</v>
      </c>
      <c r="N68" s="111">
        <v>0.29248200000000002</v>
      </c>
      <c r="O68" s="111">
        <v>0.28951300000000002</v>
      </c>
      <c r="P68" s="111">
        <v>0.28678999999999999</v>
      </c>
      <c r="Q68" s="111">
        <v>0.28419699999999998</v>
      </c>
      <c r="R68" s="111">
        <v>0.28186800000000001</v>
      </c>
      <c r="S68" s="111">
        <v>0.27961000000000003</v>
      </c>
      <c r="T68" s="111">
        <v>0.27726200000000001</v>
      </c>
      <c r="U68" s="111">
        <v>0.27491900000000002</v>
      </c>
      <c r="V68" s="111">
        <v>0.27269199999999999</v>
      </c>
      <c r="W68" s="111">
        <v>0.27064199999999999</v>
      </c>
      <c r="X68" s="111">
        <v>0.26865499999999998</v>
      </c>
      <c r="Y68" s="111">
        <v>0.26665699999999998</v>
      </c>
      <c r="Z68" s="111">
        <v>0.26476</v>
      </c>
      <c r="AA68" s="111">
        <v>0.26284800000000003</v>
      </c>
      <c r="AB68" s="111">
        <v>0.26092900000000002</v>
      </c>
      <c r="AC68" s="111">
        <v>0.25897900000000001</v>
      </c>
      <c r="AD68" s="111">
        <v>0.25696999999999998</v>
      </c>
      <c r="AE68" s="111">
        <v>0.25494800000000001</v>
      </c>
      <c r="AF68" s="111">
        <v>0.25290699999999999</v>
      </c>
      <c r="AG68" s="111">
        <v>0.25086700000000001</v>
      </c>
      <c r="AH68" s="112">
        <v>-6.0350000000000004E-3</v>
      </c>
    </row>
    <row r="69" spans="1:34" ht="15" customHeight="1" x14ac:dyDescent="0.25">
      <c r="A69" s="8" t="s">
        <v>91</v>
      </c>
      <c r="B69" s="110" t="s">
        <v>54</v>
      </c>
      <c r="C69" s="111">
        <v>6.5346000000000001E-2</v>
      </c>
      <c r="D69" s="111">
        <v>6.3722000000000001E-2</v>
      </c>
      <c r="E69" s="111">
        <v>6.2054999999999999E-2</v>
      </c>
      <c r="F69" s="111">
        <v>6.0464999999999998E-2</v>
      </c>
      <c r="G69" s="111">
        <v>5.9104999999999998E-2</v>
      </c>
      <c r="H69" s="111">
        <v>5.7937000000000002E-2</v>
      </c>
      <c r="I69" s="111">
        <v>5.6966999999999997E-2</v>
      </c>
      <c r="J69" s="111">
        <v>5.6138E-2</v>
      </c>
      <c r="K69" s="111">
        <v>5.5392999999999998E-2</v>
      </c>
      <c r="L69" s="111">
        <v>5.4729E-2</v>
      </c>
      <c r="M69" s="111">
        <v>5.4049E-2</v>
      </c>
      <c r="N69" s="111">
        <v>5.3270999999999999E-2</v>
      </c>
      <c r="O69" s="111">
        <v>5.2456999999999997E-2</v>
      </c>
      <c r="P69" s="111">
        <v>5.1631999999999997E-2</v>
      </c>
      <c r="Q69" s="111">
        <v>5.0781E-2</v>
      </c>
      <c r="R69" s="111">
        <v>4.9942E-2</v>
      </c>
      <c r="S69" s="111">
        <v>4.9103000000000001E-2</v>
      </c>
      <c r="T69" s="111">
        <v>4.8235E-2</v>
      </c>
      <c r="U69" s="111">
        <v>4.7364000000000003E-2</v>
      </c>
      <c r="V69" s="111">
        <v>4.6526999999999999E-2</v>
      </c>
      <c r="W69" s="111">
        <v>4.5739000000000002E-2</v>
      </c>
      <c r="X69" s="111">
        <v>4.4993999999999999E-2</v>
      </c>
      <c r="Y69" s="111">
        <v>4.4291999999999998E-2</v>
      </c>
      <c r="Z69" s="111">
        <v>4.3656E-2</v>
      </c>
      <c r="AA69" s="111">
        <v>4.3063999999999998E-2</v>
      </c>
      <c r="AB69" s="111">
        <v>4.2515999999999998E-2</v>
      </c>
      <c r="AC69" s="111">
        <v>4.1997E-2</v>
      </c>
      <c r="AD69" s="111">
        <v>4.1496999999999999E-2</v>
      </c>
      <c r="AE69" s="111">
        <v>4.1015000000000003E-2</v>
      </c>
      <c r="AF69" s="111">
        <v>4.0548000000000001E-2</v>
      </c>
      <c r="AG69" s="111">
        <v>4.0093999999999998E-2</v>
      </c>
      <c r="AH69" s="112">
        <v>-1.6150000000000001E-2</v>
      </c>
    </row>
    <row r="70" spans="1:34" ht="15" customHeight="1" x14ac:dyDescent="0.25">
      <c r="A70" s="8" t="s">
        <v>92</v>
      </c>
      <c r="B70" s="110" t="s">
        <v>58</v>
      </c>
      <c r="C70" s="111">
        <v>1.7066999999999999E-2</v>
      </c>
      <c r="D70" s="111">
        <v>1.6858999999999999E-2</v>
      </c>
      <c r="E70" s="111">
        <v>1.6695999999999999E-2</v>
      </c>
      <c r="F70" s="111">
        <v>1.6528000000000001E-2</v>
      </c>
      <c r="G70" s="111">
        <v>1.6358000000000001E-2</v>
      </c>
      <c r="H70" s="111">
        <v>1.6188999999999999E-2</v>
      </c>
      <c r="I70" s="111">
        <v>1.601E-2</v>
      </c>
      <c r="J70" s="111">
        <v>1.5814999999999999E-2</v>
      </c>
      <c r="K70" s="111">
        <v>1.5609E-2</v>
      </c>
      <c r="L70" s="111">
        <v>1.5391999999999999E-2</v>
      </c>
      <c r="M70" s="111">
        <v>1.5162999999999999E-2</v>
      </c>
      <c r="N70" s="111">
        <v>1.4926999999999999E-2</v>
      </c>
      <c r="O70" s="111">
        <v>1.4685E-2</v>
      </c>
      <c r="P70" s="111">
        <v>1.448E-2</v>
      </c>
      <c r="Q70" s="111">
        <v>1.4312999999999999E-2</v>
      </c>
      <c r="R70" s="111">
        <v>1.4186000000000001E-2</v>
      </c>
      <c r="S70" s="111">
        <v>1.4101000000000001E-2</v>
      </c>
      <c r="T70" s="111">
        <v>1.4056000000000001E-2</v>
      </c>
      <c r="U70" s="111">
        <v>1.4005E-2</v>
      </c>
      <c r="V70" s="111">
        <v>1.3950000000000001E-2</v>
      </c>
      <c r="W70" s="111">
        <v>1.389E-2</v>
      </c>
      <c r="X70" s="111">
        <v>1.3826E-2</v>
      </c>
      <c r="Y70" s="111">
        <v>1.3757999999999999E-2</v>
      </c>
      <c r="Z70" s="111">
        <v>1.3687E-2</v>
      </c>
      <c r="AA70" s="111">
        <v>1.3616E-2</v>
      </c>
      <c r="AB70" s="111">
        <v>1.3546000000000001E-2</v>
      </c>
      <c r="AC70" s="111">
        <v>1.3480000000000001E-2</v>
      </c>
      <c r="AD70" s="111">
        <v>1.3417E-2</v>
      </c>
      <c r="AE70" s="111">
        <v>1.3358999999999999E-2</v>
      </c>
      <c r="AF70" s="111">
        <v>1.3304E-2</v>
      </c>
      <c r="AG70" s="111">
        <v>1.325E-2</v>
      </c>
      <c r="AH70" s="112">
        <v>-8.4010000000000005E-3</v>
      </c>
    </row>
    <row r="71" spans="1:34" ht="15" customHeight="1" x14ac:dyDescent="0.25">
      <c r="A71" s="8" t="s">
        <v>93</v>
      </c>
      <c r="B71" s="110" t="s">
        <v>2771</v>
      </c>
      <c r="C71" s="111">
        <v>7.1942000000000006E-2</v>
      </c>
      <c r="D71" s="111">
        <v>7.4218999999999993E-2</v>
      </c>
      <c r="E71" s="111">
        <v>7.6272000000000006E-2</v>
      </c>
      <c r="F71" s="111">
        <v>7.8184000000000003E-2</v>
      </c>
      <c r="G71" s="111">
        <v>8.0131999999999995E-2</v>
      </c>
      <c r="H71" s="111">
        <v>8.2116999999999996E-2</v>
      </c>
      <c r="I71" s="111">
        <v>8.4159999999999999E-2</v>
      </c>
      <c r="J71" s="111">
        <v>8.6215E-2</v>
      </c>
      <c r="K71" s="111">
        <v>8.8203000000000004E-2</v>
      </c>
      <c r="L71" s="111">
        <v>9.0112999999999999E-2</v>
      </c>
      <c r="M71" s="111">
        <v>9.1786000000000006E-2</v>
      </c>
      <c r="N71" s="111">
        <v>9.3445E-2</v>
      </c>
      <c r="O71" s="111">
        <v>9.5152E-2</v>
      </c>
      <c r="P71" s="111">
        <v>9.6923999999999996E-2</v>
      </c>
      <c r="Q71" s="111">
        <v>9.8706000000000002E-2</v>
      </c>
      <c r="R71" s="111">
        <v>0.10054200000000001</v>
      </c>
      <c r="S71" s="111">
        <v>0.102393</v>
      </c>
      <c r="T71" s="111">
        <v>0.104196</v>
      </c>
      <c r="U71" s="111">
        <v>0.105976</v>
      </c>
      <c r="V71" s="111">
        <v>0.10778500000000001</v>
      </c>
      <c r="W71" s="111">
        <v>0.109637</v>
      </c>
      <c r="X71" s="111">
        <v>0.11151</v>
      </c>
      <c r="Y71" s="111">
        <v>0.113397</v>
      </c>
      <c r="Z71" s="111">
        <v>0.115342</v>
      </c>
      <c r="AA71" s="111">
        <v>0.11730599999999999</v>
      </c>
      <c r="AB71" s="111">
        <v>0.119287</v>
      </c>
      <c r="AC71" s="111">
        <v>0.12126199999999999</v>
      </c>
      <c r="AD71" s="111">
        <v>0.123226</v>
      </c>
      <c r="AE71" s="111">
        <v>0.12518599999999999</v>
      </c>
      <c r="AF71" s="111">
        <v>0.12714300000000001</v>
      </c>
      <c r="AG71" s="111">
        <v>0.12910099999999999</v>
      </c>
      <c r="AH71" s="112">
        <v>1.9682000000000002E-2</v>
      </c>
    </row>
    <row r="72" spans="1:34" ht="15" customHeight="1" x14ac:dyDescent="0.25">
      <c r="A72" s="8" t="s">
        <v>94</v>
      </c>
      <c r="B72" s="109" t="s">
        <v>74</v>
      </c>
      <c r="C72" s="113">
        <v>0.45517999999999997</v>
      </c>
      <c r="D72" s="113">
        <v>0.47404499999999999</v>
      </c>
      <c r="E72" s="113">
        <v>0.47144999999999998</v>
      </c>
      <c r="F72" s="113">
        <v>0.46896199999999999</v>
      </c>
      <c r="G72" s="113">
        <v>0.46687699999999999</v>
      </c>
      <c r="H72" s="113">
        <v>0.464974</v>
      </c>
      <c r="I72" s="113">
        <v>0.46344999999999997</v>
      </c>
      <c r="J72" s="113">
        <v>0.46215699999999998</v>
      </c>
      <c r="K72" s="113">
        <v>0.460731</v>
      </c>
      <c r="L72" s="113">
        <v>0.459092</v>
      </c>
      <c r="M72" s="113">
        <v>0.45663599999999999</v>
      </c>
      <c r="N72" s="113">
        <v>0.454125</v>
      </c>
      <c r="O72" s="113">
        <v>0.45180599999999999</v>
      </c>
      <c r="P72" s="113">
        <v>0.449826</v>
      </c>
      <c r="Q72" s="113">
        <v>0.44799600000000001</v>
      </c>
      <c r="R72" s="113">
        <v>0.44653900000000002</v>
      </c>
      <c r="S72" s="113">
        <v>0.44520599999999999</v>
      </c>
      <c r="T72" s="113">
        <v>0.443749</v>
      </c>
      <c r="U72" s="113">
        <v>0.44226399999999999</v>
      </c>
      <c r="V72" s="113">
        <v>0.44095299999999998</v>
      </c>
      <c r="W72" s="113">
        <v>0.43990800000000002</v>
      </c>
      <c r="X72" s="113">
        <v>0.43898500000000001</v>
      </c>
      <c r="Y72" s="113">
        <v>0.43810500000000002</v>
      </c>
      <c r="Z72" s="113">
        <v>0.43744499999999997</v>
      </c>
      <c r="AA72" s="113">
        <v>0.436834</v>
      </c>
      <c r="AB72" s="113">
        <v>0.436278</v>
      </c>
      <c r="AC72" s="113">
        <v>0.43571799999999999</v>
      </c>
      <c r="AD72" s="113">
        <v>0.43511100000000003</v>
      </c>
      <c r="AE72" s="113">
        <v>0.43450800000000001</v>
      </c>
      <c r="AF72" s="113">
        <v>0.43390099999999998</v>
      </c>
      <c r="AG72" s="113">
        <v>0.43331199999999997</v>
      </c>
      <c r="AH72" s="114">
        <v>-1.64E-3</v>
      </c>
    </row>
    <row r="74" spans="1:34" ht="15" customHeight="1" x14ac:dyDescent="0.25">
      <c r="A74" s="8" t="s">
        <v>95</v>
      </c>
      <c r="B74" s="110" t="s">
        <v>2772</v>
      </c>
      <c r="C74" s="111">
        <v>0.457513</v>
      </c>
      <c r="D74" s="111">
        <v>0.454262</v>
      </c>
      <c r="E74" s="111">
        <v>0.442685</v>
      </c>
      <c r="F74" s="111">
        <v>0.44422</v>
      </c>
      <c r="G74" s="111">
        <v>0.44559199999999999</v>
      </c>
      <c r="H74" s="111">
        <v>0.44251099999999999</v>
      </c>
      <c r="I74" s="111">
        <v>0.43917499999999998</v>
      </c>
      <c r="J74" s="111">
        <v>0.43575999999999998</v>
      </c>
      <c r="K74" s="111">
        <v>0.43166700000000002</v>
      </c>
      <c r="L74" s="111">
        <v>0.42710900000000002</v>
      </c>
      <c r="M74" s="111">
        <v>0.42239900000000002</v>
      </c>
      <c r="N74" s="111">
        <v>0.41673700000000002</v>
      </c>
      <c r="O74" s="111">
        <v>0.41094700000000001</v>
      </c>
      <c r="P74" s="111">
        <v>0.40475699999999998</v>
      </c>
      <c r="Q74" s="111">
        <v>0.39816499999999999</v>
      </c>
      <c r="R74" s="111">
        <v>0.39063300000000001</v>
      </c>
      <c r="S74" s="111">
        <v>0.38230999999999998</v>
      </c>
      <c r="T74" s="111">
        <v>0.37514199999999998</v>
      </c>
      <c r="U74" s="111">
        <v>0.36930200000000002</v>
      </c>
      <c r="V74" s="111">
        <v>0.36285899999999999</v>
      </c>
      <c r="W74" s="111">
        <v>0.35800900000000002</v>
      </c>
      <c r="X74" s="111">
        <v>0.35352299999999998</v>
      </c>
      <c r="Y74" s="111">
        <v>0.34909699999999999</v>
      </c>
      <c r="Z74" s="111">
        <v>0.34477099999999999</v>
      </c>
      <c r="AA74" s="111">
        <v>0.341088</v>
      </c>
      <c r="AB74" s="111">
        <v>0.33825</v>
      </c>
      <c r="AC74" s="111">
        <v>0.33548600000000001</v>
      </c>
      <c r="AD74" s="111">
        <v>0.33226699999999998</v>
      </c>
      <c r="AE74" s="111">
        <v>0.32857900000000001</v>
      </c>
      <c r="AF74" s="111">
        <v>0.32532699999999998</v>
      </c>
      <c r="AG74" s="111">
        <v>0.32218599999999997</v>
      </c>
      <c r="AH74" s="112">
        <v>-1.1620999999999999E-2</v>
      </c>
    </row>
    <row r="75" spans="1:34" ht="15" customHeight="1" x14ac:dyDescent="0.25"/>
    <row r="76" spans="1:34" ht="15" customHeight="1" x14ac:dyDescent="0.25">
      <c r="B76" s="109" t="s">
        <v>2773</v>
      </c>
    </row>
    <row r="77" spans="1:34" ht="15" customHeight="1" x14ac:dyDescent="0.25">
      <c r="A77" s="8" t="s">
        <v>96</v>
      </c>
      <c r="B77" s="110" t="s">
        <v>97</v>
      </c>
      <c r="C77" s="111">
        <v>5.3071849999999996</v>
      </c>
      <c r="D77" s="111">
        <v>5.2785700000000002</v>
      </c>
      <c r="E77" s="111">
        <v>5.4034399999999998</v>
      </c>
      <c r="F77" s="111">
        <v>5.3857179999999998</v>
      </c>
      <c r="G77" s="111">
        <v>5.3772120000000001</v>
      </c>
      <c r="H77" s="111">
        <v>5.3577279999999998</v>
      </c>
      <c r="I77" s="111">
        <v>5.3288010000000003</v>
      </c>
      <c r="J77" s="111">
        <v>5.2947360000000003</v>
      </c>
      <c r="K77" s="111">
        <v>5.2608759999999997</v>
      </c>
      <c r="L77" s="111">
        <v>5.224958</v>
      </c>
      <c r="M77" s="111">
        <v>5.1849150000000002</v>
      </c>
      <c r="N77" s="111">
        <v>5.1465639999999997</v>
      </c>
      <c r="O77" s="111">
        <v>5.1109210000000003</v>
      </c>
      <c r="P77" s="111">
        <v>5.076702</v>
      </c>
      <c r="Q77" s="111">
        <v>5.0433089999999998</v>
      </c>
      <c r="R77" s="111">
        <v>5.0126749999999998</v>
      </c>
      <c r="S77" s="111">
        <v>4.9822509999999998</v>
      </c>
      <c r="T77" s="111">
        <v>4.9530599999999998</v>
      </c>
      <c r="U77" s="111">
        <v>4.9264469999999996</v>
      </c>
      <c r="V77" s="111">
        <v>4.9005470000000004</v>
      </c>
      <c r="W77" s="111">
        <v>4.8778360000000003</v>
      </c>
      <c r="X77" s="111">
        <v>4.8548910000000003</v>
      </c>
      <c r="Y77" s="111">
        <v>4.8313649999999999</v>
      </c>
      <c r="Z77" s="111">
        <v>4.8080230000000004</v>
      </c>
      <c r="AA77" s="111">
        <v>4.7852220000000001</v>
      </c>
      <c r="AB77" s="111">
        <v>4.7629630000000001</v>
      </c>
      <c r="AC77" s="111">
        <v>4.7416790000000004</v>
      </c>
      <c r="AD77" s="111">
        <v>4.7197940000000003</v>
      </c>
      <c r="AE77" s="111">
        <v>4.6983420000000002</v>
      </c>
      <c r="AF77" s="111">
        <v>4.6771839999999996</v>
      </c>
      <c r="AG77" s="111">
        <v>4.6558060000000001</v>
      </c>
      <c r="AH77" s="112">
        <v>-4.3550000000000004E-3</v>
      </c>
    </row>
    <row r="78" spans="1:34" ht="15" customHeight="1" x14ac:dyDescent="0.25">
      <c r="A78" s="8" t="s">
        <v>98</v>
      </c>
      <c r="B78" s="110" t="s">
        <v>99</v>
      </c>
      <c r="C78" s="111">
        <v>0.86400100000000002</v>
      </c>
      <c r="D78" s="111">
        <v>0.82172299999999998</v>
      </c>
      <c r="E78" s="111">
        <v>0.92235800000000001</v>
      </c>
      <c r="F78" s="111">
        <v>0.93750299999999998</v>
      </c>
      <c r="G78" s="111">
        <v>0.95382800000000001</v>
      </c>
      <c r="H78" s="111">
        <v>0.97087400000000001</v>
      </c>
      <c r="I78" s="111">
        <v>0.98744100000000001</v>
      </c>
      <c r="J78" s="111">
        <v>1.0033749999999999</v>
      </c>
      <c r="K78" s="111">
        <v>1.0192319999999999</v>
      </c>
      <c r="L78" s="111">
        <v>1.035058</v>
      </c>
      <c r="M78" s="111">
        <v>1.0504709999999999</v>
      </c>
      <c r="N78" s="111">
        <v>1.0661750000000001</v>
      </c>
      <c r="O78" s="111">
        <v>1.0826990000000001</v>
      </c>
      <c r="P78" s="111">
        <v>1.100006</v>
      </c>
      <c r="Q78" s="111">
        <v>1.1184829999999999</v>
      </c>
      <c r="R78" s="111">
        <v>1.1388180000000001</v>
      </c>
      <c r="S78" s="111">
        <v>1.1598269999999999</v>
      </c>
      <c r="T78" s="111">
        <v>1.182183</v>
      </c>
      <c r="U78" s="111">
        <v>1.2043250000000001</v>
      </c>
      <c r="V78" s="111">
        <v>1.2264250000000001</v>
      </c>
      <c r="W78" s="111">
        <v>1.2492259999999999</v>
      </c>
      <c r="X78" s="111">
        <v>1.2715989999999999</v>
      </c>
      <c r="Y78" s="111">
        <v>1.2950159999999999</v>
      </c>
      <c r="Z78" s="111">
        <v>1.318424</v>
      </c>
      <c r="AA78" s="111">
        <v>1.3428709999999999</v>
      </c>
      <c r="AB78" s="111">
        <v>1.367048</v>
      </c>
      <c r="AC78" s="111">
        <v>1.392083</v>
      </c>
      <c r="AD78" s="111">
        <v>1.417349</v>
      </c>
      <c r="AE78" s="111">
        <v>1.444345</v>
      </c>
      <c r="AF78" s="111">
        <v>1.4718279999999999</v>
      </c>
      <c r="AG78" s="111">
        <v>1.5003660000000001</v>
      </c>
      <c r="AH78" s="112">
        <v>1.8567E-2</v>
      </c>
    </row>
    <row r="79" spans="1:34" x14ac:dyDescent="0.25">
      <c r="A79" s="8" t="s">
        <v>100</v>
      </c>
      <c r="B79" s="110" t="s">
        <v>101</v>
      </c>
      <c r="C79" s="111">
        <v>1.728931</v>
      </c>
      <c r="D79" s="111">
        <v>1.7251430000000001</v>
      </c>
      <c r="E79" s="111">
        <v>1.7277039999999999</v>
      </c>
      <c r="F79" s="111">
        <v>1.7327360000000001</v>
      </c>
      <c r="G79" s="111">
        <v>1.7419750000000001</v>
      </c>
      <c r="H79" s="111">
        <v>1.7509330000000001</v>
      </c>
      <c r="I79" s="111">
        <v>1.7586029999999999</v>
      </c>
      <c r="J79" s="111">
        <v>1.765158</v>
      </c>
      <c r="K79" s="111">
        <v>1.7720849999999999</v>
      </c>
      <c r="L79" s="111">
        <v>1.7793460000000001</v>
      </c>
      <c r="M79" s="111">
        <v>1.7845960000000001</v>
      </c>
      <c r="N79" s="111">
        <v>1.7896879999999999</v>
      </c>
      <c r="O79" s="111">
        <v>1.79562</v>
      </c>
      <c r="P79" s="111">
        <v>1.802165</v>
      </c>
      <c r="Q79" s="111">
        <v>1.8088230000000001</v>
      </c>
      <c r="R79" s="111">
        <v>1.816295</v>
      </c>
      <c r="S79" s="111">
        <v>1.8237540000000001</v>
      </c>
      <c r="T79" s="111">
        <v>1.8308390000000001</v>
      </c>
      <c r="U79" s="111">
        <v>1.8376440000000001</v>
      </c>
      <c r="V79" s="111">
        <v>1.8441730000000001</v>
      </c>
      <c r="W79" s="111">
        <v>1.850649</v>
      </c>
      <c r="X79" s="111">
        <v>1.8568420000000001</v>
      </c>
      <c r="Y79" s="111">
        <v>1.8630409999999999</v>
      </c>
      <c r="Z79" s="111">
        <v>1.86975</v>
      </c>
      <c r="AA79" s="111">
        <v>1.8769450000000001</v>
      </c>
      <c r="AB79" s="111">
        <v>1.8846339999999999</v>
      </c>
      <c r="AC79" s="111">
        <v>1.8931420000000001</v>
      </c>
      <c r="AD79" s="111">
        <v>1.902191</v>
      </c>
      <c r="AE79" s="111">
        <v>1.912034</v>
      </c>
      <c r="AF79" s="111">
        <v>1.9224779999999999</v>
      </c>
      <c r="AG79" s="111">
        <v>1.933017</v>
      </c>
      <c r="AH79" s="112">
        <v>3.7260000000000001E-3</v>
      </c>
    </row>
    <row r="80" spans="1:34" ht="15" customHeight="1" x14ac:dyDescent="0.25">
      <c r="A80" s="8" t="s">
        <v>102</v>
      </c>
      <c r="B80" s="110" t="s">
        <v>103</v>
      </c>
      <c r="C80" s="111">
        <v>0.29757099999999997</v>
      </c>
      <c r="D80" s="111">
        <v>0.295346</v>
      </c>
      <c r="E80" s="111">
        <v>0.293794</v>
      </c>
      <c r="F80" s="111">
        <v>0.29208899999999999</v>
      </c>
      <c r="G80" s="111">
        <v>0.29061599999999999</v>
      </c>
      <c r="H80" s="111">
        <v>0.28947400000000001</v>
      </c>
      <c r="I80" s="111">
        <v>0.28854099999999999</v>
      </c>
      <c r="J80" s="111">
        <v>0.28769600000000001</v>
      </c>
      <c r="K80" s="111">
        <v>0.28695900000000002</v>
      </c>
      <c r="L80" s="111">
        <v>0.28637600000000002</v>
      </c>
      <c r="M80" s="111">
        <v>0.28598000000000001</v>
      </c>
      <c r="N80" s="111">
        <v>0.28582600000000002</v>
      </c>
      <c r="O80" s="111">
        <v>0.28596500000000002</v>
      </c>
      <c r="P80" s="111">
        <v>0.28639300000000001</v>
      </c>
      <c r="Q80" s="111">
        <v>0.28710599999999997</v>
      </c>
      <c r="R80" s="111">
        <v>0.28817399999999999</v>
      </c>
      <c r="S80" s="111">
        <v>0.28956700000000002</v>
      </c>
      <c r="T80" s="111">
        <v>0.29125800000000002</v>
      </c>
      <c r="U80" s="111">
        <v>0.29325600000000002</v>
      </c>
      <c r="V80" s="111">
        <v>0.29553299999999999</v>
      </c>
      <c r="W80" s="111">
        <v>0.298126</v>
      </c>
      <c r="X80" s="111">
        <v>0.30101800000000001</v>
      </c>
      <c r="Y80" s="111">
        <v>0.30418000000000001</v>
      </c>
      <c r="Z80" s="111">
        <v>0.30732399999999999</v>
      </c>
      <c r="AA80" s="111">
        <v>0.31043999999999999</v>
      </c>
      <c r="AB80" s="111">
        <v>0.31352000000000002</v>
      </c>
      <c r="AC80" s="111">
        <v>0.31655800000000001</v>
      </c>
      <c r="AD80" s="111">
        <v>0.31952199999999997</v>
      </c>
      <c r="AE80" s="111">
        <v>0.322411</v>
      </c>
      <c r="AF80" s="111">
        <v>0.325241</v>
      </c>
      <c r="AG80" s="111">
        <v>0.328011</v>
      </c>
      <c r="AH80" s="112">
        <v>3.2520000000000001E-3</v>
      </c>
    </row>
    <row r="81" spans="1:34" x14ac:dyDescent="0.25">
      <c r="A81" s="8" t="s">
        <v>104</v>
      </c>
      <c r="B81" s="110" t="s">
        <v>105</v>
      </c>
      <c r="C81" s="111">
        <v>0.17552999999999999</v>
      </c>
      <c r="D81" s="111">
        <v>0.175348</v>
      </c>
      <c r="E81" s="111">
        <v>0.17564399999999999</v>
      </c>
      <c r="F81" s="111">
        <v>0.17591899999999999</v>
      </c>
      <c r="G81" s="111">
        <v>0.17621800000000001</v>
      </c>
      <c r="H81" s="111">
        <v>0.17657600000000001</v>
      </c>
      <c r="I81" s="111">
        <v>0.17691399999999999</v>
      </c>
      <c r="J81" s="111">
        <v>0.177171</v>
      </c>
      <c r="K81" s="111">
        <v>0.17738799999999999</v>
      </c>
      <c r="L81" s="111">
        <v>0.177618</v>
      </c>
      <c r="M81" s="111">
        <v>0.17785699999999999</v>
      </c>
      <c r="N81" s="111">
        <v>0.178115</v>
      </c>
      <c r="O81" s="111">
        <v>0.17841799999999999</v>
      </c>
      <c r="P81" s="111">
        <v>0.17886099999999999</v>
      </c>
      <c r="Q81" s="111">
        <v>0.17940400000000001</v>
      </c>
      <c r="R81" s="111">
        <v>0.180086</v>
      </c>
      <c r="S81" s="111">
        <v>0.180891</v>
      </c>
      <c r="T81" s="111">
        <v>0.18181800000000001</v>
      </c>
      <c r="U81" s="111">
        <v>0.18275</v>
      </c>
      <c r="V81" s="111">
        <v>0.18369199999999999</v>
      </c>
      <c r="W81" s="111">
        <v>0.18465799999999999</v>
      </c>
      <c r="X81" s="111">
        <v>0.185641</v>
      </c>
      <c r="Y81" s="111">
        <v>0.18664</v>
      </c>
      <c r="Z81" s="111">
        <v>0.18765899999999999</v>
      </c>
      <c r="AA81" s="111">
        <v>0.188696</v>
      </c>
      <c r="AB81" s="111">
        <v>0.189752</v>
      </c>
      <c r="AC81" s="111">
        <v>0.19082399999999999</v>
      </c>
      <c r="AD81" s="111">
        <v>0.19189500000000001</v>
      </c>
      <c r="AE81" s="111">
        <v>0.192964</v>
      </c>
      <c r="AF81" s="111">
        <v>0.19403000000000001</v>
      </c>
      <c r="AG81" s="111">
        <v>0.19508700000000001</v>
      </c>
      <c r="AH81" s="112">
        <v>3.5279999999999999E-3</v>
      </c>
    </row>
    <row r="82" spans="1:34" ht="15" customHeight="1" x14ac:dyDescent="0.25">
      <c r="A82" s="8" t="s">
        <v>106</v>
      </c>
      <c r="B82" s="110" t="s">
        <v>107</v>
      </c>
      <c r="C82" s="111">
        <v>0.25584600000000002</v>
      </c>
      <c r="D82" s="111">
        <v>0.26012999999999997</v>
      </c>
      <c r="E82" s="111">
        <v>0.26451400000000003</v>
      </c>
      <c r="F82" s="111">
        <v>0.26878999999999997</v>
      </c>
      <c r="G82" s="111">
        <v>0.27353499999999997</v>
      </c>
      <c r="H82" s="111">
        <v>0.27829500000000001</v>
      </c>
      <c r="I82" s="111">
        <v>0.28276600000000002</v>
      </c>
      <c r="J82" s="111">
        <v>0.28688000000000002</v>
      </c>
      <c r="K82" s="111">
        <v>0.29086099999999998</v>
      </c>
      <c r="L82" s="111">
        <v>0.29477599999999998</v>
      </c>
      <c r="M82" s="111">
        <v>0.29852200000000001</v>
      </c>
      <c r="N82" s="111">
        <v>0.30214099999999999</v>
      </c>
      <c r="O82" s="111">
        <v>0.305836</v>
      </c>
      <c r="P82" s="111">
        <v>0.30965300000000001</v>
      </c>
      <c r="Q82" s="111">
        <v>0.31367800000000001</v>
      </c>
      <c r="R82" s="111">
        <v>0.31792799999999999</v>
      </c>
      <c r="S82" s="111">
        <v>0.32228600000000002</v>
      </c>
      <c r="T82" s="111">
        <v>0.32660600000000001</v>
      </c>
      <c r="U82" s="111">
        <v>0.33085999999999999</v>
      </c>
      <c r="V82" s="111">
        <v>0.33508399999999999</v>
      </c>
      <c r="W82" s="111">
        <v>0.33931800000000001</v>
      </c>
      <c r="X82" s="111">
        <v>0.343501</v>
      </c>
      <c r="Y82" s="111">
        <v>0.34766799999999998</v>
      </c>
      <c r="Z82" s="111">
        <v>0.35188399999999997</v>
      </c>
      <c r="AA82" s="111">
        <v>0.35610900000000001</v>
      </c>
      <c r="AB82" s="111">
        <v>0.36028100000000002</v>
      </c>
      <c r="AC82" s="111">
        <v>0.36453000000000002</v>
      </c>
      <c r="AD82" s="111">
        <v>0.36882399999999999</v>
      </c>
      <c r="AE82" s="111">
        <v>0.37322100000000002</v>
      </c>
      <c r="AF82" s="111">
        <v>0.37778400000000001</v>
      </c>
      <c r="AG82" s="111">
        <v>0.38240600000000002</v>
      </c>
      <c r="AH82" s="112">
        <v>1.3487000000000001E-2</v>
      </c>
    </row>
    <row r="83" spans="1:34" ht="15" customHeight="1" x14ac:dyDescent="0.25">
      <c r="A83" s="8" t="s">
        <v>108</v>
      </c>
      <c r="B83" s="110" t="s">
        <v>109</v>
      </c>
      <c r="C83" s="111">
        <v>6.9181000000000006E-2</v>
      </c>
      <c r="D83" s="111">
        <v>6.8847000000000005E-2</v>
      </c>
      <c r="E83" s="111">
        <v>6.8697999999999995E-2</v>
      </c>
      <c r="F83" s="111">
        <v>6.8526000000000004E-2</v>
      </c>
      <c r="G83" s="111">
        <v>6.8339999999999998E-2</v>
      </c>
      <c r="H83" s="111">
        <v>6.8156999999999995E-2</v>
      </c>
      <c r="I83" s="111">
        <v>6.7953E-2</v>
      </c>
      <c r="J83" s="111">
        <v>6.7707000000000003E-2</v>
      </c>
      <c r="K83" s="111">
        <v>6.7460999999999993E-2</v>
      </c>
      <c r="L83" s="111">
        <v>6.7224000000000006E-2</v>
      </c>
      <c r="M83" s="111">
        <v>6.6994999999999999E-2</v>
      </c>
      <c r="N83" s="111">
        <v>6.6774E-2</v>
      </c>
      <c r="O83" s="111">
        <v>6.6570000000000004E-2</v>
      </c>
      <c r="P83" s="111">
        <v>6.6382999999999998E-2</v>
      </c>
      <c r="Q83" s="111">
        <v>6.6213999999999995E-2</v>
      </c>
      <c r="R83" s="111">
        <v>6.6076999999999997E-2</v>
      </c>
      <c r="S83" s="111">
        <v>6.5975000000000006E-2</v>
      </c>
      <c r="T83" s="111">
        <v>6.5902000000000002E-2</v>
      </c>
      <c r="U83" s="111">
        <v>6.5862000000000004E-2</v>
      </c>
      <c r="V83" s="111">
        <v>6.5854999999999997E-2</v>
      </c>
      <c r="W83" s="111">
        <v>6.5888000000000002E-2</v>
      </c>
      <c r="X83" s="111">
        <v>6.5965999999999997E-2</v>
      </c>
      <c r="Y83" s="111">
        <v>6.6082000000000002E-2</v>
      </c>
      <c r="Z83" s="111">
        <v>6.6247E-2</v>
      </c>
      <c r="AA83" s="111">
        <v>6.6464999999999996E-2</v>
      </c>
      <c r="AB83" s="111">
        <v>6.6737000000000005E-2</v>
      </c>
      <c r="AC83" s="111">
        <v>6.7062999999999998E-2</v>
      </c>
      <c r="AD83" s="111">
        <v>6.7429000000000003E-2</v>
      </c>
      <c r="AE83" s="111">
        <v>6.7790000000000003E-2</v>
      </c>
      <c r="AF83" s="111">
        <v>6.8152000000000004E-2</v>
      </c>
      <c r="AG83" s="111">
        <v>6.8514000000000005E-2</v>
      </c>
      <c r="AH83" s="112">
        <v>-3.2299999999999999E-4</v>
      </c>
    </row>
    <row r="84" spans="1:34" ht="15" customHeight="1" x14ac:dyDescent="0.25">
      <c r="A84" s="8" t="s">
        <v>110</v>
      </c>
      <c r="B84" s="110" t="s">
        <v>111</v>
      </c>
      <c r="C84" s="111">
        <v>0.21124499999999999</v>
      </c>
      <c r="D84" s="111">
        <v>0.20465800000000001</v>
      </c>
      <c r="E84" s="111">
        <v>0.20252100000000001</v>
      </c>
      <c r="F84" s="111">
        <v>0.20193</v>
      </c>
      <c r="G84" s="111">
        <v>0.202401</v>
      </c>
      <c r="H84" s="111">
        <v>0.201491</v>
      </c>
      <c r="I84" s="111">
        <v>0.200873</v>
      </c>
      <c r="J84" s="111">
        <v>0.20083799999999999</v>
      </c>
      <c r="K84" s="111">
        <v>0.201379</v>
      </c>
      <c r="L84" s="111">
        <v>0.20219599999999999</v>
      </c>
      <c r="M84" s="111">
        <v>0.200463</v>
      </c>
      <c r="N84" s="111">
        <v>0.19920399999999999</v>
      </c>
      <c r="O84" s="111">
        <v>0.19839200000000001</v>
      </c>
      <c r="P84" s="111">
        <v>0.197965</v>
      </c>
      <c r="Q84" s="111">
        <v>0.19794500000000001</v>
      </c>
      <c r="R84" s="111">
        <v>0.19828599999999999</v>
      </c>
      <c r="S84" s="111">
        <v>0.19874800000000001</v>
      </c>
      <c r="T84" s="111">
        <v>0.19925100000000001</v>
      </c>
      <c r="U84" s="111">
        <v>0.19975699999999999</v>
      </c>
      <c r="V84" s="111">
        <v>0.20028799999999999</v>
      </c>
      <c r="W84" s="111">
        <v>0.197496</v>
      </c>
      <c r="X84" s="111">
        <v>0.195328</v>
      </c>
      <c r="Y84" s="111">
        <v>0.19364100000000001</v>
      </c>
      <c r="Z84" s="111">
        <v>0.19243299999999999</v>
      </c>
      <c r="AA84" s="111">
        <v>0.19162399999999999</v>
      </c>
      <c r="AB84" s="111">
        <v>0.19103800000000001</v>
      </c>
      <c r="AC84" s="111">
        <v>0.19062899999999999</v>
      </c>
      <c r="AD84" s="111">
        <v>0.190303</v>
      </c>
      <c r="AE84" s="111">
        <v>0.190083</v>
      </c>
      <c r="AF84" s="111">
        <v>0.19001399999999999</v>
      </c>
      <c r="AG84" s="111">
        <v>0.190188</v>
      </c>
      <c r="AH84" s="112">
        <v>-3.4940000000000001E-3</v>
      </c>
    </row>
    <row r="85" spans="1:34" ht="15" customHeight="1" x14ac:dyDescent="0.25">
      <c r="A85" s="8" t="s">
        <v>112</v>
      </c>
      <c r="B85" s="110" t="s">
        <v>2774</v>
      </c>
      <c r="C85" s="111">
        <v>3.6778999999999999E-2</v>
      </c>
      <c r="D85" s="111">
        <v>3.7026000000000003E-2</v>
      </c>
      <c r="E85" s="111">
        <v>3.7374999999999999E-2</v>
      </c>
      <c r="F85" s="111">
        <v>3.7720999999999998E-2</v>
      </c>
      <c r="G85" s="111">
        <v>3.8074999999999998E-2</v>
      </c>
      <c r="H85" s="111">
        <v>3.8448999999999997E-2</v>
      </c>
      <c r="I85" s="111">
        <v>3.8823999999999997E-2</v>
      </c>
      <c r="J85" s="111">
        <v>3.918E-2</v>
      </c>
      <c r="K85" s="111">
        <v>3.9523000000000003E-2</v>
      </c>
      <c r="L85" s="111">
        <v>3.9855000000000002E-2</v>
      </c>
      <c r="M85" s="111">
        <v>4.0193E-2</v>
      </c>
      <c r="N85" s="111">
        <v>4.0518999999999999E-2</v>
      </c>
      <c r="O85" s="111">
        <v>4.0839E-2</v>
      </c>
      <c r="P85" s="111">
        <v>4.1152000000000001E-2</v>
      </c>
      <c r="Q85" s="111">
        <v>4.1454999999999999E-2</v>
      </c>
      <c r="R85" s="111">
        <v>4.1758999999999998E-2</v>
      </c>
      <c r="S85" s="111">
        <v>4.206E-2</v>
      </c>
      <c r="T85" s="111">
        <v>4.2358E-2</v>
      </c>
      <c r="U85" s="111">
        <v>4.2653000000000003E-2</v>
      </c>
      <c r="V85" s="111">
        <v>4.2944999999999997E-2</v>
      </c>
      <c r="W85" s="111">
        <v>4.3240000000000001E-2</v>
      </c>
      <c r="X85" s="111">
        <v>4.3534999999999997E-2</v>
      </c>
      <c r="Y85" s="111">
        <v>4.3829E-2</v>
      </c>
      <c r="Z85" s="111">
        <v>4.4122000000000001E-2</v>
      </c>
      <c r="AA85" s="111">
        <v>4.4415999999999997E-2</v>
      </c>
      <c r="AB85" s="111">
        <v>4.4708999999999999E-2</v>
      </c>
      <c r="AC85" s="111">
        <v>4.5004000000000002E-2</v>
      </c>
      <c r="AD85" s="111">
        <v>4.5295000000000002E-2</v>
      </c>
      <c r="AE85" s="111">
        <v>4.5585000000000001E-2</v>
      </c>
      <c r="AF85" s="111">
        <v>4.5874999999999999E-2</v>
      </c>
      <c r="AG85" s="111">
        <v>4.6168000000000001E-2</v>
      </c>
      <c r="AH85" s="112">
        <v>7.607E-3</v>
      </c>
    </row>
    <row r="86" spans="1:34" ht="15" customHeight="1" x14ac:dyDescent="0.25">
      <c r="A86" s="8" t="s">
        <v>113</v>
      </c>
      <c r="B86" s="110" t="s">
        <v>2775</v>
      </c>
      <c r="C86" s="111">
        <v>2.6616999999999998E-2</v>
      </c>
      <c r="D86" s="111">
        <v>2.6991999999999999E-2</v>
      </c>
      <c r="E86" s="111">
        <v>2.7431000000000001E-2</v>
      </c>
      <c r="F86" s="111">
        <v>2.7858999999999998E-2</v>
      </c>
      <c r="G86" s="111">
        <v>2.8282999999999999E-2</v>
      </c>
      <c r="H86" s="111">
        <v>2.8708999999999998E-2</v>
      </c>
      <c r="I86" s="111">
        <v>2.9123E-2</v>
      </c>
      <c r="J86" s="111">
        <v>2.9508E-2</v>
      </c>
      <c r="K86" s="111">
        <v>2.9918E-2</v>
      </c>
      <c r="L86" s="111">
        <v>3.0360000000000002E-2</v>
      </c>
      <c r="M86" s="111">
        <v>3.083E-2</v>
      </c>
      <c r="N86" s="111">
        <v>3.1329999999999997E-2</v>
      </c>
      <c r="O86" s="111">
        <v>3.1868E-2</v>
      </c>
      <c r="P86" s="111">
        <v>3.2445000000000002E-2</v>
      </c>
      <c r="Q86" s="111">
        <v>3.3062000000000001E-2</v>
      </c>
      <c r="R86" s="111">
        <v>3.3676999999999999E-2</v>
      </c>
      <c r="S86" s="111">
        <v>3.4289E-2</v>
      </c>
      <c r="T86" s="111">
        <v>3.4896000000000003E-2</v>
      </c>
      <c r="U86" s="111">
        <v>3.5500999999999998E-2</v>
      </c>
      <c r="V86" s="111">
        <v>3.6103000000000003E-2</v>
      </c>
      <c r="W86" s="111">
        <v>3.6706000000000003E-2</v>
      </c>
      <c r="X86" s="111">
        <v>3.7309000000000002E-2</v>
      </c>
      <c r="Y86" s="111">
        <v>3.7909999999999999E-2</v>
      </c>
      <c r="Z86" s="111">
        <v>3.8510000000000003E-2</v>
      </c>
      <c r="AA86" s="111">
        <v>3.9109999999999999E-2</v>
      </c>
      <c r="AB86" s="111">
        <v>3.9710000000000002E-2</v>
      </c>
      <c r="AC86" s="111">
        <v>4.0308999999999998E-2</v>
      </c>
      <c r="AD86" s="111">
        <v>4.0904999999999997E-2</v>
      </c>
      <c r="AE86" s="111">
        <v>4.1499000000000001E-2</v>
      </c>
      <c r="AF86" s="111">
        <v>4.2092999999999998E-2</v>
      </c>
      <c r="AG86" s="111">
        <v>4.2686000000000002E-2</v>
      </c>
      <c r="AH86" s="112">
        <v>1.5869999999999999E-2</v>
      </c>
    </row>
    <row r="87" spans="1:34" ht="15" customHeight="1" x14ac:dyDescent="0.25">
      <c r="A87" s="8" t="s">
        <v>114</v>
      </c>
      <c r="B87" s="110" t="s">
        <v>2776</v>
      </c>
      <c r="C87" s="111">
        <v>0.20913000000000001</v>
      </c>
      <c r="D87" s="111">
        <v>0.20516200000000001</v>
      </c>
      <c r="E87" s="111">
        <v>0.202737</v>
      </c>
      <c r="F87" s="111">
        <v>0.20082800000000001</v>
      </c>
      <c r="G87" s="111">
        <v>0.19992599999999999</v>
      </c>
      <c r="H87" s="111">
        <v>0.19981199999999999</v>
      </c>
      <c r="I87" s="111">
        <v>0.20025999999999999</v>
      </c>
      <c r="J87" s="111">
        <v>0.201233</v>
      </c>
      <c r="K87" s="111">
        <v>0.20279</v>
      </c>
      <c r="L87" s="111">
        <v>0.20499000000000001</v>
      </c>
      <c r="M87" s="111">
        <v>0.20774500000000001</v>
      </c>
      <c r="N87" s="111">
        <v>0.21087900000000001</v>
      </c>
      <c r="O87" s="111">
        <v>0.21451600000000001</v>
      </c>
      <c r="P87" s="111">
        <v>0.21862799999999999</v>
      </c>
      <c r="Q87" s="111">
        <v>0.22312899999999999</v>
      </c>
      <c r="R87" s="111">
        <v>0.22802700000000001</v>
      </c>
      <c r="S87" s="111">
        <v>0.23313400000000001</v>
      </c>
      <c r="T87" s="111">
        <v>0.23827000000000001</v>
      </c>
      <c r="U87" s="111">
        <v>0.24330499999999999</v>
      </c>
      <c r="V87" s="111">
        <v>0.24812600000000001</v>
      </c>
      <c r="W87" s="111">
        <v>0.252637</v>
      </c>
      <c r="X87" s="111">
        <v>0.25661600000000001</v>
      </c>
      <c r="Y87" s="111">
        <v>0.26006899999999999</v>
      </c>
      <c r="Z87" s="111">
        <v>0.26324199999999998</v>
      </c>
      <c r="AA87" s="111">
        <v>0.266345</v>
      </c>
      <c r="AB87" s="111">
        <v>0.26934000000000002</v>
      </c>
      <c r="AC87" s="111">
        <v>0.27229599999999998</v>
      </c>
      <c r="AD87" s="111">
        <v>0.27520499999999998</v>
      </c>
      <c r="AE87" s="111">
        <v>0.27812999999999999</v>
      </c>
      <c r="AF87" s="111">
        <v>0.28109899999999999</v>
      </c>
      <c r="AG87" s="111">
        <v>0.284057</v>
      </c>
      <c r="AH87" s="112">
        <v>1.026E-2</v>
      </c>
    </row>
    <row r="88" spans="1:34" ht="15" customHeight="1" x14ac:dyDescent="0.25">
      <c r="A88" s="8" t="s">
        <v>115</v>
      </c>
      <c r="B88" s="110" t="s">
        <v>2777</v>
      </c>
      <c r="C88" s="111">
        <v>8.6663000000000004E-2</v>
      </c>
      <c r="D88" s="111">
        <v>8.3815000000000001E-2</v>
      </c>
      <c r="E88" s="111">
        <v>8.1571000000000005E-2</v>
      </c>
      <c r="F88" s="111">
        <v>7.9480999999999996E-2</v>
      </c>
      <c r="G88" s="111">
        <v>7.7709E-2</v>
      </c>
      <c r="H88" s="111">
        <v>7.6121999999999995E-2</v>
      </c>
      <c r="I88" s="111">
        <v>7.4638999999999997E-2</v>
      </c>
      <c r="J88" s="111">
        <v>7.3223999999999997E-2</v>
      </c>
      <c r="K88" s="111">
        <v>7.1899000000000005E-2</v>
      </c>
      <c r="L88" s="111">
        <v>7.0669999999999997E-2</v>
      </c>
      <c r="M88" s="111">
        <v>6.9486999999999993E-2</v>
      </c>
      <c r="N88" s="111">
        <v>6.8283999999999997E-2</v>
      </c>
      <c r="O88" s="111">
        <v>6.7100000000000007E-2</v>
      </c>
      <c r="P88" s="111">
        <v>6.5909999999999996E-2</v>
      </c>
      <c r="Q88" s="111">
        <v>6.4686999999999995E-2</v>
      </c>
      <c r="R88" s="111">
        <v>6.3421000000000005E-2</v>
      </c>
      <c r="S88" s="111">
        <v>6.2059000000000003E-2</v>
      </c>
      <c r="T88" s="111">
        <v>6.0712000000000002E-2</v>
      </c>
      <c r="U88" s="111">
        <v>5.9373000000000002E-2</v>
      </c>
      <c r="V88" s="111">
        <v>5.8027000000000002E-2</v>
      </c>
      <c r="W88" s="111">
        <v>5.6675000000000003E-2</v>
      </c>
      <c r="X88" s="111">
        <v>5.5294999999999997E-2</v>
      </c>
      <c r="Y88" s="111">
        <v>5.3886999999999997E-2</v>
      </c>
      <c r="Z88" s="111">
        <v>5.2461000000000001E-2</v>
      </c>
      <c r="AA88" s="111">
        <v>5.1003E-2</v>
      </c>
      <c r="AB88" s="111">
        <v>4.9484E-2</v>
      </c>
      <c r="AC88" s="111">
        <v>4.7905000000000003E-2</v>
      </c>
      <c r="AD88" s="111">
        <v>4.6247999999999997E-2</v>
      </c>
      <c r="AE88" s="111">
        <v>4.4521999999999999E-2</v>
      </c>
      <c r="AF88" s="111">
        <v>4.2687000000000003E-2</v>
      </c>
      <c r="AG88" s="111">
        <v>4.0729000000000001E-2</v>
      </c>
      <c r="AH88" s="112">
        <v>-2.4854999999999999E-2</v>
      </c>
    </row>
    <row r="89" spans="1:34" ht="15" customHeight="1" x14ac:dyDescent="0.25">
      <c r="A89" s="8" t="s">
        <v>116</v>
      </c>
      <c r="B89" s="110" t="s">
        <v>117</v>
      </c>
      <c r="C89" s="111">
        <v>7.8188999999999995E-2</v>
      </c>
      <c r="D89" s="111">
        <v>8.4182999999999994E-2</v>
      </c>
      <c r="E89" s="111">
        <v>8.5001999999999994E-2</v>
      </c>
      <c r="F89" s="111">
        <v>8.5620000000000002E-2</v>
      </c>
      <c r="G89" s="111">
        <v>8.6391999999999997E-2</v>
      </c>
      <c r="H89" s="111">
        <v>8.7022000000000002E-2</v>
      </c>
      <c r="I89" s="111">
        <v>8.7474999999999997E-2</v>
      </c>
      <c r="J89" s="111">
        <v>8.7863999999999998E-2</v>
      </c>
      <c r="K89" s="111">
        <v>8.8203000000000004E-2</v>
      </c>
      <c r="L89" s="111">
        <v>8.8428000000000007E-2</v>
      </c>
      <c r="M89" s="111">
        <v>8.8433999999999999E-2</v>
      </c>
      <c r="N89" s="111">
        <v>8.8325000000000001E-2</v>
      </c>
      <c r="O89" s="111">
        <v>8.8066000000000005E-2</v>
      </c>
      <c r="P89" s="111">
        <v>8.7601999999999999E-2</v>
      </c>
      <c r="Q89" s="111">
        <v>8.6923E-2</v>
      </c>
      <c r="R89" s="111">
        <v>8.6102999999999999E-2</v>
      </c>
      <c r="S89" s="111">
        <v>8.5139000000000006E-2</v>
      </c>
      <c r="T89" s="111">
        <v>8.4037000000000001E-2</v>
      </c>
      <c r="U89" s="111">
        <v>8.2822999999999994E-2</v>
      </c>
      <c r="V89" s="111">
        <v>8.1584000000000004E-2</v>
      </c>
      <c r="W89" s="111">
        <v>8.0390000000000003E-2</v>
      </c>
      <c r="X89" s="111">
        <v>7.9242000000000007E-2</v>
      </c>
      <c r="Y89" s="111">
        <v>7.8127000000000002E-2</v>
      </c>
      <c r="Z89" s="111">
        <v>7.7107999999999996E-2</v>
      </c>
      <c r="AA89" s="111">
        <v>7.6200000000000004E-2</v>
      </c>
      <c r="AB89" s="111">
        <v>7.5408000000000003E-2</v>
      </c>
      <c r="AC89" s="111">
        <v>7.4749999999999997E-2</v>
      </c>
      <c r="AD89" s="111">
        <v>7.4200000000000002E-2</v>
      </c>
      <c r="AE89" s="111">
        <v>7.3778999999999997E-2</v>
      </c>
      <c r="AF89" s="111">
        <v>7.3468000000000006E-2</v>
      </c>
      <c r="AG89" s="111">
        <v>7.3273000000000005E-2</v>
      </c>
      <c r="AH89" s="112">
        <v>-2.1619999999999999E-3</v>
      </c>
    </row>
    <row r="90" spans="1:34" ht="15" customHeight="1" x14ac:dyDescent="0.25">
      <c r="A90" s="8" t="s">
        <v>118</v>
      </c>
      <c r="B90" s="110" t="s">
        <v>2778</v>
      </c>
      <c r="C90" s="111">
        <v>2.095396</v>
      </c>
      <c r="D90" s="111">
        <v>2.1328130000000001</v>
      </c>
      <c r="E90" s="111">
        <v>2.0501580000000001</v>
      </c>
      <c r="F90" s="111">
        <v>2.0697749999999999</v>
      </c>
      <c r="G90" s="111">
        <v>2.0881249999999998</v>
      </c>
      <c r="H90" s="111">
        <v>2.1080329999999998</v>
      </c>
      <c r="I90" s="111">
        <v>2.135904</v>
      </c>
      <c r="J90" s="111">
        <v>2.1614640000000001</v>
      </c>
      <c r="K90" s="111">
        <v>2.1875239999999998</v>
      </c>
      <c r="L90" s="111">
        <v>2.213158</v>
      </c>
      <c r="M90" s="111">
        <v>2.2377699999999998</v>
      </c>
      <c r="N90" s="111">
        <v>2.2611089999999998</v>
      </c>
      <c r="O90" s="111">
        <v>2.285444</v>
      </c>
      <c r="P90" s="111">
        <v>2.3100830000000001</v>
      </c>
      <c r="Q90" s="111">
        <v>2.3392379999999999</v>
      </c>
      <c r="R90" s="111">
        <v>2.3687779999999998</v>
      </c>
      <c r="S90" s="111">
        <v>2.398638</v>
      </c>
      <c r="T90" s="111">
        <v>2.4280919999999999</v>
      </c>
      <c r="U90" s="111">
        <v>2.457198</v>
      </c>
      <c r="V90" s="111">
        <v>2.4872230000000002</v>
      </c>
      <c r="W90" s="111">
        <v>2.5179230000000001</v>
      </c>
      <c r="X90" s="111">
        <v>2.5484779999999998</v>
      </c>
      <c r="Y90" s="111">
        <v>2.5793870000000001</v>
      </c>
      <c r="Z90" s="111">
        <v>2.61084</v>
      </c>
      <c r="AA90" s="111">
        <v>2.6422379999999999</v>
      </c>
      <c r="AB90" s="111">
        <v>2.6745000000000001</v>
      </c>
      <c r="AC90" s="111">
        <v>2.7066150000000002</v>
      </c>
      <c r="AD90" s="111">
        <v>2.7386149999999998</v>
      </c>
      <c r="AE90" s="111">
        <v>2.7732429999999999</v>
      </c>
      <c r="AF90" s="111">
        <v>2.8085309999999999</v>
      </c>
      <c r="AG90" s="111">
        <v>2.8441619999999999</v>
      </c>
      <c r="AH90" s="112">
        <v>1.0236E-2</v>
      </c>
    </row>
    <row r="91" spans="1:34" ht="15" customHeight="1" x14ac:dyDescent="0.25">
      <c r="A91" s="8" t="s">
        <v>2779</v>
      </c>
      <c r="B91" s="109" t="s">
        <v>2780</v>
      </c>
      <c r="C91" s="113">
        <v>11.442263000000001</v>
      </c>
      <c r="D91" s="113">
        <v>11.399754</v>
      </c>
      <c r="E91" s="113">
        <v>11.542944</v>
      </c>
      <c r="F91" s="113">
        <v>11.564495000000001</v>
      </c>
      <c r="G91" s="113">
        <v>11.602633000000001</v>
      </c>
      <c r="H91" s="113">
        <v>11.631674</v>
      </c>
      <c r="I91" s="113">
        <v>11.658117000000001</v>
      </c>
      <c r="J91" s="113">
        <v>11.676036</v>
      </c>
      <c r="K91" s="113">
        <v>11.696097999999999</v>
      </c>
      <c r="L91" s="113">
        <v>11.715014</v>
      </c>
      <c r="M91" s="113">
        <v>11.724257</v>
      </c>
      <c r="N91" s="113">
        <v>11.734935999999999</v>
      </c>
      <c r="O91" s="113">
        <v>11.752254000000001</v>
      </c>
      <c r="P91" s="113">
        <v>11.773948000000001</v>
      </c>
      <c r="Q91" s="113">
        <v>11.803457999999999</v>
      </c>
      <c r="R91" s="113">
        <v>11.840107</v>
      </c>
      <c r="S91" s="113">
        <v>11.878617999999999</v>
      </c>
      <c r="T91" s="113">
        <v>11.919283</v>
      </c>
      <c r="U91" s="113">
        <v>11.961754000000001</v>
      </c>
      <c r="V91" s="113">
        <v>12.005604999999999</v>
      </c>
      <c r="W91" s="113">
        <v>12.050768</v>
      </c>
      <c r="X91" s="113">
        <v>12.095262</v>
      </c>
      <c r="Y91" s="113">
        <v>12.140841999999999</v>
      </c>
      <c r="Z91" s="113">
        <v>12.188027999999999</v>
      </c>
      <c r="AA91" s="113">
        <v>12.237684</v>
      </c>
      <c r="AB91" s="113">
        <v>12.289123999999999</v>
      </c>
      <c r="AC91" s="113">
        <v>12.343386000000001</v>
      </c>
      <c r="AD91" s="113">
        <v>12.397774999999999</v>
      </c>
      <c r="AE91" s="113">
        <v>12.457947000000001</v>
      </c>
      <c r="AF91" s="113">
        <v>12.520464</v>
      </c>
      <c r="AG91" s="113">
        <v>12.58447</v>
      </c>
      <c r="AH91" s="114">
        <v>3.1770000000000001E-3</v>
      </c>
    </row>
    <row r="92" spans="1:34" x14ac:dyDescent="0.25">
      <c r="A92" s="8" t="s">
        <v>2781</v>
      </c>
      <c r="B92" s="110" t="s">
        <v>2782</v>
      </c>
      <c r="C92" s="111">
        <v>7.8133999999999995E-2</v>
      </c>
      <c r="D92" s="111">
        <v>8.9459999999999998E-2</v>
      </c>
      <c r="E92" s="111">
        <v>9.9012000000000003E-2</v>
      </c>
      <c r="F92" s="111">
        <v>0.108281</v>
      </c>
      <c r="G92" s="111">
        <v>0.11738</v>
      </c>
      <c r="H92" s="111">
        <v>0.126529</v>
      </c>
      <c r="I92" s="111">
        <v>0.13586699999999999</v>
      </c>
      <c r="J92" s="111">
        <v>0.145236</v>
      </c>
      <c r="K92" s="111">
        <v>0.154673</v>
      </c>
      <c r="L92" s="111">
        <v>0.16417200000000001</v>
      </c>
      <c r="M92" s="111">
        <v>0.17386699999999999</v>
      </c>
      <c r="N92" s="111">
        <v>0.18379300000000001</v>
      </c>
      <c r="O92" s="111">
        <v>0.19391700000000001</v>
      </c>
      <c r="P92" s="111">
        <v>0.20421900000000001</v>
      </c>
      <c r="Q92" s="111">
        <v>0.214726</v>
      </c>
      <c r="R92" s="111">
        <v>0.22539300000000001</v>
      </c>
      <c r="S92" s="111">
        <v>0.23625399999999999</v>
      </c>
      <c r="T92" s="111">
        <v>0.247311</v>
      </c>
      <c r="U92" s="111">
        <v>0.25860100000000003</v>
      </c>
      <c r="V92" s="111">
        <v>0.27011499999999999</v>
      </c>
      <c r="W92" s="111">
        <v>0.28189500000000001</v>
      </c>
      <c r="X92" s="111">
        <v>0.29394199999999998</v>
      </c>
      <c r="Y92" s="111">
        <v>0.30629499999999998</v>
      </c>
      <c r="Z92" s="111">
        <v>0.31898300000000002</v>
      </c>
      <c r="AA92" s="111">
        <v>0.33201700000000001</v>
      </c>
      <c r="AB92" s="111">
        <v>0.34545999999999999</v>
      </c>
      <c r="AC92" s="111">
        <v>0.35925099999999999</v>
      </c>
      <c r="AD92" s="111">
        <v>0.373388</v>
      </c>
      <c r="AE92" s="111">
        <v>0.38795400000000002</v>
      </c>
      <c r="AF92" s="111">
        <v>0.40290599999999999</v>
      </c>
      <c r="AG92" s="111">
        <v>0.41825600000000002</v>
      </c>
      <c r="AH92" s="112">
        <v>5.7514999999999997E-2</v>
      </c>
    </row>
    <row r="93" spans="1:34" ht="15" customHeight="1" x14ac:dyDescent="0.25">
      <c r="A93" s="8" t="s">
        <v>119</v>
      </c>
      <c r="B93" s="109" t="s">
        <v>2783</v>
      </c>
      <c r="C93" s="113">
        <v>11.364127999999999</v>
      </c>
      <c r="D93" s="113">
        <v>11.310293</v>
      </c>
      <c r="E93" s="113">
        <v>11.443932999999999</v>
      </c>
      <c r="F93" s="113">
        <v>11.456213999999999</v>
      </c>
      <c r="G93" s="113">
        <v>11.485251999999999</v>
      </c>
      <c r="H93" s="113">
        <v>11.505145000000001</v>
      </c>
      <c r="I93" s="113">
        <v>11.52225</v>
      </c>
      <c r="J93" s="113">
        <v>11.530799999999999</v>
      </c>
      <c r="K93" s="113">
        <v>11.541426</v>
      </c>
      <c r="L93" s="113">
        <v>11.550841</v>
      </c>
      <c r="M93" s="113">
        <v>11.55039</v>
      </c>
      <c r="N93" s="113">
        <v>11.551143</v>
      </c>
      <c r="O93" s="113">
        <v>11.558337</v>
      </c>
      <c r="P93" s="113">
        <v>11.569729000000001</v>
      </c>
      <c r="Q93" s="113">
        <v>11.588733</v>
      </c>
      <c r="R93" s="113">
        <v>11.614715</v>
      </c>
      <c r="S93" s="113">
        <v>11.642365</v>
      </c>
      <c r="T93" s="113">
        <v>11.671972</v>
      </c>
      <c r="U93" s="113">
        <v>11.703153</v>
      </c>
      <c r="V93" s="113">
        <v>11.73549</v>
      </c>
      <c r="W93" s="113">
        <v>11.768872999999999</v>
      </c>
      <c r="X93" s="113">
        <v>11.80132</v>
      </c>
      <c r="Y93" s="113">
        <v>11.834547000000001</v>
      </c>
      <c r="Z93" s="113">
        <v>11.869045</v>
      </c>
      <c r="AA93" s="113">
        <v>11.905666999999999</v>
      </c>
      <c r="AB93" s="113">
        <v>11.943664</v>
      </c>
      <c r="AC93" s="113">
        <v>11.984135</v>
      </c>
      <c r="AD93" s="113">
        <v>12.024387000000001</v>
      </c>
      <c r="AE93" s="113">
        <v>12.069993</v>
      </c>
      <c r="AF93" s="113">
        <v>12.117558000000001</v>
      </c>
      <c r="AG93" s="113">
        <v>12.166214</v>
      </c>
      <c r="AH93" s="114">
        <v>2.2759999999999998E-3</v>
      </c>
    </row>
    <row r="94" spans="1:34" ht="15" customHeight="1" x14ac:dyDescent="0.25"/>
    <row r="95" spans="1:34" ht="15" customHeight="1" x14ac:dyDescent="0.25">
      <c r="A95" s="8" t="s">
        <v>120</v>
      </c>
      <c r="B95" s="109" t="s">
        <v>121</v>
      </c>
      <c r="C95" s="113">
        <v>9.4238949999999999</v>
      </c>
      <c r="D95" s="113">
        <v>9.4766209999999997</v>
      </c>
      <c r="E95" s="113">
        <v>9.4891740000000002</v>
      </c>
      <c r="F95" s="113">
        <v>9.2576630000000009</v>
      </c>
      <c r="G95" s="113">
        <v>9.0444969999999998</v>
      </c>
      <c r="H95" s="113">
        <v>8.7810249999999996</v>
      </c>
      <c r="I95" s="113">
        <v>8.504918</v>
      </c>
      <c r="J95" s="113">
        <v>8.3134200000000007</v>
      </c>
      <c r="K95" s="113">
        <v>8.2309839999999994</v>
      </c>
      <c r="L95" s="113">
        <v>8.1764799999999997</v>
      </c>
      <c r="M95" s="113">
        <v>8.1923200000000005</v>
      </c>
      <c r="N95" s="113">
        <v>8.1850590000000008</v>
      </c>
      <c r="O95" s="113">
        <v>8.1644249999999996</v>
      </c>
      <c r="P95" s="113">
        <v>8.1701149999999991</v>
      </c>
      <c r="Q95" s="113">
        <v>8.1734690000000008</v>
      </c>
      <c r="R95" s="113">
        <v>8.1987780000000008</v>
      </c>
      <c r="S95" s="113">
        <v>8.2248529999999995</v>
      </c>
      <c r="T95" s="113">
        <v>8.2395200000000006</v>
      </c>
      <c r="U95" s="113">
        <v>8.258127</v>
      </c>
      <c r="V95" s="113">
        <v>8.2924489999999995</v>
      </c>
      <c r="W95" s="113">
        <v>8.3307179999999992</v>
      </c>
      <c r="X95" s="113">
        <v>8.3672699999999995</v>
      </c>
      <c r="Y95" s="113">
        <v>8.4060900000000007</v>
      </c>
      <c r="Z95" s="113">
        <v>8.4239080000000008</v>
      </c>
      <c r="AA95" s="113">
        <v>8.4097259999999991</v>
      </c>
      <c r="AB95" s="113">
        <v>8.4392980000000009</v>
      </c>
      <c r="AC95" s="113">
        <v>8.4727250000000005</v>
      </c>
      <c r="AD95" s="113">
        <v>8.5036819999999995</v>
      </c>
      <c r="AE95" s="113">
        <v>8.5330150000000007</v>
      </c>
      <c r="AF95" s="113">
        <v>8.5858139999999992</v>
      </c>
      <c r="AG95" s="113">
        <v>8.6392950000000006</v>
      </c>
      <c r="AH95" s="114">
        <v>-2.8930000000000002E-3</v>
      </c>
    </row>
    <row r="96" spans="1:34" ht="15" customHeight="1" x14ac:dyDescent="0.25"/>
    <row r="97" spans="1:34" ht="15" customHeight="1" x14ac:dyDescent="0.25">
      <c r="B97" s="109" t="s">
        <v>2784</v>
      </c>
    </row>
    <row r="98" spans="1:34" ht="15" customHeight="1" x14ac:dyDescent="0.25">
      <c r="A98" s="8" t="s">
        <v>123</v>
      </c>
      <c r="B98" s="110" t="s">
        <v>97</v>
      </c>
      <c r="C98" s="111">
        <v>6.5176100000000003</v>
      </c>
      <c r="D98" s="111">
        <v>6.5797939999999997</v>
      </c>
      <c r="E98" s="111">
        <v>6.719017</v>
      </c>
      <c r="F98" s="111">
        <v>6.6574369999999998</v>
      </c>
      <c r="G98" s="111">
        <v>6.6101789999999996</v>
      </c>
      <c r="H98" s="111">
        <v>6.5457239999999999</v>
      </c>
      <c r="I98" s="111">
        <v>6.4678079999999998</v>
      </c>
      <c r="J98" s="111">
        <v>6.3960290000000004</v>
      </c>
      <c r="K98" s="111">
        <v>6.3388580000000001</v>
      </c>
      <c r="L98" s="111">
        <v>6.2831239999999999</v>
      </c>
      <c r="M98" s="111">
        <v>6.23278</v>
      </c>
      <c r="N98" s="111">
        <v>6.1810980000000004</v>
      </c>
      <c r="O98" s="111">
        <v>6.1299760000000001</v>
      </c>
      <c r="P98" s="111">
        <v>6.0836779999999999</v>
      </c>
      <c r="Q98" s="111">
        <v>6.0370229999999996</v>
      </c>
      <c r="R98" s="111">
        <v>5.9961060000000002</v>
      </c>
      <c r="S98" s="111">
        <v>5.9552639999999997</v>
      </c>
      <c r="T98" s="111">
        <v>5.9142479999999997</v>
      </c>
      <c r="U98" s="111">
        <v>5.8764120000000002</v>
      </c>
      <c r="V98" s="111">
        <v>5.8410479999999998</v>
      </c>
      <c r="W98" s="111">
        <v>5.8100569999999996</v>
      </c>
      <c r="X98" s="111">
        <v>5.7785630000000001</v>
      </c>
      <c r="Y98" s="111">
        <v>5.7465979999999997</v>
      </c>
      <c r="Z98" s="111">
        <v>5.7128560000000004</v>
      </c>
      <c r="AA98" s="111">
        <v>5.6761869999999996</v>
      </c>
      <c r="AB98" s="111">
        <v>5.6446269999999998</v>
      </c>
      <c r="AC98" s="111">
        <v>5.6148110000000004</v>
      </c>
      <c r="AD98" s="111">
        <v>5.5842109999999998</v>
      </c>
      <c r="AE98" s="111">
        <v>5.5536009999999996</v>
      </c>
      <c r="AF98" s="111">
        <v>5.5260889999999998</v>
      </c>
      <c r="AG98" s="111">
        <v>5.4985140000000001</v>
      </c>
      <c r="AH98" s="112">
        <v>-5.6519999999999999E-3</v>
      </c>
    </row>
    <row r="99" spans="1:34" ht="15" customHeight="1" x14ac:dyDescent="0.25">
      <c r="A99" s="8" t="s">
        <v>124</v>
      </c>
      <c r="B99" s="110" t="s">
        <v>99</v>
      </c>
      <c r="C99" s="111">
        <v>2.3661279999999998</v>
      </c>
      <c r="D99" s="111">
        <v>2.249679</v>
      </c>
      <c r="E99" s="111">
        <v>2.5276879999999999</v>
      </c>
      <c r="F99" s="111">
        <v>2.5249380000000001</v>
      </c>
      <c r="G99" s="111">
        <v>2.525652</v>
      </c>
      <c r="H99" s="111">
        <v>2.517709</v>
      </c>
      <c r="I99" s="111">
        <v>2.5029840000000001</v>
      </c>
      <c r="J99" s="111">
        <v>2.5015149999999999</v>
      </c>
      <c r="K99" s="111">
        <v>2.5183879999999998</v>
      </c>
      <c r="L99" s="111">
        <v>2.5397400000000001</v>
      </c>
      <c r="M99" s="111">
        <v>2.5736490000000001</v>
      </c>
      <c r="N99" s="111">
        <v>2.6041159999999999</v>
      </c>
      <c r="O99" s="111">
        <v>2.633105</v>
      </c>
      <c r="P99" s="111">
        <v>2.6681650000000001</v>
      </c>
      <c r="Q99" s="111">
        <v>2.7033809999999998</v>
      </c>
      <c r="R99" s="111">
        <v>2.7458749999999998</v>
      </c>
      <c r="S99" s="111">
        <v>2.7894359999999998</v>
      </c>
      <c r="T99" s="111">
        <v>2.833351</v>
      </c>
      <c r="U99" s="111">
        <v>2.8775059999999999</v>
      </c>
      <c r="V99" s="111">
        <v>2.9244509999999999</v>
      </c>
      <c r="W99" s="111">
        <v>2.97437</v>
      </c>
      <c r="X99" s="111">
        <v>3.0230250000000001</v>
      </c>
      <c r="Y99" s="111">
        <v>3.0741309999999999</v>
      </c>
      <c r="Z99" s="111">
        <v>3.1203400000000001</v>
      </c>
      <c r="AA99" s="111">
        <v>3.161524</v>
      </c>
      <c r="AB99" s="111">
        <v>3.2111999999999998</v>
      </c>
      <c r="AC99" s="111">
        <v>3.2631899999999998</v>
      </c>
      <c r="AD99" s="111">
        <v>3.3150170000000001</v>
      </c>
      <c r="AE99" s="111">
        <v>3.3689369999999998</v>
      </c>
      <c r="AF99" s="111">
        <v>3.4285139999999998</v>
      </c>
      <c r="AG99" s="111">
        <v>3.4900869999999999</v>
      </c>
      <c r="AH99" s="112">
        <v>1.304E-2</v>
      </c>
    </row>
    <row r="100" spans="1:34" ht="15" customHeight="1" x14ac:dyDescent="0.25">
      <c r="A100" s="8" t="s">
        <v>125</v>
      </c>
      <c r="B100" s="110" t="s">
        <v>101</v>
      </c>
      <c r="C100" s="111">
        <v>2.8620719999999999</v>
      </c>
      <c r="D100" s="111">
        <v>2.8621110000000001</v>
      </c>
      <c r="E100" s="111">
        <v>2.8693629999999999</v>
      </c>
      <c r="F100" s="111">
        <v>2.845701</v>
      </c>
      <c r="G100" s="111">
        <v>2.8286739999999999</v>
      </c>
      <c r="H100" s="111">
        <v>2.8041269999999998</v>
      </c>
      <c r="I100" s="111">
        <v>2.7742360000000001</v>
      </c>
      <c r="J100" s="111">
        <v>2.753495</v>
      </c>
      <c r="K100" s="111">
        <v>2.745571</v>
      </c>
      <c r="L100" s="111">
        <v>2.7412429999999999</v>
      </c>
      <c r="M100" s="111">
        <v>2.7437930000000001</v>
      </c>
      <c r="N100" s="111">
        <v>2.7436180000000001</v>
      </c>
      <c r="O100" s="111">
        <v>2.7428279999999998</v>
      </c>
      <c r="P100" s="111">
        <v>2.7459570000000002</v>
      </c>
      <c r="Q100" s="111">
        <v>2.7484350000000002</v>
      </c>
      <c r="R100" s="111">
        <v>2.7545540000000002</v>
      </c>
      <c r="S100" s="111">
        <v>2.760983</v>
      </c>
      <c r="T100" s="111">
        <v>2.7658499999999999</v>
      </c>
      <c r="U100" s="111">
        <v>2.7711410000000001</v>
      </c>
      <c r="V100" s="111">
        <v>2.7775500000000002</v>
      </c>
      <c r="W100" s="111">
        <v>2.784608</v>
      </c>
      <c r="X100" s="111">
        <v>2.7911830000000002</v>
      </c>
      <c r="Y100" s="111">
        <v>2.7979059999999998</v>
      </c>
      <c r="Z100" s="111">
        <v>2.8029660000000001</v>
      </c>
      <c r="AA100" s="111">
        <v>2.8050549999999999</v>
      </c>
      <c r="AB100" s="111">
        <v>2.8125779999999998</v>
      </c>
      <c r="AC100" s="111">
        <v>2.8216329999999998</v>
      </c>
      <c r="AD100" s="111">
        <v>2.8313160000000002</v>
      </c>
      <c r="AE100" s="111">
        <v>2.8414419999999998</v>
      </c>
      <c r="AF100" s="111">
        <v>2.8551380000000002</v>
      </c>
      <c r="AG100" s="111">
        <v>2.8691</v>
      </c>
      <c r="AH100" s="112">
        <v>8.2000000000000001E-5</v>
      </c>
    </row>
    <row r="101" spans="1:34" x14ac:dyDescent="0.25">
      <c r="A101" s="8" t="s">
        <v>126</v>
      </c>
      <c r="B101" s="110" t="s">
        <v>103</v>
      </c>
      <c r="C101" s="111">
        <v>0.852572</v>
      </c>
      <c r="D101" s="111">
        <v>0.84570500000000004</v>
      </c>
      <c r="E101" s="111">
        <v>0.840893</v>
      </c>
      <c r="F101" s="111">
        <v>0.82060500000000003</v>
      </c>
      <c r="G101" s="111">
        <v>0.80176700000000001</v>
      </c>
      <c r="H101" s="111">
        <v>0.78106699999999996</v>
      </c>
      <c r="I101" s="111">
        <v>0.75994600000000001</v>
      </c>
      <c r="J101" s="111">
        <v>0.74435399999999996</v>
      </c>
      <c r="K101" s="111">
        <v>0.73512299999999997</v>
      </c>
      <c r="L101" s="111">
        <v>0.72789599999999999</v>
      </c>
      <c r="M101" s="111">
        <v>0.72524200000000005</v>
      </c>
      <c r="N101" s="111">
        <v>0.72207699999999997</v>
      </c>
      <c r="O101" s="111">
        <v>0.71875999999999995</v>
      </c>
      <c r="P101" s="111">
        <v>0.71740899999999996</v>
      </c>
      <c r="Q101" s="111">
        <v>0.71611400000000003</v>
      </c>
      <c r="R101" s="111">
        <v>0.71654600000000002</v>
      </c>
      <c r="S101" s="111">
        <v>0.71772800000000003</v>
      </c>
      <c r="T101" s="111">
        <v>0.71899299999999999</v>
      </c>
      <c r="U101" s="111">
        <v>0.72129500000000002</v>
      </c>
      <c r="V101" s="111">
        <v>0.72508700000000004</v>
      </c>
      <c r="W101" s="111">
        <v>0.730016</v>
      </c>
      <c r="X101" s="111">
        <v>0.73563100000000003</v>
      </c>
      <c r="Y101" s="111">
        <v>0.74191499999999999</v>
      </c>
      <c r="Z101" s="111">
        <v>0.74697800000000003</v>
      </c>
      <c r="AA101" s="111">
        <v>0.75020500000000001</v>
      </c>
      <c r="AB101" s="111">
        <v>0.755602</v>
      </c>
      <c r="AC101" s="111">
        <v>0.76100199999999996</v>
      </c>
      <c r="AD101" s="111">
        <v>0.76608200000000004</v>
      </c>
      <c r="AE101" s="111">
        <v>0.77056000000000002</v>
      </c>
      <c r="AF101" s="111">
        <v>0.77597899999999997</v>
      </c>
      <c r="AG101" s="111">
        <v>0.78116699999999994</v>
      </c>
      <c r="AH101" s="112">
        <v>-2.911E-3</v>
      </c>
    </row>
    <row r="102" spans="1:34" x14ac:dyDescent="0.25">
      <c r="A102" s="8" t="s">
        <v>127</v>
      </c>
      <c r="B102" s="110" t="s">
        <v>105</v>
      </c>
      <c r="C102" s="111">
        <v>0.27812399999999998</v>
      </c>
      <c r="D102" s="111">
        <v>0.278138</v>
      </c>
      <c r="E102" s="111">
        <v>0.27892099999999997</v>
      </c>
      <c r="F102" s="111">
        <v>0.27679599999999999</v>
      </c>
      <c r="G102" s="111">
        <v>0.27479399999999998</v>
      </c>
      <c r="H102" s="111">
        <v>0.27228400000000003</v>
      </c>
      <c r="I102" s="111">
        <v>0.26948800000000001</v>
      </c>
      <c r="J102" s="111">
        <v>0.26754800000000001</v>
      </c>
      <c r="K102" s="111">
        <v>0.26669399999999999</v>
      </c>
      <c r="L102" s="111">
        <v>0.266098</v>
      </c>
      <c r="M102" s="111">
        <v>0.266262</v>
      </c>
      <c r="N102" s="111">
        <v>0.26614500000000002</v>
      </c>
      <c r="O102" s="111">
        <v>0.26582699999999998</v>
      </c>
      <c r="P102" s="111">
        <v>0.26591100000000001</v>
      </c>
      <c r="Q102" s="111">
        <v>0.26599200000000001</v>
      </c>
      <c r="R102" s="111">
        <v>0.26643600000000001</v>
      </c>
      <c r="S102" s="111">
        <v>0.26704899999999998</v>
      </c>
      <c r="T102" s="111">
        <v>0.26771200000000001</v>
      </c>
      <c r="U102" s="111">
        <v>0.268426</v>
      </c>
      <c r="V102" s="111">
        <v>0.26930100000000001</v>
      </c>
      <c r="W102" s="111">
        <v>0.27027200000000001</v>
      </c>
      <c r="X102" s="111">
        <v>0.27124500000000001</v>
      </c>
      <c r="Y102" s="111">
        <v>0.27222499999999999</v>
      </c>
      <c r="Z102" s="111">
        <v>0.27299200000000001</v>
      </c>
      <c r="AA102" s="111">
        <v>0.27343299999999998</v>
      </c>
      <c r="AB102" s="111">
        <v>0.27432800000000002</v>
      </c>
      <c r="AC102" s="111">
        <v>0.27525699999999997</v>
      </c>
      <c r="AD102" s="111">
        <v>0.27615699999999999</v>
      </c>
      <c r="AE102" s="111">
        <v>0.276976</v>
      </c>
      <c r="AF102" s="111">
        <v>0.278005</v>
      </c>
      <c r="AG102" s="111">
        <v>0.27902399999999999</v>
      </c>
      <c r="AH102" s="112">
        <v>1.08E-4</v>
      </c>
    </row>
    <row r="103" spans="1:34" ht="15" customHeight="1" x14ac:dyDescent="0.25">
      <c r="A103" s="8" t="s">
        <v>128</v>
      </c>
      <c r="B103" s="110" t="s">
        <v>107</v>
      </c>
      <c r="C103" s="111">
        <v>0.65949199999999997</v>
      </c>
      <c r="D103" s="111">
        <v>0.67071400000000003</v>
      </c>
      <c r="E103" s="111">
        <v>0.68189</v>
      </c>
      <c r="F103" s="111">
        <v>0.68078300000000003</v>
      </c>
      <c r="G103" s="111">
        <v>0.68092399999999997</v>
      </c>
      <c r="H103" s="111">
        <v>0.67840999999999996</v>
      </c>
      <c r="I103" s="111">
        <v>0.673794</v>
      </c>
      <c r="J103" s="111">
        <v>0.67220599999999997</v>
      </c>
      <c r="K103" s="111">
        <v>0.67515199999999997</v>
      </c>
      <c r="L103" s="111">
        <v>0.67917499999999997</v>
      </c>
      <c r="M103" s="111">
        <v>0.68642899999999996</v>
      </c>
      <c r="N103" s="111">
        <v>0.69225499999999995</v>
      </c>
      <c r="O103" s="111">
        <v>0.69733299999999998</v>
      </c>
      <c r="P103" s="111">
        <v>0.70373399999999997</v>
      </c>
      <c r="Q103" s="111">
        <v>0.71000600000000003</v>
      </c>
      <c r="R103" s="111">
        <v>0.717561</v>
      </c>
      <c r="S103" s="111">
        <v>0.72531599999999996</v>
      </c>
      <c r="T103" s="111">
        <v>0.73229</v>
      </c>
      <c r="U103" s="111">
        <v>0.73930200000000001</v>
      </c>
      <c r="V103" s="111">
        <v>0.74695</v>
      </c>
      <c r="W103" s="111">
        <v>0.75493100000000002</v>
      </c>
      <c r="X103" s="111">
        <v>0.76273999999999997</v>
      </c>
      <c r="Y103" s="111">
        <v>0.77051800000000004</v>
      </c>
      <c r="Z103" s="111">
        <v>0.77727000000000002</v>
      </c>
      <c r="AA103" s="111">
        <v>0.78232199999999996</v>
      </c>
      <c r="AB103" s="111">
        <v>0.78942800000000002</v>
      </c>
      <c r="AC103" s="111">
        <v>0.79681000000000002</v>
      </c>
      <c r="AD103" s="111">
        <v>0.80415999999999999</v>
      </c>
      <c r="AE103" s="111">
        <v>0.81132700000000002</v>
      </c>
      <c r="AF103" s="111">
        <v>0.81994699999999998</v>
      </c>
      <c r="AG103" s="111">
        <v>0.82863699999999996</v>
      </c>
      <c r="AH103" s="112">
        <v>7.639E-3</v>
      </c>
    </row>
    <row r="104" spans="1:34" ht="15" customHeight="1" x14ac:dyDescent="0.25">
      <c r="A104" s="8" t="s">
        <v>129</v>
      </c>
      <c r="B104" s="110" t="s">
        <v>109</v>
      </c>
      <c r="C104" s="111">
        <v>0.198212</v>
      </c>
      <c r="D104" s="111">
        <v>0.19713800000000001</v>
      </c>
      <c r="E104" s="111">
        <v>0.196626</v>
      </c>
      <c r="F104" s="111">
        <v>0.19251799999999999</v>
      </c>
      <c r="G104" s="111">
        <v>0.18853900000000001</v>
      </c>
      <c r="H104" s="111">
        <v>0.18390300000000001</v>
      </c>
      <c r="I104" s="111">
        <v>0.17897199999999999</v>
      </c>
      <c r="J104" s="111">
        <v>0.175177</v>
      </c>
      <c r="K104" s="111">
        <v>0.172821</v>
      </c>
      <c r="L104" s="111">
        <v>0.17086499999999999</v>
      </c>
      <c r="M104" s="111">
        <v>0.16989799999999999</v>
      </c>
      <c r="N104" s="111">
        <v>0.16869000000000001</v>
      </c>
      <c r="O104" s="111">
        <v>0.167319</v>
      </c>
      <c r="P104" s="111">
        <v>0.16628699999999999</v>
      </c>
      <c r="Q104" s="111">
        <v>0.165155</v>
      </c>
      <c r="R104" s="111">
        <v>0.164302</v>
      </c>
      <c r="S104" s="111">
        <v>0.16352800000000001</v>
      </c>
      <c r="T104" s="111">
        <v>0.162685</v>
      </c>
      <c r="U104" s="111">
        <v>0.161996</v>
      </c>
      <c r="V104" s="111">
        <v>0.161575</v>
      </c>
      <c r="W104" s="111">
        <v>0.16133900000000001</v>
      </c>
      <c r="X104" s="111">
        <v>0.16120799999999999</v>
      </c>
      <c r="Y104" s="111">
        <v>0.16117799999999999</v>
      </c>
      <c r="Z104" s="111">
        <v>0.161019</v>
      </c>
      <c r="AA104" s="111">
        <v>0.16061800000000001</v>
      </c>
      <c r="AB104" s="111">
        <v>0.16084000000000001</v>
      </c>
      <c r="AC104" s="111">
        <v>0.161218</v>
      </c>
      <c r="AD104" s="111">
        <v>0.161666</v>
      </c>
      <c r="AE104" s="111">
        <v>0.162018</v>
      </c>
      <c r="AF104" s="111">
        <v>0.162601</v>
      </c>
      <c r="AG104" s="111">
        <v>0.16316700000000001</v>
      </c>
      <c r="AH104" s="112">
        <v>-6.4640000000000001E-3</v>
      </c>
    </row>
    <row r="105" spans="1:34" ht="15" customHeight="1" x14ac:dyDescent="0.25">
      <c r="A105" s="8" t="s">
        <v>130</v>
      </c>
      <c r="B105" s="110" t="s">
        <v>111</v>
      </c>
      <c r="C105" s="111">
        <v>0.60523800000000005</v>
      </c>
      <c r="D105" s="111">
        <v>0.58602500000000002</v>
      </c>
      <c r="E105" s="111">
        <v>0.57965299999999997</v>
      </c>
      <c r="F105" s="111">
        <v>0.56730999999999998</v>
      </c>
      <c r="G105" s="111">
        <v>0.55839300000000003</v>
      </c>
      <c r="H105" s="111">
        <v>0.54366899999999996</v>
      </c>
      <c r="I105" s="111">
        <v>0.52905100000000005</v>
      </c>
      <c r="J105" s="111">
        <v>0.51962600000000003</v>
      </c>
      <c r="K105" s="111">
        <v>0.51588699999999998</v>
      </c>
      <c r="L105" s="111">
        <v>0.51393200000000006</v>
      </c>
      <c r="M105" s="111">
        <v>0.50837200000000005</v>
      </c>
      <c r="N105" s="111">
        <v>0.50324599999999997</v>
      </c>
      <c r="O105" s="111">
        <v>0.49864900000000001</v>
      </c>
      <c r="P105" s="111">
        <v>0.49589699999999998</v>
      </c>
      <c r="Q105" s="111">
        <v>0.493726</v>
      </c>
      <c r="R105" s="111">
        <v>0.49303900000000001</v>
      </c>
      <c r="S105" s="111">
        <v>0.49262299999999998</v>
      </c>
      <c r="T105" s="111">
        <v>0.49186600000000003</v>
      </c>
      <c r="U105" s="111">
        <v>0.49132399999999998</v>
      </c>
      <c r="V105" s="111">
        <v>0.49140499999999998</v>
      </c>
      <c r="W105" s="111">
        <v>0.48360500000000001</v>
      </c>
      <c r="X105" s="111">
        <v>0.47734500000000002</v>
      </c>
      <c r="Y105" s="111">
        <v>0.472304</v>
      </c>
      <c r="Z105" s="111">
        <v>0.46772599999999998</v>
      </c>
      <c r="AA105" s="111">
        <v>0.46307599999999999</v>
      </c>
      <c r="AB105" s="111">
        <v>0.46041300000000002</v>
      </c>
      <c r="AC105" s="111">
        <v>0.45827099999999998</v>
      </c>
      <c r="AD105" s="111">
        <v>0.45626899999999998</v>
      </c>
      <c r="AE105" s="111">
        <v>0.45429700000000001</v>
      </c>
      <c r="AF105" s="111">
        <v>0.453345</v>
      </c>
      <c r="AG105" s="111">
        <v>0.45293800000000001</v>
      </c>
      <c r="AH105" s="112">
        <v>-9.6159999999999995E-3</v>
      </c>
    </row>
    <row r="106" spans="1:34" ht="15" customHeight="1" x14ac:dyDescent="0.25">
      <c r="A106" s="8" t="s">
        <v>131</v>
      </c>
      <c r="B106" s="110" t="s">
        <v>2774</v>
      </c>
      <c r="C106" s="111">
        <v>0.105377</v>
      </c>
      <c r="D106" s="111">
        <v>0.10602200000000001</v>
      </c>
      <c r="E106" s="111">
        <v>0.106973</v>
      </c>
      <c r="F106" s="111">
        <v>0.105974</v>
      </c>
      <c r="G106" s="111">
        <v>0.105045</v>
      </c>
      <c r="H106" s="111">
        <v>0.103745</v>
      </c>
      <c r="I106" s="111">
        <v>0.102253</v>
      </c>
      <c r="J106" s="111">
        <v>0.101371</v>
      </c>
      <c r="K106" s="111">
        <v>0.101248</v>
      </c>
      <c r="L106" s="111">
        <v>0.101302</v>
      </c>
      <c r="M106" s="111">
        <v>0.10192900000000001</v>
      </c>
      <c r="N106" s="111">
        <v>0.10236199999999999</v>
      </c>
      <c r="O106" s="111">
        <v>0.102648</v>
      </c>
      <c r="P106" s="111">
        <v>0.103085</v>
      </c>
      <c r="Q106" s="111">
        <v>0.10340000000000001</v>
      </c>
      <c r="R106" s="111">
        <v>0.103835</v>
      </c>
      <c r="S106" s="111">
        <v>0.104252</v>
      </c>
      <c r="T106" s="111">
        <v>0.104564</v>
      </c>
      <c r="U106" s="111">
        <v>0.104909</v>
      </c>
      <c r="V106" s="111">
        <v>0.105366</v>
      </c>
      <c r="W106" s="111">
        <v>0.105882</v>
      </c>
      <c r="X106" s="111">
        <v>0.106392</v>
      </c>
      <c r="Y106" s="111">
        <v>0.106901</v>
      </c>
      <c r="Z106" s="111">
        <v>0.107243</v>
      </c>
      <c r="AA106" s="111">
        <v>0.107334</v>
      </c>
      <c r="AB106" s="111">
        <v>0.107752</v>
      </c>
      <c r="AC106" s="111">
        <v>0.10818800000000001</v>
      </c>
      <c r="AD106" s="111">
        <v>0.108599</v>
      </c>
      <c r="AE106" s="111">
        <v>0.108947</v>
      </c>
      <c r="AF106" s="111">
        <v>0.10945199999999999</v>
      </c>
      <c r="AG106" s="111">
        <v>0.10994900000000001</v>
      </c>
      <c r="AH106" s="112">
        <v>1.4170000000000001E-3</v>
      </c>
    </row>
    <row r="107" spans="1:34" ht="15" customHeight="1" x14ac:dyDescent="0.25">
      <c r="A107" s="8" t="s">
        <v>132</v>
      </c>
      <c r="B107" s="110" t="s">
        <v>2775</v>
      </c>
      <c r="C107" s="111">
        <v>7.6258999999999993E-2</v>
      </c>
      <c r="D107" s="111">
        <v>7.7290999999999999E-2</v>
      </c>
      <c r="E107" s="111">
        <v>7.8511999999999998E-2</v>
      </c>
      <c r="F107" s="111">
        <v>7.8269000000000005E-2</v>
      </c>
      <c r="G107" s="111">
        <v>7.8028E-2</v>
      </c>
      <c r="H107" s="111">
        <v>7.7464000000000005E-2</v>
      </c>
      <c r="I107" s="111">
        <v>7.6702000000000006E-2</v>
      </c>
      <c r="J107" s="111">
        <v>7.6344999999999996E-2</v>
      </c>
      <c r="K107" s="111">
        <v>7.6644000000000004E-2</v>
      </c>
      <c r="L107" s="111">
        <v>7.7166999999999999E-2</v>
      </c>
      <c r="M107" s="111">
        <v>7.8184000000000003E-2</v>
      </c>
      <c r="N107" s="111">
        <v>7.9148999999999997E-2</v>
      </c>
      <c r="O107" s="111">
        <v>8.0100000000000005E-2</v>
      </c>
      <c r="P107" s="111">
        <v>8.1273999999999999E-2</v>
      </c>
      <c r="Q107" s="111">
        <v>8.2463999999999996E-2</v>
      </c>
      <c r="R107" s="111">
        <v>8.3738000000000007E-2</v>
      </c>
      <c r="S107" s="111">
        <v>8.4988999999999995E-2</v>
      </c>
      <c r="T107" s="111">
        <v>8.6143999999999998E-2</v>
      </c>
      <c r="U107" s="111">
        <v>8.7318000000000007E-2</v>
      </c>
      <c r="V107" s="111">
        <v>8.8578000000000004E-2</v>
      </c>
      <c r="W107" s="111">
        <v>8.9883000000000005E-2</v>
      </c>
      <c r="X107" s="111">
        <v>9.1176999999999994E-2</v>
      </c>
      <c r="Y107" s="111">
        <v>9.2465000000000006E-2</v>
      </c>
      <c r="Z107" s="111">
        <v>9.3603000000000006E-2</v>
      </c>
      <c r="AA107" s="111">
        <v>9.4513E-2</v>
      </c>
      <c r="AB107" s="111">
        <v>9.5702999999999996E-2</v>
      </c>
      <c r="AC107" s="111">
        <v>9.6902000000000002E-2</v>
      </c>
      <c r="AD107" s="111">
        <v>9.8073999999999995E-2</v>
      </c>
      <c r="AE107" s="111">
        <v>9.9182999999999993E-2</v>
      </c>
      <c r="AF107" s="111">
        <v>0.100428</v>
      </c>
      <c r="AG107" s="111">
        <v>0.101659</v>
      </c>
      <c r="AH107" s="112">
        <v>9.6290000000000004E-3</v>
      </c>
    </row>
    <row r="108" spans="1:34" ht="15" customHeight="1" x14ac:dyDescent="0.25">
      <c r="A108" s="8" t="s">
        <v>133</v>
      </c>
      <c r="B108" s="110" t="s">
        <v>2776</v>
      </c>
      <c r="C108" s="111">
        <v>0.59918000000000005</v>
      </c>
      <c r="D108" s="111">
        <v>0.58746799999999999</v>
      </c>
      <c r="E108" s="111">
        <v>0.58026999999999995</v>
      </c>
      <c r="F108" s="111">
        <v>0.56421399999999999</v>
      </c>
      <c r="G108" s="111">
        <v>0.55156700000000003</v>
      </c>
      <c r="H108" s="111">
        <v>0.53913800000000001</v>
      </c>
      <c r="I108" s="111">
        <v>0.52743499999999999</v>
      </c>
      <c r="J108" s="111">
        <v>0.520648</v>
      </c>
      <c r="K108" s="111">
        <v>0.51949999999999996</v>
      </c>
      <c r="L108" s="111">
        <v>0.521034</v>
      </c>
      <c r="M108" s="111">
        <v>0.52683999999999997</v>
      </c>
      <c r="N108" s="111">
        <v>0.53273899999999996</v>
      </c>
      <c r="O108" s="111">
        <v>0.53917599999999999</v>
      </c>
      <c r="P108" s="111">
        <v>0.54765799999999998</v>
      </c>
      <c r="Q108" s="111">
        <v>0.55654099999999995</v>
      </c>
      <c r="R108" s="111">
        <v>0.56699100000000002</v>
      </c>
      <c r="S108" s="111">
        <v>0.57785299999999995</v>
      </c>
      <c r="T108" s="111">
        <v>0.58818700000000002</v>
      </c>
      <c r="U108" s="111">
        <v>0.59843599999999997</v>
      </c>
      <c r="V108" s="111">
        <v>0.60877599999999998</v>
      </c>
      <c r="W108" s="111">
        <v>0.61862700000000004</v>
      </c>
      <c r="X108" s="111">
        <v>0.62712100000000004</v>
      </c>
      <c r="Y108" s="111">
        <v>0.63432599999999995</v>
      </c>
      <c r="Z108" s="111">
        <v>0.63983199999999996</v>
      </c>
      <c r="AA108" s="111">
        <v>0.64364600000000005</v>
      </c>
      <c r="AB108" s="111">
        <v>0.64912599999999998</v>
      </c>
      <c r="AC108" s="111">
        <v>0.65459599999999996</v>
      </c>
      <c r="AD108" s="111">
        <v>0.65982700000000005</v>
      </c>
      <c r="AE108" s="111">
        <v>0.66472799999999999</v>
      </c>
      <c r="AF108" s="111">
        <v>0.67066099999999995</v>
      </c>
      <c r="AG108" s="111">
        <v>0.67649000000000004</v>
      </c>
      <c r="AH108" s="112">
        <v>4.0530000000000002E-3</v>
      </c>
    </row>
    <row r="109" spans="1:34" ht="15" customHeight="1" x14ac:dyDescent="0.25">
      <c r="A109" s="8" t="s">
        <v>134</v>
      </c>
      <c r="B109" s="110" t="s">
        <v>2777</v>
      </c>
      <c r="C109" s="111">
        <v>0.24829899999999999</v>
      </c>
      <c r="D109" s="111">
        <v>0.23999799999999999</v>
      </c>
      <c r="E109" s="111">
        <v>0.23347200000000001</v>
      </c>
      <c r="F109" s="111">
        <v>0.223297</v>
      </c>
      <c r="G109" s="111">
        <v>0.214388</v>
      </c>
      <c r="H109" s="111">
        <v>0.205396</v>
      </c>
      <c r="I109" s="111">
        <v>0.19658</v>
      </c>
      <c r="J109" s="111">
        <v>0.18945300000000001</v>
      </c>
      <c r="K109" s="111">
        <v>0.18418899999999999</v>
      </c>
      <c r="L109" s="111">
        <v>0.17962400000000001</v>
      </c>
      <c r="M109" s="111">
        <v>0.17621800000000001</v>
      </c>
      <c r="N109" s="111">
        <v>0.17250399999999999</v>
      </c>
      <c r="O109" s="111">
        <v>0.168653</v>
      </c>
      <c r="P109" s="111">
        <v>0.165104</v>
      </c>
      <c r="Q109" s="111">
        <v>0.16134599999999999</v>
      </c>
      <c r="R109" s="111">
        <v>0.157697</v>
      </c>
      <c r="S109" s="111">
        <v>0.15382100000000001</v>
      </c>
      <c r="T109" s="111">
        <v>0.14987300000000001</v>
      </c>
      <c r="U109" s="111">
        <v>0.146035</v>
      </c>
      <c r="V109" s="111">
        <v>0.142369</v>
      </c>
      <c r="W109" s="111">
        <v>0.13877800000000001</v>
      </c>
      <c r="X109" s="111">
        <v>0.135132</v>
      </c>
      <c r="Y109" s="111">
        <v>0.13143299999999999</v>
      </c>
      <c r="Z109" s="111">
        <v>0.12751199999999999</v>
      </c>
      <c r="AA109" s="111">
        <v>0.123253</v>
      </c>
      <c r="AB109" s="111">
        <v>0.119258</v>
      </c>
      <c r="AC109" s="111">
        <v>0.115164</v>
      </c>
      <c r="AD109" s="111">
        <v>0.110884</v>
      </c>
      <c r="AE109" s="111">
        <v>0.106407</v>
      </c>
      <c r="AF109" s="111">
        <v>0.10184600000000001</v>
      </c>
      <c r="AG109" s="111">
        <v>9.6998000000000001E-2</v>
      </c>
      <c r="AH109" s="112">
        <v>-3.0845999999999998E-2</v>
      </c>
    </row>
    <row r="110" spans="1:34" ht="15" customHeight="1" x14ac:dyDescent="0.25">
      <c r="A110" s="8" t="s">
        <v>135</v>
      </c>
      <c r="B110" s="110" t="s">
        <v>117</v>
      </c>
      <c r="C110" s="111">
        <v>0.224019</v>
      </c>
      <c r="D110" s="111">
        <v>0.24105199999999999</v>
      </c>
      <c r="E110" s="111">
        <v>0.24329300000000001</v>
      </c>
      <c r="F110" s="111">
        <v>0.24054400000000001</v>
      </c>
      <c r="G110" s="111">
        <v>0.238342</v>
      </c>
      <c r="H110" s="111">
        <v>0.23480599999999999</v>
      </c>
      <c r="I110" s="111">
        <v>0.23038900000000001</v>
      </c>
      <c r="J110" s="111">
        <v>0.22733100000000001</v>
      </c>
      <c r="K110" s="111">
        <v>0.22595599999999999</v>
      </c>
      <c r="L110" s="111">
        <v>0.22476299999999999</v>
      </c>
      <c r="M110" s="111">
        <v>0.224268</v>
      </c>
      <c r="N110" s="111">
        <v>0.223133</v>
      </c>
      <c r="O110" s="111">
        <v>0.22134999999999999</v>
      </c>
      <c r="P110" s="111">
        <v>0.21944</v>
      </c>
      <c r="Q110" s="111">
        <v>0.216807</v>
      </c>
      <c r="R110" s="111">
        <v>0.21409600000000001</v>
      </c>
      <c r="S110" s="111">
        <v>0.21102699999999999</v>
      </c>
      <c r="T110" s="111">
        <v>0.207452</v>
      </c>
      <c r="U110" s="111">
        <v>0.203712</v>
      </c>
      <c r="V110" s="111">
        <v>0.20016700000000001</v>
      </c>
      <c r="W110" s="111">
        <v>0.19685</v>
      </c>
      <c r="X110" s="111">
        <v>0.19365199999999999</v>
      </c>
      <c r="Y110" s="111">
        <v>0.190557</v>
      </c>
      <c r="Z110" s="111">
        <v>0.187418</v>
      </c>
      <c r="AA110" s="111">
        <v>0.184145</v>
      </c>
      <c r="AB110" s="111">
        <v>0.18173800000000001</v>
      </c>
      <c r="AC110" s="111">
        <v>0.179699</v>
      </c>
      <c r="AD110" s="111">
        <v>0.1779</v>
      </c>
      <c r="AE110" s="111">
        <v>0.17632999999999999</v>
      </c>
      <c r="AF110" s="111">
        <v>0.17528299999999999</v>
      </c>
      <c r="AG110" s="111">
        <v>0.17450099999999999</v>
      </c>
      <c r="AH110" s="112">
        <v>-8.2920000000000008E-3</v>
      </c>
    </row>
    <row r="111" spans="1:34" ht="15" customHeight="1" x14ac:dyDescent="0.25">
      <c r="A111" s="8" t="s">
        <v>136</v>
      </c>
      <c r="B111" s="110" t="s">
        <v>2778</v>
      </c>
      <c r="C111" s="111">
        <v>5.4194519999999997</v>
      </c>
      <c r="D111" s="111">
        <v>5.5221099999999996</v>
      </c>
      <c r="E111" s="111">
        <v>5.2801099999999996</v>
      </c>
      <c r="F111" s="111">
        <v>5.2398920000000002</v>
      </c>
      <c r="G111" s="111">
        <v>5.1974989999999996</v>
      </c>
      <c r="H111" s="111">
        <v>5.1403470000000002</v>
      </c>
      <c r="I111" s="111">
        <v>5.0955919999999999</v>
      </c>
      <c r="J111" s="111">
        <v>5.0751189999999999</v>
      </c>
      <c r="K111" s="111">
        <v>5.0928529999999999</v>
      </c>
      <c r="L111" s="111">
        <v>5.1188950000000002</v>
      </c>
      <c r="M111" s="111">
        <v>5.1700379999999999</v>
      </c>
      <c r="N111" s="111">
        <v>5.2096590000000003</v>
      </c>
      <c r="O111" s="111">
        <v>5.2447330000000001</v>
      </c>
      <c r="P111" s="111">
        <v>5.2881150000000003</v>
      </c>
      <c r="Q111" s="111">
        <v>5.3377109999999997</v>
      </c>
      <c r="R111" s="111">
        <v>5.3934920000000002</v>
      </c>
      <c r="S111" s="111">
        <v>5.4492839999999996</v>
      </c>
      <c r="T111" s="111">
        <v>5.4991459999999996</v>
      </c>
      <c r="U111" s="111">
        <v>5.5499020000000003</v>
      </c>
      <c r="V111" s="111">
        <v>5.6084319999999996</v>
      </c>
      <c r="W111" s="111">
        <v>5.6710520000000004</v>
      </c>
      <c r="X111" s="111">
        <v>5.732939</v>
      </c>
      <c r="Y111" s="111">
        <v>5.7956940000000001</v>
      </c>
      <c r="Z111" s="111">
        <v>5.8509700000000002</v>
      </c>
      <c r="AA111" s="111">
        <v>5.8929010000000002</v>
      </c>
      <c r="AB111" s="111">
        <v>5.9534349999999998</v>
      </c>
      <c r="AC111" s="111">
        <v>6.014259</v>
      </c>
      <c r="AD111" s="111">
        <v>6.0736590000000001</v>
      </c>
      <c r="AE111" s="111">
        <v>6.1360029999999997</v>
      </c>
      <c r="AF111" s="111">
        <v>6.2079149999999998</v>
      </c>
      <c r="AG111" s="111">
        <v>6.2799440000000004</v>
      </c>
      <c r="AH111" s="112">
        <v>4.9240000000000004E-3</v>
      </c>
    </row>
    <row r="112" spans="1:34" ht="15" customHeight="1" x14ac:dyDescent="0.25">
      <c r="A112" s="8" t="s">
        <v>137</v>
      </c>
      <c r="B112" s="153" t="s">
        <v>2785</v>
      </c>
      <c r="C112" s="154">
        <v>21.012035000000001</v>
      </c>
      <c r="D112" s="154">
        <v>21.043247000000001</v>
      </c>
      <c r="E112" s="154">
        <v>21.216681999999999</v>
      </c>
      <c r="F112" s="154">
        <v>21.018280000000001</v>
      </c>
      <c r="G112" s="154">
        <v>20.85379</v>
      </c>
      <c r="H112" s="154">
        <v>20.627789</v>
      </c>
      <c r="I112" s="154">
        <v>20.385228999999999</v>
      </c>
      <c r="J112" s="154">
        <v>20.220219</v>
      </c>
      <c r="K112" s="154">
        <v>20.168883999999998</v>
      </c>
      <c r="L112" s="154">
        <v>20.144856999999998</v>
      </c>
      <c r="M112" s="154">
        <v>20.183903000000001</v>
      </c>
      <c r="N112" s="154">
        <v>20.200790000000001</v>
      </c>
      <c r="O112" s="154">
        <v>20.210455</v>
      </c>
      <c r="P112" s="154">
        <v>20.251712999999999</v>
      </c>
      <c r="Q112" s="154">
        <v>20.298100000000002</v>
      </c>
      <c r="R112" s="154">
        <v>20.374268000000001</v>
      </c>
      <c r="S112" s="154">
        <v>20.453151999999999</v>
      </c>
      <c r="T112" s="154">
        <v>20.522358000000001</v>
      </c>
      <c r="U112" s="154">
        <v>20.597715000000001</v>
      </c>
      <c r="V112" s="154">
        <v>20.691054999999999</v>
      </c>
      <c r="W112" s="154">
        <v>20.79027</v>
      </c>
      <c r="X112" s="154">
        <v>20.887352</v>
      </c>
      <c r="Y112" s="154">
        <v>20.988150000000001</v>
      </c>
      <c r="Z112" s="154">
        <v>21.068726000000002</v>
      </c>
      <c r="AA112" s="154">
        <v>21.118212</v>
      </c>
      <c r="AB112" s="154">
        <v>21.216028000000001</v>
      </c>
      <c r="AC112" s="154">
        <v>21.321000999999999</v>
      </c>
      <c r="AD112" s="154">
        <v>21.423819999999999</v>
      </c>
      <c r="AE112" s="154">
        <v>21.530754000000002</v>
      </c>
      <c r="AF112" s="154">
        <v>21.665205</v>
      </c>
      <c r="AG112" s="154">
        <v>21.802175999999999</v>
      </c>
      <c r="AH112" s="155">
        <v>1.2310000000000001E-3</v>
      </c>
    </row>
    <row r="113" spans="1:34" ht="15" customHeight="1" x14ac:dyDescent="0.25">
      <c r="A113" s="8" t="s">
        <v>2786</v>
      </c>
      <c r="B113" s="110" t="s">
        <v>2787</v>
      </c>
      <c r="C113" s="111">
        <v>7.8133999999999995E-2</v>
      </c>
      <c r="D113" s="111">
        <v>8.9459999999999998E-2</v>
      </c>
      <c r="E113" s="111">
        <v>9.9012000000000003E-2</v>
      </c>
      <c r="F113" s="111">
        <v>0.108281</v>
      </c>
      <c r="G113" s="111">
        <v>0.11738</v>
      </c>
      <c r="H113" s="111">
        <v>0.126529</v>
      </c>
      <c r="I113" s="111">
        <v>0.13586699999999999</v>
      </c>
      <c r="J113" s="111">
        <v>0.145236</v>
      </c>
      <c r="K113" s="111">
        <v>0.154673</v>
      </c>
      <c r="L113" s="111">
        <v>0.16417200000000001</v>
      </c>
      <c r="M113" s="111">
        <v>0.17386699999999999</v>
      </c>
      <c r="N113" s="111">
        <v>0.18379300000000001</v>
      </c>
      <c r="O113" s="111">
        <v>0.19391700000000001</v>
      </c>
      <c r="P113" s="111">
        <v>0.20421900000000001</v>
      </c>
      <c r="Q113" s="111">
        <v>0.214726</v>
      </c>
      <c r="R113" s="111">
        <v>0.22539300000000001</v>
      </c>
      <c r="S113" s="111">
        <v>0.23625399999999999</v>
      </c>
      <c r="T113" s="111">
        <v>0.247311</v>
      </c>
      <c r="U113" s="111">
        <v>0.25860100000000003</v>
      </c>
      <c r="V113" s="111">
        <v>0.27011499999999999</v>
      </c>
      <c r="W113" s="111">
        <v>0.28189500000000001</v>
      </c>
      <c r="X113" s="111">
        <v>0.29394199999999998</v>
      </c>
      <c r="Y113" s="111">
        <v>0.30629499999999998</v>
      </c>
      <c r="Z113" s="111">
        <v>0.31898300000000002</v>
      </c>
      <c r="AA113" s="111">
        <v>0.33201700000000001</v>
      </c>
      <c r="AB113" s="111">
        <v>0.34545999999999999</v>
      </c>
      <c r="AC113" s="111">
        <v>0.35925099999999999</v>
      </c>
      <c r="AD113" s="111">
        <v>0.373388</v>
      </c>
      <c r="AE113" s="111">
        <v>0.38795400000000002</v>
      </c>
      <c r="AF113" s="111">
        <v>0.40290599999999999</v>
      </c>
      <c r="AG113" s="111">
        <v>0.41825600000000002</v>
      </c>
      <c r="AH113" s="112">
        <v>5.7514999999999997E-2</v>
      </c>
    </row>
    <row r="114" spans="1:34" ht="15" customHeight="1" x14ac:dyDescent="0.25">
      <c r="A114" s="8" t="s">
        <v>2788</v>
      </c>
      <c r="B114" s="109" t="s">
        <v>2789</v>
      </c>
      <c r="C114" s="113">
        <v>20.933900999999999</v>
      </c>
      <c r="D114" s="113">
        <v>20.953786999999998</v>
      </c>
      <c r="E114" s="113">
        <v>21.11767</v>
      </c>
      <c r="F114" s="113">
        <v>20.91</v>
      </c>
      <c r="G114" s="113">
        <v>20.736409999999999</v>
      </c>
      <c r="H114" s="113">
        <v>20.501259000000001</v>
      </c>
      <c r="I114" s="113">
        <v>20.249361</v>
      </c>
      <c r="J114" s="113">
        <v>20.074984000000001</v>
      </c>
      <c r="K114" s="113">
        <v>20.014212000000001</v>
      </c>
      <c r="L114" s="113">
        <v>19.980685999999999</v>
      </c>
      <c r="M114" s="113">
        <v>20.010035999999999</v>
      </c>
      <c r="N114" s="113">
        <v>20.016998000000001</v>
      </c>
      <c r="O114" s="113">
        <v>20.016539000000002</v>
      </c>
      <c r="P114" s="113">
        <v>20.047495000000001</v>
      </c>
      <c r="Q114" s="113">
        <v>20.083373999999999</v>
      </c>
      <c r="R114" s="113">
        <v>20.148873999999999</v>
      </c>
      <c r="S114" s="113">
        <v>20.216898</v>
      </c>
      <c r="T114" s="113">
        <v>20.275047000000001</v>
      </c>
      <c r="U114" s="113">
        <v>20.339113000000001</v>
      </c>
      <c r="V114" s="113">
        <v>20.420940000000002</v>
      </c>
      <c r="W114" s="113">
        <v>20.508375000000001</v>
      </c>
      <c r="X114" s="113">
        <v>20.593409999999999</v>
      </c>
      <c r="Y114" s="113">
        <v>20.681854000000001</v>
      </c>
      <c r="Z114" s="113">
        <v>20.749742999999999</v>
      </c>
      <c r="AA114" s="113">
        <v>20.786196</v>
      </c>
      <c r="AB114" s="113">
        <v>20.870569</v>
      </c>
      <c r="AC114" s="113">
        <v>20.961749999999999</v>
      </c>
      <c r="AD114" s="113">
        <v>21.050432000000001</v>
      </c>
      <c r="AE114" s="113">
        <v>21.142799</v>
      </c>
      <c r="AF114" s="113">
        <v>21.262298999999999</v>
      </c>
      <c r="AG114" s="113">
        <v>21.383918999999999</v>
      </c>
      <c r="AH114" s="114">
        <v>7.0899999999999999E-4</v>
      </c>
    </row>
    <row r="115" spans="1:34" ht="15" customHeight="1" x14ac:dyDescent="0.25"/>
    <row r="116" spans="1:34" ht="15" customHeight="1" x14ac:dyDescent="0.25">
      <c r="B116" s="109" t="s">
        <v>2790</v>
      </c>
    </row>
    <row r="117" spans="1:34" ht="15" customHeight="1" x14ac:dyDescent="0.25">
      <c r="A117" s="8" t="s">
        <v>138</v>
      </c>
      <c r="B117" s="110" t="s">
        <v>139</v>
      </c>
      <c r="C117" s="111">
        <v>1.3036000000000001E-2</v>
      </c>
      <c r="D117" s="111">
        <v>1.5200999999999999E-2</v>
      </c>
      <c r="E117" s="111">
        <v>1.7725000000000001E-2</v>
      </c>
      <c r="F117" s="111">
        <v>1.8765E-2</v>
      </c>
      <c r="G117" s="111">
        <v>2.0128E-2</v>
      </c>
      <c r="H117" s="111">
        <v>2.0978E-2</v>
      </c>
      <c r="I117" s="111">
        <v>2.2218999999999999E-2</v>
      </c>
      <c r="J117" s="111">
        <v>2.3290000000000002E-2</v>
      </c>
      <c r="K117" s="111">
        <v>2.4472000000000001E-2</v>
      </c>
      <c r="L117" s="111">
        <v>2.5659000000000001E-2</v>
      </c>
      <c r="M117" s="111">
        <v>2.6859999999999998E-2</v>
      </c>
      <c r="N117" s="111">
        <v>2.7925999999999999E-2</v>
      </c>
      <c r="O117" s="111">
        <v>2.8993999999999999E-2</v>
      </c>
      <c r="P117" s="111">
        <v>3.0058999999999999E-2</v>
      </c>
      <c r="Q117" s="111">
        <v>3.1075999999999999E-2</v>
      </c>
      <c r="R117" s="111">
        <v>3.2084000000000001E-2</v>
      </c>
      <c r="S117" s="111">
        <v>3.3099999999999997E-2</v>
      </c>
      <c r="T117" s="111">
        <v>3.4097000000000002E-2</v>
      </c>
      <c r="U117" s="111">
        <v>3.5104000000000003E-2</v>
      </c>
      <c r="V117" s="111">
        <v>3.6150000000000002E-2</v>
      </c>
      <c r="W117" s="111">
        <v>3.7255000000000003E-2</v>
      </c>
      <c r="X117" s="111">
        <v>3.8367999999999999E-2</v>
      </c>
      <c r="Y117" s="111">
        <v>3.9507E-2</v>
      </c>
      <c r="Z117" s="111">
        <v>4.0661000000000003E-2</v>
      </c>
      <c r="AA117" s="111">
        <v>4.1815999999999999E-2</v>
      </c>
      <c r="AB117" s="111">
        <v>4.3008999999999999E-2</v>
      </c>
      <c r="AC117" s="111">
        <v>4.4201999999999998E-2</v>
      </c>
      <c r="AD117" s="111">
        <v>4.5450999999999998E-2</v>
      </c>
      <c r="AE117" s="111">
        <v>4.6683000000000002E-2</v>
      </c>
      <c r="AF117" s="111">
        <v>4.7979000000000001E-2</v>
      </c>
      <c r="AG117" s="111">
        <v>4.9258000000000003E-2</v>
      </c>
      <c r="AH117" s="112">
        <v>4.5310000000000003E-2</v>
      </c>
    </row>
    <row r="118" spans="1:34" ht="15" customHeight="1" x14ac:dyDescent="0.25">
      <c r="A118" s="8" t="s">
        <v>140</v>
      </c>
      <c r="B118" s="110" t="s">
        <v>141</v>
      </c>
      <c r="C118" s="111">
        <v>4.1923000000000002E-2</v>
      </c>
      <c r="D118" s="111">
        <v>4.5900000000000003E-2</v>
      </c>
      <c r="E118" s="111">
        <v>4.5856000000000001E-2</v>
      </c>
      <c r="F118" s="111">
        <v>4.5131999999999999E-2</v>
      </c>
      <c r="G118" s="111">
        <v>4.4742999999999998E-2</v>
      </c>
      <c r="H118" s="111">
        <v>4.3871E-2</v>
      </c>
      <c r="I118" s="111">
        <v>4.3568999999999997E-2</v>
      </c>
      <c r="J118" s="111">
        <v>4.3343E-2</v>
      </c>
      <c r="K118" s="111">
        <v>4.3447E-2</v>
      </c>
      <c r="L118" s="111">
        <v>4.3559E-2</v>
      </c>
      <c r="M118" s="111">
        <v>4.4141E-2</v>
      </c>
      <c r="N118" s="111">
        <v>4.4365000000000002E-2</v>
      </c>
      <c r="O118" s="111">
        <v>4.4488E-2</v>
      </c>
      <c r="P118" s="111">
        <v>4.4635000000000001E-2</v>
      </c>
      <c r="Q118" s="111">
        <v>4.4823000000000002E-2</v>
      </c>
      <c r="R118" s="111">
        <v>4.4965999999999999E-2</v>
      </c>
      <c r="S118" s="111">
        <v>4.5067000000000003E-2</v>
      </c>
      <c r="T118" s="111">
        <v>4.5217E-2</v>
      </c>
      <c r="U118" s="111">
        <v>4.5376E-2</v>
      </c>
      <c r="V118" s="111">
        <v>4.5571E-2</v>
      </c>
      <c r="W118" s="111">
        <v>4.5716E-2</v>
      </c>
      <c r="X118" s="111">
        <v>4.5920000000000002E-2</v>
      </c>
      <c r="Y118" s="111">
        <v>4.6134000000000001E-2</v>
      </c>
      <c r="Z118" s="111">
        <v>4.6331999999999998E-2</v>
      </c>
      <c r="AA118" s="111">
        <v>4.6518999999999998E-2</v>
      </c>
      <c r="AB118" s="111">
        <v>4.6729E-2</v>
      </c>
      <c r="AC118" s="111">
        <v>4.6861E-2</v>
      </c>
      <c r="AD118" s="111">
        <v>4.6872999999999998E-2</v>
      </c>
      <c r="AE118" s="111">
        <v>4.6947000000000003E-2</v>
      </c>
      <c r="AF118" s="111">
        <v>4.7069E-2</v>
      </c>
      <c r="AG118" s="111">
        <v>4.6927000000000003E-2</v>
      </c>
      <c r="AH118" s="112">
        <v>3.7659999999999998E-3</v>
      </c>
    </row>
    <row r="119" spans="1:34" ht="15" customHeight="1" x14ac:dyDescent="0.25">
      <c r="A119" s="8" t="s">
        <v>142</v>
      </c>
      <c r="B119" s="110" t="s">
        <v>143</v>
      </c>
      <c r="C119" s="111">
        <v>0.225073</v>
      </c>
      <c r="D119" s="111">
        <v>0.25967699999999999</v>
      </c>
      <c r="E119" s="111">
        <v>0.28864099999999998</v>
      </c>
      <c r="F119" s="111">
        <v>0.31246099999999999</v>
      </c>
      <c r="G119" s="111">
        <v>0.33701799999999998</v>
      </c>
      <c r="H119" s="111">
        <v>0.35923899999999998</v>
      </c>
      <c r="I119" s="111">
        <v>0.38372299999999998</v>
      </c>
      <c r="J119" s="111">
        <v>0.40968599999999999</v>
      </c>
      <c r="K119" s="111">
        <v>0.43677700000000003</v>
      </c>
      <c r="L119" s="111">
        <v>0.46326000000000001</v>
      </c>
      <c r="M119" s="111">
        <v>0.496</v>
      </c>
      <c r="N119" s="111">
        <v>0.52372200000000002</v>
      </c>
      <c r="O119" s="111">
        <v>0.55118999999999996</v>
      </c>
      <c r="P119" s="111">
        <v>0.57976499999999997</v>
      </c>
      <c r="Q119" s="111">
        <v>0.609985</v>
      </c>
      <c r="R119" s="111">
        <v>0.64000800000000002</v>
      </c>
      <c r="S119" s="111">
        <v>0.66985499999999998</v>
      </c>
      <c r="T119" s="111">
        <v>0.70087699999999997</v>
      </c>
      <c r="U119" s="111">
        <v>0.73164899999999999</v>
      </c>
      <c r="V119" s="111">
        <v>0.76455600000000001</v>
      </c>
      <c r="W119" s="111">
        <v>0.79729499999999998</v>
      </c>
      <c r="X119" s="111">
        <v>0.83185299999999995</v>
      </c>
      <c r="Y119" s="111">
        <v>0.867645</v>
      </c>
      <c r="Z119" s="111">
        <v>0.90349500000000005</v>
      </c>
      <c r="AA119" s="111">
        <v>0.94094699999999998</v>
      </c>
      <c r="AB119" s="111">
        <v>0.980271</v>
      </c>
      <c r="AC119" s="111">
        <v>1.0188729999999999</v>
      </c>
      <c r="AD119" s="111">
        <v>1.0550440000000001</v>
      </c>
      <c r="AE119" s="111">
        <v>1.093461</v>
      </c>
      <c r="AF119" s="111">
        <v>1.133643</v>
      </c>
      <c r="AG119" s="111">
        <v>1.1686080000000001</v>
      </c>
      <c r="AH119" s="112">
        <v>5.6439999999999997E-2</v>
      </c>
    </row>
    <row r="120" spans="1:34" ht="15" customHeight="1" x14ac:dyDescent="0.25">
      <c r="A120" s="8" t="s">
        <v>144</v>
      </c>
      <c r="B120" s="110" t="s">
        <v>145</v>
      </c>
      <c r="C120" s="111">
        <v>1.73E-4</v>
      </c>
      <c r="D120" s="111">
        <v>1.74E-4</v>
      </c>
      <c r="E120" s="111">
        <v>1.73E-4</v>
      </c>
      <c r="F120" s="111">
        <v>1.6899999999999999E-4</v>
      </c>
      <c r="G120" s="111">
        <v>1.6699999999999999E-4</v>
      </c>
      <c r="H120" s="111">
        <v>1.6200000000000001E-4</v>
      </c>
      <c r="I120" s="111">
        <v>1.6000000000000001E-4</v>
      </c>
      <c r="J120" s="111">
        <v>1.5899999999999999E-4</v>
      </c>
      <c r="K120" s="111">
        <v>1.5799999999999999E-4</v>
      </c>
      <c r="L120" s="111">
        <v>1.5799999999999999E-4</v>
      </c>
      <c r="M120" s="111">
        <v>1.5799999999999999E-4</v>
      </c>
      <c r="N120" s="111">
        <v>1.5799999999999999E-4</v>
      </c>
      <c r="O120" s="111">
        <v>1.5699999999999999E-4</v>
      </c>
      <c r="P120" s="111">
        <v>1.5699999999999999E-4</v>
      </c>
      <c r="Q120" s="111">
        <v>1.5699999999999999E-4</v>
      </c>
      <c r="R120" s="111">
        <v>1.56E-4</v>
      </c>
      <c r="S120" s="111">
        <v>1.56E-4</v>
      </c>
      <c r="T120" s="111">
        <v>1.56E-4</v>
      </c>
      <c r="U120" s="111">
        <v>1.55E-4</v>
      </c>
      <c r="V120" s="111">
        <v>1.55E-4</v>
      </c>
      <c r="W120" s="111">
        <v>1.56E-4</v>
      </c>
      <c r="X120" s="111">
        <v>1.5799999999999999E-4</v>
      </c>
      <c r="Y120" s="111">
        <v>1.6000000000000001E-4</v>
      </c>
      <c r="Z120" s="111">
        <v>1.6100000000000001E-4</v>
      </c>
      <c r="AA120" s="111">
        <v>1.63E-4</v>
      </c>
      <c r="AB120" s="111">
        <v>1.65E-4</v>
      </c>
      <c r="AC120" s="111">
        <v>1.66E-4</v>
      </c>
      <c r="AD120" s="111">
        <v>1.6799999999999999E-4</v>
      </c>
      <c r="AE120" s="111">
        <v>1.6899999999999999E-4</v>
      </c>
      <c r="AF120" s="111">
        <v>1.7100000000000001E-4</v>
      </c>
      <c r="AG120" s="111">
        <v>1.73E-4</v>
      </c>
      <c r="AH120" s="112">
        <v>1.5999999999999999E-5</v>
      </c>
    </row>
    <row r="121" spans="1:34" ht="15" customHeight="1" x14ac:dyDescent="0.25">
      <c r="A121" s="8" t="s">
        <v>146</v>
      </c>
      <c r="B121" s="109" t="s">
        <v>147</v>
      </c>
      <c r="C121" s="113">
        <v>0.28020400000000001</v>
      </c>
      <c r="D121" s="113">
        <v>0.32095099999999999</v>
      </c>
      <c r="E121" s="113">
        <v>0.35239599999999999</v>
      </c>
      <c r="F121" s="113">
        <v>0.376527</v>
      </c>
      <c r="G121" s="113">
        <v>0.402057</v>
      </c>
      <c r="H121" s="113">
        <v>0.42425000000000002</v>
      </c>
      <c r="I121" s="113">
        <v>0.44967099999999999</v>
      </c>
      <c r="J121" s="113">
        <v>0.47647800000000001</v>
      </c>
      <c r="K121" s="113">
        <v>0.50485400000000002</v>
      </c>
      <c r="L121" s="113">
        <v>0.53263499999999997</v>
      </c>
      <c r="M121" s="113">
        <v>0.56716</v>
      </c>
      <c r="N121" s="113">
        <v>0.59616999999999998</v>
      </c>
      <c r="O121" s="113">
        <v>0.62483</v>
      </c>
      <c r="P121" s="113">
        <v>0.65461599999999998</v>
      </c>
      <c r="Q121" s="113">
        <v>0.68604100000000001</v>
      </c>
      <c r="R121" s="113">
        <v>0.71721400000000002</v>
      </c>
      <c r="S121" s="113">
        <v>0.74817800000000001</v>
      </c>
      <c r="T121" s="113">
        <v>0.78034599999999998</v>
      </c>
      <c r="U121" s="113">
        <v>0.81228299999999998</v>
      </c>
      <c r="V121" s="113">
        <v>0.84643199999999996</v>
      </c>
      <c r="W121" s="113">
        <v>0.88042200000000004</v>
      </c>
      <c r="X121" s="113">
        <v>0.91629899999999997</v>
      </c>
      <c r="Y121" s="113">
        <v>0.95344499999999999</v>
      </c>
      <c r="Z121" s="113">
        <v>0.990649</v>
      </c>
      <c r="AA121" s="113">
        <v>1.0294460000000001</v>
      </c>
      <c r="AB121" s="113">
        <v>1.070174</v>
      </c>
      <c r="AC121" s="113">
        <v>1.1101019999999999</v>
      </c>
      <c r="AD121" s="113">
        <v>1.147535</v>
      </c>
      <c r="AE121" s="113">
        <v>1.18726</v>
      </c>
      <c r="AF121" s="113">
        <v>1.2288619999999999</v>
      </c>
      <c r="AG121" s="113">
        <v>1.2649649999999999</v>
      </c>
      <c r="AH121" s="114">
        <v>5.1526000000000002E-2</v>
      </c>
    </row>
    <row r="122" spans="1:34" ht="15" customHeight="1" x14ac:dyDescent="0.25"/>
    <row r="123" spans="1:34" ht="15" customHeight="1" x14ac:dyDescent="0.25">
      <c r="B123" s="109" t="s">
        <v>148</v>
      </c>
    </row>
    <row r="124" spans="1:34" ht="15" customHeight="1" x14ac:dyDescent="0.25">
      <c r="A124" s="8" t="s">
        <v>149</v>
      </c>
      <c r="B124" s="110" t="s">
        <v>150</v>
      </c>
      <c r="C124" s="117">
        <v>5958</v>
      </c>
      <c r="D124" s="117">
        <v>6244</v>
      </c>
      <c r="E124" s="117">
        <v>6198</v>
      </c>
      <c r="F124" s="117">
        <v>6187</v>
      </c>
      <c r="G124" s="117">
        <v>6176</v>
      </c>
      <c r="H124" s="117">
        <v>6165</v>
      </c>
      <c r="I124" s="117">
        <v>6153</v>
      </c>
      <c r="J124" s="117">
        <v>6142</v>
      </c>
      <c r="K124" s="117">
        <v>6130</v>
      </c>
      <c r="L124" s="117">
        <v>6118</v>
      </c>
      <c r="M124" s="117">
        <v>6107</v>
      </c>
      <c r="N124" s="117">
        <v>6095</v>
      </c>
      <c r="O124" s="117">
        <v>6083</v>
      </c>
      <c r="P124" s="117">
        <v>6071</v>
      </c>
      <c r="Q124" s="117">
        <v>6059</v>
      </c>
      <c r="R124" s="117">
        <v>6048</v>
      </c>
      <c r="S124" s="117">
        <v>6036</v>
      </c>
      <c r="T124" s="117">
        <v>6024</v>
      </c>
      <c r="U124" s="117">
        <v>6012</v>
      </c>
      <c r="V124" s="117">
        <v>6000</v>
      </c>
      <c r="W124" s="117">
        <v>5988</v>
      </c>
      <c r="X124" s="117">
        <v>5976</v>
      </c>
      <c r="Y124" s="117">
        <v>5964</v>
      </c>
      <c r="Z124" s="117">
        <v>5952</v>
      </c>
      <c r="AA124" s="117">
        <v>5940</v>
      </c>
      <c r="AB124" s="117">
        <v>5929</v>
      </c>
      <c r="AC124" s="117">
        <v>5917</v>
      </c>
      <c r="AD124" s="117">
        <v>5905</v>
      </c>
      <c r="AE124" s="117">
        <v>5893</v>
      </c>
      <c r="AF124" s="117">
        <v>5881</v>
      </c>
      <c r="AG124" s="117">
        <v>5869</v>
      </c>
      <c r="AH124" s="112">
        <v>-5.0199999999999995E-4</v>
      </c>
    </row>
    <row r="125" spans="1:34" ht="15" customHeight="1" x14ac:dyDescent="0.25">
      <c r="A125" s="8" t="s">
        <v>151</v>
      </c>
      <c r="B125" s="110" t="s">
        <v>152</v>
      </c>
      <c r="C125" s="117">
        <v>5371</v>
      </c>
      <c r="D125" s="117">
        <v>5595</v>
      </c>
      <c r="E125" s="117">
        <v>5569</v>
      </c>
      <c r="F125" s="117">
        <v>5558</v>
      </c>
      <c r="G125" s="117">
        <v>5548</v>
      </c>
      <c r="H125" s="117">
        <v>5538</v>
      </c>
      <c r="I125" s="117">
        <v>5528</v>
      </c>
      <c r="J125" s="117">
        <v>5517</v>
      </c>
      <c r="K125" s="117">
        <v>5507</v>
      </c>
      <c r="L125" s="117">
        <v>5497</v>
      </c>
      <c r="M125" s="117">
        <v>5487</v>
      </c>
      <c r="N125" s="117">
        <v>5477</v>
      </c>
      <c r="O125" s="117">
        <v>5467</v>
      </c>
      <c r="P125" s="117">
        <v>5457</v>
      </c>
      <c r="Q125" s="117">
        <v>5446</v>
      </c>
      <c r="R125" s="117">
        <v>5436</v>
      </c>
      <c r="S125" s="117">
        <v>5426</v>
      </c>
      <c r="T125" s="117">
        <v>5416</v>
      </c>
      <c r="U125" s="117">
        <v>5406</v>
      </c>
      <c r="V125" s="117">
        <v>5396</v>
      </c>
      <c r="W125" s="117">
        <v>5386</v>
      </c>
      <c r="X125" s="117">
        <v>5376</v>
      </c>
      <c r="Y125" s="117">
        <v>5366</v>
      </c>
      <c r="Z125" s="117">
        <v>5355</v>
      </c>
      <c r="AA125" s="117">
        <v>5345</v>
      </c>
      <c r="AB125" s="117">
        <v>5335</v>
      </c>
      <c r="AC125" s="117">
        <v>5325</v>
      </c>
      <c r="AD125" s="117">
        <v>5315</v>
      </c>
      <c r="AE125" s="117">
        <v>5305</v>
      </c>
      <c r="AF125" s="117">
        <v>5295</v>
      </c>
      <c r="AG125" s="117">
        <v>5285</v>
      </c>
      <c r="AH125" s="112">
        <v>-5.3799999999999996E-4</v>
      </c>
    </row>
    <row r="126" spans="1:34" ht="15" customHeight="1" x14ac:dyDescent="0.25">
      <c r="A126" s="8" t="s">
        <v>153</v>
      </c>
      <c r="B126" s="110" t="s">
        <v>154</v>
      </c>
      <c r="C126" s="117">
        <v>6000</v>
      </c>
      <c r="D126" s="117">
        <v>6217</v>
      </c>
      <c r="E126" s="117">
        <v>6172</v>
      </c>
      <c r="F126" s="117">
        <v>6167</v>
      </c>
      <c r="G126" s="117">
        <v>6163</v>
      </c>
      <c r="H126" s="117">
        <v>6159</v>
      </c>
      <c r="I126" s="117">
        <v>6155</v>
      </c>
      <c r="J126" s="117">
        <v>6151</v>
      </c>
      <c r="K126" s="117">
        <v>6147</v>
      </c>
      <c r="L126" s="117">
        <v>6143</v>
      </c>
      <c r="M126" s="117">
        <v>6138</v>
      </c>
      <c r="N126" s="117">
        <v>6134</v>
      </c>
      <c r="O126" s="117">
        <v>6130</v>
      </c>
      <c r="P126" s="117">
        <v>6126</v>
      </c>
      <c r="Q126" s="117">
        <v>6122</v>
      </c>
      <c r="R126" s="117">
        <v>6118</v>
      </c>
      <c r="S126" s="117">
        <v>6114</v>
      </c>
      <c r="T126" s="117">
        <v>6109</v>
      </c>
      <c r="U126" s="117">
        <v>6105</v>
      </c>
      <c r="V126" s="117">
        <v>6101</v>
      </c>
      <c r="W126" s="117">
        <v>6097</v>
      </c>
      <c r="X126" s="117">
        <v>6093</v>
      </c>
      <c r="Y126" s="117">
        <v>6089</v>
      </c>
      <c r="Z126" s="117">
        <v>6084</v>
      </c>
      <c r="AA126" s="117">
        <v>6080</v>
      </c>
      <c r="AB126" s="117">
        <v>6076</v>
      </c>
      <c r="AC126" s="117">
        <v>6072</v>
      </c>
      <c r="AD126" s="117">
        <v>6068</v>
      </c>
      <c r="AE126" s="117">
        <v>6064</v>
      </c>
      <c r="AF126" s="117">
        <v>6059</v>
      </c>
      <c r="AG126" s="117">
        <v>6055</v>
      </c>
      <c r="AH126" s="112">
        <v>3.0400000000000002E-4</v>
      </c>
    </row>
    <row r="127" spans="1:34" ht="15" customHeight="1" x14ac:dyDescent="0.25">
      <c r="A127" s="8" t="s">
        <v>155</v>
      </c>
      <c r="B127" s="110" t="s">
        <v>156</v>
      </c>
      <c r="C127" s="117">
        <v>6410</v>
      </c>
      <c r="D127" s="117">
        <v>6529</v>
      </c>
      <c r="E127" s="117">
        <v>6490</v>
      </c>
      <c r="F127" s="117">
        <v>6489</v>
      </c>
      <c r="G127" s="117">
        <v>6487</v>
      </c>
      <c r="H127" s="117">
        <v>6485</v>
      </c>
      <c r="I127" s="117">
        <v>6483</v>
      </c>
      <c r="J127" s="117">
        <v>6481</v>
      </c>
      <c r="K127" s="117">
        <v>6479</v>
      </c>
      <c r="L127" s="117">
        <v>6477</v>
      </c>
      <c r="M127" s="117">
        <v>6474</v>
      </c>
      <c r="N127" s="117">
        <v>6472</v>
      </c>
      <c r="O127" s="117">
        <v>6470</v>
      </c>
      <c r="P127" s="117">
        <v>6467</v>
      </c>
      <c r="Q127" s="117">
        <v>6465</v>
      </c>
      <c r="R127" s="117">
        <v>6462</v>
      </c>
      <c r="S127" s="117">
        <v>6459</v>
      </c>
      <c r="T127" s="117">
        <v>6457</v>
      </c>
      <c r="U127" s="117">
        <v>6454</v>
      </c>
      <c r="V127" s="117">
        <v>6451</v>
      </c>
      <c r="W127" s="117">
        <v>6449</v>
      </c>
      <c r="X127" s="117">
        <v>6446</v>
      </c>
      <c r="Y127" s="117">
        <v>6443</v>
      </c>
      <c r="Z127" s="117">
        <v>6440</v>
      </c>
      <c r="AA127" s="117">
        <v>6437</v>
      </c>
      <c r="AB127" s="117">
        <v>6434</v>
      </c>
      <c r="AC127" s="117">
        <v>6431</v>
      </c>
      <c r="AD127" s="117">
        <v>6428</v>
      </c>
      <c r="AE127" s="117">
        <v>6426</v>
      </c>
      <c r="AF127" s="117">
        <v>6423</v>
      </c>
      <c r="AG127" s="117">
        <v>6420</v>
      </c>
      <c r="AH127" s="112">
        <v>5.1999999999999997E-5</v>
      </c>
    </row>
    <row r="128" spans="1:34" ht="15" customHeight="1" x14ac:dyDescent="0.25">
      <c r="A128" s="8" t="s">
        <v>157</v>
      </c>
      <c r="B128" s="110" t="s">
        <v>158</v>
      </c>
      <c r="C128" s="117">
        <v>2335</v>
      </c>
      <c r="D128" s="117">
        <v>2486</v>
      </c>
      <c r="E128" s="117">
        <v>2520</v>
      </c>
      <c r="F128" s="117">
        <v>2511</v>
      </c>
      <c r="G128" s="117">
        <v>2503</v>
      </c>
      <c r="H128" s="117">
        <v>2495</v>
      </c>
      <c r="I128" s="117">
        <v>2487</v>
      </c>
      <c r="J128" s="117">
        <v>2479</v>
      </c>
      <c r="K128" s="117">
        <v>2471</v>
      </c>
      <c r="L128" s="117">
        <v>2463</v>
      </c>
      <c r="M128" s="117">
        <v>2455</v>
      </c>
      <c r="N128" s="117">
        <v>2448</v>
      </c>
      <c r="O128" s="117">
        <v>2440</v>
      </c>
      <c r="P128" s="117">
        <v>2432</v>
      </c>
      <c r="Q128" s="117">
        <v>2424</v>
      </c>
      <c r="R128" s="117">
        <v>2417</v>
      </c>
      <c r="S128" s="117">
        <v>2409</v>
      </c>
      <c r="T128" s="117">
        <v>2401</v>
      </c>
      <c r="U128" s="117">
        <v>2393</v>
      </c>
      <c r="V128" s="117">
        <v>2385</v>
      </c>
      <c r="W128" s="117">
        <v>2378</v>
      </c>
      <c r="X128" s="117">
        <v>2370</v>
      </c>
      <c r="Y128" s="117">
        <v>2362</v>
      </c>
      <c r="Z128" s="117">
        <v>2355</v>
      </c>
      <c r="AA128" s="117">
        <v>2347</v>
      </c>
      <c r="AB128" s="117">
        <v>2339</v>
      </c>
      <c r="AC128" s="117">
        <v>2332</v>
      </c>
      <c r="AD128" s="117">
        <v>2324</v>
      </c>
      <c r="AE128" s="117">
        <v>2316</v>
      </c>
      <c r="AF128" s="117">
        <v>2309</v>
      </c>
      <c r="AG128" s="117">
        <v>2301</v>
      </c>
      <c r="AH128" s="112">
        <v>-4.8899999999999996E-4</v>
      </c>
    </row>
    <row r="129" spans="1:34" ht="15" customHeight="1" x14ac:dyDescent="0.25">
      <c r="A129" s="8" t="s">
        <v>159</v>
      </c>
      <c r="B129" s="110" t="s">
        <v>160</v>
      </c>
      <c r="C129" s="117">
        <v>3119</v>
      </c>
      <c r="D129" s="117">
        <v>3304</v>
      </c>
      <c r="E129" s="117">
        <v>3319</v>
      </c>
      <c r="F129" s="117">
        <v>3314</v>
      </c>
      <c r="G129" s="117">
        <v>3310</v>
      </c>
      <c r="H129" s="117">
        <v>3306</v>
      </c>
      <c r="I129" s="117">
        <v>3302</v>
      </c>
      <c r="J129" s="117">
        <v>3297</v>
      </c>
      <c r="K129" s="117">
        <v>3293</v>
      </c>
      <c r="L129" s="117">
        <v>3288</v>
      </c>
      <c r="M129" s="117">
        <v>3284</v>
      </c>
      <c r="N129" s="117">
        <v>3280</v>
      </c>
      <c r="O129" s="117">
        <v>3275</v>
      </c>
      <c r="P129" s="117">
        <v>3271</v>
      </c>
      <c r="Q129" s="117">
        <v>3266</v>
      </c>
      <c r="R129" s="117">
        <v>3262</v>
      </c>
      <c r="S129" s="117">
        <v>3257</v>
      </c>
      <c r="T129" s="117">
        <v>3252</v>
      </c>
      <c r="U129" s="117">
        <v>3248</v>
      </c>
      <c r="V129" s="117">
        <v>3243</v>
      </c>
      <c r="W129" s="117">
        <v>3238</v>
      </c>
      <c r="X129" s="117">
        <v>3234</v>
      </c>
      <c r="Y129" s="117">
        <v>3229</v>
      </c>
      <c r="Z129" s="117">
        <v>3224</v>
      </c>
      <c r="AA129" s="117">
        <v>3220</v>
      </c>
      <c r="AB129" s="117">
        <v>3215</v>
      </c>
      <c r="AC129" s="117">
        <v>3210</v>
      </c>
      <c r="AD129" s="117">
        <v>3206</v>
      </c>
      <c r="AE129" s="117">
        <v>3201</v>
      </c>
      <c r="AF129" s="117">
        <v>3196</v>
      </c>
      <c r="AG129" s="117">
        <v>3191</v>
      </c>
      <c r="AH129" s="112">
        <v>7.6099999999999996E-4</v>
      </c>
    </row>
    <row r="130" spans="1:34" ht="15" customHeight="1" x14ac:dyDescent="0.25">
      <c r="A130" s="8" t="s">
        <v>161</v>
      </c>
      <c r="B130" s="110" t="s">
        <v>162</v>
      </c>
      <c r="C130" s="117">
        <v>1829</v>
      </c>
      <c r="D130" s="117">
        <v>1910</v>
      </c>
      <c r="E130" s="117">
        <v>2015</v>
      </c>
      <c r="F130" s="117">
        <v>2009</v>
      </c>
      <c r="G130" s="117">
        <v>2004</v>
      </c>
      <c r="H130" s="117">
        <v>1999</v>
      </c>
      <c r="I130" s="117">
        <v>1994</v>
      </c>
      <c r="J130" s="117">
        <v>1988</v>
      </c>
      <c r="K130" s="117">
        <v>1983</v>
      </c>
      <c r="L130" s="117">
        <v>1978</v>
      </c>
      <c r="M130" s="117">
        <v>1973</v>
      </c>
      <c r="N130" s="117">
        <v>1967</v>
      </c>
      <c r="O130" s="117">
        <v>1962</v>
      </c>
      <c r="P130" s="117">
        <v>1957</v>
      </c>
      <c r="Q130" s="117">
        <v>1952</v>
      </c>
      <c r="R130" s="117">
        <v>1947</v>
      </c>
      <c r="S130" s="117">
        <v>1942</v>
      </c>
      <c r="T130" s="117">
        <v>1937</v>
      </c>
      <c r="U130" s="117">
        <v>1932</v>
      </c>
      <c r="V130" s="117">
        <v>1927</v>
      </c>
      <c r="W130" s="117">
        <v>1922</v>
      </c>
      <c r="X130" s="117">
        <v>1917</v>
      </c>
      <c r="Y130" s="117">
        <v>1912</v>
      </c>
      <c r="Z130" s="117">
        <v>1907</v>
      </c>
      <c r="AA130" s="117">
        <v>1902</v>
      </c>
      <c r="AB130" s="117">
        <v>1897</v>
      </c>
      <c r="AC130" s="117">
        <v>1892</v>
      </c>
      <c r="AD130" s="117">
        <v>1887</v>
      </c>
      <c r="AE130" s="117">
        <v>1882</v>
      </c>
      <c r="AF130" s="117">
        <v>1877</v>
      </c>
      <c r="AG130" s="117">
        <v>1873</v>
      </c>
      <c r="AH130" s="112">
        <v>7.9299999999999998E-4</v>
      </c>
    </row>
    <row r="131" spans="1:34" ht="15" customHeight="1" x14ac:dyDescent="0.25">
      <c r="A131" s="8" t="s">
        <v>163</v>
      </c>
      <c r="B131" s="110" t="s">
        <v>164</v>
      </c>
      <c r="C131" s="117">
        <v>4810</v>
      </c>
      <c r="D131" s="117">
        <v>4802</v>
      </c>
      <c r="E131" s="117">
        <v>4793</v>
      </c>
      <c r="F131" s="117">
        <v>4780</v>
      </c>
      <c r="G131" s="117">
        <v>4768</v>
      </c>
      <c r="H131" s="117">
        <v>4755</v>
      </c>
      <c r="I131" s="117">
        <v>4742</v>
      </c>
      <c r="J131" s="117">
        <v>4730</v>
      </c>
      <c r="K131" s="117">
        <v>4717</v>
      </c>
      <c r="L131" s="117">
        <v>4704</v>
      </c>
      <c r="M131" s="117">
        <v>4691</v>
      </c>
      <c r="N131" s="117">
        <v>4678</v>
      </c>
      <c r="O131" s="117">
        <v>4664</v>
      </c>
      <c r="P131" s="117">
        <v>4651</v>
      </c>
      <c r="Q131" s="117">
        <v>4638</v>
      </c>
      <c r="R131" s="117">
        <v>4624</v>
      </c>
      <c r="S131" s="117">
        <v>4611</v>
      </c>
      <c r="T131" s="117">
        <v>4597</v>
      </c>
      <c r="U131" s="117">
        <v>4584</v>
      </c>
      <c r="V131" s="117">
        <v>4570</v>
      </c>
      <c r="W131" s="117">
        <v>4557</v>
      </c>
      <c r="X131" s="117">
        <v>4543</v>
      </c>
      <c r="Y131" s="117">
        <v>4530</v>
      </c>
      <c r="Z131" s="117">
        <v>4517</v>
      </c>
      <c r="AA131" s="117">
        <v>4503</v>
      </c>
      <c r="AB131" s="117">
        <v>4490</v>
      </c>
      <c r="AC131" s="117">
        <v>4476</v>
      </c>
      <c r="AD131" s="117">
        <v>4463</v>
      </c>
      <c r="AE131" s="117">
        <v>4450</v>
      </c>
      <c r="AF131" s="117">
        <v>4436</v>
      </c>
      <c r="AG131" s="117">
        <v>4423</v>
      </c>
      <c r="AH131" s="112">
        <v>-2.7920000000000002E-3</v>
      </c>
    </row>
    <row r="132" spans="1:34" ht="15" customHeight="1" x14ac:dyDescent="0.25">
      <c r="A132" s="8" t="s">
        <v>165</v>
      </c>
      <c r="B132" s="110" t="s">
        <v>166</v>
      </c>
      <c r="C132" s="117">
        <v>3335</v>
      </c>
      <c r="D132" s="117">
        <v>3363</v>
      </c>
      <c r="E132" s="117">
        <v>3253</v>
      </c>
      <c r="F132" s="117">
        <v>3243</v>
      </c>
      <c r="G132" s="117">
        <v>3232</v>
      </c>
      <c r="H132" s="117">
        <v>3222</v>
      </c>
      <c r="I132" s="117">
        <v>3212</v>
      </c>
      <c r="J132" s="117">
        <v>3201</v>
      </c>
      <c r="K132" s="117">
        <v>3191</v>
      </c>
      <c r="L132" s="117">
        <v>3180</v>
      </c>
      <c r="M132" s="117">
        <v>3169</v>
      </c>
      <c r="N132" s="117">
        <v>3159</v>
      </c>
      <c r="O132" s="117">
        <v>3148</v>
      </c>
      <c r="P132" s="117">
        <v>3137</v>
      </c>
      <c r="Q132" s="117">
        <v>3126</v>
      </c>
      <c r="R132" s="117">
        <v>3116</v>
      </c>
      <c r="S132" s="117">
        <v>3105</v>
      </c>
      <c r="T132" s="117">
        <v>3094</v>
      </c>
      <c r="U132" s="117">
        <v>3083</v>
      </c>
      <c r="V132" s="117">
        <v>3072</v>
      </c>
      <c r="W132" s="117">
        <v>3061</v>
      </c>
      <c r="X132" s="117">
        <v>3050</v>
      </c>
      <c r="Y132" s="117">
        <v>3039</v>
      </c>
      <c r="Z132" s="117">
        <v>3028</v>
      </c>
      <c r="AA132" s="117">
        <v>3017</v>
      </c>
      <c r="AB132" s="117">
        <v>3005</v>
      </c>
      <c r="AC132" s="117">
        <v>2994</v>
      </c>
      <c r="AD132" s="117">
        <v>2983</v>
      </c>
      <c r="AE132" s="117">
        <v>2972</v>
      </c>
      <c r="AF132" s="117">
        <v>2961</v>
      </c>
      <c r="AG132" s="117">
        <v>2950</v>
      </c>
      <c r="AH132" s="112">
        <v>-4.0810000000000004E-3</v>
      </c>
    </row>
    <row r="133" spans="1:34" ht="15" customHeight="1" x14ac:dyDescent="0.25">
      <c r="A133" s="8" t="s">
        <v>167</v>
      </c>
      <c r="B133" s="109" t="s">
        <v>168</v>
      </c>
      <c r="C133" s="115">
        <v>3994.5471189999998</v>
      </c>
      <c r="D133" s="115">
        <v>4123.486328</v>
      </c>
      <c r="E133" s="115">
        <v>4106.1538090000004</v>
      </c>
      <c r="F133" s="115">
        <v>4092.9008789999998</v>
      </c>
      <c r="G133" s="115">
        <v>4080.1918949999999</v>
      </c>
      <c r="H133" s="115">
        <v>4067.608154</v>
      </c>
      <c r="I133" s="115">
        <v>4055.0151369999999</v>
      </c>
      <c r="J133" s="115">
        <v>4042.108643</v>
      </c>
      <c r="K133" s="115">
        <v>4029.5825199999999</v>
      </c>
      <c r="L133" s="115">
        <v>4016.8515619999998</v>
      </c>
      <c r="M133" s="115">
        <v>4004.033203</v>
      </c>
      <c r="N133" s="115">
        <v>3991.616211</v>
      </c>
      <c r="O133" s="115">
        <v>3978.8229980000001</v>
      </c>
      <c r="P133" s="115">
        <v>3966.1135250000002</v>
      </c>
      <c r="Q133" s="115">
        <v>3953.3046880000002</v>
      </c>
      <c r="R133" s="115">
        <v>3940.9418949999999</v>
      </c>
      <c r="S133" s="115">
        <v>3928.1752929999998</v>
      </c>
      <c r="T133" s="115">
        <v>3915.2416990000002</v>
      </c>
      <c r="U133" s="115">
        <v>3902.5</v>
      </c>
      <c r="V133" s="115">
        <v>3889.59375</v>
      </c>
      <c r="W133" s="115">
        <v>3877.0180660000001</v>
      </c>
      <c r="X133" s="115">
        <v>3864.1130370000001</v>
      </c>
      <c r="Y133" s="115">
        <v>3851.210693</v>
      </c>
      <c r="Z133" s="115">
        <v>3838.2595209999999</v>
      </c>
      <c r="AA133" s="115">
        <v>3825.2751459999999</v>
      </c>
      <c r="AB133" s="115">
        <v>3812.1760250000002</v>
      </c>
      <c r="AC133" s="115">
        <v>3799.3579100000002</v>
      </c>
      <c r="AD133" s="115">
        <v>3786.5341800000001</v>
      </c>
      <c r="AE133" s="115">
        <v>3773.8266600000002</v>
      </c>
      <c r="AF133" s="115">
        <v>3761.2253420000002</v>
      </c>
      <c r="AG133" s="115">
        <v>3748.8479000000002</v>
      </c>
      <c r="AH133" s="114">
        <v>-2.114E-3</v>
      </c>
    </row>
    <row r="134" spans="1:34" ht="15" customHeight="1" x14ac:dyDescent="0.25"/>
    <row r="135" spans="1:34" ht="15" customHeight="1" x14ac:dyDescent="0.25">
      <c r="B135" s="109" t="s">
        <v>169</v>
      </c>
    </row>
    <row r="136" spans="1:34" ht="15" customHeight="1" x14ac:dyDescent="0.25">
      <c r="A136" s="8" t="s">
        <v>170</v>
      </c>
      <c r="B136" s="110" t="s">
        <v>150</v>
      </c>
      <c r="C136" s="117">
        <v>652</v>
      </c>
      <c r="D136" s="117">
        <v>505</v>
      </c>
      <c r="E136" s="117">
        <v>579</v>
      </c>
      <c r="F136" s="117">
        <v>584</v>
      </c>
      <c r="G136" s="117">
        <v>590</v>
      </c>
      <c r="H136" s="117">
        <v>596</v>
      </c>
      <c r="I136" s="117">
        <v>602</v>
      </c>
      <c r="J136" s="117">
        <v>608</v>
      </c>
      <c r="K136" s="117">
        <v>614</v>
      </c>
      <c r="L136" s="117">
        <v>620</v>
      </c>
      <c r="M136" s="117">
        <v>626</v>
      </c>
      <c r="N136" s="117">
        <v>632</v>
      </c>
      <c r="O136" s="117">
        <v>638</v>
      </c>
      <c r="P136" s="117">
        <v>644</v>
      </c>
      <c r="Q136" s="117">
        <v>650</v>
      </c>
      <c r="R136" s="117">
        <v>656</v>
      </c>
      <c r="S136" s="117">
        <v>662</v>
      </c>
      <c r="T136" s="117">
        <v>668</v>
      </c>
      <c r="U136" s="117">
        <v>674</v>
      </c>
      <c r="V136" s="117">
        <v>680</v>
      </c>
      <c r="W136" s="117">
        <v>686</v>
      </c>
      <c r="X136" s="117">
        <v>692</v>
      </c>
      <c r="Y136" s="117">
        <v>698</v>
      </c>
      <c r="Z136" s="117">
        <v>704</v>
      </c>
      <c r="AA136" s="117">
        <v>710</v>
      </c>
      <c r="AB136" s="117">
        <v>716</v>
      </c>
      <c r="AC136" s="117">
        <v>723</v>
      </c>
      <c r="AD136" s="117">
        <v>729</v>
      </c>
      <c r="AE136" s="117">
        <v>735</v>
      </c>
      <c r="AF136" s="117">
        <v>741</v>
      </c>
      <c r="AG136" s="117">
        <v>747</v>
      </c>
      <c r="AH136" s="112">
        <v>4.5440000000000003E-3</v>
      </c>
    </row>
    <row r="137" spans="1:34" ht="15" customHeight="1" x14ac:dyDescent="0.25">
      <c r="A137" s="8" t="s">
        <v>171</v>
      </c>
      <c r="B137" s="110" t="s">
        <v>152</v>
      </c>
      <c r="C137" s="117">
        <v>840</v>
      </c>
      <c r="D137" s="117">
        <v>706</v>
      </c>
      <c r="E137" s="117">
        <v>826</v>
      </c>
      <c r="F137" s="117">
        <v>834</v>
      </c>
      <c r="G137" s="117">
        <v>842</v>
      </c>
      <c r="H137" s="117">
        <v>850</v>
      </c>
      <c r="I137" s="117">
        <v>858</v>
      </c>
      <c r="J137" s="117">
        <v>867</v>
      </c>
      <c r="K137" s="117">
        <v>875</v>
      </c>
      <c r="L137" s="117">
        <v>883</v>
      </c>
      <c r="M137" s="117">
        <v>891</v>
      </c>
      <c r="N137" s="117">
        <v>899</v>
      </c>
      <c r="O137" s="117">
        <v>907</v>
      </c>
      <c r="P137" s="117">
        <v>916</v>
      </c>
      <c r="Q137" s="117">
        <v>924</v>
      </c>
      <c r="R137" s="117">
        <v>932</v>
      </c>
      <c r="S137" s="117">
        <v>940</v>
      </c>
      <c r="T137" s="117">
        <v>948</v>
      </c>
      <c r="U137" s="117">
        <v>956</v>
      </c>
      <c r="V137" s="117">
        <v>965</v>
      </c>
      <c r="W137" s="117">
        <v>973</v>
      </c>
      <c r="X137" s="117">
        <v>981</v>
      </c>
      <c r="Y137" s="117">
        <v>989</v>
      </c>
      <c r="Z137" s="117">
        <v>997</v>
      </c>
      <c r="AA137" s="117">
        <v>1005</v>
      </c>
      <c r="AB137" s="117">
        <v>1014</v>
      </c>
      <c r="AC137" s="117">
        <v>1022</v>
      </c>
      <c r="AD137" s="117">
        <v>1030</v>
      </c>
      <c r="AE137" s="117">
        <v>1038</v>
      </c>
      <c r="AF137" s="117">
        <v>1046</v>
      </c>
      <c r="AG137" s="117">
        <v>1054</v>
      </c>
      <c r="AH137" s="112">
        <v>7.5940000000000001E-3</v>
      </c>
    </row>
    <row r="138" spans="1:34" ht="15" customHeight="1" x14ac:dyDescent="0.25">
      <c r="A138" s="8" t="s">
        <v>172</v>
      </c>
      <c r="B138" s="110" t="s">
        <v>154</v>
      </c>
      <c r="C138" s="117">
        <v>831</v>
      </c>
      <c r="D138" s="117">
        <v>767</v>
      </c>
      <c r="E138" s="117">
        <v>857</v>
      </c>
      <c r="F138" s="117">
        <v>864</v>
      </c>
      <c r="G138" s="117">
        <v>870</v>
      </c>
      <c r="H138" s="117">
        <v>876</v>
      </c>
      <c r="I138" s="117">
        <v>882</v>
      </c>
      <c r="J138" s="117">
        <v>889</v>
      </c>
      <c r="K138" s="117">
        <v>895</v>
      </c>
      <c r="L138" s="117">
        <v>901</v>
      </c>
      <c r="M138" s="117">
        <v>907</v>
      </c>
      <c r="N138" s="117">
        <v>914</v>
      </c>
      <c r="O138" s="117">
        <v>920</v>
      </c>
      <c r="P138" s="117">
        <v>926</v>
      </c>
      <c r="Q138" s="117">
        <v>932</v>
      </c>
      <c r="R138" s="117">
        <v>939</v>
      </c>
      <c r="S138" s="117">
        <v>945</v>
      </c>
      <c r="T138" s="117">
        <v>951</v>
      </c>
      <c r="U138" s="117">
        <v>958</v>
      </c>
      <c r="V138" s="117">
        <v>964</v>
      </c>
      <c r="W138" s="117">
        <v>970</v>
      </c>
      <c r="X138" s="117">
        <v>976</v>
      </c>
      <c r="Y138" s="117">
        <v>983</v>
      </c>
      <c r="Z138" s="117">
        <v>989</v>
      </c>
      <c r="AA138" s="117">
        <v>995</v>
      </c>
      <c r="AB138" s="117">
        <v>1002</v>
      </c>
      <c r="AC138" s="117">
        <v>1008</v>
      </c>
      <c r="AD138" s="117">
        <v>1014</v>
      </c>
      <c r="AE138" s="117">
        <v>1021</v>
      </c>
      <c r="AF138" s="117">
        <v>1027</v>
      </c>
      <c r="AG138" s="117">
        <v>1033</v>
      </c>
      <c r="AH138" s="112">
        <v>7.28E-3</v>
      </c>
    </row>
    <row r="139" spans="1:34" ht="15" customHeight="1" x14ac:dyDescent="0.25">
      <c r="A139" s="8" t="s">
        <v>173</v>
      </c>
      <c r="B139" s="110" t="s">
        <v>156</v>
      </c>
      <c r="C139" s="117">
        <v>975</v>
      </c>
      <c r="D139" s="117">
        <v>956</v>
      </c>
      <c r="E139" s="117">
        <v>1035</v>
      </c>
      <c r="F139" s="117">
        <v>1040</v>
      </c>
      <c r="G139" s="117">
        <v>1046</v>
      </c>
      <c r="H139" s="117">
        <v>1051</v>
      </c>
      <c r="I139" s="117">
        <v>1057</v>
      </c>
      <c r="J139" s="117">
        <v>1062</v>
      </c>
      <c r="K139" s="117">
        <v>1068</v>
      </c>
      <c r="L139" s="117">
        <v>1074</v>
      </c>
      <c r="M139" s="117">
        <v>1079</v>
      </c>
      <c r="N139" s="117">
        <v>1085</v>
      </c>
      <c r="O139" s="117">
        <v>1091</v>
      </c>
      <c r="P139" s="117">
        <v>1096</v>
      </c>
      <c r="Q139" s="117">
        <v>1102</v>
      </c>
      <c r="R139" s="117">
        <v>1108</v>
      </c>
      <c r="S139" s="117">
        <v>1114</v>
      </c>
      <c r="T139" s="117">
        <v>1119</v>
      </c>
      <c r="U139" s="117">
        <v>1125</v>
      </c>
      <c r="V139" s="117">
        <v>1131</v>
      </c>
      <c r="W139" s="117">
        <v>1137</v>
      </c>
      <c r="X139" s="117">
        <v>1142</v>
      </c>
      <c r="Y139" s="117">
        <v>1148</v>
      </c>
      <c r="Z139" s="117">
        <v>1154</v>
      </c>
      <c r="AA139" s="117">
        <v>1160</v>
      </c>
      <c r="AB139" s="117">
        <v>1166</v>
      </c>
      <c r="AC139" s="117">
        <v>1171</v>
      </c>
      <c r="AD139" s="117">
        <v>1177</v>
      </c>
      <c r="AE139" s="117">
        <v>1183</v>
      </c>
      <c r="AF139" s="117">
        <v>1189</v>
      </c>
      <c r="AG139" s="117">
        <v>1195</v>
      </c>
      <c r="AH139" s="112">
        <v>6.8050000000000003E-3</v>
      </c>
    </row>
    <row r="140" spans="1:34" ht="15" customHeight="1" x14ac:dyDescent="0.25">
      <c r="A140" s="8" t="s">
        <v>174</v>
      </c>
      <c r="B140" s="110" t="s">
        <v>158</v>
      </c>
      <c r="C140" s="117">
        <v>2274</v>
      </c>
      <c r="D140" s="117">
        <v>2219</v>
      </c>
      <c r="E140" s="117">
        <v>2359</v>
      </c>
      <c r="F140" s="117">
        <v>2373</v>
      </c>
      <c r="G140" s="117">
        <v>2388</v>
      </c>
      <c r="H140" s="117">
        <v>2402</v>
      </c>
      <c r="I140" s="117">
        <v>2417</v>
      </c>
      <c r="J140" s="117">
        <v>2431</v>
      </c>
      <c r="K140" s="117">
        <v>2445</v>
      </c>
      <c r="L140" s="117">
        <v>2460</v>
      </c>
      <c r="M140" s="117">
        <v>2474</v>
      </c>
      <c r="N140" s="117">
        <v>2488</v>
      </c>
      <c r="O140" s="117">
        <v>2503</v>
      </c>
      <c r="P140" s="117">
        <v>2517</v>
      </c>
      <c r="Q140" s="117">
        <v>2531</v>
      </c>
      <c r="R140" s="117">
        <v>2546</v>
      </c>
      <c r="S140" s="117">
        <v>2560</v>
      </c>
      <c r="T140" s="117">
        <v>2575</v>
      </c>
      <c r="U140" s="117">
        <v>2589</v>
      </c>
      <c r="V140" s="117">
        <v>2603</v>
      </c>
      <c r="W140" s="117">
        <v>2618</v>
      </c>
      <c r="X140" s="117">
        <v>2632</v>
      </c>
      <c r="Y140" s="117">
        <v>2647</v>
      </c>
      <c r="Z140" s="117">
        <v>2661</v>
      </c>
      <c r="AA140" s="117">
        <v>2676</v>
      </c>
      <c r="AB140" s="117">
        <v>2690</v>
      </c>
      <c r="AC140" s="117">
        <v>2705</v>
      </c>
      <c r="AD140" s="117">
        <v>2719</v>
      </c>
      <c r="AE140" s="117">
        <v>2734</v>
      </c>
      <c r="AF140" s="117">
        <v>2748</v>
      </c>
      <c r="AG140" s="117">
        <v>2763</v>
      </c>
      <c r="AH140" s="112">
        <v>6.5139999999999998E-3</v>
      </c>
    </row>
    <row r="141" spans="1:34" x14ac:dyDescent="0.25">
      <c r="A141" s="8" t="s">
        <v>175</v>
      </c>
      <c r="B141" s="110" t="s">
        <v>160</v>
      </c>
      <c r="C141" s="117">
        <v>1623</v>
      </c>
      <c r="D141" s="117">
        <v>1710</v>
      </c>
      <c r="E141" s="117">
        <v>1808</v>
      </c>
      <c r="F141" s="117">
        <v>1818</v>
      </c>
      <c r="G141" s="117">
        <v>1828</v>
      </c>
      <c r="H141" s="117">
        <v>1838</v>
      </c>
      <c r="I141" s="117">
        <v>1848</v>
      </c>
      <c r="J141" s="117">
        <v>1858</v>
      </c>
      <c r="K141" s="117">
        <v>1868</v>
      </c>
      <c r="L141" s="117">
        <v>1878</v>
      </c>
      <c r="M141" s="117">
        <v>1888</v>
      </c>
      <c r="N141" s="117">
        <v>1898</v>
      </c>
      <c r="O141" s="117">
        <v>1909</v>
      </c>
      <c r="P141" s="117">
        <v>1919</v>
      </c>
      <c r="Q141" s="117">
        <v>1929</v>
      </c>
      <c r="R141" s="117">
        <v>1939</v>
      </c>
      <c r="S141" s="117">
        <v>1949</v>
      </c>
      <c r="T141" s="117">
        <v>1959</v>
      </c>
      <c r="U141" s="117">
        <v>1969</v>
      </c>
      <c r="V141" s="117">
        <v>1980</v>
      </c>
      <c r="W141" s="117">
        <v>1990</v>
      </c>
      <c r="X141" s="117">
        <v>2000</v>
      </c>
      <c r="Y141" s="117">
        <v>2010</v>
      </c>
      <c r="Z141" s="117">
        <v>2020</v>
      </c>
      <c r="AA141" s="117">
        <v>2031</v>
      </c>
      <c r="AB141" s="117">
        <v>2041</v>
      </c>
      <c r="AC141" s="117">
        <v>2051</v>
      </c>
      <c r="AD141" s="117">
        <v>2061</v>
      </c>
      <c r="AE141" s="117">
        <v>2071</v>
      </c>
      <c r="AF141" s="117">
        <v>2082</v>
      </c>
      <c r="AG141" s="117">
        <v>2092</v>
      </c>
      <c r="AH141" s="112">
        <v>8.4969999999999993E-3</v>
      </c>
    </row>
    <row r="142" spans="1:34" x14ac:dyDescent="0.25">
      <c r="A142" s="8" t="s">
        <v>176</v>
      </c>
      <c r="B142" s="110" t="s">
        <v>162</v>
      </c>
      <c r="C142" s="117">
        <v>2730</v>
      </c>
      <c r="D142" s="117">
        <v>2770</v>
      </c>
      <c r="E142" s="117">
        <v>2861</v>
      </c>
      <c r="F142" s="117">
        <v>2875</v>
      </c>
      <c r="G142" s="117">
        <v>2889</v>
      </c>
      <c r="H142" s="117">
        <v>2904</v>
      </c>
      <c r="I142" s="117">
        <v>2918</v>
      </c>
      <c r="J142" s="117">
        <v>2932</v>
      </c>
      <c r="K142" s="117">
        <v>2947</v>
      </c>
      <c r="L142" s="117">
        <v>2961</v>
      </c>
      <c r="M142" s="117">
        <v>2976</v>
      </c>
      <c r="N142" s="117">
        <v>2990</v>
      </c>
      <c r="O142" s="117">
        <v>3004</v>
      </c>
      <c r="P142" s="117">
        <v>3018</v>
      </c>
      <c r="Q142" s="117">
        <v>3033</v>
      </c>
      <c r="R142" s="117">
        <v>3047</v>
      </c>
      <c r="S142" s="117">
        <v>3061</v>
      </c>
      <c r="T142" s="117">
        <v>3076</v>
      </c>
      <c r="U142" s="117">
        <v>3090</v>
      </c>
      <c r="V142" s="117">
        <v>3104</v>
      </c>
      <c r="W142" s="117">
        <v>3119</v>
      </c>
      <c r="X142" s="117">
        <v>3133</v>
      </c>
      <c r="Y142" s="117">
        <v>3147</v>
      </c>
      <c r="Z142" s="117">
        <v>3161</v>
      </c>
      <c r="AA142" s="117">
        <v>3176</v>
      </c>
      <c r="AB142" s="117">
        <v>3190</v>
      </c>
      <c r="AC142" s="117">
        <v>3204</v>
      </c>
      <c r="AD142" s="117">
        <v>3218</v>
      </c>
      <c r="AE142" s="117">
        <v>3233</v>
      </c>
      <c r="AF142" s="117">
        <v>3247</v>
      </c>
      <c r="AG142" s="117">
        <v>3261</v>
      </c>
      <c r="AH142" s="112">
        <v>5.9420000000000002E-3</v>
      </c>
    </row>
    <row r="143" spans="1:34" x14ac:dyDescent="0.25">
      <c r="A143" s="8" t="s">
        <v>177</v>
      </c>
      <c r="B143" s="110" t="s">
        <v>164</v>
      </c>
      <c r="C143" s="117">
        <v>1639</v>
      </c>
      <c r="D143" s="117">
        <v>1471</v>
      </c>
      <c r="E143" s="117">
        <v>1560</v>
      </c>
      <c r="F143" s="117">
        <v>1568</v>
      </c>
      <c r="G143" s="117">
        <v>1577</v>
      </c>
      <c r="H143" s="117">
        <v>1586</v>
      </c>
      <c r="I143" s="117">
        <v>1595</v>
      </c>
      <c r="J143" s="117">
        <v>1604</v>
      </c>
      <c r="K143" s="117">
        <v>1613</v>
      </c>
      <c r="L143" s="117">
        <v>1622</v>
      </c>
      <c r="M143" s="117">
        <v>1631</v>
      </c>
      <c r="N143" s="117">
        <v>1641</v>
      </c>
      <c r="O143" s="117">
        <v>1650</v>
      </c>
      <c r="P143" s="117">
        <v>1659</v>
      </c>
      <c r="Q143" s="117">
        <v>1668</v>
      </c>
      <c r="R143" s="117">
        <v>1678</v>
      </c>
      <c r="S143" s="117">
        <v>1687</v>
      </c>
      <c r="T143" s="117">
        <v>1697</v>
      </c>
      <c r="U143" s="117">
        <v>1706</v>
      </c>
      <c r="V143" s="117">
        <v>1715</v>
      </c>
      <c r="W143" s="117">
        <v>1725</v>
      </c>
      <c r="X143" s="117">
        <v>1734</v>
      </c>
      <c r="Y143" s="117">
        <v>1744</v>
      </c>
      <c r="Z143" s="117">
        <v>1753</v>
      </c>
      <c r="AA143" s="117">
        <v>1763</v>
      </c>
      <c r="AB143" s="117">
        <v>1772</v>
      </c>
      <c r="AC143" s="117">
        <v>1782</v>
      </c>
      <c r="AD143" s="117">
        <v>1791</v>
      </c>
      <c r="AE143" s="117">
        <v>1801</v>
      </c>
      <c r="AF143" s="117">
        <v>1810</v>
      </c>
      <c r="AG143" s="117">
        <v>1820</v>
      </c>
      <c r="AH143" s="112">
        <v>3.4979999999999998E-3</v>
      </c>
    </row>
    <row r="144" spans="1:34" x14ac:dyDescent="0.25">
      <c r="A144" s="8" t="s">
        <v>178</v>
      </c>
      <c r="B144" s="110" t="s">
        <v>166</v>
      </c>
      <c r="C144" s="117">
        <v>1012</v>
      </c>
      <c r="D144" s="117">
        <v>840</v>
      </c>
      <c r="E144" s="117">
        <v>963</v>
      </c>
      <c r="F144" s="117">
        <v>969</v>
      </c>
      <c r="G144" s="117">
        <v>975</v>
      </c>
      <c r="H144" s="117">
        <v>982</v>
      </c>
      <c r="I144" s="117">
        <v>988</v>
      </c>
      <c r="J144" s="117">
        <v>994</v>
      </c>
      <c r="K144" s="117">
        <v>1001</v>
      </c>
      <c r="L144" s="117">
        <v>1007</v>
      </c>
      <c r="M144" s="117">
        <v>1013</v>
      </c>
      <c r="N144" s="117">
        <v>1020</v>
      </c>
      <c r="O144" s="117">
        <v>1026</v>
      </c>
      <c r="P144" s="117">
        <v>1032</v>
      </c>
      <c r="Q144" s="117">
        <v>1039</v>
      </c>
      <c r="R144" s="117">
        <v>1045</v>
      </c>
      <c r="S144" s="117">
        <v>1052</v>
      </c>
      <c r="T144" s="117">
        <v>1058</v>
      </c>
      <c r="U144" s="117">
        <v>1065</v>
      </c>
      <c r="V144" s="117">
        <v>1071</v>
      </c>
      <c r="W144" s="117">
        <v>1078</v>
      </c>
      <c r="X144" s="117">
        <v>1084</v>
      </c>
      <c r="Y144" s="117">
        <v>1091</v>
      </c>
      <c r="Z144" s="117">
        <v>1097</v>
      </c>
      <c r="AA144" s="117">
        <v>1104</v>
      </c>
      <c r="AB144" s="117">
        <v>1110</v>
      </c>
      <c r="AC144" s="117">
        <v>1117</v>
      </c>
      <c r="AD144" s="117">
        <v>1123</v>
      </c>
      <c r="AE144" s="117">
        <v>1130</v>
      </c>
      <c r="AF144" s="117">
        <v>1136</v>
      </c>
      <c r="AG144" s="117">
        <v>1143</v>
      </c>
      <c r="AH144" s="112">
        <v>4.0660000000000002E-3</v>
      </c>
    </row>
    <row r="145" spans="1:34" x14ac:dyDescent="0.25">
      <c r="A145" s="8" t="s">
        <v>179</v>
      </c>
      <c r="B145" s="109" t="s">
        <v>168</v>
      </c>
      <c r="C145" s="115">
        <v>1496.4417719999999</v>
      </c>
      <c r="D145" s="115">
        <v>1423.084351</v>
      </c>
      <c r="E145" s="115">
        <v>1533.780518</v>
      </c>
      <c r="F145" s="115">
        <v>1545.432861</v>
      </c>
      <c r="G145" s="115">
        <v>1557.3450929999999</v>
      </c>
      <c r="H145" s="115">
        <v>1569.296509</v>
      </c>
      <c r="I145" s="115">
        <v>1581.2326660000001</v>
      </c>
      <c r="J145" s="115">
        <v>1593.1649170000001</v>
      </c>
      <c r="K145" s="115">
        <v>1605.2078859999999</v>
      </c>
      <c r="L145" s="115">
        <v>1617.1710210000001</v>
      </c>
      <c r="M145" s="115">
        <v>1629.009888</v>
      </c>
      <c r="N145" s="115">
        <v>1641.1838379999999</v>
      </c>
      <c r="O145" s="115">
        <v>1653.26001</v>
      </c>
      <c r="P145" s="115">
        <v>1665.1435550000001</v>
      </c>
      <c r="Q145" s="115">
        <v>1677.2926030000001</v>
      </c>
      <c r="R145" s="115">
        <v>1689.587524</v>
      </c>
      <c r="S145" s="115">
        <v>1701.6491699999999</v>
      </c>
      <c r="T145" s="115">
        <v>1713.928101</v>
      </c>
      <c r="U145" s="115">
        <v>1726.156616</v>
      </c>
      <c r="V145" s="115">
        <v>1738.2735600000001</v>
      </c>
      <c r="W145" s="115">
        <v>1750.842529</v>
      </c>
      <c r="X145" s="115">
        <v>1762.7661129999999</v>
      </c>
      <c r="Y145" s="115">
        <v>1775.36499</v>
      </c>
      <c r="Z145" s="115">
        <v>1787.387939</v>
      </c>
      <c r="AA145" s="115">
        <v>1800.091797</v>
      </c>
      <c r="AB145" s="115">
        <v>1812.380737</v>
      </c>
      <c r="AC145" s="115">
        <v>1824.8900149999999</v>
      </c>
      <c r="AD145" s="115">
        <v>1836.9436040000001</v>
      </c>
      <c r="AE145" s="115">
        <v>1849.7070309999999</v>
      </c>
      <c r="AF145" s="115">
        <v>1861.689087</v>
      </c>
      <c r="AG145" s="115">
        <v>1874.0201420000001</v>
      </c>
      <c r="AH145" s="114">
        <v>7.528E-3</v>
      </c>
    </row>
    <row r="146" spans="1:34" ht="15.75" thickBot="1" x14ac:dyDescent="0.3"/>
    <row r="147" spans="1:34" x14ac:dyDescent="0.25">
      <c r="B147" s="156" t="s">
        <v>2791</v>
      </c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18"/>
    </row>
    <row r="148" spans="1:34" x14ac:dyDescent="0.25">
      <c r="B148" s="9" t="s">
        <v>2792</v>
      </c>
    </row>
    <row r="149" spans="1:34" x14ac:dyDescent="0.25">
      <c r="B149" s="9" t="s">
        <v>2793</v>
      </c>
    </row>
    <row r="150" spans="1:34" ht="15" customHeight="1" x14ac:dyDescent="0.25">
      <c r="B150" s="9" t="s">
        <v>2794</v>
      </c>
    </row>
    <row r="151" spans="1:34" ht="15" customHeight="1" x14ac:dyDescent="0.25">
      <c r="B151" s="9" t="s">
        <v>2795</v>
      </c>
    </row>
    <row r="152" spans="1:34" ht="15" customHeight="1" x14ac:dyDescent="0.25">
      <c r="B152" s="9" t="s">
        <v>2796</v>
      </c>
    </row>
    <row r="153" spans="1:34" ht="15" customHeight="1" x14ac:dyDescent="0.25">
      <c r="B153" s="9" t="s">
        <v>180</v>
      </c>
    </row>
    <row r="154" spans="1:34" ht="15" customHeight="1" x14ac:dyDescent="0.25">
      <c r="B154" s="9" t="s">
        <v>2797</v>
      </c>
    </row>
    <row r="155" spans="1:34" ht="15" customHeight="1" x14ac:dyDescent="0.25">
      <c r="B155" s="9" t="s">
        <v>2798</v>
      </c>
    </row>
    <row r="156" spans="1:34" ht="15" customHeight="1" x14ac:dyDescent="0.25">
      <c r="B156" s="9" t="s">
        <v>2799</v>
      </c>
    </row>
    <row r="157" spans="1:34" ht="15" customHeight="1" x14ac:dyDescent="0.25">
      <c r="B157" s="9" t="s">
        <v>2800</v>
      </c>
    </row>
    <row r="158" spans="1:34" ht="15" customHeight="1" x14ac:dyDescent="0.25">
      <c r="B158" s="9" t="s">
        <v>2801</v>
      </c>
    </row>
    <row r="159" spans="1:34" ht="15" customHeight="1" x14ac:dyDescent="0.25">
      <c r="B159" s="9" t="s">
        <v>181</v>
      </c>
    </row>
    <row r="160" spans="1:34" ht="15" customHeight="1" x14ac:dyDescent="0.25">
      <c r="B160" s="9" t="s">
        <v>2802</v>
      </c>
    </row>
    <row r="161" spans="2:2" ht="15" customHeight="1" x14ac:dyDescent="0.25">
      <c r="B161" s="9" t="s">
        <v>2803</v>
      </c>
    </row>
    <row r="162" spans="2:2" ht="15" customHeight="1" x14ac:dyDescent="0.25">
      <c r="B162" s="9" t="s">
        <v>2804</v>
      </c>
    </row>
    <row r="163" spans="2:2" ht="15" customHeight="1" x14ac:dyDescent="0.25">
      <c r="B163" s="9" t="s">
        <v>2805</v>
      </c>
    </row>
    <row r="164" spans="2:2" ht="15" customHeight="1" x14ac:dyDescent="0.25">
      <c r="B164" s="9" t="s">
        <v>2806</v>
      </c>
    </row>
    <row r="165" spans="2:2" x14ac:dyDescent="0.25">
      <c r="B165" s="9" t="s">
        <v>2807</v>
      </c>
    </row>
    <row r="166" spans="2:2" ht="15" customHeight="1" x14ac:dyDescent="0.25">
      <c r="B166" s="9" t="s">
        <v>2808</v>
      </c>
    </row>
    <row r="167" spans="2:2" ht="15" customHeight="1" x14ac:dyDescent="0.25">
      <c r="B167" s="9" t="s">
        <v>2809</v>
      </c>
    </row>
    <row r="168" spans="2:2" ht="15" customHeight="1" x14ac:dyDescent="0.25"/>
    <row r="169" spans="2:2" ht="15" customHeight="1" x14ac:dyDescent="0.25"/>
    <row r="170" spans="2:2" ht="15" customHeight="1" x14ac:dyDescent="0.25"/>
    <row r="171" spans="2:2" ht="15" customHeight="1" x14ac:dyDescent="0.25"/>
    <row r="172" spans="2:2" ht="15" customHeight="1" x14ac:dyDescent="0.25"/>
    <row r="173" spans="2:2" ht="15" customHeight="1" x14ac:dyDescent="0.25"/>
    <row r="174" spans="2:2" ht="15" customHeight="1" x14ac:dyDescent="0.25"/>
    <row r="175" spans="2:2" ht="15" customHeight="1" x14ac:dyDescent="0.25"/>
    <row r="176" spans="2:2" ht="15" customHeight="1" x14ac:dyDescent="0.25"/>
    <row r="177" ht="15" customHeight="1" x14ac:dyDescent="0.25"/>
    <row r="178" ht="15" customHeight="1" x14ac:dyDescent="0.25"/>
    <row r="179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4" ht="15" customHeight="1" x14ac:dyDescent="0.25"/>
    <row r="225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spans="2:34" ht="15" customHeight="1" x14ac:dyDescent="0.25"/>
    <row r="306" spans="2:34" ht="15" customHeight="1" x14ac:dyDescent="0.25"/>
    <row r="307" spans="2:34" ht="15" customHeight="1" x14ac:dyDescent="0.25"/>
    <row r="308" spans="2:34" ht="15" customHeight="1" x14ac:dyDescent="0.25"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</row>
    <row r="309" spans="2:34" ht="15" customHeight="1" x14ac:dyDescent="0.25"/>
    <row r="310" spans="2:34" ht="15" customHeight="1" x14ac:dyDescent="0.25"/>
    <row r="311" spans="2:34" ht="15" customHeight="1" x14ac:dyDescent="0.25"/>
    <row r="312" spans="2:34" ht="15" customHeight="1" x14ac:dyDescent="0.25"/>
    <row r="313" spans="2:34" ht="15" customHeight="1" x14ac:dyDescent="0.25"/>
    <row r="314" spans="2:34" ht="15" customHeight="1" x14ac:dyDescent="0.25"/>
    <row r="315" spans="2:34" ht="15" customHeight="1" x14ac:dyDescent="0.25"/>
    <row r="316" spans="2:34" ht="15" customHeight="1" x14ac:dyDescent="0.25"/>
    <row r="317" spans="2:34" ht="15" customHeight="1" x14ac:dyDescent="0.25"/>
    <row r="318" spans="2:34" ht="15" customHeight="1" x14ac:dyDescent="0.25"/>
    <row r="319" spans="2:34" ht="15" customHeight="1" x14ac:dyDescent="0.25"/>
    <row r="320" spans="2:34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spans="2:34" ht="15" customHeight="1" x14ac:dyDescent="0.25"/>
    <row r="498" spans="2:34" ht="15" customHeight="1" x14ac:dyDescent="0.25"/>
    <row r="500" spans="2:34" ht="15" customHeight="1" x14ac:dyDescent="0.25"/>
    <row r="501" spans="2:34" ht="15" customHeight="1" x14ac:dyDescent="0.25"/>
    <row r="502" spans="2:34" ht="15" customHeight="1" x14ac:dyDescent="0.25"/>
    <row r="503" spans="2:34" ht="15" customHeight="1" x14ac:dyDescent="0.25"/>
    <row r="504" spans="2:34" ht="15" customHeight="1" x14ac:dyDescent="0.25"/>
    <row r="505" spans="2:34" ht="15" customHeight="1" x14ac:dyDescent="0.25"/>
    <row r="506" spans="2:34" ht="15" customHeight="1" x14ac:dyDescent="0.25"/>
    <row r="507" spans="2:34" ht="15" customHeight="1" x14ac:dyDescent="0.25"/>
    <row r="508" spans="2:34" ht="15" customHeight="1" x14ac:dyDescent="0.25"/>
    <row r="510" spans="2:34" ht="15" customHeight="1" x14ac:dyDescent="0.25"/>
    <row r="511" spans="2:34" ht="15" customHeight="1" x14ac:dyDescent="0.25"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</row>
    <row r="512" spans="2:34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7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9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60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spans="2:34" ht="15" customHeight="1" x14ac:dyDescent="0.25"/>
    <row r="706" spans="2:34" ht="15" customHeight="1" x14ac:dyDescent="0.25"/>
    <row r="707" spans="2:34" ht="15" customHeight="1" x14ac:dyDescent="0.25"/>
    <row r="708" spans="2:34" ht="15" customHeight="1" x14ac:dyDescent="0.25"/>
    <row r="709" spans="2:34" ht="15" customHeight="1" x14ac:dyDescent="0.25"/>
    <row r="710" spans="2:34" ht="15" customHeight="1" x14ac:dyDescent="0.25"/>
    <row r="711" spans="2:34" ht="15" customHeight="1" x14ac:dyDescent="0.25"/>
    <row r="712" spans="2:34" ht="15" customHeight="1" x14ac:dyDescent="0.25"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</row>
    <row r="713" spans="2:34" ht="15" customHeight="1" x14ac:dyDescent="0.25"/>
    <row r="714" spans="2:34" ht="15" customHeight="1" x14ac:dyDescent="0.25"/>
    <row r="715" spans="2:34" ht="15" customHeight="1" x14ac:dyDescent="0.25"/>
    <row r="716" spans="2:34" ht="15" customHeight="1" x14ac:dyDescent="0.25"/>
    <row r="717" spans="2:34" ht="15" customHeight="1" x14ac:dyDescent="0.25"/>
    <row r="718" spans="2:34" ht="15" customHeight="1" x14ac:dyDescent="0.25"/>
    <row r="719" spans="2:34" ht="15" customHeight="1" x14ac:dyDescent="0.25"/>
    <row r="720" spans="2:34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2" ht="15" customHeight="1" x14ac:dyDescent="0.25"/>
    <row r="823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40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spans="2:34" ht="15" customHeight="1" x14ac:dyDescent="0.25"/>
    <row r="882" spans="2:34" ht="15" customHeight="1" x14ac:dyDescent="0.25"/>
    <row r="883" spans="2:34" ht="15" customHeight="1" x14ac:dyDescent="0.25"/>
    <row r="884" spans="2:34" ht="15" customHeight="1" x14ac:dyDescent="0.25"/>
    <row r="885" spans="2:34" ht="15" customHeight="1" x14ac:dyDescent="0.25"/>
    <row r="886" spans="2:34" ht="15" customHeight="1" x14ac:dyDescent="0.25"/>
    <row r="887" spans="2:34" ht="15" customHeight="1" x14ac:dyDescent="0.25"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</row>
    <row r="888" spans="2:34" ht="15" customHeight="1" x14ac:dyDescent="0.25"/>
    <row r="889" spans="2:34" ht="15" customHeight="1" x14ac:dyDescent="0.25"/>
    <row r="890" spans="2:34" ht="15" customHeight="1" x14ac:dyDescent="0.25"/>
    <row r="891" spans="2:34" ht="15" customHeight="1" x14ac:dyDescent="0.25"/>
    <row r="892" spans="2:34" ht="15" customHeight="1" x14ac:dyDescent="0.25"/>
    <row r="893" spans="2:34" ht="15" customHeight="1" x14ac:dyDescent="0.25"/>
    <row r="894" spans="2:34" ht="15" customHeight="1" x14ac:dyDescent="0.25"/>
    <row r="895" spans="2:34" ht="15" customHeight="1" x14ac:dyDescent="0.25"/>
    <row r="896" spans="2:34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spans="2:34" ht="15" customHeight="1" x14ac:dyDescent="0.25"/>
    <row r="1090" spans="2:34" ht="15" customHeight="1" x14ac:dyDescent="0.25"/>
    <row r="1091" spans="2:34" ht="15" customHeight="1" x14ac:dyDescent="0.25"/>
    <row r="1092" spans="2:34" ht="15" customHeight="1" x14ac:dyDescent="0.25"/>
    <row r="1093" spans="2:34" ht="15" customHeight="1" x14ac:dyDescent="0.25"/>
    <row r="1094" spans="2:34" ht="15" customHeight="1" x14ac:dyDescent="0.25"/>
    <row r="1096" spans="2:34" ht="15" customHeight="1" x14ac:dyDescent="0.25"/>
    <row r="1097" spans="2:34" ht="15" customHeight="1" x14ac:dyDescent="0.25"/>
    <row r="1098" spans="2:34" ht="15" customHeight="1" x14ac:dyDescent="0.25"/>
    <row r="1099" spans="2:34" ht="15" customHeight="1" x14ac:dyDescent="0.25"/>
    <row r="1100" spans="2:34" ht="15" customHeight="1" x14ac:dyDescent="0.25">
      <c r="B1100" s="152"/>
      <c r="C1100" s="152"/>
      <c r="D1100" s="152"/>
      <c r="E1100" s="152"/>
      <c r="F1100" s="152"/>
      <c r="G1100" s="152"/>
      <c r="H1100" s="152"/>
      <c r="I1100" s="152"/>
      <c r="J1100" s="152"/>
      <c r="K1100" s="152"/>
      <c r="L1100" s="152"/>
      <c r="M1100" s="152"/>
      <c r="N1100" s="152"/>
      <c r="O1100" s="152"/>
      <c r="P1100" s="152"/>
      <c r="Q1100" s="152"/>
      <c r="R1100" s="152"/>
      <c r="S1100" s="152"/>
      <c r="T1100" s="152"/>
      <c r="U1100" s="152"/>
      <c r="V1100" s="152"/>
      <c r="W1100" s="152"/>
      <c r="X1100" s="152"/>
      <c r="Y1100" s="152"/>
      <c r="Z1100" s="152"/>
      <c r="AA1100" s="152"/>
      <c r="AB1100" s="152"/>
      <c r="AC1100" s="152"/>
      <c r="AD1100" s="152"/>
      <c r="AE1100" s="152"/>
      <c r="AF1100" s="152"/>
      <c r="AG1100" s="152"/>
      <c r="AH1100" s="152"/>
    </row>
    <row r="1101" spans="2:34" ht="15" customHeight="1" x14ac:dyDescent="0.25"/>
    <row r="1102" spans="2:34" ht="15" customHeight="1" x14ac:dyDescent="0.25"/>
    <row r="1103" spans="2:34" ht="15" customHeight="1" x14ac:dyDescent="0.25"/>
    <row r="1104" spans="2:3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spans="2:34" ht="15" customHeight="1" x14ac:dyDescent="0.25"/>
    <row r="1218" spans="2:34" ht="15" customHeight="1" x14ac:dyDescent="0.25"/>
    <row r="1219" spans="2:34" ht="15" customHeight="1" x14ac:dyDescent="0.25"/>
    <row r="1220" spans="2:34" ht="15" customHeight="1" x14ac:dyDescent="0.25"/>
    <row r="1221" spans="2:34" ht="15" customHeight="1" x14ac:dyDescent="0.25"/>
    <row r="1222" spans="2:34" ht="15" customHeight="1" x14ac:dyDescent="0.25"/>
    <row r="1223" spans="2:34" ht="15" customHeight="1" x14ac:dyDescent="0.25"/>
    <row r="1224" spans="2:34" ht="15" customHeight="1" x14ac:dyDescent="0.25"/>
    <row r="1225" spans="2:34" ht="15" customHeight="1" x14ac:dyDescent="0.25"/>
    <row r="1226" spans="2:34" ht="15" customHeight="1" x14ac:dyDescent="0.25"/>
    <row r="1227" spans="2:34" ht="15" customHeight="1" x14ac:dyDescent="0.25">
      <c r="B1227" s="152"/>
      <c r="C1227" s="152"/>
      <c r="D1227" s="152"/>
      <c r="E1227" s="152"/>
      <c r="F1227" s="152"/>
      <c r="G1227" s="152"/>
      <c r="H1227" s="152"/>
      <c r="I1227" s="152"/>
      <c r="J1227" s="152"/>
      <c r="K1227" s="152"/>
      <c r="L1227" s="152"/>
      <c r="M1227" s="152"/>
      <c r="N1227" s="152"/>
      <c r="O1227" s="152"/>
      <c r="P1227" s="152"/>
      <c r="Q1227" s="152"/>
      <c r="R1227" s="152"/>
      <c r="S1227" s="152"/>
      <c r="T1227" s="152"/>
      <c r="U1227" s="152"/>
      <c r="V1227" s="152"/>
      <c r="W1227" s="152"/>
      <c r="X1227" s="152"/>
      <c r="Y1227" s="152"/>
      <c r="Z1227" s="152"/>
      <c r="AA1227" s="152"/>
      <c r="AB1227" s="152"/>
      <c r="AC1227" s="152"/>
      <c r="AD1227" s="152"/>
      <c r="AE1227" s="152"/>
      <c r="AF1227" s="152"/>
      <c r="AG1227" s="152"/>
      <c r="AH1227" s="152"/>
    </row>
    <row r="1228" spans="2:34" ht="15" customHeight="1" x14ac:dyDescent="0.25"/>
    <row r="1229" spans="2:34" ht="15" customHeight="1" x14ac:dyDescent="0.25"/>
    <row r="1230" spans="2:34" ht="15" customHeight="1" x14ac:dyDescent="0.25"/>
    <row r="1231" spans="2:34" ht="15" customHeight="1" x14ac:dyDescent="0.25"/>
    <row r="1232" spans="2:34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7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50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5" ht="15" customHeight="1" x14ac:dyDescent="0.25"/>
    <row r="1376" ht="15" customHeight="1" x14ac:dyDescent="0.25"/>
    <row r="1377" spans="2:34" ht="15" customHeight="1" x14ac:dyDescent="0.25"/>
    <row r="1378" spans="2:34" ht="15" customHeight="1" x14ac:dyDescent="0.25"/>
    <row r="1379" spans="2:34" ht="15" customHeight="1" x14ac:dyDescent="0.25"/>
    <row r="1380" spans="2:34" ht="15" customHeight="1" x14ac:dyDescent="0.25"/>
    <row r="1381" spans="2:34" ht="15" customHeight="1" x14ac:dyDescent="0.25"/>
    <row r="1382" spans="2:34" ht="15" customHeight="1" x14ac:dyDescent="0.25"/>
    <row r="1383" spans="2:34" ht="15" customHeight="1" x14ac:dyDescent="0.25"/>
    <row r="1385" spans="2:34" ht="15" customHeight="1" x14ac:dyDescent="0.25"/>
    <row r="1386" spans="2:34" ht="15" customHeight="1" x14ac:dyDescent="0.25"/>
    <row r="1387" spans="2:34" ht="15" customHeight="1" x14ac:dyDescent="0.25"/>
    <row r="1388" spans="2:34" ht="15" customHeight="1" x14ac:dyDescent="0.25"/>
    <row r="1389" spans="2:34" ht="15" customHeight="1" x14ac:dyDescent="0.25"/>
    <row r="1390" spans="2:34" ht="15" customHeight="1" x14ac:dyDescent="0.25">
      <c r="B1390" s="152"/>
      <c r="C1390" s="152"/>
      <c r="D1390" s="152"/>
      <c r="E1390" s="152"/>
      <c r="F1390" s="152"/>
      <c r="G1390" s="152"/>
      <c r="H1390" s="152"/>
      <c r="I1390" s="152"/>
      <c r="J1390" s="152"/>
      <c r="K1390" s="152"/>
      <c r="L1390" s="152"/>
      <c r="M1390" s="152"/>
      <c r="N1390" s="152"/>
      <c r="O1390" s="152"/>
      <c r="P1390" s="152"/>
      <c r="Q1390" s="152"/>
      <c r="R1390" s="152"/>
      <c r="S1390" s="152"/>
      <c r="T1390" s="152"/>
      <c r="U1390" s="152"/>
      <c r="V1390" s="152"/>
      <c r="W1390" s="152"/>
      <c r="X1390" s="152"/>
      <c r="Y1390" s="152"/>
      <c r="Z1390" s="152"/>
      <c r="AA1390" s="152"/>
      <c r="AB1390" s="152"/>
      <c r="AC1390" s="152"/>
      <c r="AD1390" s="152"/>
      <c r="AE1390" s="152"/>
      <c r="AF1390" s="152"/>
      <c r="AG1390" s="152"/>
      <c r="AH1390" s="152"/>
    </row>
    <row r="1391" spans="2:34" ht="15" customHeight="1" x14ac:dyDescent="0.25"/>
    <row r="1392" spans="2:34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9" spans="2:34" ht="15" customHeight="1" x14ac:dyDescent="0.25"/>
    <row r="1491" spans="2:34" ht="15" customHeight="1" x14ac:dyDescent="0.25"/>
    <row r="1492" spans="2:34" ht="15" customHeight="1" x14ac:dyDescent="0.25"/>
    <row r="1493" spans="2:34" ht="15" customHeight="1" x14ac:dyDescent="0.25"/>
    <row r="1494" spans="2:34" ht="15" customHeight="1" x14ac:dyDescent="0.25"/>
    <row r="1495" spans="2:34" ht="15" customHeight="1" x14ac:dyDescent="0.25"/>
    <row r="1496" spans="2:34" ht="15" customHeight="1" x14ac:dyDescent="0.25"/>
    <row r="1497" spans="2:34" ht="15" customHeight="1" x14ac:dyDescent="0.25"/>
    <row r="1498" spans="2:34" ht="15" customHeight="1" x14ac:dyDescent="0.25"/>
    <row r="1500" spans="2:34" ht="15" customHeight="1" x14ac:dyDescent="0.25"/>
    <row r="1501" spans="2:34" ht="15" customHeight="1" x14ac:dyDescent="0.25"/>
    <row r="1502" spans="2:34" ht="15" customHeight="1" x14ac:dyDescent="0.25">
      <c r="B1502" s="152"/>
      <c r="C1502" s="152"/>
      <c r="D1502" s="152"/>
      <c r="E1502" s="152"/>
      <c r="F1502" s="152"/>
      <c r="G1502" s="152"/>
      <c r="H1502" s="152"/>
      <c r="I1502" s="152"/>
      <c r="J1502" s="152"/>
      <c r="K1502" s="152"/>
      <c r="L1502" s="152"/>
      <c r="M1502" s="152"/>
      <c r="N1502" s="152"/>
      <c r="O1502" s="152"/>
      <c r="P1502" s="152"/>
      <c r="Q1502" s="152"/>
      <c r="R1502" s="152"/>
      <c r="S1502" s="152"/>
      <c r="T1502" s="152"/>
      <c r="U1502" s="152"/>
      <c r="V1502" s="152"/>
      <c r="W1502" s="152"/>
      <c r="X1502" s="152"/>
      <c r="Y1502" s="152"/>
      <c r="Z1502" s="152"/>
      <c r="AA1502" s="152"/>
      <c r="AB1502" s="152"/>
      <c r="AC1502" s="152"/>
      <c r="AD1502" s="152"/>
      <c r="AE1502" s="152"/>
      <c r="AF1502" s="152"/>
      <c r="AG1502" s="152"/>
      <c r="AH1502" s="152"/>
    </row>
    <row r="1503" spans="2:34" ht="15" customHeight="1" x14ac:dyDescent="0.25"/>
    <row r="1504" spans="2:3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2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9" ht="15" customHeight="1" x14ac:dyDescent="0.25"/>
    <row r="1600" ht="15" customHeight="1" x14ac:dyDescent="0.25"/>
    <row r="1601" spans="2:34" ht="15" customHeight="1" x14ac:dyDescent="0.25"/>
    <row r="1602" spans="2:34" ht="15" customHeight="1" x14ac:dyDescent="0.25"/>
    <row r="1603" spans="2:34" ht="15" customHeight="1" x14ac:dyDescent="0.25"/>
    <row r="1604" spans="2:34" ht="15" customHeight="1" x14ac:dyDescent="0.25">
      <c r="B1604" s="152"/>
      <c r="C1604" s="152"/>
      <c r="D1604" s="152"/>
      <c r="E1604" s="152"/>
      <c r="F1604" s="152"/>
      <c r="G1604" s="152"/>
      <c r="H1604" s="152"/>
      <c r="I1604" s="152"/>
      <c r="J1604" s="152"/>
      <c r="K1604" s="152"/>
      <c r="L1604" s="152"/>
      <c r="M1604" s="152"/>
      <c r="N1604" s="152"/>
      <c r="O1604" s="152"/>
      <c r="P1604" s="152"/>
      <c r="Q1604" s="152"/>
      <c r="R1604" s="152"/>
      <c r="S1604" s="152"/>
      <c r="T1604" s="152"/>
      <c r="U1604" s="152"/>
      <c r="V1604" s="152"/>
      <c r="W1604" s="152"/>
      <c r="X1604" s="152"/>
      <c r="Y1604" s="152"/>
      <c r="Z1604" s="152"/>
      <c r="AA1604" s="152"/>
      <c r="AB1604" s="152"/>
      <c r="AC1604" s="152"/>
      <c r="AD1604" s="152"/>
      <c r="AE1604" s="152"/>
      <c r="AF1604" s="152"/>
      <c r="AG1604" s="152"/>
      <c r="AH1604" s="152"/>
    </row>
    <row r="1605" spans="2:34" ht="15" customHeight="1" x14ac:dyDescent="0.25"/>
    <row r="1606" spans="2:34" ht="15" customHeight="1" x14ac:dyDescent="0.25"/>
    <row r="1607" spans="2:34" ht="15" customHeight="1" x14ac:dyDescent="0.25"/>
    <row r="1608" spans="2:34" ht="15" customHeight="1" x14ac:dyDescent="0.25"/>
    <row r="1609" spans="2:34" ht="15" customHeight="1" x14ac:dyDescent="0.25"/>
    <row r="1610" spans="2:34" ht="15" customHeight="1" x14ac:dyDescent="0.25"/>
    <row r="1611" spans="2:3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5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6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7" spans="2:34" ht="15" customHeight="1" x14ac:dyDescent="0.25"/>
    <row r="1698" spans="2:34" ht="15" customHeight="1" x14ac:dyDescent="0.25">
      <c r="B1698" s="152"/>
      <c r="C1698" s="152"/>
      <c r="D1698" s="152"/>
      <c r="E1698" s="152"/>
      <c r="F1698" s="152"/>
      <c r="G1698" s="152"/>
      <c r="H1698" s="152"/>
      <c r="I1698" s="152"/>
      <c r="J1698" s="152"/>
      <c r="K1698" s="152"/>
      <c r="L1698" s="152"/>
      <c r="M1698" s="152"/>
      <c r="N1698" s="152"/>
      <c r="O1698" s="152"/>
      <c r="P1698" s="152"/>
      <c r="Q1698" s="152"/>
      <c r="R1698" s="152"/>
      <c r="S1698" s="152"/>
      <c r="T1698" s="152"/>
      <c r="U1698" s="152"/>
      <c r="V1698" s="152"/>
      <c r="W1698" s="152"/>
      <c r="X1698" s="152"/>
      <c r="Y1698" s="152"/>
      <c r="Z1698" s="152"/>
      <c r="AA1698" s="152"/>
      <c r="AB1698" s="152"/>
      <c r="AC1698" s="152"/>
      <c r="AD1698" s="152"/>
      <c r="AE1698" s="152"/>
      <c r="AF1698" s="152"/>
      <c r="AG1698" s="152"/>
      <c r="AH1698" s="152"/>
    </row>
    <row r="1699" spans="2:34" ht="15" customHeight="1" x14ac:dyDescent="0.25"/>
    <row r="1700" spans="2:34" ht="15" customHeight="1" x14ac:dyDescent="0.25"/>
    <row r="1701" spans="2:34" ht="15" customHeight="1" x14ac:dyDescent="0.25"/>
    <row r="1702" spans="2:34" ht="15" customHeight="1" x14ac:dyDescent="0.25"/>
    <row r="1703" spans="2:34" ht="15" customHeight="1" x14ac:dyDescent="0.25"/>
    <row r="1704" spans="2:34" ht="15" customHeight="1" x14ac:dyDescent="0.25"/>
    <row r="1705" spans="2:34" ht="15" customHeight="1" x14ac:dyDescent="0.25"/>
    <row r="1706" spans="2:34" ht="15" customHeight="1" x14ac:dyDescent="0.25"/>
    <row r="1707" spans="2:34" ht="15" customHeight="1" x14ac:dyDescent="0.25"/>
    <row r="1708" spans="2:34" ht="15" customHeight="1" x14ac:dyDescent="0.25"/>
    <row r="1709" spans="2:34" ht="15" customHeight="1" x14ac:dyDescent="0.25"/>
    <row r="1710" spans="2:34" ht="15" customHeight="1" x14ac:dyDescent="0.25"/>
    <row r="1711" spans="2:34" ht="15" customHeight="1" x14ac:dyDescent="0.25"/>
    <row r="1712" spans="2:34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1" ht="15" customHeight="1" x14ac:dyDescent="0.25"/>
    <row r="1863" ht="15" customHeight="1" x14ac:dyDescent="0.25"/>
    <row r="1864" ht="15" customHeight="1" x14ac:dyDescent="0.25"/>
    <row r="1865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5" ht="15" customHeight="1" x14ac:dyDescent="0.25"/>
    <row r="1916" ht="15" customHeight="1" x14ac:dyDescent="0.25"/>
    <row r="1917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3" ht="15" customHeight="1" x14ac:dyDescent="0.25"/>
    <row r="1934" ht="15" customHeight="1" x14ac:dyDescent="0.25"/>
    <row r="1935" ht="15" customHeight="1" x14ac:dyDescent="0.25"/>
    <row r="1937" spans="2:34" ht="15" customHeight="1" x14ac:dyDescent="0.25"/>
    <row r="1938" spans="2:34" ht="15" customHeight="1" x14ac:dyDescent="0.25"/>
    <row r="1939" spans="2:34" ht="15" customHeight="1" x14ac:dyDescent="0.25"/>
    <row r="1940" spans="2:34" ht="15" customHeight="1" x14ac:dyDescent="0.25"/>
    <row r="1941" spans="2:34" ht="15" customHeight="1" x14ac:dyDescent="0.25"/>
    <row r="1942" spans="2:34" ht="15" customHeight="1" x14ac:dyDescent="0.25"/>
    <row r="1943" spans="2:34" ht="15" customHeight="1" x14ac:dyDescent="0.25"/>
    <row r="1944" spans="2:34" ht="15" customHeight="1" x14ac:dyDescent="0.25"/>
    <row r="1945" spans="2:34" ht="15" customHeight="1" x14ac:dyDescent="0.25">
      <c r="B1945" s="152"/>
      <c r="C1945" s="152"/>
      <c r="D1945" s="152"/>
      <c r="E1945" s="152"/>
      <c r="F1945" s="152"/>
      <c r="G1945" s="152"/>
      <c r="H1945" s="152"/>
      <c r="I1945" s="152"/>
      <c r="J1945" s="152"/>
      <c r="K1945" s="152"/>
      <c r="L1945" s="152"/>
      <c r="M1945" s="152"/>
      <c r="N1945" s="152"/>
      <c r="O1945" s="152"/>
      <c r="P1945" s="152"/>
      <c r="Q1945" s="152"/>
      <c r="R1945" s="152"/>
      <c r="S1945" s="152"/>
      <c r="T1945" s="152"/>
      <c r="U1945" s="152"/>
      <c r="V1945" s="152"/>
      <c r="W1945" s="152"/>
      <c r="X1945" s="152"/>
      <c r="Y1945" s="152"/>
      <c r="Z1945" s="152"/>
      <c r="AA1945" s="152"/>
      <c r="AB1945" s="152"/>
      <c r="AC1945" s="152"/>
      <c r="AD1945" s="152"/>
      <c r="AE1945" s="152"/>
      <c r="AF1945" s="152"/>
      <c r="AG1945" s="152"/>
      <c r="AH1945" s="152"/>
    </row>
    <row r="1946" spans="2:34" ht="15" customHeight="1" x14ac:dyDescent="0.25"/>
    <row r="1947" spans="2:34" ht="15" customHeight="1" x14ac:dyDescent="0.25"/>
    <row r="1948" spans="2:34" ht="15" customHeight="1" x14ac:dyDescent="0.25"/>
    <row r="1949" spans="2:34" ht="15" customHeight="1" x14ac:dyDescent="0.25"/>
    <row r="1950" spans="2:34" ht="15" customHeight="1" x14ac:dyDescent="0.25"/>
    <row r="1951" spans="2:34" ht="15" customHeight="1" x14ac:dyDescent="0.25"/>
    <row r="1952" spans="2:34" ht="15" customHeight="1" x14ac:dyDescent="0.25"/>
    <row r="1953" ht="15" customHeight="1" x14ac:dyDescent="0.25"/>
    <row r="1954" ht="15" customHeight="1" x14ac:dyDescent="0.25"/>
    <row r="1955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4" ht="15" customHeight="1" x14ac:dyDescent="0.25"/>
    <row r="1985" ht="15" customHeight="1" x14ac:dyDescent="0.25"/>
    <row r="1986" ht="15" customHeight="1" x14ac:dyDescent="0.25"/>
    <row r="1988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4" ht="15" customHeight="1" x14ac:dyDescent="0.25"/>
    <row r="2006" ht="15" customHeight="1" x14ac:dyDescent="0.25"/>
    <row r="2008" ht="15" customHeight="1" x14ac:dyDescent="0.25"/>
    <row r="2009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spans="2:34" ht="15" customHeight="1" x14ac:dyDescent="0.25"/>
    <row r="2018" spans="2:34" ht="15" customHeight="1" x14ac:dyDescent="0.25"/>
    <row r="2019" spans="2:34" ht="15" customHeight="1" x14ac:dyDescent="0.25"/>
    <row r="2020" spans="2:34" ht="15" customHeight="1" x14ac:dyDescent="0.25"/>
    <row r="2022" spans="2:34" ht="15" customHeight="1" x14ac:dyDescent="0.25"/>
    <row r="2023" spans="2:34" ht="15" customHeight="1" x14ac:dyDescent="0.25"/>
    <row r="2024" spans="2:34" ht="15" customHeight="1" x14ac:dyDescent="0.25"/>
    <row r="2025" spans="2:34" ht="15" customHeight="1" x14ac:dyDescent="0.25"/>
    <row r="2026" spans="2:34" ht="15" customHeight="1" x14ac:dyDescent="0.25"/>
    <row r="2027" spans="2:34" ht="15" customHeight="1" x14ac:dyDescent="0.25"/>
    <row r="2028" spans="2:34" ht="15" customHeight="1" x14ac:dyDescent="0.25"/>
    <row r="2029" spans="2:34" ht="15" customHeight="1" x14ac:dyDescent="0.25"/>
    <row r="2030" spans="2:34" ht="15" customHeight="1" x14ac:dyDescent="0.25"/>
    <row r="2031" spans="2:34" ht="15" customHeight="1" x14ac:dyDescent="0.25">
      <c r="B2031" s="152"/>
      <c r="C2031" s="152"/>
      <c r="D2031" s="152"/>
      <c r="E2031" s="152"/>
      <c r="F2031" s="152"/>
      <c r="G2031" s="152"/>
      <c r="H2031" s="152"/>
      <c r="I2031" s="152"/>
      <c r="J2031" s="152"/>
      <c r="K2031" s="152"/>
      <c r="L2031" s="152"/>
      <c r="M2031" s="152"/>
      <c r="N2031" s="152"/>
      <c r="O2031" s="152"/>
      <c r="P2031" s="152"/>
      <c r="Q2031" s="152"/>
      <c r="R2031" s="152"/>
      <c r="S2031" s="152"/>
      <c r="T2031" s="152"/>
      <c r="U2031" s="152"/>
      <c r="V2031" s="152"/>
      <c r="W2031" s="152"/>
      <c r="X2031" s="152"/>
      <c r="Y2031" s="152"/>
      <c r="Z2031" s="152"/>
      <c r="AA2031" s="152"/>
      <c r="AB2031" s="152"/>
      <c r="AC2031" s="152"/>
      <c r="AD2031" s="152"/>
      <c r="AE2031" s="152"/>
      <c r="AF2031" s="152"/>
      <c r="AG2031" s="152"/>
      <c r="AH2031" s="152"/>
    </row>
    <row r="2032" spans="2:34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7" ht="15" customHeight="1" x14ac:dyDescent="0.25"/>
    <row r="2108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1" ht="15" customHeight="1" x14ac:dyDescent="0.25"/>
    <row r="2133" ht="15" customHeight="1" x14ac:dyDescent="0.25"/>
    <row r="2134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spans="2:34" ht="15" customHeight="1" x14ac:dyDescent="0.25"/>
    <row r="2146" spans="2:34" ht="15" customHeight="1" x14ac:dyDescent="0.25"/>
    <row r="2148" spans="2:34" ht="15" customHeight="1" x14ac:dyDescent="0.25"/>
    <row r="2151" spans="2:34" ht="15" customHeight="1" x14ac:dyDescent="0.25"/>
    <row r="2152" spans="2:34" ht="15" customHeight="1" x14ac:dyDescent="0.25"/>
    <row r="2153" spans="2:34" ht="15" customHeight="1" x14ac:dyDescent="0.25">
      <c r="B2153" s="152"/>
      <c r="C2153" s="152"/>
      <c r="D2153" s="152"/>
      <c r="E2153" s="152"/>
      <c r="F2153" s="152"/>
      <c r="G2153" s="152"/>
      <c r="H2153" s="152"/>
      <c r="I2153" s="152"/>
      <c r="J2153" s="152"/>
      <c r="K2153" s="152"/>
      <c r="L2153" s="152"/>
      <c r="M2153" s="152"/>
      <c r="N2153" s="152"/>
      <c r="O2153" s="152"/>
      <c r="P2153" s="152"/>
      <c r="Q2153" s="152"/>
      <c r="R2153" s="152"/>
      <c r="S2153" s="152"/>
      <c r="T2153" s="152"/>
      <c r="U2153" s="152"/>
      <c r="V2153" s="152"/>
      <c r="W2153" s="152"/>
      <c r="X2153" s="152"/>
      <c r="Y2153" s="152"/>
      <c r="Z2153" s="152"/>
      <c r="AA2153" s="152"/>
      <c r="AB2153" s="152"/>
      <c r="AC2153" s="152"/>
      <c r="AD2153" s="152"/>
      <c r="AE2153" s="152"/>
      <c r="AF2153" s="152"/>
      <c r="AG2153" s="152"/>
      <c r="AH2153" s="152"/>
    </row>
    <row r="2154" spans="2:34" ht="15" customHeight="1" x14ac:dyDescent="0.25"/>
    <row r="2155" spans="2:34" ht="15" customHeight="1" x14ac:dyDescent="0.25"/>
    <row r="2156" spans="2:34" ht="15" customHeight="1" x14ac:dyDescent="0.25"/>
    <row r="2157" spans="2:34" ht="15" customHeight="1" x14ac:dyDescent="0.25"/>
    <row r="2158" spans="2:34" ht="15" customHeight="1" x14ac:dyDescent="0.25"/>
    <row r="2159" spans="2:34" ht="15" customHeight="1" x14ac:dyDescent="0.25"/>
    <row r="2160" spans="2:34" ht="15" customHeight="1" x14ac:dyDescent="0.25"/>
    <row r="2161" ht="15" customHeight="1" x14ac:dyDescent="0.25"/>
    <row r="2162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60" ht="15" customHeight="1" x14ac:dyDescent="0.25"/>
    <row r="2261" ht="15" customHeight="1" x14ac:dyDescent="0.25"/>
    <row r="2262" ht="15" customHeight="1" x14ac:dyDescent="0.25"/>
    <row r="2264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1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2" ht="15" customHeight="1" x14ac:dyDescent="0.25"/>
    <row r="2284" ht="15" customHeight="1" x14ac:dyDescent="0.25"/>
    <row r="2285" ht="15" customHeight="1" x14ac:dyDescent="0.25"/>
    <row r="2286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301" ht="15" customHeight="1" x14ac:dyDescent="0.25"/>
    <row r="2302" ht="15" customHeight="1" x14ac:dyDescent="0.25"/>
    <row r="2303" ht="15" customHeight="1" x14ac:dyDescent="0.25"/>
    <row r="2305" spans="2:34" ht="15" customHeight="1" x14ac:dyDescent="0.25"/>
    <row r="2306" spans="2:34" ht="15" customHeight="1" x14ac:dyDescent="0.25"/>
    <row r="2307" spans="2:34" ht="15" customHeight="1" x14ac:dyDescent="0.25"/>
    <row r="2308" spans="2:34" ht="15" customHeight="1" x14ac:dyDescent="0.25"/>
    <row r="2309" spans="2:34" ht="15" customHeight="1" x14ac:dyDescent="0.25"/>
    <row r="2310" spans="2:34" ht="15" customHeight="1" x14ac:dyDescent="0.25"/>
    <row r="2311" spans="2:34" ht="15" customHeight="1" x14ac:dyDescent="0.25"/>
    <row r="2312" spans="2:34" ht="15" customHeight="1" x14ac:dyDescent="0.25"/>
    <row r="2313" spans="2:34" ht="15" customHeight="1" x14ac:dyDescent="0.25"/>
    <row r="2314" spans="2:34" ht="15" customHeight="1" x14ac:dyDescent="0.25"/>
    <row r="2315" spans="2:34" ht="15" customHeight="1" x14ac:dyDescent="0.25"/>
    <row r="2316" spans="2:34" ht="15" customHeight="1" x14ac:dyDescent="0.25"/>
    <row r="2317" spans="2:34" ht="15" customHeight="1" x14ac:dyDescent="0.25">
      <c r="B2317" s="152"/>
      <c r="C2317" s="152"/>
      <c r="D2317" s="152"/>
      <c r="E2317" s="152"/>
      <c r="F2317" s="152"/>
      <c r="G2317" s="152"/>
      <c r="H2317" s="152"/>
      <c r="I2317" s="152"/>
      <c r="J2317" s="152"/>
      <c r="K2317" s="152"/>
      <c r="L2317" s="152"/>
      <c r="M2317" s="152"/>
      <c r="N2317" s="152"/>
      <c r="O2317" s="152"/>
      <c r="P2317" s="152"/>
      <c r="Q2317" s="152"/>
      <c r="R2317" s="152"/>
      <c r="S2317" s="152"/>
      <c r="T2317" s="152"/>
      <c r="U2317" s="152"/>
      <c r="V2317" s="152"/>
      <c r="W2317" s="152"/>
      <c r="X2317" s="152"/>
      <c r="Y2317" s="152"/>
      <c r="Z2317" s="152"/>
      <c r="AA2317" s="152"/>
      <c r="AB2317" s="152"/>
      <c r="AC2317" s="152"/>
      <c r="AD2317" s="152"/>
      <c r="AE2317" s="152"/>
      <c r="AF2317" s="152"/>
      <c r="AG2317" s="152"/>
      <c r="AH2317" s="152"/>
    </row>
    <row r="2318" spans="2:34" ht="15" customHeight="1" x14ac:dyDescent="0.25"/>
    <row r="2319" spans="2:34" ht="15" customHeight="1" x14ac:dyDescent="0.25"/>
    <row r="2320" spans="2:34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spans="2:34" ht="15" customHeight="1" x14ac:dyDescent="0.25"/>
    <row r="2418" spans="2:34" ht="15" customHeight="1" x14ac:dyDescent="0.25"/>
    <row r="2419" spans="2:34" ht="15" customHeight="1" x14ac:dyDescent="0.25">
      <c r="B2419" s="152"/>
      <c r="C2419" s="152"/>
      <c r="D2419" s="152"/>
      <c r="E2419" s="152"/>
      <c r="F2419" s="152"/>
      <c r="G2419" s="152"/>
      <c r="H2419" s="152"/>
      <c r="I2419" s="152"/>
      <c r="J2419" s="152"/>
      <c r="K2419" s="152"/>
      <c r="L2419" s="152"/>
      <c r="M2419" s="152"/>
      <c r="N2419" s="152"/>
      <c r="O2419" s="152"/>
      <c r="P2419" s="152"/>
      <c r="Q2419" s="152"/>
      <c r="R2419" s="152"/>
      <c r="S2419" s="152"/>
      <c r="T2419" s="152"/>
      <c r="U2419" s="152"/>
      <c r="V2419" s="152"/>
      <c r="W2419" s="152"/>
      <c r="X2419" s="152"/>
      <c r="Y2419" s="152"/>
      <c r="Z2419" s="152"/>
      <c r="AA2419" s="152"/>
      <c r="AB2419" s="152"/>
      <c r="AC2419" s="152"/>
      <c r="AD2419" s="152"/>
      <c r="AE2419" s="152"/>
      <c r="AF2419" s="152"/>
      <c r="AG2419" s="152"/>
      <c r="AH2419" s="152"/>
    </row>
    <row r="2420" spans="2:34" ht="15" customHeight="1" x14ac:dyDescent="0.25"/>
    <row r="2421" spans="2:34" ht="15" customHeight="1" x14ac:dyDescent="0.25"/>
    <row r="2422" spans="2:34" ht="15" customHeight="1" x14ac:dyDescent="0.25"/>
    <row r="2423" spans="2:34" ht="15" customHeight="1" x14ac:dyDescent="0.25"/>
    <row r="2424" spans="2:34" ht="15" customHeight="1" x14ac:dyDescent="0.25"/>
    <row r="2425" spans="2:34" ht="15" customHeight="1" x14ac:dyDescent="0.25"/>
    <row r="2426" spans="2:34" ht="15" customHeight="1" x14ac:dyDescent="0.25"/>
    <row r="2427" spans="2:34" ht="15" customHeight="1" x14ac:dyDescent="0.25"/>
    <row r="2428" spans="2:34" ht="15" customHeight="1" x14ac:dyDescent="0.25"/>
    <row r="2429" spans="2:34" ht="15" customHeight="1" x14ac:dyDescent="0.25"/>
    <row r="2430" spans="2:34" ht="15" customHeight="1" x14ac:dyDescent="0.25"/>
    <row r="2431" spans="2:34" ht="15" customHeight="1" x14ac:dyDescent="0.25"/>
    <row r="2432" spans="2:34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7" ht="15" customHeight="1" x14ac:dyDescent="0.25"/>
    <row r="2459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6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5" ht="15" customHeight="1" x14ac:dyDescent="0.25"/>
    <row r="2496" ht="15" customHeight="1" x14ac:dyDescent="0.25"/>
    <row r="2498" spans="2:34" ht="15" customHeight="1" x14ac:dyDescent="0.25"/>
    <row r="2499" spans="2:34" ht="15" customHeight="1" x14ac:dyDescent="0.25"/>
    <row r="2500" spans="2:34" ht="15" customHeight="1" x14ac:dyDescent="0.25"/>
    <row r="2501" spans="2:34" ht="15" customHeight="1" x14ac:dyDescent="0.25"/>
    <row r="2502" spans="2:34" ht="15" customHeight="1" x14ac:dyDescent="0.25"/>
    <row r="2504" spans="2:34" ht="15" customHeight="1" x14ac:dyDescent="0.25"/>
    <row r="2505" spans="2:34" ht="15" customHeight="1" x14ac:dyDescent="0.25"/>
    <row r="2506" spans="2:34" ht="15" customHeight="1" x14ac:dyDescent="0.25"/>
    <row r="2507" spans="2:34" ht="15" customHeight="1" x14ac:dyDescent="0.25"/>
    <row r="2508" spans="2:34" ht="15" customHeight="1" x14ac:dyDescent="0.25"/>
    <row r="2509" spans="2:34" ht="15" customHeight="1" x14ac:dyDescent="0.25">
      <c r="B2509" s="152"/>
      <c r="C2509" s="152"/>
      <c r="D2509" s="152"/>
      <c r="E2509" s="152"/>
      <c r="F2509" s="152"/>
      <c r="G2509" s="152"/>
      <c r="H2509" s="152"/>
      <c r="I2509" s="152"/>
      <c r="J2509" s="152"/>
      <c r="K2509" s="152"/>
      <c r="L2509" s="152"/>
      <c r="M2509" s="152"/>
      <c r="N2509" s="152"/>
      <c r="O2509" s="152"/>
      <c r="P2509" s="152"/>
      <c r="Q2509" s="152"/>
      <c r="R2509" s="152"/>
      <c r="S2509" s="152"/>
      <c r="T2509" s="152"/>
      <c r="U2509" s="152"/>
      <c r="V2509" s="152"/>
      <c r="W2509" s="152"/>
      <c r="X2509" s="152"/>
      <c r="Y2509" s="152"/>
      <c r="Z2509" s="152"/>
      <c r="AA2509" s="152"/>
      <c r="AB2509" s="152"/>
      <c r="AC2509" s="152"/>
      <c r="AD2509" s="152"/>
      <c r="AE2509" s="152"/>
      <c r="AF2509" s="152"/>
      <c r="AG2509" s="152"/>
      <c r="AH2509" s="152"/>
    </row>
    <row r="2510" spans="2:34" ht="15" customHeight="1" x14ac:dyDescent="0.25"/>
    <row r="2511" spans="2:34" ht="15" customHeight="1" x14ac:dyDescent="0.25"/>
    <row r="2512" spans="2:34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spans="2:34" ht="15" customHeight="1" x14ac:dyDescent="0.25"/>
    <row r="2595" spans="2:34" ht="15" customHeight="1" x14ac:dyDescent="0.25"/>
    <row r="2596" spans="2:34" ht="15" customHeight="1" x14ac:dyDescent="0.25"/>
    <row r="2597" spans="2:34" ht="15" customHeight="1" x14ac:dyDescent="0.25"/>
    <row r="2598" spans="2:34" ht="15" customHeight="1" x14ac:dyDescent="0.25">
      <c r="B2598" s="152"/>
      <c r="C2598" s="152"/>
      <c r="D2598" s="152"/>
      <c r="E2598" s="152"/>
      <c r="F2598" s="152"/>
      <c r="G2598" s="152"/>
      <c r="H2598" s="152"/>
      <c r="I2598" s="152"/>
      <c r="J2598" s="152"/>
      <c r="K2598" s="152"/>
      <c r="L2598" s="152"/>
      <c r="M2598" s="152"/>
      <c r="N2598" s="152"/>
      <c r="O2598" s="152"/>
      <c r="P2598" s="152"/>
      <c r="Q2598" s="152"/>
      <c r="R2598" s="152"/>
      <c r="S2598" s="152"/>
      <c r="T2598" s="152"/>
      <c r="U2598" s="152"/>
      <c r="V2598" s="152"/>
      <c r="W2598" s="152"/>
      <c r="X2598" s="152"/>
      <c r="Y2598" s="152"/>
      <c r="Z2598" s="152"/>
      <c r="AA2598" s="152"/>
      <c r="AB2598" s="152"/>
      <c r="AC2598" s="152"/>
      <c r="AD2598" s="152"/>
      <c r="AE2598" s="152"/>
      <c r="AF2598" s="152"/>
      <c r="AG2598" s="152"/>
      <c r="AH2598" s="152"/>
    </row>
    <row r="2599" spans="2:34" ht="15" customHeight="1" x14ac:dyDescent="0.25"/>
    <row r="2600" spans="2:34" ht="15" customHeight="1" x14ac:dyDescent="0.25"/>
    <row r="2601" spans="2:34" ht="15" customHeight="1" x14ac:dyDescent="0.25"/>
    <row r="2602" spans="2:34" ht="15" customHeight="1" x14ac:dyDescent="0.25"/>
    <row r="2603" spans="2:34" ht="15" customHeight="1" x14ac:dyDescent="0.25"/>
    <row r="2604" spans="2:34" ht="15" customHeight="1" x14ac:dyDescent="0.25"/>
    <row r="2605" spans="2:34" ht="15" customHeight="1" x14ac:dyDescent="0.25"/>
    <row r="2606" spans="2:34" ht="15" customHeight="1" x14ac:dyDescent="0.25"/>
    <row r="2607" spans="2:34" ht="15" customHeight="1" x14ac:dyDescent="0.25"/>
    <row r="2608" spans="2:34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7" spans="2:34" ht="15" customHeight="1" x14ac:dyDescent="0.25"/>
    <row r="2708" spans="2:34" ht="15" customHeight="1" x14ac:dyDescent="0.25"/>
    <row r="2709" spans="2:34" ht="15" customHeight="1" x14ac:dyDescent="0.25"/>
    <row r="2710" spans="2:34" ht="15" customHeight="1" x14ac:dyDescent="0.25"/>
    <row r="2711" spans="2:34" ht="15" customHeight="1" x14ac:dyDescent="0.25"/>
    <row r="2712" spans="2:34" ht="15" customHeight="1" x14ac:dyDescent="0.25"/>
    <row r="2713" spans="2:34" ht="15" customHeight="1" x14ac:dyDescent="0.25"/>
    <row r="2714" spans="2:34" ht="15" customHeight="1" x14ac:dyDescent="0.25"/>
    <row r="2715" spans="2:34" ht="15" customHeight="1" x14ac:dyDescent="0.25"/>
    <row r="2716" spans="2:34" ht="15" customHeight="1" x14ac:dyDescent="0.25"/>
    <row r="2717" spans="2:34" ht="15" customHeight="1" x14ac:dyDescent="0.25"/>
    <row r="2718" spans="2:34" ht="15" customHeight="1" x14ac:dyDescent="0.25"/>
    <row r="2719" spans="2:34" ht="15" customHeight="1" x14ac:dyDescent="0.25">
      <c r="B2719" s="152"/>
      <c r="C2719" s="152"/>
      <c r="D2719" s="152"/>
      <c r="E2719" s="152"/>
      <c r="F2719" s="152"/>
      <c r="G2719" s="152"/>
      <c r="H2719" s="152"/>
      <c r="I2719" s="152"/>
      <c r="J2719" s="152"/>
      <c r="K2719" s="152"/>
      <c r="L2719" s="152"/>
      <c r="M2719" s="152"/>
      <c r="N2719" s="152"/>
      <c r="O2719" s="152"/>
      <c r="P2719" s="152"/>
      <c r="Q2719" s="152"/>
      <c r="R2719" s="152"/>
      <c r="S2719" s="152"/>
      <c r="T2719" s="152"/>
      <c r="U2719" s="152"/>
      <c r="V2719" s="152"/>
      <c r="W2719" s="152"/>
      <c r="X2719" s="152"/>
      <c r="Y2719" s="152"/>
      <c r="Z2719" s="152"/>
      <c r="AA2719" s="152"/>
      <c r="AB2719" s="152"/>
      <c r="AC2719" s="152"/>
      <c r="AD2719" s="152"/>
      <c r="AE2719" s="152"/>
      <c r="AF2719" s="152"/>
      <c r="AG2719" s="152"/>
      <c r="AH2719" s="152"/>
    </row>
    <row r="2720" spans="2:34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31" ht="15" customHeight="1" x14ac:dyDescent="0.25"/>
    <row r="2832" ht="15" customHeight="1" x14ac:dyDescent="0.25"/>
    <row r="2833" spans="2:34" ht="15" customHeight="1" x14ac:dyDescent="0.25"/>
    <row r="2834" spans="2:34" ht="15" customHeight="1" x14ac:dyDescent="0.25"/>
    <row r="2835" spans="2:34" ht="15" customHeight="1" x14ac:dyDescent="0.25"/>
    <row r="2836" spans="2:34" ht="15" customHeight="1" x14ac:dyDescent="0.25"/>
    <row r="2837" spans="2:34" ht="15" customHeight="1" x14ac:dyDescent="0.25">
      <c r="B2837" s="152"/>
      <c r="C2837" s="152"/>
      <c r="D2837" s="152"/>
      <c r="E2837" s="152"/>
      <c r="F2837" s="152"/>
      <c r="G2837" s="152"/>
      <c r="H2837" s="152"/>
      <c r="I2837" s="152"/>
      <c r="J2837" s="152"/>
      <c r="K2837" s="152"/>
      <c r="L2837" s="152"/>
      <c r="M2837" s="152"/>
      <c r="N2837" s="152"/>
      <c r="O2837" s="152"/>
      <c r="P2837" s="152"/>
      <c r="Q2837" s="152"/>
      <c r="R2837" s="152"/>
      <c r="S2837" s="152"/>
      <c r="T2837" s="152"/>
      <c r="U2837" s="152"/>
      <c r="V2837" s="152"/>
      <c r="W2837" s="152"/>
      <c r="X2837" s="152"/>
      <c r="Y2837" s="152"/>
      <c r="Z2837" s="152"/>
      <c r="AA2837" s="152"/>
      <c r="AB2837" s="152"/>
      <c r="AC2837" s="152"/>
      <c r="AD2837" s="152"/>
      <c r="AE2837" s="152"/>
      <c r="AF2837" s="152"/>
      <c r="AG2837" s="152"/>
      <c r="AH2837" s="152"/>
    </row>
    <row r="2838" spans="2:34" ht="15" customHeight="1" x14ac:dyDescent="0.25"/>
    <row r="2839" spans="2:34" ht="15" customHeight="1" x14ac:dyDescent="0.25"/>
    <row r="2840" spans="2:34" ht="15" customHeight="1" x14ac:dyDescent="0.25"/>
    <row r="2841" spans="2:34" ht="15" customHeight="1" x14ac:dyDescent="0.25"/>
  </sheetData>
  <mergeCells count="21">
    <mergeCell ref="B112:AH112"/>
    <mergeCell ref="B147:AG147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  <mergeCell ref="B1698:AH1698"/>
    <mergeCell ref="B1945:AH1945"/>
    <mergeCell ref="B2031:AH2031"/>
    <mergeCell ref="B2719:AH2719"/>
    <mergeCell ref="B2837:AH2837"/>
    <mergeCell ref="B2153:AH2153"/>
    <mergeCell ref="B2317:AH2317"/>
    <mergeCell ref="B2419:AH2419"/>
    <mergeCell ref="B2509:AH2509"/>
    <mergeCell ref="B2598:AH259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2837"/>
  <sheetViews>
    <sheetView workbookViewId="0">
      <pane xSplit="2" ySplit="1" topLeftCell="C3" activePane="bottomRight" state="frozen"/>
      <selection pane="topRight" activeCell="C1" sqref="C1"/>
      <selection pane="bottomLeft" activeCell="A2" sqref="A2"/>
      <selection pane="bottomRight" activeCell="D1" sqref="D1"/>
    </sheetView>
  </sheetViews>
  <sheetFormatPr defaultRowHeight="15" customHeight="1" x14ac:dyDescent="0.25"/>
  <cols>
    <col min="1" max="1" width="32.28515625" customWidth="1"/>
    <col min="2" max="2" width="49" customWidth="1"/>
  </cols>
  <sheetData>
    <row r="1" spans="1:34" ht="15" customHeight="1" thickBot="1" x14ac:dyDescent="0.3">
      <c r="B1" s="102" t="s">
        <v>2748</v>
      </c>
      <c r="C1" s="103">
        <v>2020</v>
      </c>
      <c r="D1" s="103">
        <v>2021</v>
      </c>
      <c r="E1" s="103">
        <v>2022</v>
      </c>
      <c r="F1" s="103">
        <v>2023</v>
      </c>
      <c r="G1" s="103">
        <v>2024</v>
      </c>
      <c r="H1" s="103">
        <v>2025</v>
      </c>
      <c r="I1" s="103">
        <v>2026</v>
      </c>
      <c r="J1" s="103">
        <v>2027</v>
      </c>
      <c r="K1" s="103">
        <v>2028</v>
      </c>
      <c r="L1" s="103">
        <v>2029</v>
      </c>
      <c r="M1" s="103">
        <v>2030</v>
      </c>
      <c r="N1" s="103">
        <v>2031</v>
      </c>
      <c r="O1" s="103">
        <v>2032</v>
      </c>
      <c r="P1" s="103">
        <v>2033</v>
      </c>
      <c r="Q1" s="103">
        <v>2034</v>
      </c>
      <c r="R1" s="103">
        <v>2035</v>
      </c>
      <c r="S1" s="103">
        <v>2036</v>
      </c>
      <c r="T1" s="103">
        <v>2037</v>
      </c>
      <c r="U1" s="103">
        <v>2038</v>
      </c>
      <c r="V1" s="103">
        <v>2039</v>
      </c>
      <c r="W1" s="103">
        <v>2040</v>
      </c>
      <c r="X1" s="103">
        <v>2041</v>
      </c>
      <c r="Y1" s="103">
        <v>2042</v>
      </c>
      <c r="Z1" s="103">
        <v>2043</v>
      </c>
      <c r="AA1" s="103">
        <v>2044</v>
      </c>
      <c r="AB1" s="103">
        <v>2045</v>
      </c>
      <c r="AC1" s="103">
        <v>2046</v>
      </c>
      <c r="AD1" s="103">
        <v>2047</v>
      </c>
      <c r="AE1" s="103">
        <v>2048</v>
      </c>
      <c r="AF1" s="103">
        <v>2049</v>
      </c>
      <c r="AG1" s="103">
        <v>2050</v>
      </c>
    </row>
    <row r="2" spans="1:34" ht="15" customHeight="1" thickTop="1" x14ac:dyDescent="0.25"/>
    <row r="3" spans="1:34" ht="15" customHeight="1" x14ac:dyDescent="0.25">
      <c r="C3" s="104" t="s">
        <v>20</v>
      </c>
      <c r="D3" s="104" t="s">
        <v>2749</v>
      </c>
      <c r="E3" s="105"/>
      <c r="F3" s="105"/>
      <c r="G3" s="105"/>
      <c r="H3" s="105"/>
    </row>
    <row r="4" spans="1:34" ht="15" customHeight="1" x14ac:dyDescent="0.25">
      <c r="C4" s="104" t="s">
        <v>21</v>
      </c>
      <c r="D4" s="104" t="s">
        <v>2750</v>
      </c>
      <c r="E4" s="105"/>
      <c r="F4" s="105"/>
      <c r="G4" s="104" t="s">
        <v>22</v>
      </c>
      <c r="H4" s="105"/>
    </row>
    <row r="5" spans="1:34" ht="15" customHeight="1" x14ac:dyDescent="0.25">
      <c r="C5" s="104" t="s">
        <v>23</v>
      </c>
      <c r="D5" s="104" t="s">
        <v>2751</v>
      </c>
      <c r="E5" s="105"/>
      <c r="F5" s="105"/>
      <c r="G5" s="105"/>
      <c r="H5" s="105"/>
    </row>
    <row r="6" spans="1:34" ht="15" customHeight="1" x14ac:dyDescent="0.25">
      <c r="C6" s="104" t="s">
        <v>24</v>
      </c>
      <c r="D6" s="105"/>
      <c r="E6" s="104" t="s">
        <v>2752</v>
      </c>
      <c r="F6" s="105"/>
      <c r="G6" s="105"/>
      <c r="H6" s="105"/>
    </row>
    <row r="7" spans="1:34" ht="15" customHeight="1" x14ac:dyDescent="0.25">
      <c r="C7" s="105"/>
      <c r="D7" s="105"/>
      <c r="E7" s="105"/>
      <c r="F7" s="105"/>
      <c r="G7" s="105"/>
      <c r="H7" s="105"/>
    </row>
    <row r="10" spans="1:34" ht="15" customHeight="1" x14ac:dyDescent="0.25">
      <c r="A10" s="8" t="s">
        <v>2741</v>
      </c>
      <c r="B10" s="106" t="s">
        <v>2740</v>
      </c>
      <c r="AH10" s="107" t="s">
        <v>2753</v>
      </c>
    </row>
    <row r="11" spans="1:34" ht="15" customHeight="1" x14ac:dyDescent="0.25">
      <c r="B11" s="102" t="s">
        <v>27</v>
      </c>
      <c r="AH11" s="107" t="s">
        <v>2754</v>
      </c>
    </row>
    <row r="12" spans="1:34" ht="15" customHeight="1" x14ac:dyDescent="0.25">
      <c r="B12" s="10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07" t="s">
        <v>2755</v>
      </c>
    </row>
    <row r="13" spans="1:34" ht="15" customHeight="1" thickBot="1" x14ac:dyDescent="0.3">
      <c r="B13" s="103" t="s">
        <v>29</v>
      </c>
      <c r="C13" s="103">
        <v>2020</v>
      </c>
      <c r="D13" s="103">
        <v>2021</v>
      </c>
      <c r="E13" s="103">
        <v>2022</v>
      </c>
      <c r="F13" s="103">
        <v>2023</v>
      </c>
      <c r="G13" s="103">
        <v>2024</v>
      </c>
      <c r="H13" s="103">
        <v>2025</v>
      </c>
      <c r="I13" s="103">
        <v>2026</v>
      </c>
      <c r="J13" s="103">
        <v>2027</v>
      </c>
      <c r="K13" s="103">
        <v>2028</v>
      </c>
      <c r="L13" s="103">
        <v>2029</v>
      </c>
      <c r="M13" s="103">
        <v>2030</v>
      </c>
      <c r="N13" s="103">
        <v>2031</v>
      </c>
      <c r="O13" s="103">
        <v>2032</v>
      </c>
      <c r="P13" s="103">
        <v>2033</v>
      </c>
      <c r="Q13" s="103">
        <v>2034</v>
      </c>
      <c r="R13" s="103">
        <v>2035</v>
      </c>
      <c r="S13" s="103">
        <v>2036</v>
      </c>
      <c r="T13" s="103">
        <v>2037</v>
      </c>
      <c r="U13" s="103">
        <v>2038</v>
      </c>
      <c r="V13" s="103">
        <v>2039</v>
      </c>
      <c r="W13" s="103">
        <v>2040</v>
      </c>
      <c r="X13" s="103">
        <v>2041</v>
      </c>
      <c r="Y13" s="103">
        <v>2042</v>
      </c>
      <c r="Z13" s="103">
        <v>2043</v>
      </c>
      <c r="AA13" s="103">
        <v>2044</v>
      </c>
      <c r="AB13" s="103">
        <v>2045</v>
      </c>
      <c r="AC13" s="103">
        <v>2046</v>
      </c>
      <c r="AD13" s="103">
        <v>2047</v>
      </c>
      <c r="AE13" s="103">
        <v>2048</v>
      </c>
      <c r="AF13" s="103">
        <v>2049</v>
      </c>
      <c r="AG13" s="103">
        <v>2050</v>
      </c>
      <c r="AH13" s="108" t="s">
        <v>2756</v>
      </c>
    </row>
    <row r="14" spans="1:34" ht="15" customHeight="1" thickTop="1" x14ac:dyDescent="0.25"/>
    <row r="15" spans="1:34" ht="15" customHeight="1" x14ac:dyDescent="0.25">
      <c r="B15" s="109" t="s">
        <v>30</v>
      </c>
    </row>
    <row r="17" spans="1:34" ht="15" customHeight="1" x14ac:dyDescent="0.25">
      <c r="B17" s="109" t="s">
        <v>2739</v>
      </c>
    </row>
    <row r="18" spans="1:34" ht="15" customHeight="1" x14ac:dyDescent="0.25">
      <c r="A18" s="8" t="s">
        <v>2738</v>
      </c>
      <c r="B18" s="110" t="s">
        <v>2737</v>
      </c>
      <c r="C18" s="116">
        <v>91.743567999999996</v>
      </c>
      <c r="D18" s="116">
        <v>92.493767000000005</v>
      </c>
      <c r="E18" s="116">
        <v>93.426627999999994</v>
      </c>
      <c r="F18" s="116">
        <v>94.241493000000006</v>
      </c>
      <c r="G18" s="116">
        <v>95.189041000000003</v>
      </c>
      <c r="H18" s="116">
        <v>96.214438999999999</v>
      </c>
      <c r="I18" s="116">
        <v>97.251868999999999</v>
      </c>
      <c r="J18" s="116">
        <v>98.274696000000006</v>
      </c>
      <c r="K18" s="116">
        <v>99.282448000000002</v>
      </c>
      <c r="L18" s="116">
        <v>100.277145</v>
      </c>
      <c r="M18" s="116">
        <v>101.258888</v>
      </c>
      <c r="N18" s="116">
        <v>102.24215700000001</v>
      </c>
      <c r="O18" s="116">
        <v>103.24239300000001</v>
      </c>
      <c r="P18" s="116">
        <v>104.26911200000001</v>
      </c>
      <c r="Q18" s="116">
        <v>105.311455</v>
      </c>
      <c r="R18" s="116">
        <v>106.360741</v>
      </c>
      <c r="S18" s="116">
        <v>107.406662</v>
      </c>
      <c r="T18" s="116">
        <v>108.438393</v>
      </c>
      <c r="U18" s="116">
        <v>109.44684599999999</v>
      </c>
      <c r="V18" s="116">
        <v>110.446091</v>
      </c>
      <c r="W18" s="116">
        <v>111.44924899999999</v>
      </c>
      <c r="X18" s="116">
        <v>112.47022200000001</v>
      </c>
      <c r="Y18" s="116">
        <v>113.502556</v>
      </c>
      <c r="Z18" s="116">
        <v>114.54393</v>
      </c>
      <c r="AA18" s="116">
        <v>115.592484</v>
      </c>
      <c r="AB18" s="116">
        <v>116.642601</v>
      </c>
      <c r="AC18" s="116">
        <v>117.70586400000001</v>
      </c>
      <c r="AD18" s="116">
        <v>118.775322</v>
      </c>
      <c r="AE18" s="116">
        <v>119.83873699999999</v>
      </c>
      <c r="AF18" s="116">
        <v>120.907867</v>
      </c>
      <c r="AG18" s="116">
        <v>121.979927</v>
      </c>
      <c r="AH18" s="112">
        <v>9.5409999999999991E-3</v>
      </c>
    </row>
    <row r="19" spans="1:34" ht="15" customHeight="1" x14ac:dyDescent="0.25">
      <c r="A19" s="8" t="s">
        <v>2736</v>
      </c>
      <c r="B19" s="110" t="s">
        <v>2735</v>
      </c>
      <c r="C19" s="116">
        <v>1.838832</v>
      </c>
      <c r="D19" s="116">
        <v>2.0298949999999998</v>
      </c>
      <c r="E19" s="116">
        <v>1.920078</v>
      </c>
      <c r="F19" s="116">
        <v>2.0615009999999998</v>
      </c>
      <c r="G19" s="116">
        <v>2.1488079999999998</v>
      </c>
      <c r="H19" s="116">
        <v>2.170696</v>
      </c>
      <c r="I19" s="116">
        <v>2.1661350000000001</v>
      </c>
      <c r="J19" s="116">
        <v>2.1611750000000001</v>
      </c>
      <c r="K19" s="116">
        <v>2.1582849999999998</v>
      </c>
      <c r="L19" s="116">
        <v>2.155443</v>
      </c>
      <c r="M19" s="116">
        <v>2.1671290000000001</v>
      </c>
      <c r="N19" s="116">
        <v>2.194356</v>
      </c>
      <c r="O19" s="116">
        <v>2.231306</v>
      </c>
      <c r="P19" s="116">
        <v>2.2575769999999999</v>
      </c>
      <c r="Q19" s="116">
        <v>2.2753290000000002</v>
      </c>
      <c r="R19" s="116">
        <v>2.2828200000000001</v>
      </c>
      <c r="S19" s="116">
        <v>2.2794539999999999</v>
      </c>
      <c r="T19" s="116">
        <v>2.26694</v>
      </c>
      <c r="U19" s="116">
        <v>2.2683990000000001</v>
      </c>
      <c r="V19" s="116">
        <v>2.2829579999999998</v>
      </c>
      <c r="W19" s="116">
        <v>2.3115359999999998</v>
      </c>
      <c r="X19" s="116">
        <v>2.3337509999999999</v>
      </c>
      <c r="Y19" s="116">
        <v>2.3537379999999999</v>
      </c>
      <c r="Z19" s="116">
        <v>2.3719380000000001</v>
      </c>
      <c r="AA19" s="116">
        <v>2.3845939999999999</v>
      </c>
      <c r="AB19" s="116">
        <v>2.4089230000000001</v>
      </c>
      <c r="AC19" s="116">
        <v>2.4264039999999998</v>
      </c>
      <c r="AD19" s="116">
        <v>2.4316460000000002</v>
      </c>
      <c r="AE19" s="116">
        <v>2.448693</v>
      </c>
      <c r="AF19" s="116">
        <v>2.4630399999999999</v>
      </c>
      <c r="AG19" s="116">
        <v>2.4740730000000002</v>
      </c>
      <c r="AH19" s="112">
        <v>9.9399999999999992E-3</v>
      </c>
    </row>
    <row r="20" spans="1:34" ht="15" customHeight="1" x14ac:dyDescent="0.25">
      <c r="A20" s="8" t="s">
        <v>2734</v>
      </c>
      <c r="B20" s="109" t="s">
        <v>39</v>
      </c>
      <c r="C20" s="120">
        <v>93.582397</v>
      </c>
      <c r="D20" s="120">
        <v>94.523658999999995</v>
      </c>
      <c r="E20" s="120">
        <v>95.346710000000002</v>
      </c>
      <c r="F20" s="120">
        <v>96.302993999999998</v>
      </c>
      <c r="G20" s="120">
        <v>97.337845000000002</v>
      </c>
      <c r="H20" s="120">
        <v>98.385131999999999</v>
      </c>
      <c r="I20" s="120">
        <v>99.418007000000003</v>
      </c>
      <c r="J20" s="120">
        <v>100.435867</v>
      </c>
      <c r="K20" s="120">
        <v>101.440735</v>
      </c>
      <c r="L20" s="120">
        <v>102.432587</v>
      </c>
      <c r="M20" s="120">
        <v>103.426018</v>
      </c>
      <c r="N20" s="120">
        <v>104.436516</v>
      </c>
      <c r="O20" s="120">
        <v>105.47370100000001</v>
      </c>
      <c r="P20" s="120">
        <v>106.52668799999999</v>
      </c>
      <c r="Q20" s="120">
        <v>107.58678399999999</v>
      </c>
      <c r="R20" s="120">
        <v>108.643562</v>
      </c>
      <c r="S20" s="120">
        <v>109.68611900000001</v>
      </c>
      <c r="T20" s="120">
        <v>110.70533</v>
      </c>
      <c r="U20" s="120">
        <v>111.715248</v>
      </c>
      <c r="V20" s="120">
        <v>112.72905</v>
      </c>
      <c r="W20" s="120">
        <v>113.76078800000001</v>
      </c>
      <c r="X20" s="120">
        <v>114.80397000000001</v>
      </c>
      <c r="Y20" s="120">
        <v>115.85629299999999</v>
      </c>
      <c r="Z20" s="120">
        <v>116.915871</v>
      </c>
      <c r="AA20" s="120">
        <v>117.977081</v>
      </c>
      <c r="AB20" s="120">
        <v>119.05152099999999</v>
      </c>
      <c r="AC20" s="120">
        <v>120.132271</v>
      </c>
      <c r="AD20" s="120">
        <v>121.20697</v>
      </c>
      <c r="AE20" s="120">
        <v>122.28743</v>
      </c>
      <c r="AF20" s="120">
        <v>123.37091100000001</v>
      </c>
      <c r="AG20" s="120">
        <v>124.454002</v>
      </c>
      <c r="AH20" s="114">
        <v>9.5479999999999992E-3</v>
      </c>
    </row>
    <row r="22" spans="1:34" ht="15" customHeight="1" x14ac:dyDescent="0.25">
      <c r="B22" s="109" t="s">
        <v>2733</v>
      </c>
    </row>
    <row r="23" spans="1:34" ht="15" customHeight="1" x14ac:dyDescent="0.25">
      <c r="B23" s="109" t="s">
        <v>46</v>
      </c>
    </row>
    <row r="24" spans="1:34" ht="15" customHeight="1" x14ac:dyDescent="0.25">
      <c r="A24" s="8" t="s">
        <v>2732</v>
      </c>
      <c r="B24" s="110" t="s">
        <v>2757</v>
      </c>
      <c r="C24" s="116">
        <v>92.874618999999996</v>
      </c>
      <c r="D24" s="116">
        <v>94.294548000000006</v>
      </c>
      <c r="E24" s="116">
        <v>94.450385999999995</v>
      </c>
      <c r="F24" s="116">
        <v>95.745604999999998</v>
      </c>
      <c r="G24" s="116">
        <v>96.579139999999995</v>
      </c>
      <c r="H24" s="116">
        <v>97.300017999999994</v>
      </c>
      <c r="I24" s="116">
        <v>96.721396999999996</v>
      </c>
      <c r="J24" s="116">
        <v>96.050078999999997</v>
      </c>
      <c r="K24" s="116">
        <v>95.358665000000002</v>
      </c>
      <c r="L24" s="116">
        <v>94.638687000000004</v>
      </c>
      <c r="M24" s="116">
        <v>93.739624000000006</v>
      </c>
      <c r="N24" s="116">
        <v>92.984718000000001</v>
      </c>
      <c r="O24" s="116">
        <v>92.321533000000002</v>
      </c>
      <c r="P24" s="116">
        <v>91.710487000000001</v>
      </c>
      <c r="Q24" s="116">
        <v>91.153137000000001</v>
      </c>
      <c r="R24" s="116">
        <v>90.682868999999997</v>
      </c>
      <c r="S24" s="116">
        <v>90.265136999999996</v>
      </c>
      <c r="T24" s="116">
        <v>89.870987</v>
      </c>
      <c r="U24" s="116">
        <v>89.506484999999998</v>
      </c>
      <c r="V24" s="116">
        <v>89.175758000000002</v>
      </c>
      <c r="W24" s="116">
        <v>88.824623000000003</v>
      </c>
      <c r="X24" s="116">
        <v>88.516159000000002</v>
      </c>
      <c r="Y24" s="116">
        <v>88.219268999999997</v>
      </c>
      <c r="Z24" s="116">
        <v>87.951149000000001</v>
      </c>
      <c r="AA24" s="116">
        <v>87.700019999999995</v>
      </c>
      <c r="AB24" s="116">
        <v>87.469573999999994</v>
      </c>
      <c r="AC24" s="116">
        <v>87.278946000000005</v>
      </c>
      <c r="AD24" s="116">
        <v>87.134293</v>
      </c>
      <c r="AE24" s="116">
        <v>87.040024000000003</v>
      </c>
      <c r="AF24" s="116">
        <v>86.972649000000004</v>
      </c>
      <c r="AG24" s="116">
        <v>86.917884999999998</v>
      </c>
      <c r="AH24" s="112">
        <v>-2.2070000000000002E-3</v>
      </c>
    </row>
    <row r="25" spans="1:34" ht="15" customHeight="1" x14ac:dyDescent="0.25">
      <c r="A25" s="8" t="s">
        <v>2730</v>
      </c>
      <c r="B25" s="110" t="s">
        <v>2731</v>
      </c>
      <c r="C25" s="116">
        <v>91.926215999999997</v>
      </c>
      <c r="D25" s="116">
        <v>93.228499999999997</v>
      </c>
      <c r="E25" s="116">
        <v>93.309250000000006</v>
      </c>
      <c r="F25" s="116">
        <v>94.569321000000002</v>
      </c>
      <c r="G25" s="116">
        <v>95.378639000000007</v>
      </c>
      <c r="H25" s="116">
        <v>96.045638999999994</v>
      </c>
      <c r="I25" s="116">
        <v>95.439926</v>
      </c>
      <c r="J25" s="116">
        <v>94.708832000000001</v>
      </c>
      <c r="K25" s="116">
        <v>93.984549999999999</v>
      </c>
      <c r="L25" s="116">
        <v>93.232414000000006</v>
      </c>
      <c r="M25" s="116">
        <v>92.306174999999996</v>
      </c>
      <c r="N25" s="116">
        <v>91.506004000000004</v>
      </c>
      <c r="O25" s="116">
        <v>90.829536000000004</v>
      </c>
      <c r="P25" s="116">
        <v>90.189589999999995</v>
      </c>
      <c r="Q25" s="116">
        <v>89.605850000000004</v>
      </c>
      <c r="R25" s="116">
        <v>89.103522999999996</v>
      </c>
      <c r="S25" s="116">
        <v>88.633148000000006</v>
      </c>
      <c r="T25" s="116">
        <v>88.210898999999998</v>
      </c>
      <c r="U25" s="116">
        <v>87.809646999999998</v>
      </c>
      <c r="V25" s="116">
        <v>87.444687000000002</v>
      </c>
      <c r="W25" s="116">
        <v>87.057006999999999</v>
      </c>
      <c r="X25" s="116">
        <v>86.716453999999999</v>
      </c>
      <c r="Y25" s="116">
        <v>86.387978000000004</v>
      </c>
      <c r="Z25" s="116">
        <v>86.089034999999996</v>
      </c>
      <c r="AA25" s="116">
        <v>85.813766000000001</v>
      </c>
      <c r="AB25" s="116">
        <v>85.553154000000006</v>
      </c>
      <c r="AC25" s="116">
        <v>85.314498999999998</v>
      </c>
      <c r="AD25" s="116">
        <v>85.154808000000003</v>
      </c>
      <c r="AE25" s="116">
        <v>85.049712999999997</v>
      </c>
      <c r="AF25" s="116">
        <v>84.980926999999994</v>
      </c>
      <c r="AG25" s="116">
        <v>84.917252000000005</v>
      </c>
      <c r="AH25" s="112">
        <v>-2.64E-3</v>
      </c>
    </row>
    <row r="27" spans="1:34" ht="15" customHeight="1" x14ac:dyDescent="0.25">
      <c r="B27" s="109" t="s">
        <v>2758</v>
      </c>
    </row>
    <row r="28" spans="1:34" ht="15" customHeight="1" x14ac:dyDescent="0.25">
      <c r="B28" s="109" t="s">
        <v>2759</v>
      </c>
    </row>
    <row r="29" spans="1:34" ht="15" customHeight="1" x14ac:dyDescent="0.25">
      <c r="A29" s="8" t="s">
        <v>2729</v>
      </c>
      <c r="B29" s="110" t="s">
        <v>2810</v>
      </c>
      <c r="C29" s="111">
        <v>0.113108</v>
      </c>
      <c r="D29" s="111">
        <v>0.115901</v>
      </c>
      <c r="E29" s="111">
        <v>0.11478099999999999</v>
      </c>
      <c r="F29" s="111">
        <v>0.114161</v>
      </c>
      <c r="G29" s="111">
        <v>0.11368499999999999</v>
      </c>
      <c r="H29" s="111">
        <v>0.11312800000000001</v>
      </c>
      <c r="I29" s="111">
        <v>0.112423</v>
      </c>
      <c r="J29" s="111">
        <v>0.11151899999999999</v>
      </c>
      <c r="K29" s="111">
        <v>0.110527</v>
      </c>
      <c r="L29" s="111">
        <v>0.10946500000000001</v>
      </c>
      <c r="M29" s="111">
        <v>0.108322</v>
      </c>
      <c r="N29" s="111">
        <v>0.107237</v>
      </c>
      <c r="O29" s="111">
        <v>0.106139</v>
      </c>
      <c r="P29" s="111">
        <v>0.10502400000000001</v>
      </c>
      <c r="Q29" s="111">
        <v>0.10392700000000001</v>
      </c>
      <c r="R29" s="111">
        <v>0.102731</v>
      </c>
      <c r="S29" s="111">
        <v>0.101536</v>
      </c>
      <c r="T29" s="111">
        <v>0.10032000000000001</v>
      </c>
      <c r="U29" s="111">
        <v>9.9071999999999993E-2</v>
      </c>
      <c r="V29" s="111">
        <v>9.7779000000000005E-2</v>
      </c>
      <c r="W29" s="111">
        <v>9.6482999999999999E-2</v>
      </c>
      <c r="X29" s="111">
        <v>9.5223000000000002E-2</v>
      </c>
      <c r="Y29" s="111">
        <v>9.393E-2</v>
      </c>
      <c r="Z29" s="111">
        <v>9.2608999999999997E-2</v>
      </c>
      <c r="AA29" s="111">
        <v>9.1304999999999997E-2</v>
      </c>
      <c r="AB29" s="111">
        <v>8.9989E-2</v>
      </c>
      <c r="AC29" s="111">
        <v>8.8691000000000006E-2</v>
      </c>
      <c r="AD29" s="111">
        <v>8.7389999999999995E-2</v>
      </c>
      <c r="AE29" s="111">
        <v>8.6102999999999999E-2</v>
      </c>
      <c r="AF29" s="111">
        <v>8.4830000000000003E-2</v>
      </c>
      <c r="AG29" s="111">
        <v>8.3562999999999998E-2</v>
      </c>
      <c r="AH29" s="112">
        <v>-1.0041E-2</v>
      </c>
    </row>
    <row r="30" spans="1:34" ht="15" customHeight="1" x14ac:dyDescent="0.25">
      <c r="A30" s="8" t="s">
        <v>2728</v>
      </c>
      <c r="B30" s="110" t="s">
        <v>2811</v>
      </c>
      <c r="C30" s="111">
        <v>0.53048399999999996</v>
      </c>
      <c r="D30" s="111">
        <v>0.49940099999999998</v>
      </c>
      <c r="E30" s="111">
        <v>0.54127000000000003</v>
      </c>
      <c r="F30" s="111">
        <v>0.54580099999999998</v>
      </c>
      <c r="G30" s="111">
        <v>0.55119300000000004</v>
      </c>
      <c r="H30" s="111">
        <v>0.55642000000000003</v>
      </c>
      <c r="I30" s="111">
        <v>0.56096599999999996</v>
      </c>
      <c r="J30" s="111">
        <v>0.56501500000000004</v>
      </c>
      <c r="K30" s="111">
        <v>0.56886400000000004</v>
      </c>
      <c r="L30" s="111">
        <v>0.57253799999999999</v>
      </c>
      <c r="M30" s="111">
        <v>0.57571300000000003</v>
      </c>
      <c r="N30" s="111">
        <v>0.57973799999999998</v>
      </c>
      <c r="O30" s="111">
        <v>0.58424699999999996</v>
      </c>
      <c r="P30" s="111">
        <v>0.589036</v>
      </c>
      <c r="Q30" s="111">
        <v>0.59434299999999995</v>
      </c>
      <c r="R30" s="111">
        <v>0.60035700000000003</v>
      </c>
      <c r="S30" s="111">
        <v>0.60645899999999997</v>
      </c>
      <c r="T30" s="111">
        <v>0.61268100000000003</v>
      </c>
      <c r="U30" s="111">
        <v>0.61884399999999995</v>
      </c>
      <c r="V30" s="111">
        <v>0.62501600000000002</v>
      </c>
      <c r="W30" s="111">
        <v>0.63111899999999999</v>
      </c>
      <c r="X30" s="111">
        <v>0.63766900000000004</v>
      </c>
      <c r="Y30" s="111">
        <v>0.64483199999999996</v>
      </c>
      <c r="Z30" s="111">
        <v>0.65201200000000004</v>
      </c>
      <c r="AA30" s="111">
        <v>0.65969199999999995</v>
      </c>
      <c r="AB30" s="111">
        <v>0.66742400000000002</v>
      </c>
      <c r="AC30" s="111">
        <v>0.67552199999999996</v>
      </c>
      <c r="AD30" s="111">
        <v>0.68384199999999995</v>
      </c>
      <c r="AE30" s="111">
        <v>0.69297200000000003</v>
      </c>
      <c r="AF30" s="111">
        <v>0.70240400000000003</v>
      </c>
      <c r="AG30" s="111">
        <v>0.71213800000000005</v>
      </c>
      <c r="AH30" s="112">
        <v>9.8639999999999995E-3</v>
      </c>
    </row>
    <row r="31" spans="1:34" x14ac:dyDescent="0.25">
      <c r="A31" s="8" t="s">
        <v>2727</v>
      </c>
      <c r="B31" s="110" t="s">
        <v>2812</v>
      </c>
      <c r="C31" s="111">
        <v>2.5259E-2</v>
      </c>
      <c r="D31" s="111">
        <v>2.4811E-2</v>
      </c>
      <c r="E31" s="111">
        <v>2.4421999999999999E-2</v>
      </c>
      <c r="F31" s="111">
        <v>2.4157000000000001E-2</v>
      </c>
      <c r="G31" s="111">
        <v>2.3959000000000001E-2</v>
      </c>
      <c r="H31" s="111">
        <v>2.3758000000000001E-2</v>
      </c>
      <c r="I31" s="111">
        <v>2.3536000000000001E-2</v>
      </c>
      <c r="J31" s="111">
        <v>2.3290000000000002E-2</v>
      </c>
      <c r="K31" s="111">
        <v>2.3033999999999999E-2</v>
      </c>
      <c r="L31" s="111">
        <v>2.2773000000000002E-2</v>
      </c>
      <c r="M31" s="111">
        <v>2.2513999999999999E-2</v>
      </c>
      <c r="N31" s="111">
        <v>2.2266999999999999E-2</v>
      </c>
      <c r="O31" s="111">
        <v>2.2034999999999999E-2</v>
      </c>
      <c r="P31" s="111">
        <v>2.1814E-2</v>
      </c>
      <c r="Q31" s="111">
        <v>2.1606E-2</v>
      </c>
      <c r="R31" s="111">
        <v>2.1409999999999998E-2</v>
      </c>
      <c r="S31" s="111">
        <v>2.1221E-2</v>
      </c>
      <c r="T31" s="111">
        <v>2.1028999999999999E-2</v>
      </c>
      <c r="U31" s="111">
        <v>2.0830000000000001E-2</v>
      </c>
      <c r="V31" s="111">
        <v>2.0631E-2</v>
      </c>
      <c r="W31" s="111">
        <v>2.0435999999999999E-2</v>
      </c>
      <c r="X31" s="111">
        <v>2.0261999999999999E-2</v>
      </c>
      <c r="Y31" s="111">
        <v>2.0094000000000001E-2</v>
      </c>
      <c r="Z31" s="111">
        <v>1.993E-2</v>
      </c>
      <c r="AA31" s="111">
        <v>1.9769999999999999E-2</v>
      </c>
      <c r="AB31" s="111">
        <v>1.9612000000000001E-2</v>
      </c>
      <c r="AC31" s="111">
        <v>1.9456999999999999E-2</v>
      </c>
      <c r="AD31" s="111">
        <v>1.9306E-2</v>
      </c>
      <c r="AE31" s="111">
        <v>1.9164E-2</v>
      </c>
      <c r="AF31" s="111">
        <v>1.9032E-2</v>
      </c>
      <c r="AG31" s="111">
        <v>1.89E-2</v>
      </c>
      <c r="AH31" s="112">
        <v>-9.6200000000000001E-3</v>
      </c>
    </row>
    <row r="32" spans="1:34" x14ac:dyDescent="0.25">
      <c r="A32" s="8" t="s">
        <v>2726</v>
      </c>
      <c r="B32" s="110" t="s">
        <v>2688</v>
      </c>
      <c r="C32" s="111">
        <v>0.50582700000000003</v>
      </c>
      <c r="D32" s="111">
        <v>0.501606</v>
      </c>
      <c r="E32" s="111">
        <v>0.49821599999999999</v>
      </c>
      <c r="F32" s="111">
        <v>0.49702400000000002</v>
      </c>
      <c r="G32" s="111">
        <v>0.49727700000000002</v>
      </c>
      <c r="H32" s="111">
        <v>0.497199</v>
      </c>
      <c r="I32" s="111">
        <v>0.48862499999999998</v>
      </c>
      <c r="J32" s="111">
        <v>0.48024600000000001</v>
      </c>
      <c r="K32" s="111">
        <v>0.472302</v>
      </c>
      <c r="L32" s="111">
        <v>0.46496799999999999</v>
      </c>
      <c r="M32" s="111">
        <v>0.45758700000000002</v>
      </c>
      <c r="N32" s="111">
        <v>0.45099099999999998</v>
      </c>
      <c r="O32" s="111">
        <v>0.44511499999999998</v>
      </c>
      <c r="P32" s="111">
        <v>0.43976900000000002</v>
      </c>
      <c r="Q32" s="111">
        <v>0.43518499999999999</v>
      </c>
      <c r="R32" s="111">
        <v>0.43122300000000002</v>
      </c>
      <c r="S32" s="111">
        <v>0.42785899999999999</v>
      </c>
      <c r="T32" s="111">
        <v>0.42490099999999997</v>
      </c>
      <c r="U32" s="111">
        <v>0.422213</v>
      </c>
      <c r="V32" s="111">
        <v>0.41984700000000003</v>
      </c>
      <c r="W32" s="111">
        <v>0.41677199999999998</v>
      </c>
      <c r="X32" s="111">
        <v>0.41436699999999999</v>
      </c>
      <c r="Y32" s="111">
        <v>0.41240500000000002</v>
      </c>
      <c r="Z32" s="111">
        <v>0.41082099999999999</v>
      </c>
      <c r="AA32" s="111">
        <v>0.40966599999999997</v>
      </c>
      <c r="AB32" s="111">
        <v>0.40884999999999999</v>
      </c>
      <c r="AC32" s="111">
        <v>0.40842000000000001</v>
      </c>
      <c r="AD32" s="111">
        <v>0.408362</v>
      </c>
      <c r="AE32" s="111">
        <v>0.408748</v>
      </c>
      <c r="AF32" s="111">
        <v>0.40959499999999999</v>
      </c>
      <c r="AG32" s="111">
        <v>0.41073399999999999</v>
      </c>
      <c r="AH32" s="112">
        <v>-6.9179999999999997E-3</v>
      </c>
    </row>
    <row r="33" spans="1:34" x14ac:dyDescent="0.25">
      <c r="A33" s="8" t="s">
        <v>2725</v>
      </c>
      <c r="B33" s="110" t="s">
        <v>58</v>
      </c>
      <c r="C33" s="111">
        <v>8.4764999999999993E-2</v>
      </c>
      <c r="D33" s="111">
        <v>8.4110000000000004E-2</v>
      </c>
      <c r="E33" s="111">
        <v>8.3668999999999993E-2</v>
      </c>
      <c r="F33" s="111">
        <v>8.3581000000000003E-2</v>
      </c>
      <c r="G33" s="111">
        <v>8.3670999999999995E-2</v>
      </c>
      <c r="H33" s="111">
        <v>8.3723000000000006E-2</v>
      </c>
      <c r="I33" s="111">
        <v>8.3681000000000005E-2</v>
      </c>
      <c r="J33" s="111">
        <v>8.3543999999999993E-2</v>
      </c>
      <c r="K33" s="111">
        <v>8.3345000000000002E-2</v>
      </c>
      <c r="L33" s="111">
        <v>8.3090999999999998E-2</v>
      </c>
      <c r="M33" s="111">
        <v>8.2788E-2</v>
      </c>
      <c r="N33" s="111">
        <v>8.2504999999999995E-2</v>
      </c>
      <c r="O33" s="111">
        <v>8.2242999999999997E-2</v>
      </c>
      <c r="P33" s="111">
        <v>8.1995999999999999E-2</v>
      </c>
      <c r="Q33" s="111">
        <v>8.1770999999999996E-2</v>
      </c>
      <c r="R33" s="111">
        <v>8.1555000000000002E-2</v>
      </c>
      <c r="S33" s="111">
        <v>8.133E-2</v>
      </c>
      <c r="T33" s="111">
        <v>8.1077999999999997E-2</v>
      </c>
      <c r="U33" s="111">
        <v>8.0789E-2</v>
      </c>
      <c r="V33" s="111">
        <v>8.0484E-2</v>
      </c>
      <c r="W33" s="111">
        <v>8.0180000000000001E-2</v>
      </c>
      <c r="X33" s="111">
        <v>7.9950999999999994E-2</v>
      </c>
      <c r="Y33" s="111">
        <v>7.9723000000000002E-2</v>
      </c>
      <c r="Z33" s="111">
        <v>7.9502000000000003E-2</v>
      </c>
      <c r="AA33" s="111">
        <v>7.9274999999999998E-2</v>
      </c>
      <c r="AB33" s="111">
        <v>7.9034999999999994E-2</v>
      </c>
      <c r="AC33" s="111">
        <v>7.8794000000000003E-2</v>
      </c>
      <c r="AD33" s="111">
        <v>7.8550999999999996E-2</v>
      </c>
      <c r="AE33" s="111">
        <v>7.8322000000000003E-2</v>
      </c>
      <c r="AF33" s="111">
        <v>7.8112000000000001E-2</v>
      </c>
      <c r="AG33" s="111">
        <v>7.7890000000000001E-2</v>
      </c>
      <c r="AH33" s="112">
        <v>-2.8159999999999999E-3</v>
      </c>
    </row>
    <row r="34" spans="1:34" x14ac:dyDescent="0.25">
      <c r="A34" s="8" t="s">
        <v>2724</v>
      </c>
      <c r="B34" s="110" t="s">
        <v>64</v>
      </c>
      <c r="C34" s="111">
        <v>0.53477300000000005</v>
      </c>
      <c r="D34" s="111">
        <v>0.51842600000000005</v>
      </c>
      <c r="E34" s="111">
        <v>0.50512299999999999</v>
      </c>
      <c r="F34" s="111">
        <v>0.49513200000000002</v>
      </c>
      <c r="G34" s="111">
        <v>0.48716599999999999</v>
      </c>
      <c r="H34" s="111">
        <v>0.480211</v>
      </c>
      <c r="I34" s="111">
        <v>0.47419899999999998</v>
      </c>
      <c r="J34" s="111">
        <v>0.46879700000000002</v>
      </c>
      <c r="K34" s="111">
        <v>0.461557</v>
      </c>
      <c r="L34" s="111">
        <v>0.45454499999999998</v>
      </c>
      <c r="M34" s="111">
        <v>0.44033699999999998</v>
      </c>
      <c r="N34" s="111">
        <v>0.428149</v>
      </c>
      <c r="O34" s="111">
        <v>0.41752400000000001</v>
      </c>
      <c r="P34" s="111">
        <v>0.408416</v>
      </c>
      <c r="Q34" s="111">
        <v>0.40073199999999998</v>
      </c>
      <c r="R34" s="111">
        <v>0.394175</v>
      </c>
      <c r="S34" s="111">
        <v>0.38869199999999998</v>
      </c>
      <c r="T34" s="111">
        <v>0.38391700000000001</v>
      </c>
      <c r="U34" s="111">
        <v>0.379658</v>
      </c>
      <c r="V34" s="111">
        <v>0.37587700000000002</v>
      </c>
      <c r="W34" s="111">
        <v>0.370444</v>
      </c>
      <c r="X34" s="111">
        <v>0.36624499999999999</v>
      </c>
      <c r="Y34" s="111">
        <v>0.36268800000000001</v>
      </c>
      <c r="Z34" s="111">
        <v>0.35947400000000002</v>
      </c>
      <c r="AA34" s="111">
        <v>0.35683799999999999</v>
      </c>
      <c r="AB34" s="111">
        <v>0.35471000000000003</v>
      </c>
      <c r="AC34" s="111">
        <v>0.353074</v>
      </c>
      <c r="AD34" s="111">
        <v>0.35192200000000001</v>
      </c>
      <c r="AE34" s="111">
        <v>0.35126499999999999</v>
      </c>
      <c r="AF34" s="111">
        <v>0.35107500000000003</v>
      </c>
      <c r="AG34" s="111">
        <v>0.351211</v>
      </c>
      <c r="AH34" s="112">
        <v>-1.3917000000000001E-2</v>
      </c>
    </row>
    <row r="35" spans="1:34" x14ac:dyDescent="0.25">
      <c r="A35" s="8" t="s">
        <v>2723</v>
      </c>
      <c r="B35" s="110" t="s">
        <v>56</v>
      </c>
      <c r="C35" s="111">
        <v>0.65267500000000001</v>
      </c>
      <c r="D35" s="111">
        <v>0.64821899999999999</v>
      </c>
      <c r="E35" s="111">
        <v>0.64407099999999995</v>
      </c>
      <c r="F35" s="111">
        <v>0.64253700000000002</v>
      </c>
      <c r="G35" s="111">
        <v>0.64270700000000003</v>
      </c>
      <c r="H35" s="111">
        <v>0.64365099999999997</v>
      </c>
      <c r="I35" s="111">
        <v>0.64488599999999996</v>
      </c>
      <c r="J35" s="111">
        <v>0.64618600000000004</v>
      </c>
      <c r="K35" s="111">
        <v>0.64755200000000002</v>
      </c>
      <c r="L35" s="111">
        <v>0.649011</v>
      </c>
      <c r="M35" s="111">
        <v>0.64871100000000004</v>
      </c>
      <c r="N35" s="111">
        <v>0.649393</v>
      </c>
      <c r="O35" s="111">
        <v>0.65064699999999998</v>
      </c>
      <c r="P35" s="111">
        <v>0.65229899999999996</v>
      </c>
      <c r="Q35" s="111">
        <v>0.65434400000000004</v>
      </c>
      <c r="R35" s="111">
        <v>0.65670899999999999</v>
      </c>
      <c r="S35" s="111">
        <v>0.65926700000000005</v>
      </c>
      <c r="T35" s="111">
        <v>0.66180799999999995</v>
      </c>
      <c r="U35" s="111">
        <v>0.66427700000000001</v>
      </c>
      <c r="V35" s="111">
        <v>0.66683599999999998</v>
      </c>
      <c r="W35" s="111">
        <v>0.66918900000000003</v>
      </c>
      <c r="X35" s="111">
        <v>0.67248399999999997</v>
      </c>
      <c r="Y35" s="111">
        <v>0.67595899999999998</v>
      </c>
      <c r="Z35" s="111">
        <v>0.67956899999999998</v>
      </c>
      <c r="AA35" s="111">
        <v>0.68328</v>
      </c>
      <c r="AB35" s="111">
        <v>0.68710199999999999</v>
      </c>
      <c r="AC35" s="111">
        <v>0.69105099999999997</v>
      </c>
      <c r="AD35" s="111">
        <v>0.69503999999999999</v>
      </c>
      <c r="AE35" s="111">
        <v>0.69916199999999995</v>
      </c>
      <c r="AF35" s="111">
        <v>0.70339700000000005</v>
      </c>
      <c r="AG35" s="111">
        <v>0.70757099999999995</v>
      </c>
      <c r="AH35" s="112">
        <v>2.696E-3</v>
      </c>
    </row>
    <row r="36" spans="1:34" x14ac:dyDescent="0.25">
      <c r="A36" s="8" t="s">
        <v>2722</v>
      </c>
      <c r="B36" s="110" t="s">
        <v>2683</v>
      </c>
      <c r="C36" s="111">
        <v>0.33015899999999998</v>
      </c>
      <c r="D36" s="111">
        <v>0.32575500000000002</v>
      </c>
      <c r="E36" s="111">
        <v>0.32198100000000002</v>
      </c>
      <c r="F36" s="111">
        <v>0.31943500000000002</v>
      </c>
      <c r="G36" s="111">
        <v>0.31791799999999998</v>
      </c>
      <c r="H36" s="111">
        <v>0.31721500000000002</v>
      </c>
      <c r="I36" s="111">
        <v>0.31684099999999998</v>
      </c>
      <c r="J36" s="111">
        <v>0.31725399999999998</v>
      </c>
      <c r="K36" s="111">
        <v>0.31851200000000002</v>
      </c>
      <c r="L36" s="111">
        <v>0.32017899999999999</v>
      </c>
      <c r="M36" s="111">
        <v>0.32181300000000002</v>
      </c>
      <c r="N36" s="111">
        <v>0.32437700000000003</v>
      </c>
      <c r="O36" s="111">
        <v>0.32749299999999998</v>
      </c>
      <c r="P36" s="111">
        <v>0.330646</v>
      </c>
      <c r="Q36" s="111">
        <v>0.33385999999999999</v>
      </c>
      <c r="R36" s="111">
        <v>0.33760699999999999</v>
      </c>
      <c r="S36" s="111">
        <v>0.34136899999999998</v>
      </c>
      <c r="T36" s="111">
        <v>0.34508699999999998</v>
      </c>
      <c r="U36" s="111">
        <v>0.34877999999999998</v>
      </c>
      <c r="V36" s="111">
        <v>0.35195799999999999</v>
      </c>
      <c r="W36" s="111">
        <v>0.355182</v>
      </c>
      <c r="X36" s="111">
        <v>0.35843700000000001</v>
      </c>
      <c r="Y36" s="111">
        <v>0.360651</v>
      </c>
      <c r="Z36" s="111">
        <v>0.362867</v>
      </c>
      <c r="AA36" s="111">
        <v>0.36398999999999998</v>
      </c>
      <c r="AB36" s="111">
        <v>0.36454700000000001</v>
      </c>
      <c r="AC36" s="111">
        <v>0.36452400000000001</v>
      </c>
      <c r="AD36" s="111">
        <v>0.36388300000000001</v>
      </c>
      <c r="AE36" s="111">
        <v>0.36150700000000002</v>
      </c>
      <c r="AF36" s="111">
        <v>0.35849500000000001</v>
      </c>
      <c r="AG36" s="111">
        <v>0.35363800000000001</v>
      </c>
      <c r="AH36" s="112">
        <v>2.2929999999999999E-3</v>
      </c>
    </row>
    <row r="37" spans="1:34" x14ac:dyDescent="0.25">
      <c r="A37" s="8" t="s">
        <v>2721</v>
      </c>
      <c r="B37" s="110" t="s">
        <v>2681</v>
      </c>
      <c r="C37" s="111">
        <v>0.43508599999999997</v>
      </c>
      <c r="D37" s="111">
        <v>0.45525500000000002</v>
      </c>
      <c r="E37" s="111">
        <v>0.47462599999999999</v>
      </c>
      <c r="F37" s="111">
        <v>0.49363299999999999</v>
      </c>
      <c r="G37" s="111">
        <v>0.51234199999999996</v>
      </c>
      <c r="H37" s="111">
        <v>0.53010999999999997</v>
      </c>
      <c r="I37" s="111">
        <v>0.54692700000000005</v>
      </c>
      <c r="J37" s="111">
        <v>0.56244799999999995</v>
      </c>
      <c r="K37" s="111">
        <v>0.57694500000000004</v>
      </c>
      <c r="L37" s="111">
        <v>0.59069700000000003</v>
      </c>
      <c r="M37" s="111">
        <v>0.60377199999999998</v>
      </c>
      <c r="N37" s="111">
        <v>0.61621899999999996</v>
      </c>
      <c r="O37" s="111">
        <v>0.62873000000000001</v>
      </c>
      <c r="P37" s="111">
        <v>0.64066800000000002</v>
      </c>
      <c r="Q37" s="111">
        <v>0.65253399999999995</v>
      </c>
      <c r="R37" s="111">
        <v>0.66425800000000002</v>
      </c>
      <c r="S37" s="111">
        <v>0.67603000000000002</v>
      </c>
      <c r="T37" s="111">
        <v>0.68746200000000002</v>
      </c>
      <c r="U37" s="111">
        <v>0.69917899999999999</v>
      </c>
      <c r="V37" s="111">
        <v>0.71102399999999999</v>
      </c>
      <c r="W37" s="111">
        <v>0.72371399999999997</v>
      </c>
      <c r="X37" s="111">
        <v>0.73691399999999996</v>
      </c>
      <c r="Y37" s="111">
        <v>0.75090299999999999</v>
      </c>
      <c r="Z37" s="111">
        <v>0.76567700000000005</v>
      </c>
      <c r="AA37" s="111">
        <v>0.78152600000000005</v>
      </c>
      <c r="AB37" s="111">
        <v>0.79853200000000002</v>
      </c>
      <c r="AC37" s="111">
        <v>0.81672599999999995</v>
      </c>
      <c r="AD37" s="111">
        <v>0.83667999999999998</v>
      </c>
      <c r="AE37" s="111">
        <v>0.85823199999999999</v>
      </c>
      <c r="AF37" s="111">
        <v>0.88141199999999997</v>
      </c>
      <c r="AG37" s="111">
        <v>0.90680700000000003</v>
      </c>
      <c r="AH37" s="112">
        <v>2.4781999999999998E-2</v>
      </c>
    </row>
    <row r="38" spans="1:34" x14ac:dyDescent="0.25">
      <c r="A38" s="8" t="s">
        <v>2720</v>
      </c>
      <c r="B38" s="110" t="s">
        <v>2714</v>
      </c>
      <c r="C38" s="111">
        <v>1.212048</v>
      </c>
      <c r="D38" s="111">
        <v>1.3228869999999999</v>
      </c>
      <c r="E38" s="111">
        <v>1.39411</v>
      </c>
      <c r="F38" s="111">
        <v>1.464612</v>
      </c>
      <c r="G38" s="111">
        <v>1.536923</v>
      </c>
      <c r="H38" s="111">
        <v>1.60941</v>
      </c>
      <c r="I38" s="111">
        <v>1.625645</v>
      </c>
      <c r="J38" s="111">
        <v>1.643251</v>
      </c>
      <c r="K38" s="111">
        <v>1.661111</v>
      </c>
      <c r="L38" s="111">
        <v>1.679179</v>
      </c>
      <c r="M38" s="111">
        <v>1.6976020000000001</v>
      </c>
      <c r="N38" s="111">
        <v>1.7165570000000001</v>
      </c>
      <c r="O38" s="111">
        <v>1.7368950000000001</v>
      </c>
      <c r="P38" s="111">
        <v>1.7580690000000001</v>
      </c>
      <c r="Q38" s="111">
        <v>1.780321</v>
      </c>
      <c r="R38" s="111">
        <v>1.803553</v>
      </c>
      <c r="S38" s="111">
        <v>1.827615</v>
      </c>
      <c r="T38" s="111">
        <v>1.8526530000000001</v>
      </c>
      <c r="U38" s="111">
        <v>1.8784940000000001</v>
      </c>
      <c r="V38" s="111">
        <v>1.90567</v>
      </c>
      <c r="W38" s="111">
        <v>1.9344079999999999</v>
      </c>
      <c r="X38" s="111">
        <v>1.9648099999999999</v>
      </c>
      <c r="Y38" s="111">
        <v>1.996669</v>
      </c>
      <c r="Z38" s="111">
        <v>2.0307490000000001</v>
      </c>
      <c r="AA38" s="111">
        <v>2.0661339999999999</v>
      </c>
      <c r="AB38" s="111">
        <v>2.1035840000000001</v>
      </c>
      <c r="AC38" s="111">
        <v>2.142973</v>
      </c>
      <c r="AD38" s="111">
        <v>2.1843140000000001</v>
      </c>
      <c r="AE38" s="111">
        <v>2.2280350000000002</v>
      </c>
      <c r="AF38" s="111">
        <v>2.2741159999999998</v>
      </c>
      <c r="AG38" s="111">
        <v>2.3226870000000002</v>
      </c>
      <c r="AH38" s="112">
        <v>2.1916999999999999E-2</v>
      </c>
    </row>
    <row r="39" spans="1:34" x14ac:dyDescent="0.25">
      <c r="A39" s="8" t="s">
        <v>2813</v>
      </c>
      <c r="B39" s="109" t="s">
        <v>2764</v>
      </c>
      <c r="C39" s="113">
        <v>4.4241840000000003</v>
      </c>
      <c r="D39" s="113">
        <v>4.4963730000000002</v>
      </c>
      <c r="E39" s="113">
        <v>4.6022679999999996</v>
      </c>
      <c r="F39" s="113">
        <v>4.6800730000000001</v>
      </c>
      <c r="G39" s="113">
        <v>4.7668400000000002</v>
      </c>
      <c r="H39" s="113">
        <v>4.8548249999999999</v>
      </c>
      <c r="I39" s="113">
        <v>4.8777280000000003</v>
      </c>
      <c r="J39" s="113">
        <v>4.9015500000000003</v>
      </c>
      <c r="K39" s="113">
        <v>4.9237479999999998</v>
      </c>
      <c r="L39" s="113">
        <v>4.946447</v>
      </c>
      <c r="M39" s="113">
        <v>4.9591589999999997</v>
      </c>
      <c r="N39" s="113">
        <v>4.9774320000000003</v>
      </c>
      <c r="O39" s="113">
        <v>5.0010669999999999</v>
      </c>
      <c r="P39" s="113">
        <v>5.0277370000000001</v>
      </c>
      <c r="Q39" s="113">
        <v>5.0586229999999999</v>
      </c>
      <c r="R39" s="113">
        <v>5.0935790000000001</v>
      </c>
      <c r="S39" s="113">
        <v>5.1313769999999996</v>
      </c>
      <c r="T39" s="113">
        <v>5.1709360000000002</v>
      </c>
      <c r="U39" s="113">
        <v>5.2121360000000001</v>
      </c>
      <c r="V39" s="113">
        <v>5.2551209999999999</v>
      </c>
      <c r="W39" s="113">
        <v>5.2979269999999996</v>
      </c>
      <c r="X39" s="113">
        <v>5.3463609999999999</v>
      </c>
      <c r="Y39" s="113">
        <v>5.3978539999999997</v>
      </c>
      <c r="Z39" s="113">
        <v>5.4532100000000003</v>
      </c>
      <c r="AA39" s="113">
        <v>5.5114770000000002</v>
      </c>
      <c r="AB39" s="113">
        <v>5.573385</v>
      </c>
      <c r="AC39" s="113">
        <v>5.6392319999999998</v>
      </c>
      <c r="AD39" s="113">
        <v>5.7092900000000002</v>
      </c>
      <c r="AE39" s="113">
        <v>5.7835109999999998</v>
      </c>
      <c r="AF39" s="113">
        <v>5.8624689999999999</v>
      </c>
      <c r="AG39" s="113">
        <v>5.945138</v>
      </c>
      <c r="AH39" s="114">
        <v>9.8980000000000005E-3</v>
      </c>
    </row>
    <row r="40" spans="1:34" x14ac:dyDescent="0.25">
      <c r="A40" s="8" t="s">
        <v>2814</v>
      </c>
      <c r="B40" s="110" t="s">
        <v>2766</v>
      </c>
      <c r="C40" s="111">
        <v>8.8754E-2</v>
      </c>
      <c r="D40" s="111">
        <v>0.100767</v>
      </c>
      <c r="E40" s="111">
        <v>0.108803</v>
      </c>
      <c r="F40" s="111">
        <v>0.11328000000000001</v>
      </c>
      <c r="G40" s="111">
        <v>0.116855</v>
      </c>
      <c r="H40" s="111">
        <v>0.12341199999999999</v>
      </c>
      <c r="I40" s="111">
        <v>0.12740099999999999</v>
      </c>
      <c r="J40" s="111">
        <v>0.13471</v>
      </c>
      <c r="K40" s="111">
        <v>0.13939099999999999</v>
      </c>
      <c r="L40" s="111">
        <v>0.14404900000000001</v>
      </c>
      <c r="M40" s="111">
        <v>0.148256</v>
      </c>
      <c r="N40" s="111">
        <v>0.15443200000000001</v>
      </c>
      <c r="O40" s="111">
        <v>0.15736600000000001</v>
      </c>
      <c r="P40" s="111">
        <v>0.16201599999999999</v>
      </c>
      <c r="Q40" s="111">
        <v>0.166467</v>
      </c>
      <c r="R40" s="111">
        <v>0.17158599999999999</v>
      </c>
      <c r="S40" s="111">
        <v>0.179007</v>
      </c>
      <c r="T40" s="111">
        <v>0.183781</v>
      </c>
      <c r="U40" s="111">
        <v>0.18956300000000001</v>
      </c>
      <c r="V40" s="111">
        <v>0.19514300000000001</v>
      </c>
      <c r="W40" s="111">
        <v>0.20108500000000001</v>
      </c>
      <c r="X40" s="111">
        <v>0.20661299999999999</v>
      </c>
      <c r="Y40" s="111">
        <v>0.21216699999999999</v>
      </c>
      <c r="Z40" s="111">
        <v>0.21770999999999999</v>
      </c>
      <c r="AA40" s="111">
        <v>0.22253400000000001</v>
      </c>
      <c r="AB40" s="111">
        <v>0.22815199999999999</v>
      </c>
      <c r="AC40" s="111">
        <v>0.23599400000000001</v>
      </c>
      <c r="AD40" s="111">
        <v>0.239927</v>
      </c>
      <c r="AE40" s="111">
        <v>0.24339</v>
      </c>
      <c r="AF40" s="111">
        <v>0.24571999999999999</v>
      </c>
      <c r="AG40" s="111">
        <v>0.24898600000000001</v>
      </c>
      <c r="AH40" s="112">
        <v>3.4981999999999999E-2</v>
      </c>
    </row>
    <row r="41" spans="1:34" x14ac:dyDescent="0.25">
      <c r="A41" s="8" t="s">
        <v>2815</v>
      </c>
      <c r="B41" s="109" t="s">
        <v>2768</v>
      </c>
      <c r="C41" s="113">
        <v>4.3354299999999997</v>
      </c>
      <c r="D41" s="113">
        <v>4.3956049999999998</v>
      </c>
      <c r="E41" s="113">
        <v>4.4934659999999997</v>
      </c>
      <c r="F41" s="113">
        <v>4.5667920000000004</v>
      </c>
      <c r="G41" s="113">
        <v>4.6499860000000002</v>
      </c>
      <c r="H41" s="113">
        <v>4.7314129999999999</v>
      </c>
      <c r="I41" s="113">
        <v>4.7503270000000004</v>
      </c>
      <c r="J41" s="113">
        <v>4.7668410000000003</v>
      </c>
      <c r="K41" s="113">
        <v>4.7843559999999998</v>
      </c>
      <c r="L41" s="113">
        <v>4.8023980000000002</v>
      </c>
      <c r="M41" s="113">
        <v>4.8109029999999997</v>
      </c>
      <c r="N41" s="113">
        <v>4.8230000000000004</v>
      </c>
      <c r="O41" s="113">
        <v>4.8437000000000001</v>
      </c>
      <c r="P41" s="113">
        <v>4.8657209999999997</v>
      </c>
      <c r="Q41" s="113">
        <v>4.8921559999999999</v>
      </c>
      <c r="R41" s="113">
        <v>4.9219929999999996</v>
      </c>
      <c r="S41" s="113">
        <v>4.9523710000000003</v>
      </c>
      <c r="T41" s="113">
        <v>4.9871549999999996</v>
      </c>
      <c r="U41" s="113">
        <v>5.0225730000000004</v>
      </c>
      <c r="V41" s="113">
        <v>5.0599780000000001</v>
      </c>
      <c r="W41" s="113">
        <v>5.0968419999999997</v>
      </c>
      <c r="X41" s="113">
        <v>5.139748</v>
      </c>
      <c r="Y41" s="113">
        <v>5.1856869999999997</v>
      </c>
      <c r="Z41" s="113">
        <v>5.2355</v>
      </c>
      <c r="AA41" s="113">
        <v>5.2889429999999997</v>
      </c>
      <c r="AB41" s="113">
        <v>5.3452320000000002</v>
      </c>
      <c r="AC41" s="113">
        <v>5.4032390000000001</v>
      </c>
      <c r="AD41" s="113">
        <v>5.4693630000000004</v>
      </c>
      <c r="AE41" s="113">
        <v>5.5401210000000001</v>
      </c>
      <c r="AF41" s="113">
        <v>5.6167480000000003</v>
      </c>
      <c r="AG41" s="113">
        <v>5.6961519999999997</v>
      </c>
      <c r="AH41" s="114">
        <v>9.1400000000000006E-3</v>
      </c>
    </row>
    <row r="43" spans="1:34" x14ac:dyDescent="0.25">
      <c r="B43" s="109" t="s">
        <v>75</v>
      </c>
    </row>
    <row r="44" spans="1:34" x14ac:dyDescent="0.25">
      <c r="A44" s="8" t="s">
        <v>2719</v>
      </c>
      <c r="B44" s="110" t="s">
        <v>2810</v>
      </c>
      <c r="C44" s="111">
        <v>1.772856</v>
      </c>
      <c r="D44" s="111">
        <v>1.8318430000000001</v>
      </c>
      <c r="E44" s="111">
        <v>1.8273820000000001</v>
      </c>
      <c r="F44" s="111">
        <v>1.8345530000000001</v>
      </c>
      <c r="G44" s="111">
        <v>1.8551150000000001</v>
      </c>
      <c r="H44" s="111">
        <v>1.86914</v>
      </c>
      <c r="I44" s="111">
        <v>1.8738030000000001</v>
      </c>
      <c r="J44" s="111">
        <v>1.8717539999999999</v>
      </c>
      <c r="K44" s="111">
        <v>1.868644</v>
      </c>
      <c r="L44" s="111">
        <v>1.8623510000000001</v>
      </c>
      <c r="M44" s="111">
        <v>1.8527690000000001</v>
      </c>
      <c r="N44" s="111">
        <v>1.8468869999999999</v>
      </c>
      <c r="O44" s="111">
        <v>1.8435029999999999</v>
      </c>
      <c r="P44" s="111">
        <v>1.8403339999999999</v>
      </c>
      <c r="Q44" s="111">
        <v>1.837623</v>
      </c>
      <c r="R44" s="111">
        <v>1.8362050000000001</v>
      </c>
      <c r="S44" s="111">
        <v>1.8349009999999999</v>
      </c>
      <c r="T44" s="111">
        <v>1.8327800000000001</v>
      </c>
      <c r="U44" s="111">
        <v>1.830921</v>
      </c>
      <c r="V44" s="111">
        <v>1.8291869999999999</v>
      </c>
      <c r="W44" s="111">
        <v>1.8272379999999999</v>
      </c>
      <c r="X44" s="111">
        <v>1.8246519999999999</v>
      </c>
      <c r="Y44" s="111">
        <v>1.820829</v>
      </c>
      <c r="Z44" s="111">
        <v>1.816435</v>
      </c>
      <c r="AA44" s="111">
        <v>1.811472</v>
      </c>
      <c r="AB44" s="111">
        <v>1.80613</v>
      </c>
      <c r="AC44" s="111">
        <v>1.8009390000000001</v>
      </c>
      <c r="AD44" s="111">
        <v>1.7959270000000001</v>
      </c>
      <c r="AE44" s="111">
        <v>1.791825</v>
      </c>
      <c r="AF44" s="111">
        <v>1.786999</v>
      </c>
      <c r="AG44" s="111">
        <v>1.780834</v>
      </c>
      <c r="AH44" s="112">
        <v>1.4999999999999999E-4</v>
      </c>
    </row>
    <row r="45" spans="1:34" x14ac:dyDescent="0.25">
      <c r="A45" s="8" t="s">
        <v>2718</v>
      </c>
      <c r="B45" s="110" t="s">
        <v>2811</v>
      </c>
      <c r="C45" s="111">
        <v>2.7616000000000002E-2</v>
      </c>
      <c r="D45" s="111">
        <v>2.3902E-2</v>
      </c>
      <c r="E45" s="111">
        <v>2.6169000000000001E-2</v>
      </c>
      <c r="F45" s="111">
        <v>2.6034000000000002E-2</v>
      </c>
      <c r="G45" s="111">
        <v>2.6061000000000001E-2</v>
      </c>
      <c r="H45" s="111">
        <v>2.6022E-2</v>
      </c>
      <c r="I45" s="111">
        <v>2.5873E-2</v>
      </c>
      <c r="J45" s="111">
        <v>2.5704000000000001E-2</v>
      </c>
      <c r="K45" s="111">
        <v>2.5538999999999999E-2</v>
      </c>
      <c r="L45" s="111">
        <v>2.5346E-2</v>
      </c>
      <c r="M45" s="111">
        <v>2.5099E-2</v>
      </c>
      <c r="N45" s="111">
        <v>2.4910000000000002E-2</v>
      </c>
      <c r="O45" s="111">
        <v>2.4764999999999999E-2</v>
      </c>
      <c r="P45" s="111">
        <v>2.4636000000000002E-2</v>
      </c>
      <c r="Q45" s="111">
        <v>2.4524000000000001E-2</v>
      </c>
      <c r="R45" s="111">
        <v>2.4441999999999998E-2</v>
      </c>
      <c r="S45" s="111">
        <v>2.4374E-2</v>
      </c>
      <c r="T45" s="111">
        <v>2.4313999999999999E-2</v>
      </c>
      <c r="U45" s="111">
        <v>2.4268000000000001E-2</v>
      </c>
      <c r="V45" s="111">
        <v>2.4244000000000002E-2</v>
      </c>
      <c r="W45" s="111">
        <v>2.4220999999999999E-2</v>
      </c>
      <c r="X45" s="111">
        <v>2.4191000000000001E-2</v>
      </c>
      <c r="Y45" s="111">
        <v>2.4163E-2</v>
      </c>
      <c r="Z45" s="111">
        <v>2.4128E-2</v>
      </c>
      <c r="AA45" s="111">
        <v>2.4105999999999999E-2</v>
      </c>
      <c r="AB45" s="111">
        <v>2.409E-2</v>
      </c>
      <c r="AC45" s="111">
        <v>2.4081000000000002E-2</v>
      </c>
      <c r="AD45" s="111">
        <v>2.4088999999999999E-2</v>
      </c>
      <c r="AE45" s="111">
        <v>2.4138E-2</v>
      </c>
      <c r="AF45" s="111">
        <v>2.4176E-2</v>
      </c>
      <c r="AG45" s="111">
        <v>2.4209000000000001E-2</v>
      </c>
      <c r="AH45" s="112">
        <v>-4.3800000000000002E-3</v>
      </c>
    </row>
    <row r="46" spans="1:34" x14ac:dyDescent="0.25">
      <c r="A46" s="8" t="s">
        <v>2717</v>
      </c>
      <c r="B46" s="110" t="s">
        <v>2812</v>
      </c>
      <c r="C46" s="111">
        <v>0.61248599999999997</v>
      </c>
      <c r="D46" s="111">
        <v>0.61118399999999995</v>
      </c>
      <c r="E46" s="111">
        <v>0.61050000000000004</v>
      </c>
      <c r="F46" s="111">
        <v>0.61542799999999998</v>
      </c>
      <c r="G46" s="111">
        <v>0.62461900000000004</v>
      </c>
      <c r="H46" s="111">
        <v>0.63197999999999999</v>
      </c>
      <c r="I46" s="111">
        <v>0.63673299999999999</v>
      </c>
      <c r="J46" s="111">
        <v>0.63974600000000004</v>
      </c>
      <c r="K46" s="111">
        <v>0.64255799999999996</v>
      </c>
      <c r="L46" s="111">
        <v>0.64451400000000003</v>
      </c>
      <c r="M46" s="111">
        <v>0.64402599999999999</v>
      </c>
      <c r="N46" s="111">
        <v>0.64512199999999997</v>
      </c>
      <c r="O46" s="111">
        <v>0.647698</v>
      </c>
      <c r="P46" s="111">
        <v>0.65103100000000003</v>
      </c>
      <c r="Q46" s="111">
        <v>0.65477700000000005</v>
      </c>
      <c r="R46" s="111">
        <v>0.65908100000000003</v>
      </c>
      <c r="S46" s="111">
        <v>0.66358399999999995</v>
      </c>
      <c r="T46" s="111">
        <v>0.667906</v>
      </c>
      <c r="U46" s="111">
        <v>0.67236700000000005</v>
      </c>
      <c r="V46" s="111">
        <v>0.67705000000000004</v>
      </c>
      <c r="W46" s="111">
        <v>0.68181000000000003</v>
      </c>
      <c r="X46" s="111">
        <v>0.68668300000000004</v>
      </c>
      <c r="Y46" s="111">
        <v>0.691272</v>
      </c>
      <c r="Z46" s="111">
        <v>0.69582599999999994</v>
      </c>
      <c r="AA46" s="111">
        <v>0.70026699999999997</v>
      </c>
      <c r="AB46" s="111">
        <v>0.70472599999999996</v>
      </c>
      <c r="AC46" s="111">
        <v>0.709345</v>
      </c>
      <c r="AD46" s="111">
        <v>0.71410499999999999</v>
      </c>
      <c r="AE46" s="111">
        <v>0.71932700000000005</v>
      </c>
      <c r="AF46" s="111">
        <v>0.72442099999999998</v>
      </c>
      <c r="AG46" s="111">
        <v>0.72904800000000003</v>
      </c>
      <c r="AH46" s="112">
        <v>5.8240000000000002E-3</v>
      </c>
    </row>
    <row r="47" spans="1:34" x14ac:dyDescent="0.25">
      <c r="A47" s="8" t="s">
        <v>2716</v>
      </c>
      <c r="B47" s="110" t="s">
        <v>58</v>
      </c>
      <c r="C47" s="111">
        <v>0.34441100000000002</v>
      </c>
      <c r="D47" s="111">
        <v>0.34606900000000002</v>
      </c>
      <c r="E47" s="111">
        <v>0.34880499999999998</v>
      </c>
      <c r="F47" s="111">
        <v>0.35458499999999998</v>
      </c>
      <c r="G47" s="111">
        <v>0.36260100000000001</v>
      </c>
      <c r="H47" s="111">
        <v>0.36971399999999999</v>
      </c>
      <c r="I47" s="111">
        <v>0.37549100000000002</v>
      </c>
      <c r="J47" s="111">
        <v>0.38034099999999998</v>
      </c>
      <c r="K47" s="111">
        <v>0.38495600000000002</v>
      </c>
      <c r="L47" s="111">
        <v>0.389017</v>
      </c>
      <c r="M47" s="111">
        <v>0.39107799999999998</v>
      </c>
      <c r="N47" s="111">
        <v>0.39416499999999999</v>
      </c>
      <c r="O47" s="111">
        <v>0.39808500000000002</v>
      </c>
      <c r="P47" s="111">
        <v>0.40253800000000001</v>
      </c>
      <c r="Q47" s="111">
        <v>0.407136</v>
      </c>
      <c r="R47" s="111">
        <v>0.41198699999999999</v>
      </c>
      <c r="S47" s="111">
        <v>0.41685299999999997</v>
      </c>
      <c r="T47" s="111">
        <v>0.42153600000000002</v>
      </c>
      <c r="U47" s="111">
        <v>0.42616500000000002</v>
      </c>
      <c r="V47" s="111">
        <v>0.43086400000000002</v>
      </c>
      <c r="W47" s="111">
        <v>0.43560100000000002</v>
      </c>
      <c r="X47" s="111">
        <v>0.44056099999999998</v>
      </c>
      <c r="Y47" s="111">
        <v>0.44535200000000003</v>
      </c>
      <c r="Z47" s="111">
        <v>0.45011000000000001</v>
      </c>
      <c r="AA47" s="111">
        <v>0.45476899999999998</v>
      </c>
      <c r="AB47" s="111">
        <v>0.45943299999999998</v>
      </c>
      <c r="AC47" s="111">
        <v>0.464175</v>
      </c>
      <c r="AD47" s="111">
        <v>0.46889399999999998</v>
      </c>
      <c r="AE47" s="111">
        <v>0.47382099999999999</v>
      </c>
      <c r="AF47" s="111">
        <v>0.47865999999999997</v>
      </c>
      <c r="AG47" s="111">
        <v>0.48319000000000001</v>
      </c>
      <c r="AH47" s="112">
        <v>1.1350000000000001E-2</v>
      </c>
    </row>
    <row r="48" spans="1:34" x14ac:dyDescent="0.25">
      <c r="A48" s="8" t="s">
        <v>2715</v>
      </c>
      <c r="B48" s="110" t="s">
        <v>72</v>
      </c>
      <c r="C48" s="111">
        <v>0.55567</v>
      </c>
      <c r="D48" s="111">
        <v>0.60908799999999996</v>
      </c>
      <c r="E48" s="111">
        <v>0.58064400000000005</v>
      </c>
      <c r="F48" s="111">
        <v>0.69352599999999998</v>
      </c>
      <c r="G48" s="111">
        <v>0.74161100000000002</v>
      </c>
      <c r="H48" s="111">
        <v>0.78722499999999995</v>
      </c>
      <c r="I48" s="111">
        <v>0.78947699999999998</v>
      </c>
      <c r="J48" s="111">
        <v>0.79001100000000002</v>
      </c>
      <c r="K48" s="111">
        <v>0.79020299999999999</v>
      </c>
      <c r="L48" s="111">
        <v>0.78970799999999997</v>
      </c>
      <c r="M48" s="111">
        <v>0.78868099999999997</v>
      </c>
      <c r="N48" s="111">
        <v>0.78846899999999998</v>
      </c>
      <c r="O48" s="111">
        <v>0.78884699999999996</v>
      </c>
      <c r="P48" s="111">
        <v>0.78971100000000005</v>
      </c>
      <c r="Q48" s="111">
        <v>0.79061199999999998</v>
      </c>
      <c r="R48" s="111">
        <v>0.79205099999999995</v>
      </c>
      <c r="S48" s="111">
        <v>0.79358499999999998</v>
      </c>
      <c r="T48" s="111">
        <v>0.79514399999999996</v>
      </c>
      <c r="U48" s="111">
        <v>0.79693199999999997</v>
      </c>
      <c r="V48" s="111">
        <v>0.79894699999999996</v>
      </c>
      <c r="W48" s="111">
        <v>0.80098000000000003</v>
      </c>
      <c r="X48" s="111">
        <v>0.80260600000000004</v>
      </c>
      <c r="Y48" s="111">
        <v>0.80393800000000004</v>
      </c>
      <c r="Z48" s="111">
        <v>0.80542499999999995</v>
      </c>
      <c r="AA48" s="111">
        <v>0.80667199999999994</v>
      </c>
      <c r="AB48" s="111">
        <v>0.80797600000000003</v>
      </c>
      <c r="AC48" s="111">
        <v>0.80944300000000002</v>
      </c>
      <c r="AD48" s="111">
        <v>0.81096800000000002</v>
      </c>
      <c r="AE48" s="111">
        <v>0.81283899999999998</v>
      </c>
      <c r="AF48" s="111">
        <v>0.81465399999999999</v>
      </c>
      <c r="AG48" s="111">
        <v>0.81615700000000002</v>
      </c>
      <c r="AH48" s="112">
        <v>1.2897E-2</v>
      </c>
    </row>
    <row r="49" spans="1:34" x14ac:dyDescent="0.25">
      <c r="A49" s="8" t="s">
        <v>2713</v>
      </c>
      <c r="B49" s="109" t="s">
        <v>74</v>
      </c>
      <c r="C49" s="113">
        <v>3.3130389999999998</v>
      </c>
      <c r="D49" s="113">
        <v>3.4220869999999999</v>
      </c>
      <c r="E49" s="113">
        <v>3.3934989999999998</v>
      </c>
      <c r="F49" s="113">
        <v>3.524127</v>
      </c>
      <c r="G49" s="113">
        <v>3.6100080000000001</v>
      </c>
      <c r="H49" s="113">
        <v>3.6840809999999999</v>
      </c>
      <c r="I49" s="113">
        <v>3.7013780000000001</v>
      </c>
      <c r="J49" s="113">
        <v>3.7075559999999999</v>
      </c>
      <c r="K49" s="113">
        <v>3.7119</v>
      </c>
      <c r="L49" s="113">
        <v>3.7109369999999999</v>
      </c>
      <c r="M49" s="113">
        <v>3.7016529999999999</v>
      </c>
      <c r="N49" s="113">
        <v>3.6995529999999999</v>
      </c>
      <c r="O49" s="113">
        <v>3.7028970000000001</v>
      </c>
      <c r="P49" s="113">
        <v>3.7082489999999999</v>
      </c>
      <c r="Q49" s="113">
        <v>3.7146729999999999</v>
      </c>
      <c r="R49" s="113">
        <v>3.7237640000000001</v>
      </c>
      <c r="S49" s="113">
        <v>3.7332969999999999</v>
      </c>
      <c r="T49" s="113">
        <v>3.7416800000000001</v>
      </c>
      <c r="U49" s="113">
        <v>3.7506529999999998</v>
      </c>
      <c r="V49" s="113">
        <v>3.7602920000000002</v>
      </c>
      <c r="W49" s="113">
        <v>3.7698499999999999</v>
      </c>
      <c r="X49" s="113">
        <v>3.7786919999999999</v>
      </c>
      <c r="Y49" s="113">
        <v>3.7855539999999999</v>
      </c>
      <c r="Z49" s="113">
        <v>3.7919230000000002</v>
      </c>
      <c r="AA49" s="113">
        <v>3.797285</v>
      </c>
      <c r="AB49" s="113">
        <v>3.8023549999999999</v>
      </c>
      <c r="AC49" s="113">
        <v>3.8079839999999998</v>
      </c>
      <c r="AD49" s="113">
        <v>3.8139829999999999</v>
      </c>
      <c r="AE49" s="113">
        <v>3.821949</v>
      </c>
      <c r="AF49" s="113">
        <v>3.8289110000000002</v>
      </c>
      <c r="AG49" s="113">
        <v>3.8334380000000001</v>
      </c>
      <c r="AH49" s="114">
        <v>4.875E-3</v>
      </c>
    </row>
    <row r="51" spans="1:34" ht="15" customHeight="1" x14ac:dyDescent="0.25">
      <c r="B51" s="109" t="s">
        <v>2712</v>
      </c>
    </row>
    <row r="52" spans="1:34" ht="15" customHeight="1" x14ac:dyDescent="0.25">
      <c r="A52" s="8" t="s">
        <v>2711</v>
      </c>
      <c r="B52" s="110" t="s">
        <v>2810</v>
      </c>
      <c r="C52" s="111">
        <v>0.21654300000000001</v>
      </c>
      <c r="D52" s="111">
        <v>0.22902400000000001</v>
      </c>
      <c r="E52" s="111">
        <v>0.22828000000000001</v>
      </c>
      <c r="F52" s="111">
        <v>0.22578100000000001</v>
      </c>
      <c r="G52" s="111">
        <v>0.22393099999999999</v>
      </c>
      <c r="H52" s="111">
        <v>0.22332099999999999</v>
      </c>
      <c r="I52" s="111">
        <v>0.22251299999999999</v>
      </c>
      <c r="J52" s="111">
        <v>0.22084699999999999</v>
      </c>
      <c r="K52" s="111">
        <v>0.21849199999999999</v>
      </c>
      <c r="L52" s="111">
        <v>0.21584800000000001</v>
      </c>
      <c r="M52" s="111">
        <v>0.21321599999999999</v>
      </c>
      <c r="N52" s="111">
        <v>0.21102000000000001</v>
      </c>
      <c r="O52" s="111">
        <v>0.20879700000000001</v>
      </c>
      <c r="P52" s="111">
        <v>0.20666899999999999</v>
      </c>
      <c r="Q52" s="111">
        <v>0.20456199999999999</v>
      </c>
      <c r="R52" s="111">
        <v>0.20278199999999999</v>
      </c>
      <c r="S52" s="111">
        <v>0.20127800000000001</v>
      </c>
      <c r="T52" s="111">
        <v>0.19941500000000001</v>
      </c>
      <c r="U52" s="111">
        <v>0.19720799999999999</v>
      </c>
      <c r="V52" s="111">
        <v>0.19528799999999999</v>
      </c>
      <c r="W52" s="111">
        <v>0.19292100000000001</v>
      </c>
      <c r="X52" s="111">
        <v>0.19064400000000001</v>
      </c>
      <c r="Y52" s="111">
        <v>0.18842200000000001</v>
      </c>
      <c r="Z52" s="111">
        <v>0.18626000000000001</v>
      </c>
      <c r="AA52" s="111">
        <v>0.18405299999999999</v>
      </c>
      <c r="AB52" s="111">
        <v>0.181699</v>
      </c>
      <c r="AC52" s="111">
        <v>0.179448</v>
      </c>
      <c r="AD52" s="111">
        <v>0.17726900000000001</v>
      </c>
      <c r="AE52" s="111">
        <v>0.17522799999999999</v>
      </c>
      <c r="AF52" s="111">
        <v>0.17304900000000001</v>
      </c>
      <c r="AG52" s="111">
        <v>0.17083699999999999</v>
      </c>
      <c r="AH52" s="112">
        <v>-7.8720000000000005E-3</v>
      </c>
    </row>
    <row r="53" spans="1:34" ht="15" customHeight="1" x14ac:dyDescent="0.25">
      <c r="A53" s="8" t="s">
        <v>2710</v>
      </c>
      <c r="B53" s="110" t="s">
        <v>2812</v>
      </c>
      <c r="C53" s="111">
        <v>6.5240000000000003E-3</v>
      </c>
      <c r="D53" s="111">
        <v>6.581E-3</v>
      </c>
      <c r="E53" s="111">
        <v>6.587E-3</v>
      </c>
      <c r="F53" s="111">
        <v>6.5420000000000001E-3</v>
      </c>
      <c r="G53" s="111">
        <v>6.5269999999999998E-3</v>
      </c>
      <c r="H53" s="111">
        <v>6.5539999999999999E-3</v>
      </c>
      <c r="I53" s="111">
        <v>6.5700000000000003E-3</v>
      </c>
      <c r="J53" s="111">
        <v>6.5550000000000001E-3</v>
      </c>
      <c r="K53" s="111">
        <v>6.5129999999999997E-3</v>
      </c>
      <c r="L53" s="111">
        <v>6.4609999999999997E-3</v>
      </c>
      <c r="M53" s="111">
        <v>6.4060000000000002E-3</v>
      </c>
      <c r="N53" s="111">
        <v>6.3629999999999997E-3</v>
      </c>
      <c r="O53" s="111">
        <v>6.3239999999999998E-3</v>
      </c>
      <c r="P53" s="111">
        <v>6.2909999999999997E-3</v>
      </c>
      <c r="Q53" s="111">
        <v>6.2589999999999998E-3</v>
      </c>
      <c r="R53" s="111">
        <v>6.2360000000000002E-3</v>
      </c>
      <c r="S53" s="111">
        <v>6.221E-3</v>
      </c>
      <c r="T53" s="111">
        <v>6.1929999999999997E-3</v>
      </c>
      <c r="U53" s="111">
        <v>6.1549999999999999E-3</v>
      </c>
      <c r="V53" s="111">
        <v>6.1260000000000004E-3</v>
      </c>
      <c r="W53" s="111">
        <v>6.0879999999999997E-3</v>
      </c>
      <c r="X53" s="111">
        <v>6.0530000000000002E-3</v>
      </c>
      <c r="Y53" s="111">
        <v>6.0200000000000002E-3</v>
      </c>
      <c r="Z53" s="111">
        <v>5.9890000000000004E-3</v>
      </c>
      <c r="AA53" s="111">
        <v>5.9560000000000004E-3</v>
      </c>
      <c r="AB53" s="111">
        <v>5.9189999999999998E-3</v>
      </c>
      <c r="AC53" s="111">
        <v>5.8849999999999996E-3</v>
      </c>
      <c r="AD53" s="111">
        <v>5.8529999999999997E-3</v>
      </c>
      <c r="AE53" s="111">
        <v>5.8269999999999997E-3</v>
      </c>
      <c r="AF53" s="111">
        <v>5.7949999999999998E-3</v>
      </c>
      <c r="AG53" s="111">
        <v>5.7629999999999999E-3</v>
      </c>
      <c r="AH53" s="112">
        <v>-4.1250000000000002E-3</v>
      </c>
    </row>
    <row r="54" spans="1:34" ht="15" customHeight="1" x14ac:dyDescent="0.25">
      <c r="A54" s="8" t="s">
        <v>2709</v>
      </c>
      <c r="B54" s="110" t="s">
        <v>82</v>
      </c>
      <c r="C54" s="111">
        <v>8.6303000000000005E-2</v>
      </c>
      <c r="D54" s="111">
        <v>8.5565000000000002E-2</v>
      </c>
      <c r="E54" s="111">
        <v>9.8080000000000001E-2</v>
      </c>
      <c r="F54" s="111">
        <v>0.100283</v>
      </c>
      <c r="G54" s="111">
        <v>0.102809</v>
      </c>
      <c r="H54" s="111">
        <v>0.10600900000000001</v>
      </c>
      <c r="I54" s="111">
        <v>0.107263</v>
      </c>
      <c r="J54" s="111">
        <v>0.10788499999999999</v>
      </c>
      <c r="K54" s="111">
        <v>0.108032</v>
      </c>
      <c r="L54" s="111">
        <v>0.107989</v>
      </c>
      <c r="M54" s="111">
        <v>0.107421</v>
      </c>
      <c r="N54" s="111">
        <v>0.107156</v>
      </c>
      <c r="O54" s="111">
        <v>0.107033</v>
      </c>
      <c r="P54" s="111">
        <v>0.107168</v>
      </c>
      <c r="Q54" s="111">
        <v>0.107361</v>
      </c>
      <c r="R54" s="111">
        <v>0.10775700000000001</v>
      </c>
      <c r="S54" s="111">
        <v>0.108346</v>
      </c>
      <c r="T54" s="111">
        <v>0.10874399999999999</v>
      </c>
      <c r="U54" s="111">
        <v>0.108942</v>
      </c>
      <c r="V54" s="111">
        <v>0.109332</v>
      </c>
      <c r="W54" s="111">
        <v>0.10947800000000001</v>
      </c>
      <c r="X54" s="111">
        <v>0.109621</v>
      </c>
      <c r="Y54" s="111">
        <v>0.109806</v>
      </c>
      <c r="Z54" s="111">
        <v>0.11003300000000001</v>
      </c>
      <c r="AA54" s="111">
        <v>0.110218</v>
      </c>
      <c r="AB54" s="111">
        <v>0.110304</v>
      </c>
      <c r="AC54" s="111">
        <v>0.110468</v>
      </c>
      <c r="AD54" s="111">
        <v>0.110692</v>
      </c>
      <c r="AE54" s="111">
        <v>0.110995</v>
      </c>
      <c r="AF54" s="111">
        <v>0.111206</v>
      </c>
      <c r="AG54" s="111">
        <v>0.111432</v>
      </c>
      <c r="AH54" s="112">
        <v>8.5550000000000001E-3</v>
      </c>
    </row>
    <row r="55" spans="1:34" ht="15" customHeight="1" x14ac:dyDescent="0.25">
      <c r="A55" s="8" t="s">
        <v>2708</v>
      </c>
      <c r="B55" s="109" t="s">
        <v>74</v>
      </c>
      <c r="C55" s="113">
        <v>0.30936999999999998</v>
      </c>
      <c r="D55" s="113">
        <v>0.32117000000000001</v>
      </c>
      <c r="E55" s="113">
        <v>0.33294699999999999</v>
      </c>
      <c r="F55" s="113">
        <v>0.33260600000000001</v>
      </c>
      <c r="G55" s="113">
        <v>0.33326699999999998</v>
      </c>
      <c r="H55" s="113">
        <v>0.33588400000000002</v>
      </c>
      <c r="I55" s="113">
        <v>0.33634700000000001</v>
      </c>
      <c r="J55" s="113">
        <v>0.335287</v>
      </c>
      <c r="K55" s="113">
        <v>0.333038</v>
      </c>
      <c r="L55" s="113">
        <v>0.33029799999999998</v>
      </c>
      <c r="M55" s="113">
        <v>0.32704299999999997</v>
      </c>
      <c r="N55" s="113">
        <v>0.32453900000000002</v>
      </c>
      <c r="O55" s="113">
        <v>0.322154</v>
      </c>
      <c r="P55" s="113">
        <v>0.32012699999999999</v>
      </c>
      <c r="Q55" s="113">
        <v>0.31818200000000002</v>
      </c>
      <c r="R55" s="113">
        <v>0.31677499999999997</v>
      </c>
      <c r="S55" s="113">
        <v>0.31584400000000001</v>
      </c>
      <c r="T55" s="113">
        <v>0.31435200000000002</v>
      </c>
      <c r="U55" s="113">
        <v>0.312305</v>
      </c>
      <c r="V55" s="113">
        <v>0.31074600000000002</v>
      </c>
      <c r="W55" s="113">
        <v>0.30848700000000001</v>
      </c>
      <c r="X55" s="113">
        <v>0.30631799999999998</v>
      </c>
      <c r="Y55" s="113">
        <v>0.30424800000000002</v>
      </c>
      <c r="Z55" s="113">
        <v>0.302282</v>
      </c>
      <c r="AA55" s="113">
        <v>0.30022799999999999</v>
      </c>
      <c r="AB55" s="113">
        <v>0.29792200000000002</v>
      </c>
      <c r="AC55" s="113">
        <v>0.29580099999999998</v>
      </c>
      <c r="AD55" s="113">
        <v>0.29381400000000002</v>
      </c>
      <c r="AE55" s="113">
        <v>0.29204999999999998</v>
      </c>
      <c r="AF55" s="113">
        <v>0.29004999999999997</v>
      </c>
      <c r="AG55" s="113">
        <v>0.28803200000000001</v>
      </c>
      <c r="AH55" s="114">
        <v>-2.379E-3</v>
      </c>
    </row>
    <row r="57" spans="1:34" ht="15" customHeight="1" x14ac:dyDescent="0.25">
      <c r="A57" s="8" t="s">
        <v>2707</v>
      </c>
      <c r="B57" s="110" t="s">
        <v>2706</v>
      </c>
      <c r="C57" s="111">
        <v>0.131216</v>
      </c>
      <c r="D57" s="111">
        <v>0.131216</v>
      </c>
      <c r="E57" s="111">
        <v>0.131216</v>
      </c>
      <c r="F57" s="111">
        <v>0.131216</v>
      </c>
      <c r="G57" s="111">
        <v>0.131216</v>
      </c>
      <c r="H57" s="111">
        <v>0.131216</v>
      </c>
      <c r="I57" s="111">
        <v>0.131216</v>
      </c>
      <c r="J57" s="111">
        <v>0.131216</v>
      </c>
      <c r="K57" s="111">
        <v>0.131216</v>
      </c>
      <c r="L57" s="111">
        <v>0.131216</v>
      </c>
      <c r="M57" s="111">
        <v>0.131216</v>
      </c>
      <c r="N57" s="111">
        <v>0.131216</v>
      </c>
      <c r="O57" s="111">
        <v>0.131216</v>
      </c>
      <c r="P57" s="111">
        <v>0.131216</v>
      </c>
      <c r="Q57" s="111">
        <v>0.131216</v>
      </c>
      <c r="R57" s="111">
        <v>0.131216</v>
      </c>
      <c r="S57" s="111">
        <v>0.131216</v>
      </c>
      <c r="T57" s="111">
        <v>0.131216</v>
      </c>
      <c r="U57" s="111">
        <v>0.131216</v>
      </c>
      <c r="V57" s="111">
        <v>0.131216</v>
      </c>
      <c r="W57" s="111">
        <v>0.131216</v>
      </c>
      <c r="X57" s="111">
        <v>0.131216</v>
      </c>
      <c r="Y57" s="111">
        <v>0.131216</v>
      </c>
      <c r="Z57" s="111">
        <v>0.131216</v>
      </c>
      <c r="AA57" s="111">
        <v>0.131216</v>
      </c>
      <c r="AB57" s="111">
        <v>0.131216</v>
      </c>
      <c r="AC57" s="111">
        <v>0.131216</v>
      </c>
      <c r="AD57" s="111">
        <v>0.131216</v>
      </c>
      <c r="AE57" s="111">
        <v>0.131216</v>
      </c>
      <c r="AF57" s="111">
        <v>0.131216</v>
      </c>
      <c r="AG57" s="111">
        <v>0.131216</v>
      </c>
      <c r="AH57" s="112">
        <v>0</v>
      </c>
    </row>
    <row r="58" spans="1:34" ht="15" customHeight="1" x14ac:dyDescent="0.25">
      <c r="A58" s="8" t="s">
        <v>2705</v>
      </c>
      <c r="B58" s="110" t="s">
        <v>2816</v>
      </c>
      <c r="C58" s="111">
        <v>0.51361999999999997</v>
      </c>
      <c r="D58" s="111">
        <v>0.54222099999999995</v>
      </c>
      <c r="E58" s="111">
        <v>0.54560299999999995</v>
      </c>
      <c r="F58" s="111">
        <v>0.55256700000000003</v>
      </c>
      <c r="G58" s="111">
        <v>0.55947400000000003</v>
      </c>
      <c r="H58" s="111">
        <v>0.56686899999999996</v>
      </c>
      <c r="I58" s="111">
        <v>0.56917899999999999</v>
      </c>
      <c r="J58" s="111">
        <v>0.57126299999999997</v>
      </c>
      <c r="K58" s="111">
        <v>0.573353</v>
      </c>
      <c r="L58" s="111">
        <v>0.57518800000000003</v>
      </c>
      <c r="M58" s="111">
        <v>0.57604500000000003</v>
      </c>
      <c r="N58" s="111">
        <v>0.57826</v>
      </c>
      <c r="O58" s="111">
        <v>0.58015899999999998</v>
      </c>
      <c r="P58" s="111">
        <v>0.58228400000000002</v>
      </c>
      <c r="Q58" s="111">
        <v>0.584179</v>
      </c>
      <c r="R58" s="111">
        <v>0.58677400000000002</v>
      </c>
      <c r="S58" s="111">
        <v>0.58909800000000001</v>
      </c>
      <c r="T58" s="111">
        <v>0.59101300000000001</v>
      </c>
      <c r="U58" s="111">
        <v>0.59292900000000004</v>
      </c>
      <c r="V58" s="111">
        <v>0.59532300000000005</v>
      </c>
      <c r="W58" s="111">
        <v>0.597279</v>
      </c>
      <c r="X58" s="111">
        <v>0.59941999999999995</v>
      </c>
      <c r="Y58" s="111">
        <v>0.601885</v>
      </c>
      <c r="Z58" s="111">
        <v>0.60425399999999996</v>
      </c>
      <c r="AA58" s="111">
        <v>0.60638599999999998</v>
      </c>
      <c r="AB58" s="111">
        <v>0.60850700000000002</v>
      </c>
      <c r="AC58" s="111">
        <v>0.61078500000000002</v>
      </c>
      <c r="AD58" s="111">
        <v>0.61297999999999997</v>
      </c>
      <c r="AE58" s="111">
        <v>0.61517500000000003</v>
      </c>
      <c r="AF58" s="111">
        <v>0.61724999999999997</v>
      </c>
      <c r="AG58" s="111">
        <v>0.61945399999999995</v>
      </c>
      <c r="AH58" s="112">
        <v>6.2649999999999997E-3</v>
      </c>
    </row>
    <row r="60" spans="1:34" ht="15" customHeight="1" thickBot="1" x14ac:dyDescent="0.3">
      <c r="B60" s="121" t="s">
        <v>2773</v>
      </c>
    </row>
    <row r="61" spans="1:34" s="93" customFormat="1" ht="15" customHeight="1" x14ac:dyDescent="0.25">
      <c r="A61" s="90" t="s">
        <v>2704</v>
      </c>
      <c r="B61" s="122" t="s">
        <v>2810</v>
      </c>
      <c r="C61" s="91">
        <v>2.1025070000000001</v>
      </c>
      <c r="D61" s="91">
        <v>2.1767690000000002</v>
      </c>
      <c r="E61" s="91">
        <v>2.1704430000000001</v>
      </c>
      <c r="F61" s="91">
        <v>2.1744949999999998</v>
      </c>
      <c r="G61" s="91">
        <v>2.1927310000000002</v>
      </c>
      <c r="H61" s="91">
        <v>2.2055889999999998</v>
      </c>
      <c r="I61" s="91">
        <v>2.208739</v>
      </c>
      <c r="J61" s="91">
        <v>2.2041189999999999</v>
      </c>
      <c r="K61" s="91">
        <v>2.1976629999999999</v>
      </c>
      <c r="L61" s="91">
        <v>2.187665</v>
      </c>
      <c r="M61" s="91">
        <v>2.1743070000000002</v>
      </c>
      <c r="N61" s="91">
        <v>2.1651440000000002</v>
      </c>
      <c r="O61" s="91">
        <v>2.1584379999999999</v>
      </c>
      <c r="P61" s="91">
        <v>2.1520260000000002</v>
      </c>
      <c r="Q61" s="91">
        <v>2.146112</v>
      </c>
      <c r="R61" s="91">
        <v>2.141718</v>
      </c>
      <c r="S61" s="91">
        <v>2.137715</v>
      </c>
      <c r="T61" s="91">
        <v>2.1325150000000002</v>
      </c>
      <c r="U61" s="91">
        <v>2.1272009999999999</v>
      </c>
      <c r="V61" s="91">
        <v>2.1222530000000002</v>
      </c>
      <c r="W61" s="91">
        <v>2.1166420000000001</v>
      </c>
      <c r="X61" s="91">
        <v>2.110519</v>
      </c>
      <c r="Y61" s="91">
        <v>2.1031810000000002</v>
      </c>
      <c r="Z61" s="91">
        <v>2.0953029999999999</v>
      </c>
      <c r="AA61" s="91">
        <v>2.08683</v>
      </c>
      <c r="AB61" s="91">
        <v>2.0778180000000002</v>
      </c>
      <c r="AC61" s="91">
        <v>2.0690780000000002</v>
      </c>
      <c r="AD61" s="91">
        <v>2.0605859999999998</v>
      </c>
      <c r="AE61" s="91">
        <v>2.0531570000000001</v>
      </c>
      <c r="AF61" s="91">
        <v>2.0448780000000002</v>
      </c>
      <c r="AG61" s="91">
        <v>2.035234</v>
      </c>
      <c r="AH61" s="92">
        <v>-1.083E-3</v>
      </c>
    </row>
    <row r="62" spans="1:34" s="97" customFormat="1" ht="15" customHeight="1" x14ac:dyDescent="0.25">
      <c r="A62" s="94" t="s">
        <v>2703</v>
      </c>
      <c r="B62" s="123" t="s">
        <v>2811</v>
      </c>
      <c r="C62" s="95">
        <v>0.55810000000000004</v>
      </c>
      <c r="D62" s="95">
        <v>0.52330399999999999</v>
      </c>
      <c r="E62" s="95">
        <v>0.567438</v>
      </c>
      <c r="F62" s="95">
        <v>0.57183499999999998</v>
      </c>
      <c r="G62" s="95">
        <v>0.57725400000000004</v>
      </c>
      <c r="H62" s="95">
        <v>0.58244200000000002</v>
      </c>
      <c r="I62" s="95">
        <v>0.586839</v>
      </c>
      <c r="J62" s="95">
        <v>0.59071899999999999</v>
      </c>
      <c r="K62" s="95">
        <v>0.59440300000000001</v>
      </c>
      <c r="L62" s="95">
        <v>0.59788399999999997</v>
      </c>
      <c r="M62" s="95">
        <v>0.60081200000000001</v>
      </c>
      <c r="N62" s="95">
        <v>0.60464700000000005</v>
      </c>
      <c r="O62" s="95">
        <v>0.609012</v>
      </c>
      <c r="P62" s="95">
        <v>0.613672</v>
      </c>
      <c r="Q62" s="95">
        <v>0.61886699999999994</v>
      </c>
      <c r="R62" s="95">
        <v>0.62479899999999999</v>
      </c>
      <c r="S62" s="95">
        <v>0.63083199999999995</v>
      </c>
      <c r="T62" s="95">
        <v>0.63699499999999998</v>
      </c>
      <c r="U62" s="95">
        <v>0.64311200000000002</v>
      </c>
      <c r="V62" s="95">
        <v>0.64925999999999995</v>
      </c>
      <c r="W62" s="95">
        <v>0.655339</v>
      </c>
      <c r="X62" s="95">
        <v>0.66185899999999998</v>
      </c>
      <c r="Y62" s="95">
        <v>0.66899500000000001</v>
      </c>
      <c r="Z62" s="95">
        <v>0.67613999999999996</v>
      </c>
      <c r="AA62" s="95">
        <v>0.68379699999999999</v>
      </c>
      <c r="AB62" s="95">
        <v>0.69151399999999996</v>
      </c>
      <c r="AC62" s="95">
        <v>0.69960299999999997</v>
      </c>
      <c r="AD62" s="95">
        <v>0.70793099999999998</v>
      </c>
      <c r="AE62" s="95">
        <v>0.71711000000000003</v>
      </c>
      <c r="AF62" s="95">
        <v>0.72658</v>
      </c>
      <c r="AG62" s="95">
        <v>0.73634699999999997</v>
      </c>
      <c r="AH62" s="96">
        <v>9.2820000000000003E-3</v>
      </c>
    </row>
    <row r="63" spans="1:34" s="99" customFormat="1" ht="15" customHeight="1" x14ac:dyDescent="0.25">
      <c r="A63" s="98" t="s">
        <v>2702</v>
      </c>
      <c r="B63" s="124" t="s">
        <v>2812</v>
      </c>
      <c r="C63" s="125">
        <v>0.64426799999999995</v>
      </c>
      <c r="D63" s="125">
        <v>0.64257699999999995</v>
      </c>
      <c r="E63" s="125">
        <v>0.641509</v>
      </c>
      <c r="F63" s="125">
        <v>0.64612700000000001</v>
      </c>
      <c r="G63" s="125">
        <v>0.65510500000000005</v>
      </c>
      <c r="H63" s="125">
        <v>0.66229199999999999</v>
      </c>
      <c r="I63" s="125">
        <v>0.66683899999999996</v>
      </c>
      <c r="J63" s="125">
        <v>0.66959100000000005</v>
      </c>
      <c r="K63" s="125">
        <v>0.67210499999999995</v>
      </c>
      <c r="L63" s="125">
        <v>0.67374800000000001</v>
      </c>
      <c r="M63" s="125">
        <v>0.67294600000000004</v>
      </c>
      <c r="N63" s="125">
        <v>0.67375200000000002</v>
      </c>
      <c r="O63" s="125">
        <v>0.67605800000000005</v>
      </c>
      <c r="P63" s="125">
        <v>0.67913500000000004</v>
      </c>
      <c r="Q63" s="125">
        <v>0.68264199999999997</v>
      </c>
      <c r="R63" s="125">
        <v>0.68672699999999998</v>
      </c>
      <c r="S63" s="125">
        <v>0.69102600000000003</v>
      </c>
      <c r="T63" s="125">
        <v>0.69512700000000005</v>
      </c>
      <c r="U63" s="125">
        <v>0.69935199999999997</v>
      </c>
      <c r="V63" s="125">
        <v>0.70380799999999999</v>
      </c>
      <c r="W63" s="125">
        <v>0.70833400000000002</v>
      </c>
      <c r="X63" s="125">
        <v>0.71299699999999999</v>
      </c>
      <c r="Y63" s="125">
        <v>0.71738599999999997</v>
      </c>
      <c r="Z63" s="125">
        <v>0.72174499999999997</v>
      </c>
      <c r="AA63" s="125">
        <v>0.72599400000000003</v>
      </c>
      <c r="AB63" s="125">
        <v>0.73025600000000002</v>
      </c>
      <c r="AC63" s="125">
        <v>0.73468699999999998</v>
      </c>
      <c r="AD63" s="125">
        <v>0.73926400000000003</v>
      </c>
      <c r="AE63" s="125">
        <v>0.74431800000000004</v>
      </c>
      <c r="AF63" s="125">
        <v>0.74924900000000005</v>
      </c>
      <c r="AG63" s="125">
        <v>0.75371200000000005</v>
      </c>
      <c r="AH63" s="126">
        <v>5.2440000000000004E-3</v>
      </c>
    </row>
    <row r="64" spans="1:34" s="97" customFormat="1" ht="15" customHeight="1" x14ac:dyDescent="0.25">
      <c r="A64" s="94" t="s">
        <v>2701</v>
      </c>
      <c r="B64" s="123" t="s">
        <v>2688</v>
      </c>
      <c r="C64" s="95">
        <v>0.50582700000000003</v>
      </c>
      <c r="D64" s="95">
        <v>0.501606</v>
      </c>
      <c r="E64" s="95">
        <v>0.49821599999999999</v>
      </c>
      <c r="F64" s="95">
        <v>0.49702400000000002</v>
      </c>
      <c r="G64" s="95">
        <v>0.49727700000000002</v>
      </c>
      <c r="H64" s="95">
        <v>0.497199</v>
      </c>
      <c r="I64" s="95">
        <v>0.48862499999999998</v>
      </c>
      <c r="J64" s="95">
        <v>0.48024600000000001</v>
      </c>
      <c r="K64" s="95">
        <v>0.472302</v>
      </c>
      <c r="L64" s="95">
        <v>0.46496799999999999</v>
      </c>
      <c r="M64" s="95">
        <v>0.45758700000000002</v>
      </c>
      <c r="N64" s="95">
        <v>0.45099099999999998</v>
      </c>
      <c r="O64" s="95">
        <v>0.44511499999999998</v>
      </c>
      <c r="P64" s="95">
        <v>0.43976900000000002</v>
      </c>
      <c r="Q64" s="95">
        <v>0.43518499999999999</v>
      </c>
      <c r="R64" s="95">
        <v>0.43122300000000002</v>
      </c>
      <c r="S64" s="95">
        <v>0.42785899999999999</v>
      </c>
      <c r="T64" s="95">
        <v>0.42490099999999997</v>
      </c>
      <c r="U64" s="95">
        <v>0.422213</v>
      </c>
      <c r="V64" s="95">
        <v>0.41984700000000003</v>
      </c>
      <c r="W64" s="95">
        <v>0.41677199999999998</v>
      </c>
      <c r="X64" s="95">
        <v>0.41436699999999999</v>
      </c>
      <c r="Y64" s="95">
        <v>0.41240500000000002</v>
      </c>
      <c r="Z64" s="95">
        <v>0.41082099999999999</v>
      </c>
      <c r="AA64" s="95">
        <v>0.40966599999999997</v>
      </c>
      <c r="AB64" s="95">
        <v>0.40884999999999999</v>
      </c>
      <c r="AC64" s="95">
        <v>0.40842000000000001</v>
      </c>
      <c r="AD64" s="95">
        <v>0.408362</v>
      </c>
      <c r="AE64" s="95">
        <v>0.408748</v>
      </c>
      <c r="AF64" s="95">
        <v>0.40959499999999999</v>
      </c>
      <c r="AG64" s="95">
        <v>0.41073399999999999</v>
      </c>
      <c r="AH64" s="96">
        <v>-6.9179999999999997E-3</v>
      </c>
    </row>
    <row r="65" spans="1:34" s="99" customFormat="1" ht="15" customHeight="1" x14ac:dyDescent="0.25">
      <c r="A65" s="98" t="s">
        <v>2700</v>
      </c>
      <c r="B65" s="124" t="s">
        <v>58</v>
      </c>
      <c r="C65" s="125">
        <v>0.429176</v>
      </c>
      <c r="D65" s="125">
        <v>0.43017899999999998</v>
      </c>
      <c r="E65" s="125">
        <v>0.43247400000000003</v>
      </c>
      <c r="F65" s="125">
        <v>0.438166</v>
      </c>
      <c r="G65" s="125">
        <v>0.446272</v>
      </c>
      <c r="H65" s="125">
        <v>0.45343699999999998</v>
      </c>
      <c r="I65" s="125">
        <v>0.45917200000000002</v>
      </c>
      <c r="J65" s="125">
        <v>0.46388499999999999</v>
      </c>
      <c r="K65" s="125">
        <v>0.46830100000000002</v>
      </c>
      <c r="L65" s="125">
        <v>0.472109</v>
      </c>
      <c r="M65" s="125">
        <v>0.47386600000000001</v>
      </c>
      <c r="N65" s="125">
        <v>0.47666999999999998</v>
      </c>
      <c r="O65" s="125">
        <v>0.480327</v>
      </c>
      <c r="P65" s="125">
        <v>0.48453400000000002</v>
      </c>
      <c r="Q65" s="125">
        <v>0.48890699999999998</v>
      </c>
      <c r="R65" s="125">
        <v>0.49354199999999998</v>
      </c>
      <c r="S65" s="125">
        <v>0.49818299999999999</v>
      </c>
      <c r="T65" s="125">
        <v>0.50261400000000001</v>
      </c>
      <c r="U65" s="125">
        <v>0.50695400000000002</v>
      </c>
      <c r="V65" s="125">
        <v>0.511347</v>
      </c>
      <c r="W65" s="125">
        <v>0.51578100000000004</v>
      </c>
      <c r="X65" s="125">
        <v>0.52051199999999997</v>
      </c>
      <c r="Y65" s="125">
        <v>0.52507599999999999</v>
      </c>
      <c r="Z65" s="125">
        <v>0.52961199999999997</v>
      </c>
      <c r="AA65" s="125">
        <v>0.53404399999999996</v>
      </c>
      <c r="AB65" s="125">
        <v>0.53846799999999995</v>
      </c>
      <c r="AC65" s="125">
        <v>0.54296900000000003</v>
      </c>
      <c r="AD65" s="125">
        <v>0.54744599999999999</v>
      </c>
      <c r="AE65" s="125">
        <v>0.55214300000000005</v>
      </c>
      <c r="AF65" s="125">
        <v>0.55677200000000004</v>
      </c>
      <c r="AG65" s="125">
        <v>0.56108000000000002</v>
      </c>
      <c r="AH65" s="126">
        <v>8.9730000000000001E-3</v>
      </c>
    </row>
    <row r="66" spans="1:34" s="99" customFormat="1" x14ac:dyDescent="0.25">
      <c r="A66" s="98" t="s">
        <v>2699</v>
      </c>
      <c r="B66" s="124" t="s">
        <v>64</v>
      </c>
      <c r="C66" s="125">
        <v>0.53477300000000005</v>
      </c>
      <c r="D66" s="125">
        <v>0.51842600000000005</v>
      </c>
      <c r="E66" s="125">
        <v>0.50512299999999999</v>
      </c>
      <c r="F66" s="125">
        <v>0.49513200000000002</v>
      </c>
      <c r="G66" s="125">
        <v>0.48716599999999999</v>
      </c>
      <c r="H66" s="125">
        <v>0.480211</v>
      </c>
      <c r="I66" s="125">
        <v>0.47419899999999998</v>
      </c>
      <c r="J66" s="125">
        <v>0.46879700000000002</v>
      </c>
      <c r="K66" s="125">
        <v>0.461557</v>
      </c>
      <c r="L66" s="125">
        <v>0.45454499999999998</v>
      </c>
      <c r="M66" s="125">
        <v>0.44033699999999998</v>
      </c>
      <c r="N66" s="125">
        <v>0.428149</v>
      </c>
      <c r="O66" s="125">
        <v>0.41752400000000001</v>
      </c>
      <c r="P66" s="125">
        <v>0.408416</v>
      </c>
      <c r="Q66" s="125">
        <v>0.40073199999999998</v>
      </c>
      <c r="R66" s="125">
        <v>0.394175</v>
      </c>
      <c r="S66" s="125">
        <v>0.38869199999999998</v>
      </c>
      <c r="T66" s="125">
        <v>0.38391700000000001</v>
      </c>
      <c r="U66" s="125">
        <v>0.379658</v>
      </c>
      <c r="V66" s="125">
        <v>0.37587700000000002</v>
      </c>
      <c r="W66" s="125">
        <v>0.370444</v>
      </c>
      <c r="X66" s="125">
        <v>0.36624499999999999</v>
      </c>
      <c r="Y66" s="125">
        <v>0.36268800000000001</v>
      </c>
      <c r="Z66" s="125">
        <v>0.35947400000000002</v>
      </c>
      <c r="AA66" s="125">
        <v>0.35683799999999999</v>
      </c>
      <c r="AB66" s="125">
        <v>0.35471000000000003</v>
      </c>
      <c r="AC66" s="125">
        <v>0.353074</v>
      </c>
      <c r="AD66" s="125">
        <v>0.35192200000000001</v>
      </c>
      <c r="AE66" s="125">
        <v>0.35126499999999999</v>
      </c>
      <c r="AF66" s="125">
        <v>0.35107500000000003</v>
      </c>
      <c r="AG66" s="125">
        <v>0.351211</v>
      </c>
      <c r="AH66" s="126">
        <v>-1.3917000000000001E-2</v>
      </c>
    </row>
    <row r="67" spans="1:34" s="101" customFormat="1" ht="15" customHeight="1" thickBot="1" x14ac:dyDescent="0.3">
      <c r="A67" s="100" t="s">
        <v>2698</v>
      </c>
      <c r="B67" s="127" t="s">
        <v>56</v>
      </c>
      <c r="C67" s="128">
        <v>0.65267500000000001</v>
      </c>
      <c r="D67" s="128">
        <v>0.64821899999999999</v>
      </c>
      <c r="E67" s="128">
        <v>0.64407099999999995</v>
      </c>
      <c r="F67" s="128">
        <v>0.64253700000000002</v>
      </c>
      <c r="G67" s="128">
        <v>0.64270700000000003</v>
      </c>
      <c r="H67" s="128">
        <v>0.64365099999999997</v>
      </c>
      <c r="I67" s="128">
        <v>0.64488599999999996</v>
      </c>
      <c r="J67" s="128">
        <v>0.64618600000000004</v>
      </c>
      <c r="K67" s="128">
        <v>0.64755200000000002</v>
      </c>
      <c r="L67" s="128">
        <v>0.649011</v>
      </c>
      <c r="M67" s="128">
        <v>0.64871100000000004</v>
      </c>
      <c r="N67" s="128">
        <v>0.649393</v>
      </c>
      <c r="O67" s="128">
        <v>0.65064699999999998</v>
      </c>
      <c r="P67" s="128">
        <v>0.65229899999999996</v>
      </c>
      <c r="Q67" s="128">
        <v>0.65434400000000004</v>
      </c>
      <c r="R67" s="128">
        <v>0.65670899999999999</v>
      </c>
      <c r="S67" s="128">
        <v>0.65926700000000005</v>
      </c>
      <c r="T67" s="128">
        <v>0.66180799999999995</v>
      </c>
      <c r="U67" s="128">
        <v>0.66427700000000001</v>
      </c>
      <c r="V67" s="128">
        <v>0.66683599999999998</v>
      </c>
      <c r="W67" s="128">
        <v>0.66918900000000003</v>
      </c>
      <c r="X67" s="128">
        <v>0.67248399999999997</v>
      </c>
      <c r="Y67" s="128">
        <v>0.67595899999999998</v>
      </c>
      <c r="Z67" s="128">
        <v>0.67956899999999998</v>
      </c>
      <c r="AA67" s="128">
        <v>0.68328</v>
      </c>
      <c r="AB67" s="128">
        <v>0.68710199999999999</v>
      </c>
      <c r="AC67" s="128">
        <v>0.69105099999999997</v>
      </c>
      <c r="AD67" s="128">
        <v>0.69503999999999999</v>
      </c>
      <c r="AE67" s="128">
        <v>0.69916199999999995</v>
      </c>
      <c r="AF67" s="128">
        <v>0.70339700000000005</v>
      </c>
      <c r="AG67" s="128">
        <v>0.70757099999999995</v>
      </c>
      <c r="AH67" s="129">
        <v>2.696E-3</v>
      </c>
    </row>
    <row r="68" spans="1:34" ht="15" customHeight="1" x14ac:dyDescent="0.25">
      <c r="A68" s="8" t="s">
        <v>2697</v>
      </c>
      <c r="B68" s="110" t="s">
        <v>2683</v>
      </c>
      <c r="C68" s="111">
        <v>0.33015899999999998</v>
      </c>
      <c r="D68" s="111">
        <v>0.32575500000000002</v>
      </c>
      <c r="E68" s="111">
        <v>0.32198100000000002</v>
      </c>
      <c r="F68" s="111">
        <v>0.31943500000000002</v>
      </c>
      <c r="G68" s="111">
        <v>0.31791799999999998</v>
      </c>
      <c r="H68" s="111">
        <v>0.31721500000000002</v>
      </c>
      <c r="I68" s="111">
        <v>0.31684099999999998</v>
      </c>
      <c r="J68" s="111">
        <v>0.31725399999999998</v>
      </c>
      <c r="K68" s="111">
        <v>0.31851200000000002</v>
      </c>
      <c r="L68" s="111">
        <v>0.32017899999999999</v>
      </c>
      <c r="M68" s="111">
        <v>0.32181300000000002</v>
      </c>
      <c r="N68" s="111">
        <v>0.32437700000000003</v>
      </c>
      <c r="O68" s="111">
        <v>0.32749299999999998</v>
      </c>
      <c r="P68" s="111">
        <v>0.330646</v>
      </c>
      <c r="Q68" s="111">
        <v>0.33385999999999999</v>
      </c>
      <c r="R68" s="111">
        <v>0.33760699999999999</v>
      </c>
      <c r="S68" s="111">
        <v>0.34136899999999998</v>
      </c>
      <c r="T68" s="111">
        <v>0.34508699999999998</v>
      </c>
      <c r="U68" s="111">
        <v>0.34877999999999998</v>
      </c>
      <c r="V68" s="111">
        <v>0.35195799999999999</v>
      </c>
      <c r="W68" s="111">
        <v>0.355182</v>
      </c>
      <c r="X68" s="111">
        <v>0.35843700000000001</v>
      </c>
      <c r="Y68" s="111">
        <v>0.360651</v>
      </c>
      <c r="Z68" s="111">
        <v>0.362867</v>
      </c>
      <c r="AA68" s="111">
        <v>0.36398999999999998</v>
      </c>
      <c r="AB68" s="111">
        <v>0.36454700000000001</v>
      </c>
      <c r="AC68" s="111">
        <v>0.36452400000000001</v>
      </c>
      <c r="AD68" s="111">
        <v>0.36388300000000001</v>
      </c>
      <c r="AE68" s="111">
        <v>0.36150700000000002</v>
      </c>
      <c r="AF68" s="111">
        <v>0.35849500000000001</v>
      </c>
      <c r="AG68" s="111">
        <v>0.35363800000000001</v>
      </c>
      <c r="AH68" s="112">
        <v>2.2929999999999999E-3</v>
      </c>
    </row>
    <row r="69" spans="1:34" ht="15" customHeight="1" x14ac:dyDescent="0.25">
      <c r="A69" s="8" t="s">
        <v>2696</v>
      </c>
      <c r="B69" s="110" t="s">
        <v>2681</v>
      </c>
      <c r="C69" s="111">
        <v>0.43508599999999997</v>
      </c>
      <c r="D69" s="111">
        <v>0.45525500000000002</v>
      </c>
      <c r="E69" s="111">
        <v>0.47462599999999999</v>
      </c>
      <c r="F69" s="111">
        <v>0.49363299999999999</v>
      </c>
      <c r="G69" s="111">
        <v>0.51234199999999996</v>
      </c>
      <c r="H69" s="111">
        <v>0.53010999999999997</v>
      </c>
      <c r="I69" s="111">
        <v>0.54692700000000005</v>
      </c>
      <c r="J69" s="111">
        <v>0.56244799999999995</v>
      </c>
      <c r="K69" s="111">
        <v>0.57694500000000004</v>
      </c>
      <c r="L69" s="111">
        <v>0.59069700000000003</v>
      </c>
      <c r="M69" s="111">
        <v>0.60377199999999998</v>
      </c>
      <c r="N69" s="111">
        <v>0.61621899999999996</v>
      </c>
      <c r="O69" s="111">
        <v>0.62873000000000001</v>
      </c>
      <c r="P69" s="111">
        <v>0.64066800000000002</v>
      </c>
      <c r="Q69" s="111">
        <v>0.65253399999999995</v>
      </c>
      <c r="R69" s="111">
        <v>0.66425800000000002</v>
      </c>
      <c r="S69" s="111">
        <v>0.67603000000000002</v>
      </c>
      <c r="T69" s="111">
        <v>0.68746200000000002</v>
      </c>
      <c r="U69" s="111">
        <v>0.69917899999999999</v>
      </c>
      <c r="V69" s="111">
        <v>0.71102399999999999</v>
      </c>
      <c r="W69" s="111">
        <v>0.72371399999999997</v>
      </c>
      <c r="X69" s="111">
        <v>0.73691399999999996</v>
      </c>
      <c r="Y69" s="111">
        <v>0.75090299999999999</v>
      </c>
      <c r="Z69" s="111">
        <v>0.76567700000000005</v>
      </c>
      <c r="AA69" s="111">
        <v>0.78152600000000005</v>
      </c>
      <c r="AB69" s="111">
        <v>0.79853200000000002</v>
      </c>
      <c r="AC69" s="111">
        <v>0.81672599999999995</v>
      </c>
      <c r="AD69" s="111">
        <v>0.83667999999999998</v>
      </c>
      <c r="AE69" s="111">
        <v>0.85823199999999999</v>
      </c>
      <c r="AF69" s="111">
        <v>0.88141199999999997</v>
      </c>
      <c r="AG69" s="111">
        <v>0.90680700000000003</v>
      </c>
      <c r="AH69" s="112">
        <v>2.4781999999999998E-2</v>
      </c>
    </row>
    <row r="70" spans="1:34" ht="15" customHeight="1" x14ac:dyDescent="0.25">
      <c r="A70" s="8" t="s">
        <v>2695</v>
      </c>
      <c r="B70" s="110" t="s">
        <v>87</v>
      </c>
      <c r="C70" s="111">
        <v>2.4988570000000001</v>
      </c>
      <c r="D70" s="111">
        <v>2.6909770000000002</v>
      </c>
      <c r="E70" s="111">
        <v>2.7496529999999999</v>
      </c>
      <c r="F70" s="111">
        <v>2.9422039999999998</v>
      </c>
      <c r="G70" s="111">
        <v>3.0720339999999999</v>
      </c>
      <c r="H70" s="111">
        <v>3.2007279999999998</v>
      </c>
      <c r="I70" s="111">
        <v>3.2227800000000002</v>
      </c>
      <c r="J70" s="111">
        <v>3.2436280000000002</v>
      </c>
      <c r="K70" s="111">
        <v>3.2639149999999999</v>
      </c>
      <c r="L70" s="111">
        <v>3.2832819999999998</v>
      </c>
      <c r="M70" s="111">
        <v>3.3009650000000001</v>
      </c>
      <c r="N70" s="111">
        <v>3.3216589999999999</v>
      </c>
      <c r="O70" s="111">
        <v>3.34415</v>
      </c>
      <c r="P70" s="111">
        <v>3.3684479999999999</v>
      </c>
      <c r="Q70" s="111">
        <v>3.3936899999999999</v>
      </c>
      <c r="R70" s="111">
        <v>3.4213520000000002</v>
      </c>
      <c r="S70" s="111">
        <v>3.4498600000000001</v>
      </c>
      <c r="T70" s="111">
        <v>3.4787720000000002</v>
      </c>
      <c r="U70" s="111">
        <v>3.5085130000000002</v>
      </c>
      <c r="V70" s="111">
        <v>3.5404879999999999</v>
      </c>
      <c r="W70" s="111">
        <v>3.5733619999999999</v>
      </c>
      <c r="X70" s="111">
        <v>3.6076730000000001</v>
      </c>
      <c r="Y70" s="111">
        <v>3.6435140000000001</v>
      </c>
      <c r="Z70" s="111">
        <v>3.6816770000000001</v>
      </c>
      <c r="AA70" s="111">
        <v>3.7206260000000002</v>
      </c>
      <c r="AB70" s="111">
        <v>3.7615880000000002</v>
      </c>
      <c r="AC70" s="111">
        <v>3.8048860000000002</v>
      </c>
      <c r="AD70" s="111">
        <v>3.8501699999999999</v>
      </c>
      <c r="AE70" s="111">
        <v>3.8982600000000001</v>
      </c>
      <c r="AF70" s="111">
        <v>3.9484430000000001</v>
      </c>
      <c r="AG70" s="111">
        <v>4.000947</v>
      </c>
      <c r="AH70" s="112">
        <v>1.5814000000000002E-2</v>
      </c>
    </row>
    <row r="71" spans="1:34" ht="15" customHeight="1" x14ac:dyDescent="0.25">
      <c r="A71" s="8" t="s">
        <v>2817</v>
      </c>
      <c r="B71" s="109" t="s">
        <v>2818</v>
      </c>
      <c r="C71" s="113">
        <v>8.6914289999999994</v>
      </c>
      <c r="D71" s="113">
        <v>8.9130660000000006</v>
      </c>
      <c r="E71" s="113">
        <v>9.0055329999999998</v>
      </c>
      <c r="F71" s="113">
        <v>9.2205890000000004</v>
      </c>
      <c r="G71" s="113">
        <v>9.4008050000000001</v>
      </c>
      <c r="H71" s="113">
        <v>9.5728749999999998</v>
      </c>
      <c r="I71" s="113">
        <v>9.6158490000000008</v>
      </c>
      <c r="J71" s="113">
        <v>9.6468729999999994</v>
      </c>
      <c r="K71" s="113">
        <v>9.6732530000000008</v>
      </c>
      <c r="L71" s="113">
        <v>9.6940860000000004</v>
      </c>
      <c r="M71" s="113">
        <v>9.6951160000000005</v>
      </c>
      <c r="N71" s="113">
        <v>9.7110000000000003</v>
      </c>
      <c r="O71" s="113">
        <v>9.7374939999999999</v>
      </c>
      <c r="P71" s="113">
        <v>9.7696140000000007</v>
      </c>
      <c r="Q71" s="113">
        <v>9.8068729999999995</v>
      </c>
      <c r="R71" s="113">
        <v>9.8521099999999997</v>
      </c>
      <c r="S71" s="113">
        <v>9.9008330000000004</v>
      </c>
      <c r="T71" s="113">
        <v>9.9491980000000009</v>
      </c>
      <c r="U71" s="113">
        <v>9.9992389999999993</v>
      </c>
      <c r="V71" s="113">
        <v>10.052699</v>
      </c>
      <c r="W71" s="113">
        <v>10.104759</v>
      </c>
      <c r="X71" s="113">
        <v>10.162006</v>
      </c>
      <c r="Y71" s="113">
        <v>10.220757000000001</v>
      </c>
      <c r="Z71" s="113">
        <v>10.282885</v>
      </c>
      <c r="AA71" s="113">
        <v>10.346591999999999</v>
      </c>
      <c r="AB71" s="113">
        <v>10.413385</v>
      </c>
      <c r="AC71" s="113">
        <v>10.485018</v>
      </c>
      <c r="AD71" s="113">
        <v>10.561284000000001</v>
      </c>
      <c r="AE71" s="113">
        <v>10.643901</v>
      </c>
      <c r="AF71" s="113">
        <v>10.729895000000001</v>
      </c>
      <c r="AG71" s="113">
        <v>10.817278999999999</v>
      </c>
      <c r="AH71" s="114">
        <v>7.3200000000000001E-3</v>
      </c>
    </row>
    <row r="72" spans="1:34" ht="15" customHeight="1" x14ac:dyDescent="0.25">
      <c r="A72" s="8" t="s">
        <v>2819</v>
      </c>
      <c r="B72" s="110" t="s">
        <v>2782</v>
      </c>
      <c r="C72" s="111">
        <v>8.8754E-2</v>
      </c>
      <c r="D72" s="111">
        <v>0.100767</v>
      </c>
      <c r="E72" s="111">
        <v>0.108803</v>
      </c>
      <c r="F72" s="111">
        <v>0.11328000000000001</v>
      </c>
      <c r="G72" s="111">
        <v>0.116855</v>
      </c>
      <c r="H72" s="111">
        <v>0.12341199999999999</v>
      </c>
      <c r="I72" s="111">
        <v>0.12740099999999999</v>
      </c>
      <c r="J72" s="111">
        <v>0.13471</v>
      </c>
      <c r="K72" s="111">
        <v>0.13939099999999999</v>
      </c>
      <c r="L72" s="111">
        <v>0.14404900000000001</v>
      </c>
      <c r="M72" s="111">
        <v>0.148256</v>
      </c>
      <c r="N72" s="111">
        <v>0.15443200000000001</v>
      </c>
      <c r="O72" s="111">
        <v>0.15736600000000001</v>
      </c>
      <c r="P72" s="111">
        <v>0.16201599999999999</v>
      </c>
      <c r="Q72" s="111">
        <v>0.166467</v>
      </c>
      <c r="R72" s="111">
        <v>0.17158599999999999</v>
      </c>
      <c r="S72" s="111">
        <v>0.179007</v>
      </c>
      <c r="T72" s="111">
        <v>0.183781</v>
      </c>
      <c r="U72" s="111">
        <v>0.18956300000000001</v>
      </c>
      <c r="V72" s="111">
        <v>0.19514300000000001</v>
      </c>
      <c r="W72" s="111">
        <v>0.20108500000000001</v>
      </c>
      <c r="X72" s="111">
        <v>0.20661299999999999</v>
      </c>
      <c r="Y72" s="111">
        <v>0.21216699999999999</v>
      </c>
      <c r="Z72" s="111">
        <v>0.21770999999999999</v>
      </c>
      <c r="AA72" s="111">
        <v>0.22253400000000001</v>
      </c>
      <c r="AB72" s="111">
        <v>0.22815199999999999</v>
      </c>
      <c r="AC72" s="111">
        <v>0.23599400000000001</v>
      </c>
      <c r="AD72" s="111">
        <v>0.239927</v>
      </c>
      <c r="AE72" s="111">
        <v>0.24339</v>
      </c>
      <c r="AF72" s="111">
        <v>0.24571999999999999</v>
      </c>
      <c r="AG72" s="111">
        <v>0.24898600000000001</v>
      </c>
      <c r="AH72" s="112">
        <v>3.4981999999999999E-2</v>
      </c>
    </row>
    <row r="73" spans="1:34" x14ac:dyDescent="0.25">
      <c r="A73" s="8" t="s">
        <v>2694</v>
      </c>
      <c r="B73" s="109" t="s">
        <v>74</v>
      </c>
      <c r="C73" s="113">
        <v>8.6026749999999996</v>
      </c>
      <c r="D73" s="113">
        <v>8.8122989999999994</v>
      </c>
      <c r="E73" s="113">
        <v>8.8967299999999998</v>
      </c>
      <c r="F73" s="113">
        <v>9.1073079999999997</v>
      </c>
      <c r="G73" s="113">
        <v>9.2839510000000001</v>
      </c>
      <c r="H73" s="113">
        <v>9.4494629999999997</v>
      </c>
      <c r="I73" s="113">
        <v>9.4884470000000007</v>
      </c>
      <c r="J73" s="113">
        <v>9.5121629999999993</v>
      </c>
      <c r="K73" s="113">
        <v>9.5338619999999992</v>
      </c>
      <c r="L73" s="113">
        <v>9.5500369999999997</v>
      </c>
      <c r="M73" s="113">
        <v>9.5468600000000006</v>
      </c>
      <c r="N73" s="113">
        <v>9.5565680000000004</v>
      </c>
      <c r="O73" s="113">
        <v>9.5801280000000002</v>
      </c>
      <c r="P73" s="113">
        <v>9.6075979999999994</v>
      </c>
      <c r="Q73" s="113">
        <v>9.6404060000000005</v>
      </c>
      <c r="R73" s="113">
        <v>9.6805240000000001</v>
      </c>
      <c r="S73" s="113">
        <v>9.7218269999999993</v>
      </c>
      <c r="T73" s="113">
        <v>9.7654169999999993</v>
      </c>
      <c r="U73" s="113">
        <v>9.8096759999999996</v>
      </c>
      <c r="V73" s="113">
        <v>9.8575560000000007</v>
      </c>
      <c r="W73" s="113">
        <v>9.9036740000000005</v>
      </c>
      <c r="X73" s="113">
        <v>9.9553930000000008</v>
      </c>
      <c r="Y73" s="113">
        <v>10.008590999999999</v>
      </c>
      <c r="Z73" s="113">
        <v>10.065175</v>
      </c>
      <c r="AA73" s="113">
        <v>10.124058</v>
      </c>
      <c r="AB73" s="113">
        <v>10.185233</v>
      </c>
      <c r="AC73" s="113">
        <v>10.249024</v>
      </c>
      <c r="AD73" s="113">
        <v>10.321357000000001</v>
      </c>
      <c r="AE73" s="113">
        <v>10.400511</v>
      </c>
      <c r="AF73" s="113">
        <v>10.484175</v>
      </c>
      <c r="AG73" s="113">
        <v>10.568293000000001</v>
      </c>
      <c r="AH73" s="114">
        <v>6.8830000000000002E-3</v>
      </c>
    </row>
    <row r="75" spans="1:34" ht="15" customHeight="1" x14ac:dyDescent="0.25">
      <c r="A75" s="8" t="s">
        <v>2693</v>
      </c>
      <c r="B75" s="109" t="s">
        <v>121</v>
      </c>
      <c r="C75" s="113">
        <v>8.0860470000000007</v>
      </c>
      <c r="D75" s="113">
        <v>8.1909550000000007</v>
      </c>
      <c r="E75" s="113">
        <v>8.36768</v>
      </c>
      <c r="F75" s="113">
        <v>8.2633120000000009</v>
      </c>
      <c r="G75" s="113">
        <v>8.1786359999999991</v>
      </c>
      <c r="H75" s="113">
        <v>8.035031</v>
      </c>
      <c r="I75" s="113">
        <v>7.7608670000000002</v>
      </c>
      <c r="J75" s="113">
        <v>7.5663720000000003</v>
      </c>
      <c r="K75" s="113">
        <v>7.4720690000000003</v>
      </c>
      <c r="L75" s="113">
        <v>7.4041009999999998</v>
      </c>
      <c r="M75" s="113">
        <v>7.3894830000000002</v>
      </c>
      <c r="N75" s="113">
        <v>7.3612529999999996</v>
      </c>
      <c r="O75" s="113">
        <v>7.3307060000000002</v>
      </c>
      <c r="P75" s="113">
        <v>7.3227929999999999</v>
      </c>
      <c r="Q75" s="113">
        <v>7.3101060000000002</v>
      </c>
      <c r="R75" s="113">
        <v>7.3165560000000003</v>
      </c>
      <c r="S75" s="113">
        <v>7.3227080000000004</v>
      </c>
      <c r="T75" s="113">
        <v>7.3240179999999997</v>
      </c>
      <c r="U75" s="113">
        <v>7.3310120000000003</v>
      </c>
      <c r="V75" s="113">
        <v>7.3546459999999998</v>
      </c>
      <c r="W75" s="113">
        <v>7.3837000000000002</v>
      </c>
      <c r="X75" s="113">
        <v>7.4208299999999996</v>
      </c>
      <c r="Y75" s="113">
        <v>7.4625300000000001</v>
      </c>
      <c r="Z75" s="113">
        <v>7.489846</v>
      </c>
      <c r="AA75" s="113">
        <v>7.4922389999999996</v>
      </c>
      <c r="AB75" s="113">
        <v>7.5370999999999997</v>
      </c>
      <c r="AC75" s="113">
        <v>7.5860789999999998</v>
      </c>
      <c r="AD75" s="113">
        <v>7.6439149999999998</v>
      </c>
      <c r="AE75" s="113">
        <v>7.7007209999999997</v>
      </c>
      <c r="AF75" s="113">
        <v>7.7839989999999997</v>
      </c>
      <c r="AG75" s="113">
        <v>7.8693949999999999</v>
      </c>
      <c r="AH75" s="114">
        <v>-9.0499999999999999E-4</v>
      </c>
    </row>
    <row r="77" spans="1:34" ht="15" customHeight="1" x14ac:dyDescent="0.25">
      <c r="B77" s="109" t="s">
        <v>122</v>
      </c>
    </row>
    <row r="78" spans="1:34" ht="15" customHeight="1" x14ac:dyDescent="0.25">
      <c r="A78" s="8" t="s">
        <v>2692</v>
      </c>
      <c r="B78" s="110" t="s">
        <v>2810</v>
      </c>
      <c r="C78" s="111">
        <v>2.309234</v>
      </c>
      <c r="D78" s="111">
        <v>2.3879039999999998</v>
      </c>
      <c r="E78" s="111">
        <v>2.3791340000000001</v>
      </c>
      <c r="F78" s="111">
        <v>2.3760620000000001</v>
      </c>
      <c r="G78" s="111">
        <v>2.3877839999999999</v>
      </c>
      <c r="H78" s="111">
        <v>2.3928219999999998</v>
      </c>
      <c r="I78" s="111">
        <v>2.387613</v>
      </c>
      <c r="J78" s="111">
        <v>2.376268</v>
      </c>
      <c r="K78" s="111">
        <v>2.3653940000000002</v>
      </c>
      <c r="L78" s="111">
        <v>2.351518</v>
      </c>
      <c r="M78" s="111">
        <v>2.3357139999999998</v>
      </c>
      <c r="N78" s="111">
        <v>2.3237390000000002</v>
      </c>
      <c r="O78" s="111">
        <v>2.314019</v>
      </c>
      <c r="P78" s="111">
        <v>2.3049909999999998</v>
      </c>
      <c r="Q78" s="111">
        <v>2.2962940000000001</v>
      </c>
      <c r="R78" s="111">
        <v>2.2892839999999999</v>
      </c>
      <c r="S78" s="111">
        <v>2.2826119999999999</v>
      </c>
      <c r="T78" s="111">
        <v>2.274607</v>
      </c>
      <c r="U78" s="111">
        <v>2.2665479999999998</v>
      </c>
      <c r="V78" s="111">
        <v>2.259096</v>
      </c>
      <c r="W78" s="111">
        <v>2.2511100000000002</v>
      </c>
      <c r="X78" s="111">
        <v>2.2426900000000001</v>
      </c>
      <c r="Y78" s="111">
        <v>2.2330380000000001</v>
      </c>
      <c r="Z78" s="111">
        <v>2.222499</v>
      </c>
      <c r="AA78" s="111">
        <v>2.21095</v>
      </c>
      <c r="AB78" s="111">
        <v>2.1995140000000002</v>
      </c>
      <c r="AC78" s="111">
        <v>2.1883870000000001</v>
      </c>
      <c r="AD78" s="111">
        <v>2.1775899999999999</v>
      </c>
      <c r="AE78" s="111">
        <v>2.167802</v>
      </c>
      <c r="AF78" s="111">
        <v>2.1575129999999998</v>
      </c>
      <c r="AG78" s="111">
        <v>2.1458439999999999</v>
      </c>
      <c r="AH78" s="112">
        <v>-2.4429999999999999E-3</v>
      </c>
    </row>
    <row r="79" spans="1:34" x14ac:dyDescent="0.25">
      <c r="A79" s="8" t="s">
        <v>2691</v>
      </c>
      <c r="B79" s="110" t="s">
        <v>2811</v>
      </c>
      <c r="C79" s="111">
        <v>1.5276620000000001</v>
      </c>
      <c r="D79" s="111">
        <v>1.4330529999999999</v>
      </c>
      <c r="E79" s="111">
        <v>1.551555</v>
      </c>
      <c r="F79" s="111">
        <v>1.5355209999999999</v>
      </c>
      <c r="G79" s="111">
        <v>1.522956</v>
      </c>
      <c r="H79" s="111">
        <v>1.5033510000000001</v>
      </c>
      <c r="I79" s="111">
        <v>1.479382</v>
      </c>
      <c r="J79" s="111">
        <v>1.462915</v>
      </c>
      <c r="K79" s="111">
        <v>1.457687</v>
      </c>
      <c r="L79" s="111">
        <v>1.454888</v>
      </c>
      <c r="M79" s="111">
        <v>1.458664</v>
      </c>
      <c r="N79" s="111">
        <v>1.462037</v>
      </c>
      <c r="O79" s="111">
        <v>1.4654180000000001</v>
      </c>
      <c r="P79" s="111">
        <v>1.4715910000000001</v>
      </c>
      <c r="Q79" s="111">
        <v>1.4777400000000001</v>
      </c>
      <c r="R79" s="111">
        <v>1.487168</v>
      </c>
      <c r="S79" s="111">
        <v>1.4962759999999999</v>
      </c>
      <c r="T79" s="111">
        <v>1.504786</v>
      </c>
      <c r="U79" s="111">
        <v>1.513533</v>
      </c>
      <c r="V79" s="111">
        <v>1.523981</v>
      </c>
      <c r="W79" s="111">
        <v>1.5349269999999999</v>
      </c>
      <c r="X79" s="111">
        <v>1.546953</v>
      </c>
      <c r="Y79" s="111">
        <v>1.5604750000000001</v>
      </c>
      <c r="Z79" s="111">
        <v>1.5716619999999999</v>
      </c>
      <c r="AA79" s="111">
        <v>1.5805750000000001</v>
      </c>
      <c r="AB79" s="111">
        <v>1.5940970000000001</v>
      </c>
      <c r="AC79" s="111">
        <v>1.6083369999999999</v>
      </c>
      <c r="AD79" s="111">
        <v>1.6234960000000001</v>
      </c>
      <c r="AE79" s="111">
        <v>1.6397999999999999</v>
      </c>
      <c r="AF79" s="111">
        <v>1.6592100000000001</v>
      </c>
      <c r="AG79" s="111">
        <v>1.678982</v>
      </c>
      <c r="AH79" s="112">
        <v>3.153E-3</v>
      </c>
    </row>
    <row r="80" spans="1:34" ht="15" customHeight="1" x14ac:dyDescent="0.25">
      <c r="A80" s="8" t="s">
        <v>2690</v>
      </c>
      <c r="B80" s="110" t="s">
        <v>2812</v>
      </c>
      <c r="C80" s="111">
        <v>0.69043399999999999</v>
      </c>
      <c r="D80" s="111">
        <v>0.68777500000000003</v>
      </c>
      <c r="E80" s="111">
        <v>0.68591199999999997</v>
      </c>
      <c r="F80" s="111">
        <v>0.68877999999999995</v>
      </c>
      <c r="G80" s="111">
        <v>0.69621200000000005</v>
      </c>
      <c r="H80" s="111">
        <v>0.70161300000000004</v>
      </c>
      <c r="I80" s="111">
        <v>0.70428599999999997</v>
      </c>
      <c r="J80" s="111">
        <v>0.70554300000000003</v>
      </c>
      <c r="K80" s="111">
        <v>0.70706100000000005</v>
      </c>
      <c r="L80" s="111">
        <v>0.70783600000000002</v>
      </c>
      <c r="M80" s="111">
        <v>0.70649300000000004</v>
      </c>
      <c r="N80" s="111">
        <v>0.70668299999999995</v>
      </c>
      <c r="O80" s="111">
        <v>0.70835700000000001</v>
      </c>
      <c r="P80" s="111">
        <v>0.71090600000000004</v>
      </c>
      <c r="Q80" s="111">
        <v>0.71386499999999997</v>
      </c>
      <c r="R80" s="111">
        <v>0.71748100000000004</v>
      </c>
      <c r="S80" s="111">
        <v>0.72131000000000001</v>
      </c>
      <c r="T80" s="111">
        <v>0.724912</v>
      </c>
      <c r="U80" s="111">
        <v>0.72865000000000002</v>
      </c>
      <c r="V80" s="111">
        <v>0.73268100000000003</v>
      </c>
      <c r="W80" s="111">
        <v>0.736815</v>
      </c>
      <c r="X80" s="111">
        <v>0.74112100000000003</v>
      </c>
      <c r="Y80" s="111">
        <v>0.74516499999999997</v>
      </c>
      <c r="Z80" s="111">
        <v>0.74911899999999998</v>
      </c>
      <c r="AA80" s="111">
        <v>0.75286900000000001</v>
      </c>
      <c r="AB80" s="111">
        <v>0.75677799999999995</v>
      </c>
      <c r="AC80" s="111">
        <v>0.76086200000000004</v>
      </c>
      <c r="AD80" s="111">
        <v>0.76511300000000004</v>
      </c>
      <c r="AE80" s="111">
        <v>0.76983500000000005</v>
      </c>
      <c r="AF80" s="111">
        <v>0.77451899999999996</v>
      </c>
      <c r="AG80" s="111">
        <v>0.778729</v>
      </c>
      <c r="AH80" s="112">
        <v>4.019E-3</v>
      </c>
    </row>
    <row r="81" spans="1:34" x14ac:dyDescent="0.25">
      <c r="A81" s="8" t="s">
        <v>2689</v>
      </c>
      <c r="B81" s="110" t="s">
        <v>2688</v>
      </c>
      <c r="C81" s="111">
        <v>1.4303220000000001</v>
      </c>
      <c r="D81" s="111">
        <v>1.415373</v>
      </c>
      <c r="E81" s="111">
        <v>1.404056</v>
      </c>
      <c r="F81" s="111">
        <v>1.3745890000000001</v>
      </c>
      <c r="G81" s="111">
        <v>1.350473</v>
      </c>
      <c r="H81" s="111">
        <v>1.3200940000000001</v>
      </c>
      <c r="I81" s="111">
        <v>1.2660659999999999</v>
      </c>
      <c r="J81" s="111">
        <v>1.221587</v>
      </c>
      <c r="K81" s="111">
        <v>1.189046</v>
      </c>
      <c r="L81" s="111">
        <v>1.160957</v>
      </c>
      <c r="M81" s="111">
        <v>1.139424</v>
      </c>
      <c r="N81" s="111">
        <v>1.1179730000000001</v>
      </c>
      <c r="O81" s="111">
        <v>1.097577</v>
      </c>
      <c r="P81" s="111">
        <v>1.080284</v>
      </c>
      <c r="Q81" s="111">
        <v>1.064063</v>
      </c>
      <c r="R81" s="111">
        <v>1.0506439999999999</v>
      </c>
      <c r="S81" s="111">
        <v>1.038432</v>
      </c>
      <c r="T81" s="111">
        <v>1.0267230000000001</v>
      </c>
      <c r="U81" s="111">
        <v>1.0160670000000001</v>
      </c>
      <c r="V81" s="111">
        <v>1.007431</v>
      </c>
      <c r="W81" s="111">
        <v>0.99762499999999998</v>
      </c>
      <c r="X81" s="111">
        <v>0.989514</v>
      </c>
      <c r="Y81" s="111">
        <v>0.98255599999999998</v>
      </c>
      <c r="Z81" s="111">
        <v>0.97507299999999997</v>
      </c>
      <c r="AA81" s="111">
        <v>0.966561</v>
      </c>
      <c r="AB81" s="111">
        <v>0.96175299999999997</v>
      </c>
      <c r="AC81" s="111">
        <v>0.95784000000000002</v>
      </c>
      <c r="AD81" s="111">
        <v>0.95509999999999995</v>
      </c>
      <c r="AE81" s="111">
        <v>0.95299400000000001</v>
      </c>
      <c r="AF81" s="111">
        <v>0.95344099999999998</v>
      </c>
      <c r="AG81" s="111">
        <v>0.95440899999999995</v>
      </c>
      <c r="AH81" s="112">
        <v>-1.3395000000000001E-2</v>
      </c>
    </row>
    <row r="82" spans="1:34" ht="15" customHeight="1" x14ac:dyDescent="0.25">
      <c r="A82" s="8" t="s">
        <v>2687</v>
      </c>
      <c r="B82" s="110" t="s">
        <v>58</v>
      </c>
      <c r="C82" s="111">
        <v>0.58410099999999998</v>
      </c>
      <c r="D82" s="111">
        <v>0.58340000000000003</v>
      </c>
      <c r="E82" s="111">
        <v>0.58459700000000003</v>
      </c>
      <c r="F82" s="111">
        <v>0.58573900000000001</v>
      </c>
      <c r="G82" s="111">
        <v>0.58982900000000005</v>
      </c>
      <c r="H82" s="111">
        <v>0.59200299999999995</v>
      </c>
      <c r="I82" s="111">
        <v>0.59231599999999995</v>
      </c>
      <c r="J82" s="111">
        <v>0.59284999999999999</v>
      </c>
      <c r="K82" s="111">
        <v>0.59478200000000003</v>
      </c>
      <c r="L82" s="111">
        <v>0.59648400000000001</v>
      </c>
      <c r="M82" s="111">
        <v>0.59722600000000003</v>
      </c>
      <c r="N82" s="111">
        <v>0.598688</v>
      </c>
      <c r="O82" s="111">
        <v>0.600881</v>
      </c>
      <c r="P82" s="111">
        <v>0.60396000000000005</v>
      </c>
      <c r="Q82" s="111">
        <v>0.60707199999999994</v>
      </c>
      <c r="R82" s="111">
        <v>0.61068999999999996</v>
      </c>
      <c r="S82" s="111">
        <v>0.61424400000000001</v>
      </c>
      <c r="T82" s="111">
        <v>0.61745099999999997</v>
      </c>
      <c r="U82" s="111">
        <v>0.62058599999999997</v>
      </c>
      <c r="V82" s="111">
        <v>0.62398600000000004</v>
      </c>
      <c r="W82" s="111">
        <v>0.62752699999999995</v>
      </c>
      <c r="X82" s="111">
        <v>0.63148400000000005</v>
      </c>
      <c r="Y82" s="111">
        <v>0.635293</v>
      </c>
      <c r="Z82" s="111">
        <v>0.63880599999999998</v>
      </c>
      <c r="AA82" s="111">
        <v>0.64180899999999996</v>
      </c>
      <c r="AB82" s="111">
        <v>0.64534899999999995</v>
      </c>
      <c r="AC82" s="111">
        <v>0.64896500000000001</v>
      </c>
      <c r="AD82" s="111">
        <v>0.65261400000000003</v>
      </c>
      <c r="AE82" s="111">
        <v>0.65642800000000001</v>
      </c>
      <c r="AF82" s="111">
        <v>0.66048700000000005</v>
      </c>
      <c r="AG82" s="111">
        <v>0.66417999999999999</v>
      </c>
      <c r="AH82" s="112">
        <v>4.2919999999999998E-3</v>
      </c>
    </row>
    <row r="83" spans="1:34" ht="15" customHeight="1" x14ac:dyDescent="0.25">
      <c r="A83" s="8" t="s">
        <v>2686</v>
      </c>
      <c r="B83" s="110" t="s">
        <v>64</v>
      </c>
      <c r="C83" s="111">
        <v>1.512173</v>
      </c>
      <c r="D83" s="111">
        <v>1.4628319999999999</v>
      </c>
      <c r="E83" s="111">
        <v>1.423519</v>
      </c>
      <c r="F83" s="111">
        <v>1.369356</v>
      </c>
      <c r="G83" s="111">
        <v>1.3230139999999999</v>
      </c>
      <c r="H83" s="111">
        <v>1.2749900000000001</v>
      </c>
      <c r="I83" s="111">
        <v>1.2286889999999999</v>
      </c>
      <c r="J83" s="111">
        <v>1.192466</v>
      </c>
      <c r="K83" s="111">
        <v>1.161996</v>
      </c>
      <c r="L83" s="111">
        <v>1.1349320000000001</v>
      </c>
      <c r="M83" s="111">
        <v>1.096468</v>
      </c>
      <c r="N83" s="111">
        <v>1.06135</v>
      </c>
      <c r="O83" s="111">
        <v>1.029542</v>
      </c>
      <c r="P83" s="111">
        <v>1.0032650000000001</v>
      </c>
      <c r="Q83" s="111">
        <v>0.97982000000000002</v>
      </c>
      <c r="R83" s="111">
        <v>0.96037799999999995</v>
      </c>
      <c r="S83" s="111">
        <v>0.94337400000000005</v>
      </c>
      <c r="T83" s="111">
        <v>0.92769100000000004</v>
      </c>
      <c r="U83" s="111">
        <v>0.91365700000000005</v>
      </c>
      <c r="V83" s="111">
        <v>0.90192499999999998</v>
      </c>
      <c r="W83" s="111">
        <v>0.88673100000000005</v>
      </c>
      <c r="X83" s="111">
        <v>0.87459900000000002</v>
      </c>
      <c r="Y83" s="111">
        <v>0.86410500000000001</v>
      </c>
      <c r="Z83" s="111">
        <v>0.85320200000000002</v>
      </c>
      <c r="AA83" s="111">
        <v>0.84191899999999997</v>
      </c>
      <c r="AB83" s="111">
        <v>0.834399</v>
      </c>
      <c r="AC83" s="111">
        <v>0.82804</v>
      </c>
      <c r="AD83" s="111">
        <v>0.82309500000000002</v>
      </c>
      <c r="AE83" s="111">
        <v>0.81897399999999998</v>
      </c>
      <c r="AF83" s="111">
        <v>0.81721999999999995</v>
      </c>
      <c r="AG83" s="111">
        <v>0.81609699999999996</v>
      </c>
      <c r="AH83" s="112">
        <v>-2.0348999999999999E-2</v>
      </c>
    </row>
    <row r="84" spans="1:34" ht="15" customHeight="1" x14ac:dyDescent="0.25">
      <c r="A84" s="8" t="s">
        <v>2685</v>
      </c>
      <c r="B84" s="110" t="s">
        <v>56</v>
      </c>
      <c r="C84" s="111">
        <v>1.845564</v>
      </c>
      <c r="D84" s="111">
        <v>1.8290660000000001</v>
      </c>
      <c r="E84" s="111">
        <v>1.815097</v>
      </c>
      <c r="F84" s="111">
        <v>1.7770250000000001</v>
      </c>
      <c r="G84" s="111">
        <v>1.7454209999999999</v>
      </c>
      <c r="H84" s="111">
        <v>1.708934</v>
      </c>
      <c r="I84" s="111">
        <v>1.670952</v>
      </c>
      <c r="J84" s="111">
        <v>1.643683</v>
      </c>
      <c r="K84" s="111">
        <v>1.6302490000000001</v>
      </c>
      <c r="L84" s="111">
        <v>1.620485</v>
      </c>
      <c r="M84" s="111">
        <v>1.6153329999999999</v>
      </c>
      <c r="N84" s="111">
        <v>1.6097980000000001</v>
      </c>
      <c r="O84" s="111">
        <v>1.6043829999999999</v>
      </c>
      <c r="P84" s="111">
        <v>1.6023590000000001</v>
      </c>
      <c r="Q84" s="111">
        <v>1.5999220000000001</v>
      </c>
      <c r="R84" s="111">
        <v>1.6000239999999999</v>
      </c>
      <c r="S84" s="111">
        <v>1.6000700000000001</v>
      </c>
      <c r="T84" s="111">
        <v>1.59918</v>
      </c>
      <c r="U84" s="111">
        <v>1.5986009999999999</v>
      </c>
      <c r="V84" s="111">
        <v>1.6000859999999999</v>
      </c>
      <c r="W84" s="111">
        <v>1.6018349999999999</v>
      </c>
      <c r="X84" s="111">
        <v>1.6059030000000001</v>
      </c>
      <c r="Y84" s="111">
        <v>1.6104719999999999</v>
      </c>
      <c r="Z84" s="111">
        <v>1.612941</v>
      </c>
      <c r="AA84" s="111">
        <v>1.6121239999999999</v>
      </c>
      <c r="AB84" s="111">
        <v>1.616296</v>
      </c>
      <c r="AC84" s="111">
        <v>1.620676</v>
      </c>
      <c r="AD84" s="111">
        <v>1.625599</v>
      </c>
      <c r="AE84" s="111">
        <v>1.630093</v>
      </c>
      <c r="AF84" s="111">
        <v>1.6373450000000001</v>
      </c>
      <c r="AG84" s="111">
        <v>1.644161</v>
      </c>
      <c r="AH84" s="112">
        <v>-3.8440000000000002E-3</v>
      </c>
    </row>
    <row r="85" spans="1:34" ht="15" customHeight="1" x14ac:dyDescent="0.25">
      <c r="A85" s="8" t="s">
        <v>2684</v>
      </c>
      <c r="B85" s="110" t="s">
        <v>2683</v>
      </c>
      <c r="C85" s="111">
        <v>0.933589</v>
      </c>
      <c r="D85" s="111">
        <v>0.91917700000000002</v>
      </c>
      <c r="E85" s="111">
        <v>0.90739599999999998</v>
      </c>
      <c r="F85" s="111">
        <v>0.88344199999999995</v>
      </c>
      <c r="G85" s="111">
        <v>0.86338199999999998</v>
      </c>
      <c r="H85" s="111">
        <v>0.842225</v>
      </c>
      <c r="I85" s="111">
        <v>0.82096100000000005</v>
      </c>
      <c r="J85" s="111">
        <v>0.80698800000000004</v>
      </c>
      <c r="K85" s="111">
        <v>0.801871</v>
      </c>
      <c r="L85" s="111">
        <v>0.79944099999999996</v>
      </c>
      <c r="M85" s="111">
        <v>0.80133699999999997</v>
      </c>
      <c r="N85" s="111">
        <v>0.80410700000000002</v>
      </c>
      <c r="O85" s="111">
        <v>0.80754099999999995</v>
      </c>
      <c r="P85" s="111">
        <v>0.812226</v>
      </c>
      <c r="Q85" s="111">
        <v>0.81631399999999998</v>
      </c>
      <c r="R85" s="111">
        <v>0.82255500000000004</v>
      </c>
      <c r="S85" s="111">
        <v>0.82851699999999995</v>
      </c>
      <c r="T85" s="111">
        <v>0.83386199999999999</v>
      </c>
      <c r="U85" s="111">
        <v>0.83934900000000001</v>
      </c>
      <c r="V85" s="111">
        <v>0.84452899999999997</v>
      </c>
      <c r="W85" s="111">
        <v>0.85019800000000001</v>
      </c>
      <c r="X85" s="111">
        <v>0.85595399999999999</v>
      </c>
      <c r="Y85" s="111">
        <v>0.85924999999999996</v>
      </c>
      <c r="Z85" s="111">
        <v>0.86125700000000005</v>
      </c>
      <c r="AA85" s="111">
        <v>0.85879399999999995</v>
      </c>
      <c r="AB85" s="111">
        <v>0.85753800000000002</v>
      </c>
      <c r="AC85" s="111">
        <v>0.85489300000000001</v>
      </c>
      <c r="AD85" s="111">
        <v>0.85106999999999999</v>
      </c>
      <c r="AE85" s="111">
        <v>0.84285200000000005</v>
      </c>
      <c r="AF85" s="111">
        <v>0.83449399999999996</v>
      </c>
      <c r="AG85" s="111">
        <v>0.82173799999999997</v>
      </c>
      <c r="AH85" s="112">
        <v>-4.2449999999999996E-3</v>
      </c>
    </row>
    <row r="86" spans="1:34" ht="15" customHeight="1" x14ac:dyDescent="0.25">
      <c r="A86" s="8" t="s">
        <v>2682</v>
      </c>
      <c r="B86" s="110" t="s">
        <v>2681</v>
      </c>
      <c r="C86" s="111">
        <v>1.230289</v>
      </c>
      <c r="D86" s="111">
        <v>1.2845850000000001</v>
      </c>
      <c r="E86" s="111">
        <v>1.337574</v>
      </c>
      <c r="F86" s="111">
        <v>1.36521</v>
      </c>
      <c r="G86" s="111">
        <v>1.3913850000000001</v>
      </c>
      <c r="H86" s="111">
        <v>1.4074739999999999</v>
      </c>
      <c r="I86" s="111">
        <v>1.4171339999999999</v>
      </c>
      <c r="J86" s="111">
        <v>1.430682</v>
      </c>
      <c r="K86" s="111">
        <v>1.4524919999999999</v>
      </c>
      <c r="L86" s="111">
        <v>1.474882</v>
      </c>
      <c r="M86" s="111">
        <v>1.503433</v>
      </c>
      <c r="N86" s="111">
        <v>1.52756</v>
      </c>
      <c r="O86" s="111">
        <v>1.5503400000000001</v>
      </c>
      <c r="P86" s="111">
        <v>1.5737859999999999</v>
      </c>
      <c r="Q86" s="111">
        <v>1.5954969999999999</v>
      </c>
      <c r="R86" s="111">
        <v>1.6184160000000001</v>
      </c>
      <c r="S86" s="111">
        <v>1.6407560000000001</v>
      </c>
      <c r="T86" s="111">
        <v>1.6611689999999999</v>
      </c>
      <c r="U86" s="111">
        <v>1.682593</v>
      </c>
      <c r="V86" s="111">
        <v>1.706116</v>
      </c>
      <c r="W86" s="111">
        <v>1.7323519999999999</v>
      </c>
      <c r="X86" s="111">
        <v>1.7597609999999999</v>
      </c>
      <c r="Y86" s="111">
        <v>1.789026</v>
      </c>
      <c r="Z86" s="111">
        <v>1.8173140000000001</v>
      </c>
      <c r="AA86" s="111">
        <v>1.843923</v>
      </c>
      <c r="AB86" s="111">
        <v>1.8784179999999999</v>
      </c>
      <c r="AC86" s="111">
        <v>1.915413</v>
      </c>
      <c r="AD86" s="111">
        <v>1.9568730000000001</v>
      </c>
      <c r="AE86" s="111">
        <v>2.0009640000000002</v>
      </c>
      <c r="AF86" s="111">
        <v>2.0517240000000001</v>
      </c>
      <c r="AG86" s="111">
        <v>2.107119</v>
      </c>
      <c r="AH86" s="112">
        <v>1.8098E-2</v>
      </c>
    </row>
    <row r="87" spans="1:34" ht="15" customHeight="1" x14ac:dyDescent="0.25">
      <c r="A87" s="8" t="s">
        <v>2680</v>
      </c>
      <c r="B87" s="110" t="s">
        <v>87</v>
      </c>
      <c r="C87" s="111">
        <v>4.7141080000000004</v>
      </c>
      <c r="D87" s="111">
        <v>5.1008550000000001</v>
      </c>
      <c r="E87" s="111">
        <v>5.2843739999999997</v>
      </c>
      <c r="F87" s="111">
        <v>5.5281789999999997</v>
      </c>
      <c r="G87" s="111">
        <v>5.7089860000000003</v>
      </c>
      <c r="H87" s="111">
        <v>5.8643999999999998</v>
      </c>
      <c r="I87" s="111">
        <v>5.8093149999999998</v>
      </c>
      <c r="J87" s="111">
        <v>5.7802639999999998</v>
      </c>
      <c r="K87" s="111">
        <v>5.7847460000000002</v>
      </c>
      <c r="L87" s="111">
        <v>5.7967649999999997</v>
      </c>
      <c r="M87" s="111">
        <v>5.8305069999999999</v>
      </c>
      <c r="N87" s="111">
        <v>5.8603189999999996</v>
      </c>
      <c r="O87" s="111">
        <v>5.8901409999999998</v>
      </c>
      <c r="P87" s="111">
        <v>5.9290390000000004</v>
      </c>
      <c r="Q87" s="111">
        <v>5.9663940000000002</v>
      </c>
      <c r="R87" s="111">
        <v>6.0120250000000004</v>
      </c>
      <c r="S87" s="111">
        <v>6.0579499999999999</v>
      </c>
      <c r="T87" s="111">
        <v>6.1028349999999998</v>
      </c>
      <c r="U87" s="111">
        <v>6.1506670000000003</v>
      </c>
      <c r="V87" s="111">
        <v>6.2075120000000004</v>
      </c>
      <c r="W87" s="111">
        <v>6.2693390000000004</v>
      </c>
      <c r="X87" s="111">
        <v>6.3348579999999997</v>
      </c>
      <c r="Y87" s="111">
        <v>6.4039080000000004</v>
      </c>
      <c r="Z87" s="111">
        <v>6.4708589999999999</v>
      </c>
      <c r="AA87" s="111">
        <v>6.5293049999999999</v>
      </c>
      <c r="AB87" s="111">
        <v>6.606344</v>
      </c>
      <c r="AC87" s="111">
        <v>6.6876829999999998</v>
      </c>
      <c r="AD87" s="111">
        <v>6.7746500000000003</v>
      </c>
      <c r="AE87" s="111">
        <v>6.8648800000000003</v>
      </c>
      <c r="AF87" s="111">
        <v>6.9679419999999999</v>
      </c>
      <c r="AG87" s="111">
        <v>7.0754159999999997</v>
      </c>
      <c r="AH87" s="112">
        <v>1.3627999999999999E-2</v>
      </c>
    </row>
    <row r="88" spans="1:34" ht="15" customHeight="1" x14ac:dyDescent="0.25">
      <c r="A88" s="8" t="s">
        <v>2678</v>
      </c>
      <c r="B88" s="109" t="s">
        <v>2820</v>
      </c>
      <c r="C88" s="113">
        <v>16.777477000000001</v>
      </c>
      <c r="D88" s="113">
        <v>17.104020999999999</v>
      </c>
      <c r="E88" s="113">
        <v>17.373213</v>
      </c>
      <c r="F88" s="113">
        <v>17.483902</v>
      </c>
      <c r="G88" s="113">
        <v>17.579440999999999</v>
      </c>
      <c r="H88" s="113">
        <v>17.607906</v>
      </c>
      <c r="I88" s="113">
        <v>17.376715000000001</v>
      </c>
      <c r="J88" s="113">
        <v>17.213245000000001</v>
      </c>
      <c r="K88" s="113">
        <v>17.145323000000001</v>
      </c>
      <c r="L88" s="113">
        <v>17.098185999999998</v>
      </c>
      <c r="M88" s="113">
        <v>17.084599000000001</v>
      </c>
      <c r="N88" s="113">
        <v>17.072254000000001</v>
      </c>
      <c r="O88" s="113">
        <v>17.068199</v>
      </c>
      <c r="P88" s="113">
        <v>17.092407000000001</v>
      </c>
      <c r="Q88" s="113">
        <v>17.116980000000002</v>
      </c>
      <c r="R88" s="113">
        <v>17.168666999999999</v>
      </c>
      <c r="S88" s="113">
        <v>17.223541000000001</v>
      </c>
      <c r="T88" s="113">
        <v>17.273216000000001</v>
      </c>
      <c r="U88" s="113">
        <v>17.330249999999999</v>
      </c>
      <c r="V88" s="113">
        <v>17.407344999999999</v>
      </c>
      <c r="W88" s="113">
        <v>17.488461000000001</v>
      </c>
      <c r="X88" s="113">
        <v>17.582836</v>
      </c>
      <c r="Y88" s="113">
        <v>17.683288999999998</v>
      </c>
      <c r="Z88" s="113">
        <v>17.772729999999999</v>
      </c>
      <c r="AA88" s="113">
        <v>17.838830999999999</v>
      </c>
      <c r="AB88" s="113">
        <v>17.950485</v>
      </c>
      <c r="AC88" s="113">
        <v>18.071096000000001</v>
      </c>
      <c r="AD88" s="113">
        <v>18.205200000000001</v>
      </c>
      <c r="AE88" s="113">
        <v>18.344622000000001</v>
      </c>
      <c r="AF88" s="113">
        <v>18.513892999999999</v>
      </c>
      <c r="AG88" s="113">
        <v>18.686674</v>
      </c>
      <c r="AH88" s="114">
        <v>3.5990000000000002E-3</v>
      </c>
    </row>
    <row r="89" spans="1:34" ht="15" customHeight="1" x14ac:dyDescent="0.25">
      <c r="A89" s="8" t="s">
        <v>2821</v>
      </c>
      <c r="B89" s="110" t="s">
        <v>2782</v>
      </c>
      <c r="C89" s="111">
        <v>8.8754E-2</v>
      </c>
      <c r="D89" s="111">
        <v>0.100767</v>
      </c>
      <c r="E89" s="111">
        <v>0.108803</v>
      </c>
      <c r="F89" s="111">
        <v>0.11328000000000001</v>
      </c>
      <c r="G89" s="111">
        <v>0.116855</v>
      </c>
      <c r="H89" s="111">
        <v>0.12341199999999999</v>
      </c>
      <c r="I89" s="111">
        <v>0.12740099999999999</v>
      </c>
      <c r="J89" s="111">
        <v>0.13471</v>
      </c>
      <c r="K89" s="111">
        <v>0.13939099999999999</v>
      </c>
      <c r="L89" s="111">
        <v>0.14404900000000001</v>
      </c>
      <c r="M89" s="111">
        <v>0.148256</v>
      </c>
      <c r="N89" s="111">
        <v>0.15443200000000001</v>
      </c>
      <c r="O89" s="111">
        <v>0.15736600000000001</v>
      </c>
      <c r="P89" s="111">
        <v>0.16201599999999999</v>
      </c>
      <c r="Q89" s="111">
        <v>0.166467</v>
      </c>
      <c r="R89" s="111">
        <v>0.17158599999999999</v>
      </c>
      <c r="S89" s="111">
        <v>0.179007</v>
      </c>
      <c r="T89" s="111">
        <v>0.183781</v>
      </c>
      <c r="U89" s="111">
        <v>0.18956300000000001</v>
      </c>
      <c r="V89" s="111">
        <v>0.19514300000000001</v>
      </c>
      <c r="W89" s="111">
        <v>0.20108500000000001</v>
      </c>
      <c r="X89" s="111">
        <v>0.20661299999999999</v>
      </c>
      <c r="Y89" s="111">
        <v>0.21216699999999999</v>
      </c>
      <c r="Z89" s="111">
        <v>0.21770999999999999</v>
      </c>
      <c r="AA89" s="111">
        <v>0.22253400000000001</v>
      </c>
      <c r="AB89" s="111">
        <v>0.22815199999999999</v>
      </c>
      <c r="AC89" s="111">
        <v>0.23599400000000001</v>
      </c>
      <c r="AD89" s="111">
        <v>0.239927</v>
      </c>
      <c r="AE89" s="111">
        <v>0.24339</v>
      </c>
      <c r="AF89" s="111">
        <v>0.24571999999999999</v>
      </c>
      <c r="AG89" s="111">
        <v>0.24898600000000001</v>
      </c>
      <c r="AH89" s="112">
        <v>3.4981999999999999E-2</v>
      </c>
    </row>
    <row r="90" spans="1:34" ht="15" customHeight="1" x14ac:dyDescent="0.25">
      <c r="A90" s="8" t="s">
        <v>2822</v>
      </c>
      <c r="B90" s="109" t="s">
        <v>2789</v>
      </c>
      <c r="C90" s="113">
        <v>16.688723</v>
      </c>
      <c r="D90" s="113">
        <v>17.003253999999998</v>
      </c>
      <c r="E90" s="113">
        <v>17.264410000000002</v>
      </c>
      <c r="F90" s="113">
        <v>17.370621</v>
      </c>
      <c r="G90" s="113">
        <v>17.462585000000001</v>
      </c>
      <c r="H90" s="113">
        <v>17.484493000000001</v>
      </c>
      <c r="I90" s="113">
        <v>17.249313000000001</v>
      </c>
      <c r="J90" s="113">
        <v>17.078534999999999</v>
      </c>
      <c r="K90" s="113">
        <v>17.005932000000001</v>
      </c>
      <c r="L90" s="113">
        <v>16.954138</v>
      </c>
      <c r="M90" s="113">
        <v>16.936343999999998</v>
      </c>
      <c r="N90" s="113">
        <v>16.917822000000001</v>
      </c>
      <c r="O90" s="113">
        <v>16.910833</v>
      </c>
      <c r="P90" s="113">
        <v>16.930391</v>
      </c>
      <c r="Q90" s="113">
        <v>16.950512</v>
      </c>
      <c r="R90" s="113">
        <v>16.99708</v>
      </c>
      <c r="S90" s="113">
        <v>17.044535</v>
      </c>
      <c r="T90" s="113">
        <v>17.089435999999999</v>
      </c>
      <c r="U90" s="113">
        <v>17.140688000000001</v>
      </c>
      <c r="V90" s="113">
        <v>17.212202000000001</v>
      </c>
      <c r="W90" s="113">
        <v>17.287374</v>
      </c>
      <c r="X90" s="113">
        <v>17.376223</v>
      </c>
      <c r="Y90" s="113">
        <v>17.471121</v>
      </c>
      <c r="Z90" s="113">
        <v>17.555021</v>
      </c>
      <c r="AA90" s="113">
        <v>17.616296999999999</v>
      </c>
      <c r="AB90" s="113">
        <v>17.722332000000002</v>
      </c>
      <c r="AC90" s="113">
        <v>17.835104000000001</v>
      </c>
      <c r="AD90" s="113">
        <v>17.965271000000001</v>
      </c>
      <c r="AE90" s="113">
        <v>18.101233000000001</v>
      </c>
      <c r="AF90" s="113">
        <v>18.268173000000001</v>
      </c>
      <c r="AG90" s="113">
        <v>18.437687</v>
      </c>
      <c r="AH90" s="114">
        <v>3.3279999999999998E-3</v>
      </c>
    </row>
    <row r="92" spans="1:34" x14ac:dyDescent="0.25">
      <c r="B92" s="109" t="s">
        <v>2823</v>
      </c>
    </row>
    <row r="93" spans="1:34" ht="15" customHeight="1" x14ac:dyDescent="0.25">
      <c r="A93" s="8" t="s">
        <v>2677</v>
      </c>
      <c r="B93" s="110" t="s">
        <v>2676</v>
      </c>
      <c r="C93" s="111">
        <v>7.3802000000000006E-2</v>
      </c>
      <c r="D93" s="111">
        <v>7.4819999999999998E-2</v>
      </c>
      <c r="E93" s="111">
        <v>7.4536000000000005E-2</v>
      </c>
      <c r="F93" s="111">
        <v>7.2861999999999996E-2</v>
      </c>
      <c r="G93" s="111">
        <v>7.1972999999999995E-2</v>
      </c>
      <c r="H93" s="111">
        <v>6.9905999999999996E-2</v>
      </c>
      <c r="I93" s="111">
        <v>6.9270999999999999E-2</v>
      </c>
      <c r="J93" s="111">
        <v>6.8682000000000007E-2</v>
      </c>
      <c r="K93" s="111">
        <v>6.8536E-2</v>
      </c>
      <c r="L93" s="111">
        <v>6.8331000000000003E-2</v>
      </c>
      <c r="M93" s="111">
        <v>6.8701999999999999E-2</v>
      </c>
      <c r="N93" s="111">
        <v>6.8470000000000003E-2</v>
      </c>
      <c r="O93" s="111">
        <v>6.8218000000000001E-2</v>
      </c>
      <c r="P93" s="111">
        <v>6.8076999999999999E-2</v>
      </c>
      <c r="Q93" s="111">
        <v>6.7908999999999997E-2</v>
      </c>
      <c r="R93" s="111">
        <v>6.7775000000000002E-2</v>
      </c>
      <c r="S93" s="111">
        <v>6.7604999999999998E-2</v>
      </c>
      <c r="T93" s="111">
        <v>6.7488000000000006E-2</v>
      </c>
      <c r="U93" s="111">
        <v>6.7290000000000003E-2</v>
      </c>
      <c r="V93" s="111">
        <v>6.7204E-2</v>
      </c>
      <c r="W93" s="111">
        <v>6.7079E-2</v>
      </c>
      <c r="X93" s="111">
        <v>6.7001000000000005E-2</v>
      </c>
      <c r="Y93" s="111">
        <v>6.6944000000000004E-2</v>
      </c>
      <c r="Z93" s="111">
        <v>6.6835000000000006E-2</v>
      </c>
      <c r="AA93" s="111">
        <v>6.6728999999999997E-2</v>
      </c>
      <c r="AB93" s="111">
        <v>6.6679000000000002E-2</v>
      </c>
      <c r="AC93" s="111">
        <v>6.6538E-2</v>
      </c>
      <c r="AD93" s="111">
        <v>6.6285999999999998E-2</v>
      </c>
      <c r="AE93" s="111">
        <v>6.6061999999999996E-2</v>
      </c>
      <c r="AF93" s="111">
        <v>6.5920000000000006E-2</v>
      </c>
      <c r="AG93" s="111">
        <v>6.5508999999999998E-2</v>
      </c>
      <c r="AH93" s="112">
        <v>-3.9649999999999998E-3</v>
      </c>
    </row>
    <row r="94" spans="1:34" ht="15" customHeight="1" x14ac:dyDescent="0.25">
      <c r="A94" s="8" t="s">
        <v>2675</v>
      </c>
      <c r="B94" s="110" t="s">
        <v>143</v>
      </c>
      <c r="C94" s="111">
        <v>0.16569200000000001</v>
      </c>
      <c r="D94" s="111">
        <v>0.19445699999999999</v>
      </c>
      <c r="E94" s="111">
        <v>0.21323400000000001</v>
      </c>
      <c r="F94" s="111">
        <v>0.220475</v>
      </c>
      <c r="G94" s="111">
        <v>0.22662199999999999</v>
      </c>
      <c r="H94" s="111">
        <v>0.238787</v>
      </c>
      <c r="I94" s="111">
        <v>0.24603700000000001</v>
      </c>
      <c r="J94" s="111">
        <v>0.261795</v>
      </c>
      <c r="K94" s="111">
        <v>0.271675</v>
      </c>
      <c r="L94" s="111">
        <v>0.28191300000000002</v>
      </c>
      <c r="M94" s="111">
        <v>0.29456700000000002</v>
      </c>
      <c r="N94" s="111">
        <v>0.307668</v>
      </c>
      <c r="O94" s="111">
        <v>0.31362400000000001</v>
      </c>
      <c r="P94" s="111">
        <v>0.32324900000000001</v>
      </c>
      <c r="Q94" s="111">
        <v>0.333208</v>
      </c>
      <c r="R94" s="111">
        <v>0.34439599999999998</v>
      </c>
      <c r="S94" s="111">
        <v>0.36030299999999998</v>
      </c>
      <c r="T94" s="111">
        <v>0.37039899999999998</v>
      </c>
      <c r="U94" s="111">
        <v>0.38288699999999998</v>
      </c>
      <c r="V94" s="111">
        <v>0.39510800000000001</v>
      </c>
      <c r="W94" s="111">
        <v>0.407557</v>
      </c>
      <c r="X94" s="111">
        <v>0.41975000000000001</v>
      </c>
      <c r="Y94" s="111">
        <v>0.43226399999999998</v>
      </c>
      <c r="Z94" s="111">
        <v>0.44381999999999999</v>
      </c>
      <c r="AA94" s="111">
        <v>0.45448499999999997</v>
      </c>
      <c r="AB94" s="111">
        <v>0.46732499999999999</v>
      </c>
      <c r="AC94" s="111">
        <v>0.484232</v>
      </c>
      <c r="AD94" s="111">
        <v>0.490786</v>
      </c>
      <c r="AE94" s="111">
        <v>0.49689</v>
      </c>
      <c r="AF94" s="111">
        <v>0.50087599999999999</v>
      </c>
      <c r="AG94" s="111">
        <v>0.50423600000000002</v>
      </c>
      <c r="AH94" s="112">
        <v>3.7794000000000001E-2</v>
      </c>
    </row>
    <row r="95" spans="1:34" ht="15" customHeight="1" x14ac:dyDescent="0.25">
      <c r="A95" s="8" t="s">
        <v>2674</v>
      </c>
      <c r="B95" s="110" t="s">
        <v>145</v>
      </c>
      <c r="C95" s="111">
        <v>6.8979999999999996E-3</v>
      </c>
      <c r="D95" s="111">
        <v>6.9839999999999998E-3</v>
      </c>
      <c r="E95" s="111">
        <v>6.9519999999999998E-3</v>
      </c>
      <c r="F95" s="111">
        <v>6.8089999999999999E-3</v>
      </c>
      <c r="G95" s="111">
        <v>6.7499999999999999E-3</v>
      </c>
      <c r="H95" s="111">
        <v>6.5750000000000001E-3</v>
      </c>
      <c r="I95" s="111">
        <v>6.5009999999999998E-3</v>
      </c>
      <c r="J95" s="111">
        <v>6.4580000000000002E-3</v>
      </c>
      <c r="K95" s="111">
        <v>6.4479999999999997E-3</v>
      </c>
      <c r="L95" s="111">
        <v>6.43E-3</v>
      </c>
      <c r="M95" s="111">
        <v>6.4440000000000001E-3</v>
      </c>
      <c r="N95" s="111">
        <v>6.4279999999999997E-3</v>
      </c>
      <c r="O95" s="111">
        <v>6.4070000000000004E-3</v>
      </c>
      <c r="P95" s="111">
        <v>6.4250000000000002E-3</v>
      </c>
      <c r="Q95" s="111">
        <v>6.4159999999999998E-3</v>
      </c>
      <c r="R95" s="111">
        <v>6.3940000000000004E-3</v>
      </c>
      <c r="S95" s="111">
        <v>6.3709999999999999E-3</v>
      </c>
      <c r="T95" s="111">
        <v>6.3610000000000003E-3</v>
      </c>
      <c r="U95" s="111">
        <v>6.3369999999999998E-3</v>
      </c>
      <c r="V95" s="111">
        <v>6.3309999999999998E-3</v>
      </c>
      <c r="W95" s="111">
        <v>6.3200000000000001E-3</v>
      </c>
      <c r="X95" s="111">
        <v>6.3049999999999998E-3</v>
      </c>
      <c r="Y95" s="111">
        <v>6.2960000000000004E-3</v>
      </c>
      <c r="Z95" s="111">
        <v>6.3010000000000002E-3</v>
      </c>
      <c r="AA95" s="111">
        <v>6.2849999999999998E-3</v>
      </c>
      <c r="AB95" s="111">
        <v>6.2750000000000002E-3</v>
      </c>
      <c r="AC95" s="111">
        <v>6.2560000000000003E-3</v>
      </c>
      <c r="AD95" s="111">
        <v>6.2389999999999998E-3</v>
      </c>
      <c r="AE95" s="111">
        <v>6.2139999999999999E-3</v>
      </c>
      <c r="AF95" s="111">
        <v>6.2170000000000003E-3</v>
      </c>
      <c r="AG95" s="111">
        <v>6.1999999999999998E-3</v>
      </c>
      <c r="AH95" s="112">
        <v>-3.5500000000000002E-3</v>
      </c>
    </row>
    <row r="96" spans="1:34" ht="15" customHeight="1" x14ac:dyDescent="0.25">
      <c r="A96" s="8" t="s">
        <v>2673</v>
      </c>
      <c r="B96" s="109" t="s">
        <v>147</v>
      </c>
      <c r="C96" s="113">
        <v>0.246392</v>
      </c>
      <c r="D96" s="113">
        <v>0.27626099999999998</v>
      </c>
      <c r="E96" s="113">
        <v>0.29472199999999998</v>
      </c>
      <c r="F96" s="113">
        <v>0.30014600000000002</v>
      </c>
      <c r="G96" s="113">
        <v>0.30534499999999998</v>
      </c>
      <c r="H96" s="113">
        <v>0.31526799999999999</v>
      </c>
      <c r="I96" s="113">
        <v>0.32180900000000001</v>
      </c>
      <c r="J96" s="113">
        <v>0.33693499999999998</v>
      </c>
      <c r="K96" s="113">
        <v>0.34665899999999999</v>
      </c>
      <c r="L96" s="113">
        <v>0.35667399999999999</v>
      </c>
      <c r="M96" s="113">
        <v>0.36971300000000001</v>
      </c>
      <c r="N96" s="113">
        <v>0.38256600000000002</v>
      </c>
      <c r="O96" s="113">
        <v>0.38824900000000001</v>
      </c>
      <c r="P96" s="113">
        <v>0.39775100000000002</v>
      </c>
      <c r="Q96" s="113">
        <v>0.40753400000000001</v>
      </c>
      <c r="R96" s="113">
        <v>0.41856500000000002</v>
      </c>
      <c r="S96" s="113">
        <v>0.43427900000000003</v>
      </c>
      <c r="T96" s="113">
        <v>0.444249</v>
      </c>
      <c r="U96" s="113">
        <v>0.45651399999999998</v>
      </c>
      <c r="V96" s="113">
        <v>0.468642</v>
      </c>
      <c r="W96" s="113">
        <v>0.48095599999999999</v>
      </c>
      <c r="X96" s="113">
        <v>0.49305599999999999</v>
      </c>
      <c r="Y96" s="113">
        <v>0.50550399999999995</v>
      </c>
      <c r="Z96" s="113">
        <v>0.51695500000000005</v>
      </c>
      <c r="AA96" s="113">
        <v>0.52749900000000005</v>
      </c>
      <c r="AB96" s="113">
        <v>0.54027899999999995</v>
      </c>
      <c r="AC96" s="113">
        <v>0.55702700000000005</v>
      </c>
      <c r="AD96" s="113">
        <v>0.56331100000000001</v>
      </c>
      <c r="AE96" s="113">
        <v>0.56916599999999995</v>
      </c>
      <c r="AF96" s="113">
        <v>0.57301400000000002</v>
      </c>
      <c r="AG96" s="113">
        <v>0.57594500000000004</v>
      </c>
      <c r="AH96" s="114">
        <v>2.8707E-2</v>
      </c>
    </row>
    <row r="98" spans="1:34" ht="15" customHeight="1" x14ac:dyDescent="0.25">
      <c r="B98" s="109" t="s">
        <v>148</v>
      </c>
    </row>
    <row r="99" spans="1:34" ht="15" customHeight="1" x14ac:dyDescent="0.25">
      <c r="A99" s="8" t="s">
        <v>2672</v>
      </c>
      <c r="B99" s="110" t="s">
        <v>150</v>
      </c>
      <c r="C99" s="117">
        <v>5958</v>
      </c>
      <c r="D99" s="117">
        <v>6244</v>
      </c>
      <c r="E99" s="117">
        <v>6198</v>
      </c>
      <c r="F99" s="117">
        <v>6187</v>
      </c>
      <c r="G99" s="117">
        <v>6176</v>
      </c>
      <c r="H99" s="117">
        <v>6165</v>
      </c>
      <c r="I99" s="117">
        <v>6153</v>
      </c>
      <c r="J99" s="117">
        <v>6142</v>
      </c>
      <c r="K99" s="117">
        <v>6130</v>
      </c>
      <c r="L99" s="117">
        <v>6118</v>
      </c>
      <c r="M99" s="117">
        <v>6107</v>
      </c>
      <c r="N99" s="117">
        <v>6095</v>
      </c>
      <c r="O99" s="117">
        <v>6083</v>
      </c>
      <c r="P99" s="117">
        <v>6071</v>
      </c>
      <c r="Q99" s="117">
        <v>6059</v>
      </c>
      <c r="R99" s="117">
        <v>6048</v>
      </c>
      <c r="S99" s="117">
        <v>6036</v>
      </c>
      <c r="T99" s="117">
        <v>6024</v>
      </c>
      <c r="U99" s="117">
        <v>6012</v>
      </c>
      <c r="V99" s="117">
        <v>6000</v>
      </c>
      <c r="W99" s="117">
        <v>5988</v>
      </c>
      <c r="X99" s="117">
        <v>5976</v>
      </c>
      <c r="Y99" s="117">
        <v>5964</v>
      </c>
      <c r="Z99" s="117">
        <v>5952</v>
      </c>
      <c r="AA99" s="117">
        <v>5940</v>
      </c>
      <c r="AB99" s="117">
        <v>5929</v>
      </c>
      <c r="AC99" s="117">
        <v>5917</v>
      </c>
      <c r="AD99" s="117">
        <v>5905</v>
      </c>
      <c r="AE99" s="117">
        <v>5893</v>
      </c>
      <c r="AF99" s="117">
        <v>5881</v>
      </c>
      <c r="AG99" s="117">
        <v>5869</v>
      </c>
      <c r="AH99" s="112">
        <v>-5.0199999999999995E-4</v>
      </c>
    </row>
    <row r="100" spans="1:34" ht="15" customHeight="1" x14ac:dyDescent="0.25">
      <c r="A100" s="8" t="s">
        <v>2671</v>
      </c>
      <c r="B100" s="110" t="s">
        <v>152</v>
      </c>
      <c r="C100" s="117">
        <v>5371</v>
      </c>
      <c r="D100" s="117">
        <v>5595</v>
      </c>
      <c r="E100" s="117">
        <v>5569</v>
      </c>
      <c r="F100" s="117">
        <v>5558</v>
      </c>
      <c r="G100" s="117">
        <v>5548</v>
      </c>
      <c r="H100" s="117">
        <v>5538</v>
      </c>
      <c r="I100" s="117">
        <v>5528</v>
      </c>
      <c r="J100" s="117">
        <v>5517</v>
      </c>
      <c r="K100" s="117">
        <v>5507</v>
      </c>
      <c r="L100" s="117">
        <v>5497</v>
      </c>
      <c r="M100" s="117">
        <v>5487</v>
      </c>
      <c r="N100" s="117">
        <v>5477</v>
      </c>
      <c r="O100" s="117">
        <v>5467</v>
      </c>
      <c r="P100" s="117">
        <v>5457</v>
      </c>
      <c r="Q100" s="117">
        <v>5446</v>
      </c>
      <c r="R100" s="117">
        <v>5436</v>
      </c>
      <c r="S100" s="117">
        <v>5426</v>
      </c>
      <c r="T100" s="117">
        <v>5416</v>
      </c>
      <c r="U100" s="117">
        <v>5406</v>
      </c>
      <c r="V100" s="117">
        <v>5396</v>
      </c>
      <c r="W100" s="117">
        <v>5386</v>
      </c>
      <c r="X100" s="117">
        <v>5376</v>
      </c>
      <c r="Y100" s="117">
        <v>5366</v>
      </c>
      <c r="Z100" s="117">
        <v>5355</v>
      </c>
      <c r="AA100" s="117">
        <v>5345</v>
      </c>
      <c r="AB100" s="117">
        <v>5335</v>
      </c>
      <c r="AC100" s="117">
        <v>5325</v>
      </c>
      <c r="AD100" s="117">
        <v>5315</v>
      </c>
      <c r="AE100" s="117">
        <v>5305</v>
      </c>
      <c r="AF100" s="117">
        <v>5295</v>
      </c>
      <c r="AG100" s="117">
        <v>5285</v>
      </c>
      <c r="AH100" s="112">
        <v>-5.3799999999999996E-4</v>
      </c>
    </row>
    <row r="101" spans="1:34" x14ac:dyDescent="0.25">
      <c r="A101" s="8" t="s">
        <v>2670</v>
      </c>
      <c r="B101" s="110" t="s">
        <v>154</v>
      </c>
      <c r="C101" s="117">
        <v>6000</v>
      </c>
      <c r="D101" s="117">
        <v>6217</v>
      </c>
      <c r="E101" s="117">
        <v>6172</v>
      </c>
      <c r="F101" s="117">
        <v>6167</v>
      </c>
      <c r="G101" s="117">
        <v>6163</v>
      </c>
      <c r="H101" s="117">
        <v>6159</v>
      </c>
      <c r="I101" s="117">
        <v>6155</v>
      </c>
      <c r="J101" s="117">
        <v>6151</v>
      </c>
      <c r="K101" s="117">
        <v>6147</v>
      </c>
      <c r="L101" s="117">
        <v>6143</v>
      </c>
      <c r="M101" s="117">
        <v>6138</v>
      </c>
      <c r="N101" s="117">
        <v>6134</v>
      </c>
      <c r="O101" s="117">
        <v>6130</v>
      </c>
      <c r="P101" s="117">
        <v>6126</v>
      </c>
      <c r="Q101" s="117">
        <v>6122</v>
      </c>
      <c r="R101" s="117">
        <v>6118</v>
      </c>
      <c r="S101" s="117">
        <v>6114</v>
      </c>
      <c r="T101" s="117">
        <v>6109</v>
      </c>
      <c r="U101" s="117">
        <v>6105</v>
      </c>
      <c r="V101" s="117">
        <v>6101</v>
      </c>
      <c r="W101" s="117">
        <v>6097</v>
      </c>
      <c r="X101" s="117">
        <v>6093</v>
      </c>
      <c r="Y101" s="117">
        <v>6089</v>
      </c>
      <c r="Z101" s="117">
        <v>6084</v>
      </c>
      <c r="AA101" s="117">
        <v>6080</v>
      </c>
      <c r="AB101" s="117">
        <v>6076</v>
      </c>
      <c r="AC101" s="117">
        <v>6072</v>
      </c>
      <c r="AD101" s="117">
        <v>6068</v>
      </c>
      <c r="AE101" s="117">
        <v>6064</v>
      </c>
      <c r="AF101" s="117">
        <v>6059</v>
      </c>
      <c r="AG101" s="117">
        <v>6055</v>
      </c>
      <c r="AH101" s="112">
        <v>3.0400000000000002E-4</v>
      </c>
    </row>
    <row r="102" spans="1:34" x14ac:dyDescent="0.25">
      <c r="A102" s="8" t="s">
        <v>2669</v>
      </c>
      <c r="B102" s="110" t="s">
        <v>156</v>
      </c>
      <c r="C102" s="117">
        <v>6410</v>
      </c>
      <c r="D102" s="117">
        <v>6529</v>
      </c>
      <c r="E102" s="117">
        <v>6490</v>
      </c>
      <c r="F102" s="117">
        <v>6489</v>
      </c>
      <c r="G102" s="117">
        <v>6487</v>
      </c>
      <c r="H102" s="117">
        <v>6485</v>
      </c>
      <c r="I102" s="117">
        <v>6483</v>
      </c>
      <c r="J102" s="117">
        <v>6481</v>
      </c>
      <c r="K102" s="117">
        <v>6479</v>
      </c>
      <c r="L102" s="117">
        <v>6477</v>
      </c>
      <c r="M102" s="117">
        <v>6474</v>
      </c>
      <c r="N102" s="117">
        <v>6472</v>
      </c>
      <c r="O102" s="117">
        <v>6470</v>
      </c>
      <c r="P102" s="117">
        <v>6467</v>
      </c>
      <c r="Q102" s="117">
        <v>6465</v>
      </c>
      <c r="R102" s="117">
        <v>6462</v>
      </c>
      <c r="S102" s="117">
        <v>6459</v>
      </c>
      <c r="T102" s="117">
        <v>6457</v>
      </c>
      <c r="U102" s="117">
        <v>6454</v>
      </c>
      <c r="V102" s="117">
        <v>6451</v>
      </c>
      <c r="W102" s="117">
        <v>6449</v>
      </c>
      <c r="X102" s="117">
        <v>6446</v>
      </c>
      <c r="Y102" s="117">
        <v>6443</v>
      </c>
      <c r="Z102" s="117">
        <v>6440</v>
      </c>
      <c r="AA102" s="117">
        <v>6437</v>
      </c>
      <c r="AB102" s="117">
        <v>6434</v>
      </c>
      <c r="AC102" s="117">
        <v>6431</v>
      </c>
      <c r="AD102" s="117">
        <v>6428</v>
      </c>
      <c r="AE102" s="117">
        <v>6426</v>
      </c>
      <c r="AF102" s="117">
        <v>6423</v>
      </c>
      <c r="AG102" s="117">
        <v>6420</v>
      </c>
      <c r="AH102" s="112">
        <v>5.1999999999999997E-5</v>
      </c>
    </row>
    <row r="103" spans="1:34" ht="15" customHeight="1" x14ac:dyDescent="0.25">
      <c r="A103" s="8" t="s">
        <v>2668</v>
      </c>
      <c r="B103" s="110" t="s">
        <v>158</v>
      </c>
      <c r="C103" s="117">
        <v>2335</v>
      </c>
      <c r="D103" s="117">
        <v>2486</v>
      </c>
      <c r="E103" s="117">
        <v>2520</v>
      </c>
      <c r="F103" s="117">
        <v>2511</v>
      </c>
      <c r="G103" s="117">
        <v>2503</v>
      </c>
      <c r="H103" s="117">
        <v>2495</v>
      </c>
      <c r="I103" s="117">
        <v>2487</v>
      </c>
      <c r="J103" s="117">
        <v>2479</v>
      </c>
      <c r="K103" s="117">
        <v>2471</v>
      </c>
      <c r="L103" s="117">
        <v>2463</v>
      </c>
      <c r="M103" s="117">
        <v>2455</v>
      </c>
      <c r="N103" s="117">
        <v>2448</v>
      </c>
      <c r="O103" s="117">
        <v>2440</v>
      </c>
      <c r="P103" s="117">
        <v>2432</v>
      </c>
      <c r="Q103" s="117">
        <v>2424</v>
      </c>
      <c r="R103" s="117">
        <v>2417</v>
      </c>
      <c r="S103" s="117">
        <v>2409</v>
      </c>
      <c r="T103" s="117">
        <v>2401</v>
      </c>
      <c r="U103" s="117">
        <v>2393</v>
      </c>
      <c r="V103" s="117">
        <v>2385</v>
      </c>
      <c r="W103" s="117">
        <v>2378</v>
      </c>
      <c r="X103" s="117">
        <v>2370</v>
      </c>
      <c r="Y103" s="117">
        <v>2362</v>
      </c>
      <c r="Z103" s="117">
        <v>2355</v>
      </c>
      <c r="AA103" s="117">
        <v>2347</v>
      </c>
      <c r="AB103" s="117">
        <v>2339</v>
      </c>
      <c r="AC103" s="117">
        <v>2332</v>
      </c>
      <c r="AD103" s="117">
        <v>2324</v>
      </c>
      <c r="AE103" s="117">
        <v>2316</v>
      </c>
      <c r="AF103" s="117">
        <v>2309</v>
      </c>
      <c r="AG103" s="117">
        <v>2301</v>
      </c>
      <c r="AH103" s="112">
        <v>-4.8899999999999996E-4</v>
      </c>
    </row>
    <row r="104" spans="1:34" ht="15" customHeight="1" x14ac:dyDescent="0.25">
      <c r="A104" s="8" t="s">
        <v>2667</v>
      </c>
      <c r="B104" s="110" t="s">
        <v>160</v>
      </c>
      <c r="C104" s="117">
        <v>3119</v>
      </c>
      <c r="D104" s="117">
        <v>3304</v>
      </c>
      <c r="E104" s="117">
        <v>3319</v>
      </c>
      <c r="F104" s="117">
        <v>3314</v>
      </c>
      <c r="G104" s="117">
        <v>3310</v>
      </c>
      <c r="H104" s="117">
        <v>3306</v>
      </c>
      <c r="I104" s="117">
        <v>3302</v>
      </c>
      <c r="J104" s="117">
        <v>3297</v>
      </c>
      <c r="K104" s="117">
        <v>3293</v>
      </c>
      <c r="L104" s="117">
        <v>3288</v>
      </c>
      <c r="M104" s="117">
        <v>3284</v>
      </c>
      <c r="N104" s="117">
        <v>3280</v>
      </c>
      <c r="O104" s="117">
        <v>3275</v>
      </c>
      <c r="P104" s="117">
        <v>3271</v>
      </c>
      <c r="Q104" s="117">
        <v>3266</v>
      </c>
      <c r="R104" s="117">
        <v>3262</v>
      </c>
      <c r="S104" s="117">
        <v>3257</v>
      </c>
      <c r="T104" s="117">
        <v>3252</v>
      </c>
      <c r="U104" s="117">
        <v>3248</v>
      </c>
      <c r="V104" s="117">
        <v>3243</v>
      </c>
      <c r="W104" s="117">
        <v>3238</v>
      </c>
      <c r="X104" s="117">
        <v>3234</v>
      </c>
      <c r="Y104" s="117">
        <v>3229</v>
      </c>
      <c r="Z104" s="117">
        <v>3224</v>
      </c>
      <c r="AA104" s="117">
        <v>3220</v>
      </c>
      <c r="AB104" s="117">
        <v>3215</v>
      </c>
      <c r="AC104" s="117">
        <v>3210</v>
      </c>
      <c r="AD104" s="117">
        <v>3206</v>
      </c>
      <c r="AE104" s="117">
        <v>3201</v>
      </c>
      <c r="AF104" s="117">
        <v>3196</v>
      </c>
      <c r="AG104" s="117">
        <v>3191</v>
      </c>
      <c r="AH104" s="112">
        <v>7.6099999999999996E-4</v>
      </c>
    </row>
    <row r="105" spans="1:34" ht="15" customHeight="1" x14ac:dyDescent="0.25">
      <c r="A105" s="8" t="s">
        <v>2666</v>
      </c>
      <c r="B105" s="110" t="s">
        <v>162</v>
      </c>
      <c r="C105" s="117">
        <v>1829</v>
      </c>
      <c r="D105" s="117">
        <v>1910</v>
      </c>
      <c r="E105" s="117">
        <v>2015</v>
      </c>
      <c r="F105" s="117">
        <v>2009</v>
      </c>
      <c r="G105" s="117">
        <v>2004</v>
      </c>
      <c r="H105" s="117">
        <v>1999</v>
      </c>
      <c r="I105" s="117">
        <v>1994</v>
      </c>
      <c r="J105" s="117">
        <v>1988</v>
      </c>
      <c r="K105" s="117">
        <v>1983</v>
      </c>
      <c r="L105" s="117">
        <v>1978</v>
      </c>
      <c r="M105" s="117">
        <v>1973</v>
      </c>
      <c r="N105" s="117">
        <v>1967</v>
      </c>
      <c r="O105" s="117">
        <v>1962</v>
      </c>
      <c r="P105" s="117">
        <v>1957</v>
      </c>
      <c r="Q105" s="117">
        <v>1952</v>
      </c>
      <c r="R105" s="117">
        <v>1947</v>
      </c>
      <c r="S105" s="117">
        <v>1942</v>
      </c>
      <c r="T105" s="117">
        <v>1937</v>
      </c>
      <c r="U105" s="117">
        <v>1932</v>
      </c>
      <c r="V105" s="117">
        <v>1927</v>
      </c>
      <c r="W105" s="117">
        <v>1922</v>
      </c>
      <c r="X105" s="117">
        <v>1917</v>
      </c>
      <c r="Y105" s="117">
        <v>1912</v>
      </c>
      <c r="Z105" s="117">
        <v>1907</v>
      </c>
      <c r="AA105" s="117">
        <v>1902</v>
      </c>
      <c r="AB105" s="117">
        <v>1897</v>
      </c>
      <c r="AC105" s="117">
        <v>1892</v>
      </c>
      <c r="AD105" s="117">
        <v>1887</v>
      </c>
      <c r="AE105" s="117">
        <v>1882</v>
      </c>
      <c r="AF105" s="117">
        <v>1877</v>
      </c>
      <c r="AG105" s="117">
        <v>1873</v>
      </c>
      <c r="AH105" s="112">
        <v>7.9299999999999998E-4</v>
      </c>
    </row>
    <row r="106" spans="1:34" ht="15" customHeight="1" x14ac:dyDescent="0.25">
      <c r="A106" s="8" t="s">
        <v>2665</v>
      </c>
      <c r="B106" s="110" t="s">
        <v>164</v>
      </c>
      <c r="C106" s="117">
        <v>4810</v>
      </c>
      <c r="D106" s="117">
        <v>4802</v>
      </c>
      <c r="E106" s="117">
        <v>4793</v>
      </c>
      <c r="F106" s="117">
        <v>4780</v>
      </c>
      <c r="G106" s="117">
        <v>4768</v>
      </c>
      <c r="H106" s="117">
        <v>4755</v>
      </c>
      <c r="I106" s="117">
        <v>4742</v>
      </c>
      <c r="J106" s="117">
        <v>4730</v>
      </c>
      <c r="K106" s="117">
        <v>4717</v>
      </c>
      <c r="L106" s="117">
        <v>4704</v>
      </c>
      <c r="M106" s="117">
        <v>4691</v>
      </c>
      <c r="N106" s="117">
        <v>4678</v>
      </c>
      <c r="O106" s="117">
        <v>4664</v>
      </c>
      <c r="P106" s="117">
        <v>4651</v>
      </c>
      <c r="Q106" s="117">
        <v>4638</v>
      </c>
      <c r="R106" s="117">
        <v>4624</v>
      </c>
      <c r="S106" s="117">
        <v>4611</v>
      </c>
      <c r="T106" s="117">
        <v>4597</v>
      </c>
      <c r="U106" s="117">
        <v>4584</v>
      </c>
      <c r="V106" s="117">
        <v>4570</v>
      </c>
      <c r="W106" s="117">
        <v>4557</v>
      </c>
      <c r="X106" s="117">
        <v>4543</v>
      </c>
      <c r="Y106" s="117">
        <v>4530</v>
      </c>
      <c r="Z106" s="117">
        <v>4517</v>
      </c>
      <c r="AA106" s="117">
        <v>4503</v>
      </c>
      <c r="AB106" s="117">
        <v>4490</v>
      </c>
      <c r="AC106" s="117">
        <v>4476</v>
      </c>
      <c r="AD106" s="117">
        <v>4463</v>
      </c>
      <c r="AE106" s="117">
        <v>4450</v>
      </c>
      <c r="AF106" s="117">
        <v>4436</v>
      </c>
      <c r="AG106" s="117">
        <v>4423</v>
      </c>
      <c r="AH106" s="112">
        <v>-2.7920000000000002E-3</v>
      </c>
    </row>
    <row r="107" spans="1:34" ht="15" customHeight="1" x14ac:dyDescent="0.25">
      <c r="A107" s="8" t="s">
        <v>2664</v>
      </c>
      <c r="B107" s="110" t="s">
        <v>166</v>
      </c>
      <c r="C107" s="117">
        <v>3335</v>
      </c>
      <c r="D107" s="117">
        <v>3363</v>
      </c>
      <c r="E107" s="117">
        <v>3253</v>
      </c>
      <c r="F107" s="117">
        <v>3243</v>
      </c>
      <c r="G107" s="117">
        <v>3232</v>
      </c>
      <c r="H107" s="117">
        <v>3222</v>
      </c>
      <c r="I107" s="117">
        <v>3212</v>
      </c>
      <c r="J107" s="117">
        <v>3201</v>
      </c>
      <c r="K107" s="117">
        <v>3191</v>
      </c>
      <c r="L107" s="117">
        <v>3180</v>
      </c>
      <c r="M107" s="117">
        <v>3169</v>
      </c>
      <c r="N107" s="117">
        <v>3159</v>
      </c>
      <c r="O107" s="117">
        <v>3148</v>
      </c>
      <c r="P107" s="117">
        <v>3137</v>
      </c>
      <c r="Q107" s="117">
        <v>3126</v>
      </c>
      <c r="R107" s="117">
        <v>3116</v>
      </c>
      <c r="S107" s="117">
        <v>3105</v>
      </c>
      <c r="T107" s="117">
        <v>3094</v>
      </c>
      <c r="U107" s="117">
        <v>3083</v>
      </c>
      <c r="V107" s="117">
        <v>3072</v>
      </c>
      <c r="W107" s="117">
        <v>3061</v>
      </c>
      <c r="X107" s="117">
        <v>3050</v>
      </c>
      <c r="Y107" s="117">
        <v>3039</v>
      </c>
      <c r="Z107" s="117">
        <v>3028</v>
      </c>
      <c r="AA107" s="117">
        <v>3017</v>
      </c>
      <c r="AB107" s="117">
        <v>3005</v>
      </c>
      <c r="AC107" s="117">
        <v>2994</v>
      </c>
      <c r="AD107" s="117">
        <v>2983</v>
      </c>
      <c r="AE107" s="117">
        <v>2972</v>
      </c>
      <c r="AF107" s="117">
        <v>2961</v>
      </c>
      <c r="AG107" s="117">
        <v>2950</v>
      </c>
      <c r="AH107" s="112">
        <v>-4.0810000000000004E-3</v>
      </c>
    </row>
    <row r="108" spans="1:34" ht="15" customHeight="1" x14ac:dyDescent="0.25">
      <c r="A108" s="8" t="s">
        <v>2663</v>
      </c>
      <c r="B108" s="109" t="s">
        <v>168</v>
      </c>
      <c r="C108" s="115">
        <v>3994.5471189999998</v>
      </c>
      <c r="D108" s="115">
        <v>4123.486328</v>
      </c>
      <c r="E108" s="115">
        <v>4106.1538090000004</v>
      </c>
      <c r="F108" s="115">
        <v>4092.9008789999998</v>
      </c>
      <c r="G108" s="115">
        <v>4080.1918949999999</v>
      </c>
      <c r="H108" s="115">
        <v>4067.608154</v>
      </c>
      <c r="I108" s="115">
        <v>4055.0151369999999</v>
      </c>
      <c r="J108" s="115">
        <v>4042.108643</v>
      </c>
      <c r="K108" s="115">
        <v>4029.5825199999999</v>
      </c>
      <c r="L108" s="115">
        <v>4016.8515619999998</v>
      </c>
      <c r="M108" s="115">
        <v>4004.033203</v>
      </c>
      <c r="N108" s="115">
        <v>3991.616211</v>
      </c>
      <c r="O108" s="115">
        <v>3978.8229980000001</v>
      </c>
      <c r="P108" s="115">
        <v>3966.1135250000002</v>
      </c>
      <c r="Q108" s="115">
        <v>3953.3046880000002</v>
      </c>
      <c r="R108" s="115">
        <v>3940.9418949999999</v>
      </c>
      <c r="S108" s="115">
        <v>3928.1752929999998</v>
      </c>
      <c r="T108" s="115">
        <v>3915.2416990000002</v>
      </c>
      <c r="U108" s="115">
        <v>3902.5</v>
      </c>
      <c r="V108" s="115">
        <v>3889.59375</v>
      </c>
      <c r="W108" s="115">
        <v>3877.0180660000001</v>
      </c>
      <c r="X108" s="115">
        <v>3864.1130370000001</v>
      </c>
      <c r="Y108" s="115">
        <v>3851.210693</v>
      </c>
      <c r="Z108" s="115">
        <v>3838.2595209999999</v>
      </c>
      <c r="AA108" s="115">
        <v>3825.2751459999999</v>
      </c>
      <c r="AB108" s="115">
        <v>3812.1760250000002</v>
      </c>
      <c r="AC108" s="115">
        <v>3799.3579100000002</v>
      </c>
      <c r="AD108" s="115">
        <v>3786.5341800000001</v>
      </c>
      <c r="AE108" s="115">
        <v>3773.8266600000002</v>
      </c>
      <c r="AF108" s="115">
        <v>3761.2253420000002</v>
      </c>
      <c r="AG108" s="115">
        <v>3748.8479000000002</v>
      </c>
      <c r="AH108" s="114">
        <v>-2.114E-3</v>
      </c>
    </row>
    <row r="110" spans="1:34" ht="15" customHeight="1" x14ac:dyDescent="0.25">
      <c r="B110" s="109" t="s">
        <v>169</v>
      </c>
    </row>
    <row r="111" spans="1:34" ht="15" customHeight="1" x14ac:dyDescent="0.25">
      <c r="A111" s="8" t="s">
        <v>2662</v>
      </c>
      <c r="B111" s="110" t="s">
        <v>150</v>
      </c>
      <c r="C111" s="117">
        <v>652</v>
      </c>
      <c r="D111" s="117">
        <v>505</v>
      </c>
      <c r="E111" s="117">
        <v>579</v>
      </c>
      <c r="F111" s="117">
        <v>584</v>
      </c>
      <c r="G111" s="117">
        <v>590</v>
      </c>
      <c r="H111" s="117">
        <v>596</v>
      </c>
      <c r="I111" s="117">
        <v>602</v>
      </c>
      <c r="J111" s="117">
        <v>608</v>
      </c>
      <c r="K111" s="117">
        <v>614</v>
      </c>
      <c r="L111" s="117">
        <v>620</v>
      </c>
      <c r="M111" s="117">
        <v>626</v>
      </c>
      <c r="N111" s="117">
        <v>632</v>
      </c>
      <c r="O111" s="117">
        <v>638</v>
      </c>
      <c r="P111" s="117">
        <v>644</v>
      </c>
      <c r="Q111" s="117">
        <v>650</v>
      </c>
      <c r="R111" s="117">
        <v>656</v>
      </c>
      <c r="S111" s="117">
        <v>662</v>
      </c>
      <c r="T111" s="117">
        <v>668</v>
      </c>
      <c r="U111" s="117">
        <v>674</v>
      </c>
      <c r="V111" s="117">
        <v>680</v>
      </c>
      <c r="W111" s="117">
        <v>686</v>
      </c>
      <c r="X111" s="117">
        <v>692</v>
      </c>
      <c r="Y111" s="117">
        <v>698</v>
      </c>
      <c r="Z111" s="117">
        <v>704</v>
      </c>
      <c r="AA111" s="117">
        <v>710</v>
      </c>
      <c r="AB111" s="117">
        <v>716</v>
      </c>
      <c r="AC111" s="117">
        <v>723</v>
      </c>
      <c r="AD111" s="117">
        <v>729</v>
      </c>
      <c r="AE111" s="117">
        <v>735</v>
      </c>
      <c r="AF111" s="117">
        <v>741</v>
      </c>
      <c r="AG111" s="117">
        <v>747</v>
      </c>
      <c r="AH111" s="112">
        <v>4.5440000000000003E-3</v>
      </c>
    </row>
    <row r="112" spans="1:34" ht="15" customHeight="1" x14ac:dyDescent="0.25">
      <c r="A112" s="8" t="s">
        <v>2661</v>
      </c>
      <c r="B112" s="158" t="s">
        <v>152</v>
      </c>
      <c r="C112" s="159">
        <v>840</v>
      </c>
      <c r="D112" s="159">
        <v>706</v>
      </c>
      <c r="E112" s="159">
        <v>826</v>
      </c>
      <c r="F112" s="159">
        <v>834</v>
      </c>
      <c r="G112" s="159">
        <v>842</v>
      </c>
      <c r="H112" s="159">
        <v>850</v>
      </c>
      <c r="I112" s="159">
        <v>858</v>
      </c>
      <c r="J112" s="159">
        <v>867</v>
      </c>
      <c r="K112" s="159">
        <v>875</v>
      </c>
      <c r="L112" s="159">
        <v>883</v>
      </c>
      <c r="M112" s="159">
        <v>891</v>
      </c>
      <c r="N112" s="159">
        <v>899</v>
      </c>
      <c r="O112" s="159">
        <v>907</v>
      </c>
      <c r="P112" s="159">
        <v>916</v>
      </c>
      <c r="Q112" s="159">
        <v>924</v>
      </c>
      <c r="R112" s="159">
        <v>932</v>
      </c>
      <c r="S112" s="159">
        <v>940</v>
      </c>
      <c r="T112" s="159">
        <v>948</v>
      </c>
      <c r="U112" s="159">
        <v>956</v>
      </c>
      <c r="V112" s="159">
        <v>965</v>
      </c>
      <c r="W112" s="159">
        <v>973</v>
      </c>
      <c r="X112" s="159">
        <v>981</v>
      </c>
      <c r="Y112" s="159">
        <v>989</v>
      </c>
      <c r="Z112" s="159">
        <v>997</v>
      </c>
      <c r="AA112" s="159">
        <v>1005</v>
      </c>
      <c r="AB112" s="159">
        <v>1014</v>
      </c>
      <c r="AC112" s="159">
        <v>1022</v>
      </c>
      <c r="AD112" s="159">
        <v>1030</v>
      </c>
      <c r="AE112" s="159">
        <v>1038</v>
      </c>
      <c r="AF112" s="159">
        <v>1046</v>
      </c>
      <c r="AG112" s="159">
        <v>1054</v>
      </c>
      <c r="AH112" s="160">
        <v>7.5940000000000001E-3</v>
      </c>
    </row>
    <row r="113" spans="1:34" ht="15" customHeight="1" x14ac:dyDescent="0.25">
      <c r="A113" s="8" t="s">
        <v>2660</v>
      </c>
      <c r="B113" s="110" t="s">
        <v>154</v>
      </c>
      <c r="C113" s="117">
        <v>831</v>
      </c>
      <c r="D113" s="117">
        <v>767</v>
      </c>
      <c r="E113" s="117">
        <v>857</v>
      </c>
      <c r="F113" s="117">
        <v>864</v>
      </c>
      <c r="G113" s="117">
        <v>870</v>
      </c>
      <c r="H113" s="117">
        <v>876</v>
      </c>
      <c r="I113" s="117">
        <v>882</v>
      </c>
      <c r="J113" s="117">
        <v>889</v>
      </c>
      <c r="K113" s="117">
        <v>895</v>
      </c>
      <c r="L113" s="117">
        <v>901</v>
      </c>
      <c r="M113" s="117">
        <v>907</v>
      </c>
      <c r="N113" s="117">
        <v>914</v>
      </c>
      <c r="O113" s="117">
        <v>920</v>
      </c>
      <c r="P113" s="117">
        <v>926</v>
      </c>
      <c r="Q113" s="117">
        <v>932</v>
      </c>
      <c r="R113" s="117">
        <v>939</v>
      </c>
      <c r="S113" s="117">
        <v>945</v>
      </c>
      <c r="T113" s="117">
        <v>951</v>
      </c>
      <c r="U113" s="117">
        <v>958</v>
      </c>
      <c r="V113" s="117">
        <v>964</v>
      </c>
      <c r="W113" s="117">
        <v>970</v>
      </c>
      <c r="X113" s="117">
        <v>976</v>
      </c>
      <c r="Y113" s="117">
        <v>983</v>
      </c>
      <c r="Z113" s="117">
        <v>989</v>
      </c>
      <c r="AA113" s="117">
        <v>995</v>
      </c>
      <c r="AB113" s="117">
        <v>1002</v>
      </c>
      <c r="AC113" s="117">
        <v>1008</v>
      </c>
      <c r="AD113" s="117">
        <v>1014</v>
      </c>
      <c r="AE113" s="117">
        <v>1021</v>
      </c>
      <c r="AF113" s="117">
        <v>1027</v>
      </c>
      <c r="AG113" s="117">
        <v>1033</v>
      </c>
      <c r="AH113" s="112">
        <v>7.28E-3</v>
      </c>
    </row>
    <row r="114" spans="1:34" ht="15" customHeight="1" x14ac:dyDescent="0.25">
      <c r="A114" s="8" t="s">
        <v>2659</v>
      </c>
      <c r="B114" s="110" t="s">
        <v>156</v>
      </c>
      <c r="C114" s="117">
        <v>975</v>
      </c>
      <c r="D114" s="117">
        <v>956</v>
      </c>
      <c r="E114" s="117">
        <v>1035</v>
      </c>
      <c r="F114" s="117">
        <v>1040</v>
      </c>
      <c r="G114" s="117">
        <v>1046</v>
      </c>
      <c r="H114" s="117">
        <v>1051</v>
      </c>
      <c r="I114" s="117">
        <v>1057</v>
      </c>
      <c r="J114" s="117">
        <v>1062</v>
      </c>
      <c r="K114" s="117">
        <v>1068</v>
      </c>
      <c r="L114" s="117">
        <v>1074</v>
      </c>
      <c r="M114" s="117">
        <v>1079</v>
      </c>
      <c r="N114" s="117">
        <v>1085</v>
      </c>
      <c r="O114" s="117">
        <v>1091</v>
      </c>
      <c r="P114" s="117">
        <v>1096</v>
      </c>
      <c r="Q114" s="117">
        <v>1102</v>
      </c>
      <c r="R114" s="117">
        <v>1108</v>
      </c>
      <c r="S114" s="117">
        <v>1114</v>
      </c>
      <c r="T114" s="117">
        <v>1119</v>
      </c>
      <c r="U114" s="117">
        <v>1125</v>
      </c>
      <c r="V114" s="117">
        <v>1131</v>
      </c>
      <c r="W114" s="117">
        <v>1137</v>
      </c>
      <c r="X114" s="117">
        <v>1142</v>
      </c>
      <c r="Y114" s="117">
        <v>1148</v>
      </c>
      <c r="Z114" s="117">
        <v>1154</v>
      </c>
      <c r="AA114" s="117">
        <v>1160</v>
      </c>
      <c r="AB114" s="117">
        <v>1166</v>
      </c>
      <c r="AC114" s="117">
        <v>1171</v>
      </c>
      <c r="AD114" s="117">
        <v>1177</v>
      </c>
      <c r="AE114" s="117">
        <v>1183</v>
      </c>
      <c r="AF114" s="117">
        <v>1189</v>
      </c>
      <c r="AG114" s="117">
        <v>1195</v>
      </c>
      <c r="AH114" s="112">
        <v>6.8050000000000003E-3</v>
      </c>
    </row>
    <row r="115" spans="1:34" ht="15" customHeight="1" x14ac:dyDescent="0.25">
      <c r="A115" s="8" t="s">
        <v>2658</v>
      </c>
      <c r="B115" s="110" t="s">
        <v>158</v>
      </c>
      <c r="C115" s="117">
        <v>2274</v>
      </c>
      <c r="D115" s="117">
        <v>2219</v>
      </c>
      <c r="E115" s="117">
        <v>2359</v>
      </c>
      <c r="F115" s="117">
        <v>2373</v>
      </c>
      <c r="G115" s="117">
        <v>2388</v>
      </c>
      <c r="H115" s="117">
        <v>2402</v>
      </c>
      <c r="I115" s="117">
        <v>2417</v>
      </c>
      <c r="J115" s="117">
        <v>2431</v>
      </c>
      <c r="K115" s="117">
        <v>2445</v>
      </c>
      <c r="L115" s="117">
        <v>2460</v>
      </c>
      <c r="M115" s="117">
        <v>2474</v>
      </c>
      <c r="N115" s="117">
        <v>2488</v>
      </c>
      <c r="O115" s="117">
        <v>2503</v>
      </c>
      <c r="P115" s="117">
        <v>2517</v>
      </c>
      <c r="Q115" s="117">
        <v>2531</v>
      </c>
      <c r="R115" s="117">
        <v>2546</v>
      </c>
      <c r="S115" s="117">
        <v>2560</v>
      </c>
      <c r="T115" s="117">
        <v>2575</v>
      </c>
      <c r="U115" s="117">
        <v>2589</v>
      </c>
      <c r="V115" s="117">
        <v>2603</v>
      </c>
      <c r="W115" s="117">
        <v>2618</v>
      </c>
      <c r="X115" s="117">
        <v>2632</v>
      </c>
      <c r="Y115" s="117">
        <v>2647</v>
      </c>
      <c r="Z115" s="117">
        <v>2661</v>
      </c>
      <c r="AA115" s="117">
        <v>2676</v>
      </c>
      <c r="AB115" s="117">
        <v>2690</v>
      </c>
      <c r="AC115" s="117">
        <v>2705</v>
      </c>
      <c r="AD115" s="117">
        <v>2719</v>
      </c>
      <c r="AE115" s="117">
        <v>2734</v>
      </c>
      <c r="AF115" s="117">
        <v>2748</v>
      </c>
      <c r="AG115" s="117">
        <v>2763</v>
      </c>
      <c r="AH115" s="112">
        <v>6.5139999999999998E-3</v>
      </c>
    </row>
    <row r="116" spans="1:34" ht="15" customHeight="1" x14ac:dyDescent="0.25">
      <c r="A116" s="8" t="s">
        <v>2657</v>
      </c>
      <c r="B116" s="110" t="s">
        <v>160</v>
      </c>
      <c r="C116" s="117">
        <v>1623</v>
      </c>
      <c r="D116" s="117">
        <v>1710</v>
      </c>
      <c r="E116" s="117">
        <v>1808</v>
      </c>
      <c r="F116" s="117">
        <v>1818</v>
      </c>
      <c r="G116" s="117">
        <v>1828</v>
      </c>
      <c r="H116" s="117">
        <v>1838</v>
      </c>
      <c r="I116" s="117">
        <v>1848</v>
      </c>
      <c r="J116" s="117">
        <v>1858</v>
      </c>
      <c r="K116" s="117">
        <v>1868</v>
      </c>
      <c r="L116" s="117">
        <v>1878</v>
      </c>
      <c r="M116" s="117">
        <v>1888</v>
      </c>
      <c r="N116" s="117">
        <v>1898</v>
      </c>
      <c r="O116" s="117">
        <v>1909</v>
      </c>
      <c r="P116" s="117">
        <v>1919</v>
      </c>
      <c r="Q116" s="117">
        <v>1929</v>
      </c>
      <c r="R116" s="117">
        <v>1939</v>
      </c>
      <c r="S116" s="117">
        <v>1949</v>
      </c>
      <c r="T116" s="117">
        <v>1959</v>
      </c>
      <c r="U116" s="117">
        <v>1969</v>
      </c>
      <c r="V116" s="117">
        <v>1980</v>
      </c>
      <c r="W116" s="117">
        <v>1990</v>
      </c>
      <c r="X116" s="117">
        <v>2000</v>
      </c>
      <c r="Y116" s="117">
        <v>2010</v>
      </c>
      <c r="Z116" s="117">
        <v>2020</v>
      </c>
      <c r="AA116" s="117">
        <v>2031</v>
      </c>
      <c r="AB116" s="117">
        <v>2041</v>
      </c>
      <c r="AC116" s="117">
        <v>2051</v>
      </c>
      <c r="AD116" s="117">
        <v>2061</v>
      </c>
      <c r="AE116" s="117">
        <v>2071</v>
      </c>
      <c r="AF116" s="117">
        <v>2082</v>
      </c>
      <c r="AG116" s="117">
        <v>2092</v>
      </c>
      <c r="AH116" s="112">
        <v>8.4969999999999993E-3</v>
      </c>
    </row>
    <row r="117" spans="1:34" ht="15" customHeight="1" x14ac:dyDescent="0.25">
      <c r="A117" s="8" t="s">
        <v>2656</v>
      </c>
      <c r="B117" s="110" t="s">
        <v>162</v>
      </c>
      <c r="C117" s="117">
        <v>2730</v>
      </c>
      <c r="D117" s="117">
        <v>2770</v>
      </c>
      <c r="E117" s="117">
        <v>2861</v>
      </c>
      <c r="F117" s="117">
        <v>2875</v>
      </c>
      <c r="G117" s="117">
        <v>2889</v>
      </c>
      <c r="H117" s="117">
        <v>2904</v>
      </c>
      <c r="I117" s="117">
        <v>2918</v>
      </c>
      <c r="J117" s="117">
        <v>2932</v>
      </c>
      <c r="K117" s="117">
        <v>2947</v>
      </c>
      <c r="L117" s="117">
        <v>2961</v>
      </c>
      <c r="M117" s="117">
        <v>2976</v>
      </c>
      <c r="N117" s="117">
        <v>2990</v>
      </c>
      <c r="O117" s="117">
        <v>3004</v>
      </c>
      <c r="P117" s="117">
        <v>3018</v>
      </c>
      <c r="Q117" s="117">
        <v>3033</v>
      </c>
      <c r="R117" s="117">
        <v>3047</v>
      </c>
      <c r="S117" s="117">
        <v>3061</v>
      </c>
      <c r="T117" s="117">
        <v>3076</v>
      </c>
      <c r="U117" s="117">
        <v>3090</v>
      </c>
      <c r="V117" s="117">
        <v>3104</v>
      </c>
      <c r="W117" s="117">
        <v>3119</v>
      </c>
      <c r="X117" s="117">
        <v>3133</v>
      </c>
      <c r="Y117" s="117">
        <v>3147</v>
      </c>
      <c r="Z117" s="117">
        <v>3161</v>
      </c>
      <c r="AA117" s="117">
        <v>3176</v>
      </c>
      <c r="AB117" s="117">
        <v>3190</v>
      </c>
      <c r="AC117" s="117">
        <v>3204</v>
      </c>
      <c r="AD117" s="117">
        <v>3218</v>
      </c>
      <c r="AE117" s="117">
        <v>3233</v>
      </c>
      <c r="AF117" s="117">
        <v>3247</v>
      </c>
      <c r="AG117" s="117">
        <v>3261</v>
      </c>
      <c r="AH117" s="112">
        <v>5.9420000000000002E-3</v>
      </c>
    </row>
    <row r="118" spans="1:34" ht="15" customHeight="1" x14ac:dyDescent="0.25">
      <c r="A118" s="8" t="s">
        <v>2655</v>
      </c>
      <c r="B118" s="110" t="s">
        <v>164</v>
      </c>
      <c r="C118" s="117">
        <v>1639</v>
      </c>
      <c r="D118" s="117">
        <v>1471</v>
      </c>
      <c r="E118" s="117">
        <v>1560</v>
      </c>
      <c r="F118" s="117">
        <v>1568</v>
      </c>
      <c r="G118" s="117">
        <v>1577</v>
      </c>
      <c r="H118" s="117">
        <v>1586</v>
      </c>
      <c r="I118" s="117">
        <v>1595</v>
      </c>
      <c r="J118" s="117">
        <v>1604</v>
      </c>
      <c r="K118" s="117">
        <v>1613</v>
      </c>
      <c r="L118" s="117">
        <v>1622</v>
      </c>
      <c r="M118" s="117">
        <v>1631</v>
      </c>
      <c r="N118" s="117">
        <v>1641</v>
      </c>
      <c r="O118" s="117">
        <v>1650</v>
      </c>
      <c r="P118" s="117">
        <v>1659</v>
      </c>
      <c r="Q118" s="117">
        <v>1668</v>
      </c>
      <c r="R118" s="117">
        <v>1678</v>
      </c>
      <c r="S118" s="117">
        <v>1687</v>
      </c>
      <c r="T118" s="117">
        <v>1697</v>
      </c>
      <c r="U118" s="117">
        <v>1706</v>
      </c>
      <c r="V118" s="117">
        <v>1715</v>
      </c>
      <c r="W118" s="117">
        <v>1725</v>
      </c>
      <c r="X118" s="117">
        <v>1734</v>
      </c>
      <c r="Y118" s="117">
        <v>1744</v>
      </c>
      <c r="Z118" s="117">
        <v>1753</v>
      </c>
      <c r="AA118" s="117">
        <v>1763</v>
      </c>
      <c r="AB118" s="117">
        <v>1772</v>
      </c>
      <c r="AC118" s="117">
        <v>1782</v>
      </c>
      <c r="AD118" s="117">
        <v>1791</v>
      </c>
      <c r="AE118" s="117">
        <v>1801</v>
      </c>
      <c r="AF118" s="117">
        <v>1810</v>
      </c>
      <c r="AG118" s="117">
        <v>1820</v>
      </c>
      <c r="AH118" s="112">
        <v>3.4979999999999998E-3</v>
      </c>
    </row>
    <row r="119" spans="1:34" ht="15" customHeight="1" x14ac:dyDescent="0.25">
      <c r="A119" s="8" t="s">
        <v>2654</v>
      </c>
      <c r="B119" s="110" t="s">
        <v>166</v>
      </c>
      <c r="C119" s="117">
        <v>1012</v>
      </c>
      <c r="D119" s="117">
        <v>840</v>
      </c>
      <c r="E119" s="117">
        <v>963</v>
      </c>
      <c r="F119" s="117">
        <v>969</v>
      </c>
      <c r="G119" s="117">
        <v>975</v>
      </c>
      <c r="H119" s="117">
        <v>982</v>
      </c>
      <c r="I119" s="117">
        <v>988</v>
      </c>
      <c r="J119" s="117">
        <v>994</v>
      </c>
      <c r="K119" s="117">
        <v>1001</v>
      </c>
      <c r="L119" s="117">
        <v>1007</v>
      </c>
      <c r="M119" s="117">
        <v>1013</v>
      </c>
      <c r="N119" s="117">
        <v>1020</v>
      </c>
      <c r="O119" s="117">
        <v>1026</v>
      </c>
      <c r="P119" s="117">
        <v>1032</v>
      </c>
      <c r="Q119" s="117">
        <v>1039</v>
      </c>
      <c r="R119" s="117">
        <v>1045</v>
      </c>
      <c r="S119" s="117">
        <v>1052</v>
      </c>
      <c r="T119" s="117">
        <v>1058</v>
      </c>
      <c r="U119" s="117">
        <v>1065</v>
      </c>
      <c r="V119" s="117">
        <v>1071</v>
      </c>
      <c r="W119" s="117">
        <v>1078</v>
      </c>
      <c r="X119" s="117">
        <v>1084</v>
      </c>
      <c r="Y119" s="117">
        <v>1091</v>
      </c>
      <c r="Z119" s="117">
        <v>1097</v>
      </c>
      <c r="AA119" s="117">
        <v>1104</v>
      </c>
      <c r="AB119" s="117">
        <v>1110</v>
      </c>
      <c r="AC119" s="117">
        <v>1117</v>
      </c>
      <c r="AD119" s="117">
        <v>1123</v>
      </c>
      <c r="AE119" s="117">
        <v>1130</v>
      </c>
      <c r="AF119" s="117">
        <v>1136</v>
      </c>
      <c r="AG119" s="117">
        <v>1143</v>
      </c>
      <c r="AH119" s="112">
        <v>4.0660000000000002E-3</v>
      </c>
    </row>
    <row r="120" spans="1:34" ht="15" customHeight="1" x14ac:dyDescent="0.25">
      <c r="A120" s="8" t="s">
        <v>2653</v>
      </c>
      <c r="B120" s="109" t="s">
        <v>168</v>
      </c>
      <c r="C120" s="115">
        <v>1496.4417719999999</v>
      </c>
      <c r="D120" s="115">
        <v>1423.084351</v>
      </c>
      <c r="E120" s="115">
        <v>1533.780518</v>
      </c>
      <c r="F120" s="115">
        <v>1545.432861</v>
      </c>
      <c r="G120" s="115">
        <v>1557.3450929999999</v>
      </c>
      <c r="H120" s="115">
        <v>1569.296509</v>
      </c>
      <c r="I120" s="115">
        <v>1581.2326660000001</v>
      </c>
      <c r="J120" s="115">
        <v>1593.1649170000001</v>
      </c>
      <c r="K120" s="115">
        <v>1605.2078859999999</v>
      </c>
      <c r="L120" s="115">
        <v>1617.1710210000001</v>
      </c>
      <c r="M120" s="115">
        <v>1629.009888</v>
      </c>
      <c r="N120" s="115">
        <v>1641.1838379999999</v>
      </c>
      <c r="O120" s="115">
        <v>1653.26001</v>
      </c>
      <c r="P120" s="115">
        <v>1665.1435550000001</v>
      </c>
      <c r="Q120" s="115">
        <v>1677.2926030000001</v>
      </c>
      <c r="R120" s="115">
        <v>1689.587524</v>
      </c>
      <c r="S120" s="115">
        <v>1701.6491699999999</v>
      </c>
      <c r="T120" s="115">
        <v>1713.928101</v>
      </c>
      <c r="U120" s="115">
        <v>1726.156616</v>
      </c>
      <c r="V120" s="115">
        <v>1738.2735600000001</v>
      </c>
      <c r="W120" s="115">
        <v>1750.842529</v>
      </c>
      <c r="X120" s="115">
        <v>1762.7661129999999</v>
      </c>
      <c r="Y120" s="115">
        <v>1775.36499</v>
      </c>
      <c r="Z120" s="115">
        <v>1787.387939</v>
      </c>
      <c r="AA120" s="115">
        <v>1800.091797</v>
      </c>
      <c r="AB120" s="115">
        <v>1812.380737</v>
      </c>
      <c r="AC120" s="115">
        <v>1824.8900149999999</v>
      </c>
      <c r="AD120" s="115">
        <v>1836.9436040000001</v>
      </c>
      <c r="AE120" s="115">
        <v>1849.7070309999999</v>
      </c>
      <c r="AF120" s="115">
        <v>1861.689087</v>
      </c>
      <c r="AG120" s="115">
        <v>1874.0201420000001</v>
      </c>
      <c r="AH120" s="114">
        <v>7.528E-3</v>
      </c>
    </row>
    <row r="121" spans="1:34" ht="15" customHeight="1" thickBot="1" x14ac:dyDescent="0.3"/>
    <row r="122" spans="1:34" ht="15" customHeight="1" x14ac:dyDescent="0.25">
      <c r="B122" s="156" t="s">
        <v>2791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18"/>
    </row>
    <row r="123" spans="1:34" ht="15" customHeight="1" x14ac:dyDescent="0.25">
      <c r="B123" s="9" t="s">
        <v>2792</v>
      </c>
    </row>
    <row r="124" spans="1:34" ht="15" customHeight="1" x14ac:dyDescent="0.25">
      <c r="B124" s="9" t="s">
        <v>2824</v>
      </c>
    </row>
    <row r="125" spans="1:34" ht="15" customHeight="1" x14ac:dyDescent="0.25">
      <c r="B125" s="9" t="s">
        <v>2825</v>
      </c>
    </row>
    <row r="126" spans="1:34" ht="15" customHeight="1" x14ac:dyDescent="0.25">
      <c r="B126" s="9" t="s">
        <v>2652</v>
      </c>
    </row>
    <row r="127" spans="1:34" ht="15" customHeight="1" x14ac:dyDescent="0.25">
      <c r="B127" s="9" t="s">
        <v>2826</v>
      </c>
    </row>
    <row r="128" spans="1:34" ht="15" customHeight="1" x14ac:dyDescent="0.25">
      <c r="B128" s="9" t="s">
        <v>2651</v>
      </c>
    </row>
    <row r="129" spans="2:2" ht="15" customHeight="1" x14ac:dyDescent="0.25">
      <c r="B129" s="9" t="s">
        <v>2827</v>
      </c>
    </row>
    <row r="130" spans="2:2" ht="15" customHeight="1" x14ac:dyDescent="0.25">
      <c r="B130" s="9" t="s">
        <v>2828</v>
      </c>
    </row>
    <row r="131" spans="2:2" ht="15" customHeight="1" x14ac:dyDescent="0.25">
      <c r="B131" s="9" t="s">
        <v>2829</v>
      </c>
    </row>
    <row r="132" spans="2:2" ht="15" customHeight="1" x14ac:dyDescent="0.25">
      <c r="B132" s="9" t="s">
        <v>2650</v>
      </c>
    </row>
    <row r="133" spans="2:2" ht="15" customHeight="1" x14ac:dyDescent="0.25">
      <c r="B133" s="9" t="s">
        <v>2830</v>
      </c>
    </row>
    <row r="134" spans="2:2" ht="15" customHeight="1" x14ac:dyDescent="0.25">
      <c r="B134" s="9" t="s">
        <v>2831</v>
      </c>
    </row>
    <row r="135" spans="2:2" ht="15" customHeight="1" x14ac:dyDescent="0.25">
      <c r="B135" s="9" t="s">
        <v>2832</v>
      </c>
    </row>
    <row r="136" spans="2:2" ht="15" customHeight="1" x14ac:dyDescent="0.25">
      <c r="B136" s="9" t="s">
        <v>2805</v>
      </c>
    </row>
    <row r="137" spans="2:2" ht="15" customHeight="1" x14ac:dyDescent="0.25">
      <c r="B137" s="9" t="s">
        <v>2806</v>
      </c>
    </row>
    <row r="138" spans="2:2" ht="15" customHeight="1" x14ac:dyDescent="0.25">
      <c r="B138" s="9" t="s">
        <v>2807</v>
      </c>
    </row>
    <row r="139" spans="2:2" ht="15" customHeight="1" x14ac:dyDescent="0.25">
      <c r="B139" s="9" t="s">
        <v>2808</v>
      </c>
    </row>
    <row r="140" spans="2:2" ht="15" customHeight="1" x14ac:dyDescent="0.25">
      <c r="B140" s="9" t="s">
        <v>2809</v>
      </c>
    </row>
    <row r="308" spans="2:34" ht="15" customHeight="1" x14ac:dyDescent="0.25"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</row>
    <row r="511" spans="2:34" ht="15" customHeight="1" x14ac:dyDescent="0.25"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</row>
    <row r="712" spans="2:34" ht="15" customHeight="1" x14ac:dyDescent="0.25"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</row>
    <row r="887" spans="2:34" ht="15" customHeight="1" x14ac:dyDescent="0.25"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</row>
    <row r="1100" spans="2:34" ht="15" customHeight="1" x14ac:dyDescent="0.25">
      <c r="B1100" s="152"/>
      <c r="C1100" s="152"/>
      <c r="D1100" s="152"/>
      <c r="E1100" s="152"/>
      <c r="F1100" s="152"/>
      <c r="G1100" s="152"/>
      <c r="H1100" s="152"/>
      <c r="I1100" s="152"/>
      <c r="J1100" s="152"/>
      <c r="K1100" s="152"/>
      <c r="L1100" s="152"/>
      <c r="M1100" s="152"/>
      <c r="N1100" s="152"/>
      <c r="O1100" s="152"/>
      <c r="P1100" s="152"/>
      <c r="Q1100" s="152"/>
      <c r="R1100" s="152"/>
      <c r="S1100" s="152"/>
      <c r="T1100" s="152"/>
      <c r="U1100" s="152"/>
      <c r="V1100" s="152"/>
      <c r="W1100" s="152"/>
      <c r="X1100" s="152"/>
      <c r="Y1100" s="152"/>
      <c r="Z1100" s="152"/>
      <c r="AA1100" s="152"/>
      <c r="AB1100" s="152"/>
      <c r="AC1100" s="152"/>
      <c r="AD1100" s="152"/>
      <c r="AE1100" s="152"/>
      <c r="AF1100" s="152"/>
      <c r="AG1100" s="152"/>
      <c r="AH1100" s="152"/>
    </row>
    <row r="1227" spans="2:34" ht="15" customHeight="1" x14ac:dyDescent="0.25">
      <c r="B1227" s="152"/>
      <c r="C1227" s="152"/>
      <c r="D1227" s="152"/>
      <c r="E1227" s="152"/>
      <c r="F1227" s="152"/>
      <c r="G1227" s="152"/>
      <c r="H1227" s="152"/>
      <c r="I1227" s="152"/>
      <c r="J1227" s="152"/>
      <c r="K1227" s="152"/>
      <c r="L1227" s="152"/>
      <c r="M1227" s="152"/>
      <c r="N1227" s="152"/>
      <c r="O1227" s="152"/>
      <c r="P1227" s="152"/>
      <c r="Q1227" s="152"/>
      <c r="R1227" s="152"/>
      <c r="S1227" s="152"/>
      <c r="T1227" s="152"/>
      <c r="U1227" s="152"/>
      <c r="V1227" s="152"/>
      <c r="W1227" s="152"/>
      <c r="X1227" s="152"/>
      <c r="Y1227" s="152"/>
      <c r="Z1227" s="152"/>
      <c r="AA1227" s="152"/>
      <c r="AB1227" s="152"/>
      <c r="AC1227" s="152"/>
      <c r="AD1227" s="152"/>
      <c r="AE1227" s="152"/>
      <c r="AF1227" s="152"/>
      <c r="AG1227" s="152"/>
      <c r="AH1227" s="152"/>
    </row>
    <row r="1390" spans="2:34" ht="15" customHeight="1" x14ac:dyDescent="0.25">
      <c r="B1390" s="152"/>
      <c r="C1390" s="152"/>
      <c r="D1390" s="152"/>
      <c r="E1390" s="152"/>
      <c r="F1390" s="152"/>
      <c r="G1390" s="152"/>
      <c r="H1390" s="152"/>
      <c r="I1390" s="152"/>
      <c r="J1390" s="152"/>
      <c r="K1390" s="152"/>
      <c r="L1390" s="152"/>
      <c r="M1390" s="152"/>
      <c r="N1390" s="152"/>
      <c r="O1390" s="152"/>
      <c r="P1390" s="152"/>
      <c r="Q1390" s="152"/>
      <c r="R1390" s="152"/>
      <c r="S1390" s="152"/>
      <c r="T1390" s="152"/>
      <c r="U1390" s="152"/>
      <c r="V1390" s="152"/>
      <c r="W1390" s="152"/>
      <c r="X1390" s="152"/>
      <c r="Y1390" s="152"/>
      <c r="Z1390" s="152"/>
      <c r="AA1390" s="152"/>
      <c r="AB1390" s="152"/>
      <c r="AC1390" s="152"/>
      <c r="AD1390" s="152"/>
      <c r="AE1390" s="152"/>
      <c r="AF1390" s="152"/>
      <c r="AG1390" s="152"/>
      <c r="AH1390" s="152"/>
    </row>
    <row r="1502" spans="2:34" ht="15" customHeight="1" x14ac:dyDescent="0.25">
      <c r="B1502" s="152"/>
      <c r="C1502" s="152"/>
      <c r="D1502" s="152"/>
      <c r="E1502" s="152"/>
      <c r="F1502" s="152"/>
      <c r="G1502" s="152"/>
      <c r="H1502" s="152"/>
      <c r="I1502" s="152"/>
      <c r="J1502" s="152"/>
      <c r="K1502" s="152"/>
      <c r="L1502" s="152"/>
      <c r="M1502" s="152"/>
      <c r="N1502" s="152"/>
      <c r="O1502" s="152"/>
      <c r="P1502" s="152"/>
      <c r="Q1502" s="152"/>
      <c r="R1502" s="152"/>
      <c r="S1502" s="152"/>
      <c r="T1502" s="152"/>
      <c r="U1502" s="152"/>
      <c r="V1502" s="152"/>
      <c r="W1502" s="152"/>
      <c r="X1502" s="152"/>
      <c r="Y1502" s="152"/>
      <c r="Z1502" s="152"/>
      <c r="AA1502" s="152"/>
      <c r="AB1502" s="152"/>
      <c r="AC1502" s="152"/>
      <c r="AD1502" s="152"/>
      <c r="AE1502" s="152"/>
      <c r="AF1502" s="152"/>
      <c r="AG1502" s="152"/>
      <c r="AH1502" s="152"/>
    </row>
    <row r="1604" spans="2:34" ht="15" customHeight="1" x14ac:dyDescent="0.25">
      <c r="B1604" s="152"/>
      <c r="C1604" s="152"/>
      <c r="D1604" s="152"/>
      <c r="E1604" s="152"/>
      <c r="F1604" s="152"/>
      <c r="G1604" s="152"/>
      <c r="H1604" s="152"/>
      <c r="I1604" s="152"/>
      <c r="J1604" s="152"/>
      <c r="K1604" s="152"/>
      <c r="L1604" s="152"/>
      <c r="M1604" s="152"/>
      <c r="N1604" s="152"/>
      <c r="O1604" s="152"/>
      <c r="P1604" s="152"/>
      <c r="Q1604" s="152"/>
      <c r="R1604" s="152"/>
      <c r="S1604" s="152"/>
      <c r="T1604" s="152"/>
      <c r="U1604" s="152"/>
      <c r="V1604" s="152"/>
      <c r="W1604" s="152"/>
      <c r="X1604" s="152"/>
      <c r="Y1604" s="152"/>
      <c r="Z1604" s="152"/>
      <c r="AA1604" s="152"/>
      <c r="AB1604" s="152"/>
      <c r="AC1604" s="152"/>
      <c r="AD1604" s="152"/>
      <c r="AE1604" s="152"/>
      <c r="AF1604" s="152"/>
      <c r="AG1604" s="152"/>
      <c r="AH1604" s="152"/>
    </row>
    <row r="1698" spans="2:34" ht="15" customHeight="1" x14ac:dyDescent="0.25">
      <c r="B1698" s="152"/>
      <c r="C1698" s="152"/>
      <c r="D1698" s="152"/>
      <c r="E1698" s="152"/>
      <c r="F1698" s="152"/>
      <c r="G1698" s="152"/>
      <c r="H1698" s="152"/>
      <c r="I1698" s="152"/>
      <c r="J1698" s="152"/>
      <c r="K1698" s="152"/>
      <c r="L1698" s="152"/>
      <c r="M1698" s="152"/>
      <c r="N1698" s="152"/>
      <c r="O1698" s="152"/>
      <c r="P1698" s="152"/>
      <c r="Q1698" s="152"/>
      <c r="R1698" s="152"/>
      <c r="S1698" s="152"/>
      <c r="T1698" s="152"/>
      <c r="U1698" s="152"/>
      <c r="V1698" s="152"/>
      <c r="W1698" s="152"/>
      <c r="X1698" s="152"/>
      <c r="Y1698" s="152"/>
      <c r="Z1698" s="152"/>
      <c r="AA1698" s="152"/>
      <c r="AB1698" s="152"/>
      <c r="AC1698" s="152"/>
      <c r="AD1698" s="152"/>
      <c r="AE1698" s="152"/>
      <c r="AF1698" s="152"/>
      <c r="AG1698" s="152"/>
      <c r="AH1698" s="152"/>
    </row>
    <row r="1945" spans="2:34" ht="15" customHeight="1" x14ac:dyDescent="0.25">
      <c r="B1945" s="152"/>
      <c r="C1945" s="152"/>
      <c r="D1945" s="152"/>
      <c r="E1945" s="152"/>
      <c r="F1945" s="152"/>
      <c r="G1945" s="152"/>
      <c r="H1945" s="152"/>
      <c r="I1945" s="152"/>
      <c r="J1945" s="152"/>
      <c r="K1945" s="152"/>
      <c r="L1945" s="152"/>
      <c r="M1945" s="152"/>
      <c r="N1945" s="152"/>
      <c r="O1945" s="152"/>
      <c r="P1945" s="152"/>
      <c r="Q1945" s="152"/>
      <c r="R1945" s="152"/>
      <c r="S1945" s="152"/>
      <c r="T1945" s="152"/>
      <c r="U1945" s="152"/>
      <c r="V1945" s="152"/>
      <c r="W1945" s="152"/>
      <c r="X1945" s="152"/>
      <c r="Y1945" s="152"/>
      <c r="Z1945" s="152"/>
      <c r="AA1945" s="152"/>
      <c r="AB1945" s="152"/>
      <c r="AC1945" s="152"/>
      <c r="AD1945" s="152"/>
      <c r="AE1945" s="152"/>
      <c r="AF1945" s="152"/>
      <c r="AG1945" s="152"/>
      <c r="AH1945" s="152"/>
    </row>
    <row r="2031" spans="2:34" ht="15" customHeight="1" x14ac:dyDescent="0.25">
      <c r="B2031" s="152"/>
      <c r="C2031" s="152"/>
      <c r="D2031" s="152"/>
      <c r="E2031" s="152"/>
      <c r="F2031" s="152"/>
      <c r="G2031" s="152"/>
      <c r="H2031" s="152"/>
      <c r="I2031" s="152"/>
      <c r="J2031" s="152"/>
      <c r="K2031" s="152"/>
      <c r="L2031" s="152"/>
      <c r="M2031" s="152"/>
      <c r="N2031" s="152"/>
      <c r="O2031" s="152"/>
      <c r="P2031" s="152"/>
      <c r="Q2031" s="152"/>
      <c r="R2031" s="152"/>
      <c r="S2031" s="152"/>
      <c r="T2031" s="152"/>
      <c r="U2031" s="152"/>
      <c r="V2031" s="152"/>
      <c r="W2031" s="152"/>
      <c r="X2031" s="152"/>
      <c r="Y2031" s="152"/>
      <c r="Z2031" s="152"/>
      <c r="AA2031" s="152"/>
      <c r="AB2031" s="152"/>
      <c r="AC2031" s="152"/>
      <c r="AD2031" s="152"/>
      <c r="AE2031" s="152"/>
      <c r="AF2031" s="152"/>
      <c r="AG2031" s="152"/>
      <c r="AH2031" s="152"/>
    </row>
    <row r="2153" spans="2:34" ht="15" customHeight="1" x14ac:dyDescent="0.25">
      <c r="B2153" s="152"/>
      <c r="C2153" s="152"/>
      <c r="D2153" s="152"/>
      <c r="E2153" s="152"/>
      <c r="F2153" s="152"/>
      <c r="G2153" s="152"/>
      <c r="H2153" s="152"/>
      <c r="I2153" s="152"/>
      <c r="J2153" s="152"/>
      <c r="K2153" s="152"/>
      <c r="L2153" s="152"/>
      <c r="M2153" s="152"/>
      <c r="N2153" s="152"/>
      <c r="O2153" s="152"/>
      <c r="P2153" s="152"/>
      <c r="Q2153" s="152"/>
      <c r="R2153" s="152"/>
      <c r="S2153" s="152"/>
      <c r="T2153" s="152"/>
      <c r="U2153" s="152"/>
      <c r="V2153" s="152"/>
      <c r="W2153" s="152"/>
      <c r="X2153" s="152"/>
      <c r="Y2153" s="152"/>
      <c r="Z2153" s="152"/>
      <c r="AA2153" s="152"/>
      <c r="AB2153" s="152"/>
      <c r="AC2153" s="152"/>
      <c r="AD2153" s="152"/>
      <c r="AE2153" s="152"/>
      <c r="AF2153" s="152"/>
      <c r="AG2153" s="152"/>
      <c r="AH2153" s="152"/>
    </row>
    <row r="2317" spans="2:34" ht="15" customHeight="1" x14ac:dyDescent="0.25">
      <c r="B2317" s="152"/>
      <c r="C2317" s="152"/>
      <c r="D2317" s="152"/>
      <c r="E2317" s="152"/>
      <c r="F2317" s="152"/>
      <c r="G2317" s="152"/>
      <c r="H2317" s="152"/>
      <c r="I2317" s="152"/>
      <c r="J2317" s="152"/>
      <c r="K2317" s="152"/>
      <c r="L2317" s="152"/>
      <c r="M2317" s="152"/>
      <c r="N2317" s="152"/>
      <c r="O2317" s="152"/>
      <c r="P2317" s="152"/>
      <c r="Q2317" s="152"/>
      <c r="R2317" s="152"/>
      <c r="S2317" s="152"/>
      <c r="T2317" s="152"/>
      <c r="U2317" s="152"/>
      <c r="V2317" s="152"/>
      <c r="W2317" s="152"/>
      <c r="X2317" s="152"/>
      <c r="Y2317" s="152"/>
      <c r="Z2317" s="152"/>
      <c r="AA2317" s="152"/>
      <c r="AB2317" s="152"/>
      <c r="AC2317" s="152"/>
      <c r="AD2317" s="152"/>
      <c r="AE2317" s="152"/>
      <c r="AF2317" s="152"/>
      <c r="AG2317" s="152"/>
      <c r="AH2317" s="152"/>
    </row>
    <row r="2419" spans="2:34" ht="15" customHeight="1" x14ac:dyDescent="0.25">
      <c r="B2419" s="152"/>
      <c r="C2419" s="152"/>
      <c r="D2419" s="152"/>
      <c r="E2419" s="152"/>
      <c r="F2419" s="152"/>
      <c r="G2419" s="152"/>
      <c r="H2419" s="152"/>
      <c r="I2419" s="152"/>
      <c r="J2419" s="152"/>
      <c r="K2419" s="152"/>
      <c r="L2419" s="152"/>
      <c r="M2419" s="152"/>
      <c r="N2419" s="152"/>
      <c r="O2419" s="152"/>
      <c r="P2419" s="152"/>
      <c r="Q2419" s="152"/>
      <c r="R2419" s="152"/>
      <c r="S2419" s="152"/>
      <c r="T2419" s="152"/>
      <c r="U2419" s="152"/>
      <c r="V2419" s="152"/>
      <c r="W2419" s="152"/>
      <c r="X2419" s="152"/>
      <c r="Y2419" s="152"/>
      <c r="Z2419" s="152"/>
      <c r="AA2419" s="152"/>
      <c r="AB2419" s="152"/>
      <c r="AC2419" s="152"/>
      <c r="AD2419" s="152"/>
      <c r="AE2419" s="152"/>
      <c r="AF2419" s="152"/>
      <c r="AG2419" s="152"/>
      <c r="AH2419" s="152"/>
    </row>
    <row r="2509" spans="2:34" ht="15" customHeight="1" x14ac:dyDescent="0.25">
      <c r="B2509" s="152"/>
      <c r="C2509" s="152"/>
      <c r="D2509" s="152"/>
      <c r="E2509" s="152"/>
      <c r="F2509" s="152"/>
      <c r="G2509" s="152"/>
      <c r="H2509" s="152"/>
      <c r="I2509" s="152"/>
      <c r="J2509" s="152"/>
      <c r="K2509" s="152"/>
      <c r="L2509" s="152"/>
      <c r="M2509" s="152"/>
      <c r="N2509" s="152"/>
      <c r="O2509" s="152"/>
      <c r="P2509" s="152"/>
      <c r="Q2509" s="152"/>
      <c r="R2509" s="152"/>
      <c r="S2509" s="152"/>
      <c r="T2509" s="152"/>
      <c r="U2509" s="152"/>
      <c r="V2509" s="152"/>
      <c r="W2509" s="152"/>
      <c r="X2509" s="152"/>
      <c r="Y2509" s="152"/>
      <c r="Z2509" s="152"/>
      <c r="AA2509" s="152"/>
      <c r="AB2509" s="152"/>
      <c r="AC2509" s="152"/>
      <c r="AD2509" s="152"/>
      <c r="AE2509" s="152"/>
      <c r="AF2509" s="152"/>
      <c r="AG2509" s="152"/>
      <c r="AH2509" s="152"/>
    </row>
    <row r="2598" spans="2:34" ht="15" customHeight="1" x14ac:dyDescent="0.25">
      <c r="B2598" s="152"/>
      <c r="C2598" s="152"/>
      <c r="D2598" s="152"/>
      <c r="E2598" s="152"/>
      <c r="F2598" s="152"/>
      <c r="G2598" s="152"/>
      <c r="H2598" s="152"/>
      <c r="I2598" s="152"/>
      <c r="J2598" s="152"/>
      <c r="K2598" s="152"/>
      <c r="L2598" s="152"/>
      <c r="M2598" s="152"/>
      <c r="N2598" s="152"/>
      <c r="O2598" s="152"/>
      <c r="P2598" s="152"/>
      <c r="Q2598" s="152"/>
      <c r="R2598" s="152"/>
      <c r="S2598" s="152"/>
      <c r="T2598" s="152"/>
      <c r="U2598" s="152"/>
      <c r="V2598" s="152"/>
      <c r="W2598" s="152"/>
      <c r="X2598" s="152"/>
      <c r="Y2598" s="152"/>
      <c r="Z2598" s="152"/>
      <c r="AA2598" s="152"/>
      <c r="AB2598" s="152"/>
      <c r="AC2598" s="152"/>
      <c r="AD2598" s="152"/>
      <c r="AE2598" s="152"/>
      <c r="AF2598" s="152"/>
      <c r="AG2598" s="152"/>
      <c r="AH2598" s="152"/>
    </row>
    <row r="2719" spans="2:34" ht="15" customHeight="1" x14ac:dyDescent="0.25">
      <c r="B2719" s="152"/>
      <c r="C2719" s="152"/>
      <c r="D2719" s="152"/>
      <c r="E2719" s="152"/>
      <c r="F2719" s="152"/>
      <c r="G2719" s="152"/>
      <c r="H2719" s="152"/>
      <c r="I2719" s="152"/>
      <c r="J2719" s="152"/>
      <c r="K2719" s="152"/>
      <c r="L2719" s="152"/>
      <c r="M2719" s="152"/>
      <c r="N2719" s="152"/>
      <c r="O2719" s="152"/>
      <c r="P2719" s="152"/>
      <c r="Q2719" s="152"/>
      <c r="R2719" s="152"/>
      <c r="S2719" s="152"/>
      <c r="T2719" s="152"/>
      <c r="U2719" s="152"/>
      <c r="V2719" s="152"/>
      <c r="W2719" s="152"/>
      <c r="X2719" s="152"/>
      <c r="Y2719" s="152"/>
      <c r="Z2719" s="152"/>
      <c r="AA2719" s="152"/>
      <c r="AB2719" s="152"/>
      <c r="AC2719" s="152"/>
      <c r="AD2719" s="152"/>
      <c r="AE2719" s="152"/>
      <c r="AF2719" s="152"/>
      <c r="AG2719" s="152"/>
      <c r="AH2719" s="152"/>
    </row>
    <row r="2837" spans="2:34" ht="15" customHeight="1" x14ac:dyDescent="0.25">
      <c r="B2837" s="152"/>
      <c r="C2837" s="152"/>
      <c r="D2837" s="152"/>
      <c r="E2837" s="152"/>
      <c r="F2837" s="152"/>
      <c r="G2837" s="152"/>
      <c r="H2837" s="152"/>
      <c r="I2837" s="152"/>
      <c r="J2837" s="152"/>
      <c r="K2837" s="152"/>
      <c r="L2837" s="152"/>
      <c r="M2837" s="152"/>
      <c r="N2837" s="152"/>
      <c r="O2837" s="152"/>
      <c r="P2837" s="152"/>
      <c r="Q2837" s="152"/>
      <c r="R2837" s="152"/>
      <c r="S2837" s="152"/>
      <c r="T2837" s="152"/>
      <c r="U2837" s="152"/>
      <c r="V2837" s="152"/>
      <c r="W2837" s="152"/>
      <c r="X2837" s="152"/>
      <c r="Y2837" s="152"/>
      <c r="Z2837" s="152"/>
      <c r="AA2837" s="152"/>
      <c r="AB2837" s="152"/>
      <c r="AC2837" s="152"/>
      <c r="AD2837" s="152"/>
      <c r="AE2837" s="152"/>
      <c r="AF2837" s="152"/>
      <c r="AG2837" s="152"/>
      <c r="AH2837" s="152"/>
    </row>
  </sheetData>
  <mergeCells count="21">
    <mergeCell ref="B112:AH112"/>
    <mergeCell ref="B122:AG122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  <mergeCell ref="B1698:AH1698"/>
    <mergeCell ref="B1945:AH1945"/>
    <mergeCell ref="B2031:AH2031"/>
    <mergeCell ref="B2719:AH2719"/>
    <mergeCell ref="B2837:AH2837"/>
    <mergeCell ref="B2153:AH2153"/>
    <mergeCell ref="B2317:AH2317"/>
    <mergeCell ref="B2419:AH2419"/>
    <mergeCell ref="B2509:AH2509"/>
    <mergeCell ref="B2598:AH2598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D7"/>
  <sheetViews>
    <sheetView workbookViewId="0">
      <selection activeCell="D2" sqref="D2"/>
    </sheetView>
  </sheetViews>
  <sheetFormatPr defaultRowHeight="15" x14ac:dyDescent="0.25"/>
  <cols>
    <col min="1" max="1" width="23.5703125" customWidth="1"/>
    <col min="2" max="2" width="21.28515625" customWidth="1"/>
    <col min="3" max="3" width="20.7109375" customWidth="1"/>
    <col min="4" max="4" width="20.28515625" customWidth="1"/>
  </cols>
  <sheetData>
    <row r="1" spans="1:4" ht="30" x14ac:dyDescent="0.25">
      <c r="A1" s="84" t="s">
        <v>2746</v>
      </c>
      <c r="B1" s="78" t="s">
        <v>2647</v>
      </c>
      <c r="C1" s="78" t="s">
        <v>2646</v>
      </c>
      <c r="D1" s="78" t="s">
        <v>2645</v>
      </c>
    </row>
    <row r="2" spans="1:4" x14ac:dyDescent="0.25">
      <c r="A2" t="s">
        <v>2644</v>
      </c>
      <c r="B2" s="85">
        <f>Residential!B56</f>
        <v>0.52341027108808214</v>
      </c>
      <c r="C2" s="85">
        <f t="shared" ref="C2:C7" si="0">$B2</f>
        <v>0.52341027108808214</v>
      </c>
      <c r="D2" s="85">
        <f>Commercial!K11</f>
        <v>0.50386303713267355</v>
      </c>
    </row>
    <row r="3" spans="1:4" x14ac:dyDescent="0.25">
      <c r="A3" t="s">
        <v>2643</v>
      </c>
      <c r="B3" s="85">
        <f>Residential!B56</f>
        <v>0.52341027108808214</v>
      </c>
      <c r="C3" s="85">
        <f t="shared" si="0"/>
        <v>0.52341027108808214</v>
      </c>
      <c r="D3" s="85">
        <f>Commercial!K11</f>
        <v>0.50386303713267355</v>
      </c>
    </row>
    <row r="4" spans="1:4" x14ac:dyDescent="0.25">
      <c r="A4" t="s">
        <v>2642</v>
      </c>
      <c r="B4">
        <v>0</v>
      </c>
      <c r="C4">
        <f t="shared" si="0"/>
        <v>0</v>
      </c>
      <c r="D4">
        <v>0</v>
      </c>
    </row>
    <row r="5" spans="1:4" x14ac:dyDescent="0.25">
      <c r="A5" t="s">
        <v>2641</v>
      </c>
      <c r="B5">
        <v>0</v>
      </c>
      <c r="C5">
        <f t="shared" si="0"/>
        <v>0</v>
      </c>
      <c r="D5">
        <v>0</v>
      </c>
    </row>
    <row r="6" spans="1:4" x14ac:dyDescent="0.25">
      <c r="A6" t="s">
        <v>2640</v>
      </c>
      <c r="B6">
        <v>0</v>
      </c>
      <c r="C6">
        <f t="shared" si="0"/>
        <v>0</v>
      </c>
      <c r="D6">
        <v>0</v>
      </c>
    </row>
    <row r="7" spans="1:4" x14ac:dyDescent="0.25">
      <c r="A7" t="s">
        <v>2639</v>
      </c>
      <c r="B7">
        <v>0</v>
      </c>
      <c r="C7">
        <f t="shared" si="0"/>
        <v>0</v>
      </c>
      <c r="D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D7"/>
  <sheetViews>
    <sheetView workbookViewId="0">
      <selection activeCell="A2" sqref="A2"/>
    </sheetView>
  </sheetViews>
  <sheetFormatPr defaultRowHeight="15" x14ac:dyDescent="0.25"/>
  <cols>
    <col min="1" max="1" width="23.5703125" customWidth="1"/>
    <col min="2" max="2" width="21.28515625" customWidth="1"/>
    <col min="3" max="3" width="20.7109375" customWidth="1"/>
    <col min="4" max="4" width="20.28515625" customWidth="1"/>
  </cols>
  <sheetData>
    <row r="1" spans="1:4" x14ac:dyDescent="0.25">
      <c r="A1" s="84" t="s">
        <v>2747</v>
      </c>
      <c r="B1" s="78" t="s">
        <v>2647</v>
      </c>
      <c r="C1" s="78" t="s">
        <v>2646</v>
      </c>
      <c r="D1" s="78" t="s">
        <v>2645</v>
      </c>
    </row>
    <row r="2" spans="1:4" x14ac:dyDescent="0.25">
      <c r="A2" t="s">
        <v>2644</v>
      </c>
      <c r="B2" s="87">
        <f>Residential!$B$53</f>
        <v>4.2479669855059076E-4</v>
      </c>
      <c r="C2" s="87">
        <f t="shared" ref="C2:C7" si="0">$B2</f>
        <v>4.2479669855059076E-4</v>
      </c>
      <c r="D2" s="86">
        <f>Commercial!$K$8</f>
        <v>3.0161596637131726E-3</v>
      </c>
    </row>
    <row r="3" spans="1:4" x14ac:dyDescent="0.25">
      <c r="A3" t="s">
        <v>2643</v>
      </c>
      <c r="B3" s="87">
        <f>Residential!$B$53</f>
        <v>4.2479669855059076E-4</v>
      </c>
      <c r="C3" s="87">
        <f t="shared" si="0"/>
        <v>4.2479669855059076E-4</v>
      </c>
      <c r="D3" s="86">
        <f>Commercial!$K$8</f>
        <v>3.0161596637131726E-3</v>
      </c>
    </row>
    <row r="4" spans="1:4" x14ac:dyDescent="0.25">
      <c r="A4" t="s">
        <v>2642</v>
      </c>
      <c r="B4">
        <v>0</v>
      </c>
      <c r="C4">
        <f t="shared" si="0"/>
        <v>0</v>
      </c>
      <c r="D4">
        <v>0</v>
      </c>
    </row>
    <row r="5" spans="1:4" x14ac:dyDescent="0.25">
      <c r="A5" t="s">
        <v>2641</v>
      </c>
      <c r="B5">
        <v>0</v>
      </c>
      <c r="C5">
        <f t="shared" si="0"/>
        <v>0</v>
      </c>
      <c r="D5">
        <v>0</v>
      </c>
    </row>
    <row r="6" spans="1:4" x14ac:dyDescent="0.25">
      <c r="A6" t="s">
        <v>2640</v>
      </c>
      <c r="B6">
        <v>0</v>
      </c>
      <c r="C6">
        <f t="shared" si="0"/>
        <v>0</v>
      </c>
      <c r="D6">
        <v>0</v>
      </c>
    </row>
    <row r="7" spans="1:4" x14ac:dyDescent="0.25">
      <c r="A7" t="s">
        <v>2639</v>
      </c>
      <c r="B7">
        <v>0</v>
      </c>
      <c r="C7">
        <f t="shared" si="0"/>
        <v>0</v>
      </c>
      <c r="D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F62F32-A40B-4B74-A7F3-72C659E9CDD7}"/>
</file>

<file path=customXml/itemProps2.xml><?xml version="1.0" encoding="utf-8"?>
<ds:datastoreItem xmlns:ds="http://schemas.openxmlformats.org/officeDocument/2006/customXml" ds:itemID="{D6124A23-BF61-4E34-BD20-393A15F19747}"/>
</file>

<file path=customXml/itemProps3.xml><?xml version="1.0" encoding="utf-8"?>
<ds:datastoreItem xmlns:ds="http://schemas.openxmlformats.org/officeDocument/2006/customXml" ds:itemID="{2633B385-CBE5-4200-B6E1-EB37D4DF5A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Residential</vt:lpstr>
      <vt:lpstr>Commercial</vt:lpstr>
      <vt:lpstr>County Climates</vt:lpstr>
      <vt:lpstr>CBECS_Table B5</vt:lpstr>
      <vt:lpstr>CBECS_Table B10</vt:lpstr>
      <vt:lpstr>CBECS_Table C4</vt:lpstr>
      <vt:lpstr>State Codes</vt:lpstr>
      <vt:lpstr>AEO 2019_Table 4</vt:lpstr>
      <vt:lpstr>AEO 2019_Table 5</vt:lpstr>
      <vt:lpstr>BRESaC-energy</vt:lpstr>
      <vt:lpstr>BRESaC-cost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Jeffrey Rissman</cp:lastModifiedBy>
  <dcterms:created xsi:type="dcterms:W3CDTF">2019-05-24T18:41:25Z</dcterms:created>
  <dcterms:modified xsi:type="dcterms:W3CDTF">2021-07-10T19:31:17Z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