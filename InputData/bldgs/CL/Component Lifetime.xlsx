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20. 프로젝트 관리\2025 에너지 수요전망 모형 구축\EPS 모형\eps-southkorea-3.3.1\InputData\bldgs\CL\"/>
    </mc:Choice>
  </mc:AlternateContent>
  <xr:revisionPtr revIDLastSave="0" documentId="13_ncr:1_{BFD212A4-B814-4674-8B2A-1F051E5086B6}" xr6:coauthVersionLast="47" xr6:coauthVersionMax="47" xr10:uidLastSave="{00000000-0000-0000-0000-000000000000}"/>
  <bookViews>
    <workbookView xWindow="3060" yWindow="840" windowWidth="21420" windowHeight="19980" tabRatio="682" activeTab="1" xr2:uid="{00000000-000D-0000-FFFF-FFFF00000000}"/>
  </bookViews>
  <sheets>
    <sheet name="About" sheetId="7" r:id="rId1"/>
    <sheet name="HUD Appendix C Data" sheetId="2" r:id="rId2"/>
    <sheet name="commercial" sheetId="9" r:id="rId3"/>
    <sheet name="lighting" sheetId="3" r:id="rId4"/>
    <sheet name="other components" sheetId="6" r:id="rId5"/>
    <sheet name="CL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2" l="1"/>
  <c r="D20" i="9"/>
  <c r="D19" i="9"/>
  <c r="D18" i="9"/>
  <c r="D17" i="9"/>
  <c r="D16" i="9"/>
  <c r="D15" i="9"/>
  <c r="D14" i="9"/>
  <c r="D13" i="9"/>
  <c r="D12" i="9"/>
  <c r="D11" i="9"/>
  <c r="D10" i="9"/>
  <c r="D22" i="9" s="1"/>
  <c r="V47" i="9"/>
  <c r="W47" i="9" s="1"/>
  <c r="L48" i="9"/>
  <c r="M48" i="9" s="1"/>
  <c r="V49" i="9"/>
  <c r="W49" i="9" s="1"/>
  <c r="L50" i="9"/>
  <c r="M50" i="9" s="1"/>
  <c r="L58" i="9"/>
  <c r="M58" i="9" s="1"/>
  <c r="J9" i="9"/>
  <c r="AC9" i="9"/>
  <c r="AB9" i="9"/>
  <c r="AB6" i="9"/>
  <c r="AA9" i="9"/>
  <c r="Z38" i="9" s="1"/>
  <c r="AA38" i="9" s="1"/>
  <c r="Z9" i="9"/>
  <c r="Z6" i="9"/>
  <c r="Y9" i="9"/>
  <c r="X26" i="9" s="1"/>
  <c r="Y26" i="9" s="1"/>
  <c r="X9" i="9"/>
  <c r="X41" i="9" s="1"/>
  <c r="Y41" i="9" s="1"/>
  <c r="X6" i="9"/>
  <c r="V6" i="9"/>
  <c r="W9" i="9"/>
  <c r="V51" i="9" s="1"/>
  <c r="W51" i="9" s="1"/>
  <c r="V9" i="9"/>
  <c r="T6" i="9"/>
  <c r="U9" i="9"/>
  <c r="T9" i="9"/>
  <c r="T49" i="9" s="1"/>
  <c r="U49" i="9" s="1"/>
  <c r="R6" i="9"/>
  <c r="S9" i="9"/>
  <c r="R38" i="9" s="1"/>
  <c r="S38" i="9" s="1"/>
  <c r="R9" i="9"/>
  <c r="P6" i="9"/>
  <c r="Q9" i="9"/>
  <c r="P10" i="9" s="1"/>
  <c r="Q10" i="9" s="1"/>
  <c r="P9" i="9"/>
  <c r="N6" i="9"/>
  <c r="O9" i="9"/>
  <c r="N9" i="9"/>
  <c r="M9" i="9"/>
  <c r="L56" i="9" s="1"/>
  <c r="M56" i="9" s="1"/>
  <c r="L9" i="9"/>
  <c r="L41" i="9" s="1"/>
  <c r="M41" i="9" s="1"/>
  <c r="L6" i="9"/>
  <c r="J6" i="9"/>
  <c r="K9" i="9"/>
  <c r="J39" i="9" s="1"/>
  <c r="K39" i="9" s="1"/>
  <c r="I9" i="9"/>
  <c r="H9" i="9"/>
  <c r="D4" i="8"/>
  <c r="AB41" i="9" l="1"/>
  <c r="AC41" i="9" s="1"/>
  <c r="V57" i="9"/>
  <c r="W57" i="9" s="1"/>
  <c r="V14" i="9"/>
  <c r="W14" i="9" s="1"/>
  <c r="V55" i="9"/>
  <c r="W55" i="9" s="1"/>
  <c r="R45" i="9"/>
  <c r="S45" i="9" s="1"/>
  <c r="P41" i="9"/>
  <c r="Q41" i="9" s="1"/>
  <c r="N45" i="9"/>
  <c r="O45" i="9" s="1"/>
  <c r="J46" i="9"/>
  <c r="K46" i="9" s="1"/>
  <c r="J51" i="9"/>
  <c r="K51" i="9" s="1"/>
  <c r="J49" i="9"/>
  <c r="K49" i="9" s="1"/>
  <c r="J52" i="9"/>
  <c r="K52" i="9" s="1"/>
  <c r="J54" i="9"/>
  <c r="K54" i="9" s="1"/>
  <c r="J32" i="9"/>
  <c r="K32" i="9" s="1"/>
  <c r="J57" i="9"/>
  <c r="K57" i="9" s="1"/>
  <c r="H50" i="9"/>
  <c r="I50" i="9" s="1"/>
  <c r="T53" i="9"/>
  <c r="U53" i="9" s="1"/>
  <c r="T46" i="9"/>
  <c r="U46" i="9" s="1"/>
  <c r="T52" i="9"/>
  <c r="U52" i="9" s="1"/>
  <c r="T54" i="9"/>
  <c r="U54" i="9" s="1"/>
  <c r="H53" i="9"/>
  <c r="I53" i="9" s="1"/>
  <c r="H55" i="9"/>
  <c r="I55" i="9" s="1"/>
  <c r="H47" i="9"/>
  <c r="I47" i="9" s="1"/>
  <c r="Z45" i="9"/>
  <c r="AA45" i="9" s="1"/>
  <c r="J40" i="9"/>
  <c r="K40" i="9" s="1"/>
  <c r="P18" i="9"/>
  <c r="Q18" i="9" s="1"/>
  <c r="AB10" i="9"/>
  <c r="AC10" i="9" s="1"/>
  <c r="T58" i="9"/>
  <c r="U58" i="9" s="1"/>
  <c r="H57" i="9"/>
  <c r="I57" i="9" s="1"/>
  <c r="T56" i="9"/>
  <c r="U56" i="9" s="1"/>
  <c r="T55" i="9"/>
  <c r="U55" i="9" s="1"/>
  <c r="AB54" i="9"/>
  <c r="AC54" i="9" s="1"/>
  <c r="R54" i="9"/>
  <c r="S54" i="9" s="1"/>
  <c r="R53" i="9"/>
  <c r="S53" i="9" s="1"/>
  <c r="AB52" i="9"/>
  <c r="AC52" i="9" s="1"/>
  <c r="T51" i="9"/>
  <c r="U51" i="9" s="1"/>
  <c r="H51" i="9"/>
  <c r="I51" i="9" s="1"/>
  <c r="T50" i="9"/>
  <c r="U50" i="9" s="1"/>
  <c r="H49" i="9"/>
  <c r="I49" i="9" s="1"/>
  <c r="T48" i="9"/>
  <c r="U48" i="9" s="1"/>
  <c r="T47" i="9"/>
  <c r="U47" i="9" s="1"/>
  <c r="AB46" i="9"/>
  <c r="AC46" i="9" s="1"/>
  <c r="R46" i="9"/>
  <c r="S46" i="9" s="1"/>
  <c r="V45" i="9"/>
  <c r="W45" i="9" s="1"/>
  <c r="J10" i="9"/>
  <c r="K10" i="9" s="1"/>
  <c r="P26" i="9"/>
  <c r="Q26" i="9" s="1"/>
  <c r="V22" i="9"/>
  <c r="W22" i="9" s="1"/>
  <c r="AB18" i="9"/>
  <c r="AC18" i="9" s="1"/>
  <c r="AB58" i="9"/>
  <c r="AC58" i="9" s="1"/>
  <c r="J58" i="9"/>
  <c r="K58" i="9" s="1"/>
  <c r="T57" i="9"/>
  <c r="U57" i="9" s="1"/>
  <c r="AB56" i="9"/>
  <c r="AC56" i="9" s="1"/>
  <c r="J56" i="9"/>
  <c r="K56" i="9" s="1"/>
  <c r="R55" i="9"/>
  <c r="S55" i="9" s="1"/>
  <c r="Z54" i="9"/>
  <c r="AA54" i="9" s="1"/>
  <c r="H54" i="9"/>
  <c r="I54" i="9" s="1"/>
  <c r="R52" i="9"/>
  <c r="S52" i="9" s="1"/>
  <c r="AB50" i="9"/>
  <c r="AC50" i="9" s="1"/>
  <c r="J50" i="9"/>
  <c r="K50" i="9" s="1"/>
  <c r="AB48" i="9"/>
  <c r="AC48" i="9" s="1"/>
  <c r="J48" i="9"/>
  <c r="K48" i="9" s="1"/>
  <c r="R47" i="9"/>
  <c r="S47" i="9" s="1"/>
  <c r="Z46" i="9"/>
  <c r="AA46" i="9" s="1"/>
  <c r="H46" i="9"/>
  <c r="I46" i="9" s="1"/>
  <c r="L10" i="9"/>
  <c r="M10" i="9" s="1"/>
  <c r="P34" i="9"/>
  <c r="Q34" i="9" s="1"/>
  <c r="V30" i="9"/>
  <c r="W30" i="9" s="1"/>
  <c r="AB26" i="9"/>
  <c r="AC26" i="9" s="1"/>
  <c r="R58" i="9"/>
  <c r="S58" i="9" s="1"/>
  <c r="R57" i="9"/>
  <c r="S57" i="9" s="1"/>
  <c r="R56" i="9"/>
  <c r="S56" i="9" s="1"/>
  <c r="H56" i="9"/>
  <c r="I56" i="9" s="1"/>
  <c r="P55" i="9"/>
  <c r="Q55" i="9" s="1"/>
  <c r="P54" i="9"/>
  <c r="Q54" i="9" s="1"/>
  <c r="AB53" i="9"/>
  <c r="AC53" i="9" s="1"/>
  <c r="P53" i="9"/>
  <c r="Q53" i="9" s="1"/>
  <c r="Z52" i="9"/>
  <c r="AA52" i="9" s="1"/>
  <c r="H52" i="9"/>
  <c r="I52" i="9" s="1"/>
  <c r="R51" i="9"/>
  <c r="S51" i="9" s="1"/>
  <c r="R50" i="9"/>
  <c r="S50" i="9" s="1"/>
  <c r="R49" i="9"/>
  <c r="S49" i="9" s="1"/>
  <c r="R48" i="9"/>
  <c r="S48" i="9" s="1"/>
  <c r="H48" i="9"/>
  <c r="I48" i="9" s="1"/>
  <c r="P47" i="9"/>
  <c r="Q47" i="9" s="1"/>
  <c r="P46" i="9"/>
  <c r="Q46" i="9" s="1"/>
  <c r="L18" i="9"/>
  <c r="M18" i="9" s="1"/>
  <c r="P42" i="9"/>
  <c r="Q42" i="9" s="1"/>
  <c r="V38" i="9"/>
  <c r="W38" i="9" s="1"/>
  <c r="AB34" i="9"/>
  <c r="AC34" i="9" s="1"/>
  <c r="Z58" i="9"/>
  <c r="AA58" i="9" s="1"/>
  <c r="H58" i="9"/>
  <c r="I58" i="9" s="1"/>
  <c r="P57" i="9"/>
  <c r="Q57" i="9" s="1"/>
  <c r="Z56" i="9"/>
  <c r="AA56" i="9" s="1"/>
  <c r="P56" i="9"/>
  <c r="Q56" i="9" s="1"/>
  <c r="AB55" i="9"/>
  <c r="AC55" i="9" s="1"/>
  <c r="X54" i="9"/>
  <c r="Y54" i="9" s="1"/>
  <c r="Z53" i="9"/>
  <c r="AA53" i="9" s="1"/>
  <c r="N53" i="9"/>
  <c r="O53" i="9" s="1"/>
  <c r="P52" i="9"/>
  <c r="Q52" i="9" s="1"/>
  <c r="AB51" i="9"/>
  <c r="AC51" i="9" s="1"/>
  <c r="P51" i="9"/>
  <c r="Q51" i="9" s="1"/>
  <c r="Z50" i="9"/>
  <c r="AA50" i="9" s="1"/>
  <c r="P49" i="9"/>
  <c r="Q49" i="9" s="1"/>
  <c r="Z48" i="9"/>
  <c r="AA48" i="9" s="1"/>
  <c r="P48" i="9"/>
  <c r="Q48" i="9" s="1"/>
  <c r="AB47" i="9"/>
  <c r="AC47" i="9" s="1"/>
  <c r="X46" i="9"/>
  <c r="Y46" i="9" s="1"/>
  <c r="L26" i="9"/>
  <c r="M26" i="9" s="1"/>
  <c r="R14" i="9"/>
  <c r="S14" i="9" s="1"/>
  <c r="Z14" i="9"/>
  <c r="AA14" i="9" s="1"/>
  <c r="AB42" i="9"/>
  <c r="AC42" i="9" s="1"/>
  <c r="P58" i="9"/>
  <c r="Q58" i="9" s="1"/>
  <c r="AB57" i="9"/>
  <c r="AC57" i="9" s="1"/>
  <c r="N57" i="9"/>
  <c r="O57" i="9" s="1"/>
  <c r="X56" i="9"/>
  <c r="Y56" i="9" s="1"/>
  <c r="Z55" i="9"/>
  <c r="AA55" i="9" s="1"/>
  <c r="N55" i="9"/>
  <c r="O55" i="9" s="1"/>
  <c r="N54" i="9"/>
  <c r="O54" i="9" s="1"/>
  <c r="L53" i="9"/>
  <c r="M53" i="9" s="1"/>
  <c r="X52" i="9"/>
  <c r="Y52" i="9" s="1"/>
  <c r="N51" i="9"/>
  <c r="O51" i="9" s="1"/>
  <c r="P50" i="9"/>
  <c r="Q50" i="9" s="1"/>
  <c r="AB49" i="9"/>
  <c r="AC49" i="9" s="1"/>
  <c r="N49" i="9"/>
  <c r="O49" i="9" s="1"/>
  <c r="X48" i="9"/>
  <c r="Y48" i="9" s="1"/>
  <c r="Z47" i="9"/>
  <c r="AA47" i="9" s="1"/>
  <c r="N47" i="9"/>
  <c r="O47" i="9" s="1"/>
  <c r="N46" i="9"/>
  <c r="O46" i="9" s="1"/>
  <c r="J16" i="9"/>
  <c r="K16" i="9" s="1"/>
  <c r="L34" i="9"/>
  <c r="M34" i="9" s="1"/>
  <c r="R22" i="9"/>
  <c r="S22" i="9" s="1"/>
  <c r="Z22" i="9"/>
  <c r="AA22" i="9" s="1"/>
  <c r="X58" i="9"/>
  <c r="Y58" i="9" s="1"/>
  <c r="N58" i="9"/>
  <c r="O58" i="9" s="1"/>
  <c r="Z57" i="9"/>
  <c r="AA57" i="9" s="1"/>
  <c r="N56" i="9"/>
  <c r="O56" i="9" s="1"/>
  <c r="X55" i="9"/>
  <c r="Y55" i="9" s="1"/>
  <c r="L55" i="9"/>
  <c r="M55" i="9" s="1"/>
  <c r="V54" i="9"/>
  <c r="W54" i="9" s="1"/>
  <c r="X53" i="9"/>
  <c r="Y53" i="9" s="1"/>
  <c r="J53" i="9"/>
  <c r="K53" i="9" s="1"/>
  <c r="N52" i="9"/>
  <c r="O52" i="9" s="1"/>
  <c r="Z51" i="9"/>
  <c r="AA51" i="9" s="1"/>
  <c r="L51" i="9"/>
  <c r="M51" i="9" s="1"/>
  <c r="X50" i="9"/>
  <c r="Y50" i="9" s="1"/>
  <c r="N50" i="9"/>
  <c r="O50" i="9" s="1"/>
  <c r="Z49" i="9"/>
  <c r="AA49" i="9" s="1"/>
  <c r="N48" i="9"/>
  <c r="O48" i="9" s="1"/>
  <c r="X47" i="9"/>
  <c r="Y47" i="9" s="1"/>
  <c r="L47" i="9"/>
  <c r="M47" i="9" s="1"/>
  <c r="V46" i="9"/>
  <c r="W46" i="9" s="1"/>
  <c r="H14" i="9"/>
  <c r="I14" i="9" s="1"/>
  <c r="N14" i="9"/>
  <c r="O14" i="9" s="1"/>
  <c r="T41" i="9"/>
  <c r="U41" i="9" s="1"/>
  <c r="J24" i="9"/>
  <c r="K24" i="9" s="1"/>
  <c r="L42" i="9"/>
  <c r="M42" i="9" s="1"/>
  <c r="R30" i="9"/>
  <c r="S30" i="9" s="1"/>
  <c r="Z30" i="9"/>
  <c r="AA30" i="9" s="1"/>
  <c r="V58" i="9"/>
  <c r="W58" i="9" s="1"/>
  <c r="X57" i="9"/>
  <c r="Y57" i="9" s="1"/>
  <c r="L57" i="9"/>
  <c r="M57" i="9" s="1"/>
  <c r="V56" i="9"/>
  <c r="W56" i="9" s="1"/>
  <c r="J55" i="9"/>
  <c r="K55" i="9" s="1"/>
  <c r="L54" i="9"/>
  <c r="M54" i="9" s="1"/>
  <c r="V53" i="9"/>
  <c r="W53" i="9" s="1"/>
  <c r="V52" i="9"/>
  <c r="W52" i="9" s="1"/>
  <c r="L52" i="9"/>
  <c r="M52" i="9" s="1"/>
  <c r="X51" i="9"/>
  <c r="Y51" i="9" s="1"/>
  <c r="V50" i="9"/>
  <c r="W50" i="9" s="1"/>
  <c r="X49" i="9"/>
  <c r="Y49" i="9" s="1"/>
  <c r="L49" i="9"/>
  <c r="M49" i="9" s="1"/>
  <c r="V48" i="9"/>
  <c r="W48" i="9" s="1"/>
  <c r="J47" i="9"/>
  <c r="K47" i="9" s="1"/>
  <c r="L46" i="9"/>
  <c r="M46" i="9" s="1"/>
  <c r="T42" i="9"/>
  <c r="U42" i="9" s="1"/>
  <c r="H44" i="9"/>
  <c r="I44" i="9" s="1"/>
  <c r="H36" i="9"/>
  <c r="I36" i="9" s="1"/>
  <c r="H28" i="9"/>
  <c r="I28" i="9" s="1"/>
  <c r="H20" i="9"/>
  <c r="I20" i="9" s="1"/>
  <c r="H12" i="9"/>
  <c r="I12" i="9" s="1"/>
  <c r="J17" i="9"/>
  <c r="K17" i="9" s="1"/>
  <c r="J25" i="9"/>
  <c r="K25" i="9" s="1"/>
  <c r="J33" i="9"/>
  <c r="K33" i="9" s="1"/>
  <c r="J41" i="9"/>
  <c r="K41" i="9" s="1"/>
  <c r="L11" i="9"/>
  <c r="M11" i="9" s="1"/>
  <c r="L19" i="9"/>
  <c r="M19" i="9" s="1"/>
  <c r="L27" i="9"/>
  <c r="M27" i="9" s="1"/>
  <c r="L35" i="9"/>
  <c r="M35" i="9" s="1"/>
  <c r="L43" i="9"/>
  <c r="M43" i="9" s="1"/>
  <c r="N15" i="9"/>
  <c r="O15" i="9" s="1"/>
  <c r="N23" i="9"/>
  <c r="O23" i="9" s="1"/>
  <c r="N31" i="9"/>
  <c r="O31" i="9" s="1"/>
  <c r="N39" i="9"/>
  <c r="O39" i="9" s="1"/>
  <c r="P11" i="9"/>
  <c r="Q11" i="9" s="1"/>
  <c r="P19" i="9"/>
  <c r="Q19" i="9" s="1"/>
  <c r="P27" i="9"/>
  <c r="Q27" i="9" s="1"/>
  <c r="P35" i="9"/>
  <c r="Q35" i="9" s="1"/>
  <c r="P43" i="9"/>
  <c r="Q43" i="9" s="1"/>
  <c r="R15" i="9"/>
  <c r="S15" i="9" s="1"/>
  <c r="R23" i="9"/>
  <c r="S23" i="9" s="1"/>
  <c r="R31" i="9"/>
  <c r="S31" i="9" s="1"/>
  <c r="R39" i="9"/>
  <c r="S39" i="9" s="1"/>
  <c r="T11" i="9"/>
  <c r="U11" i="9" s="1"/>
  <c r="T19" i="9"/>
  <c r="U19" i="9" s="1"/>
  <c r="T27" i="9"/>
  <c r="U27" i="9" s="1"/>
  <c r="T35" i="9"/>
  <c r="U35" i="9" s="1"/>
  <c r="T43" i="9"/>
  <c r="U43" i="9" s="1"/>
  <c r="V15" i="9"/>
  <c r="W15" i="9" s="1"/>
  <c r="V23" i="9"/>
  <c r="W23" i="9" s="1"/>
  <c r="V31" i="9"/>
  <c r="W31" i="9" s="1"/>
  <c r="V39" i="9"/>
  <c r="W39" i="9" s="1"/>
  <c r="X11" i="9"/>
  <c r="Y11" i="9" s="1"/>
  <c r="X19" i="9"/>
  <c r="Y19" i="9" s="1"/>
  <c r="X27" i="9"/>
  <c r="Y27" i="9" s="1"/>
  <c r="X35" i="9"/>
  <c r="Y35" i="9" s="1"/>
  <c r="X43" i="9"/>
  <c r="Y43" i="9" s="1"/>
  <c r="Z15" i="9"/>
  <c r="AA15" i="9" s="1"/>
  <c r="Z23" i="9"/>
  <c r="AA23" i="9" s="1"/>
  <c r="Z31" i="9"/>
  <c r="AA31" i="9" s="1"/>
  <c r="Z39" i="9"/>
  <c r="AA39" i="9" s="1"/>
  <c r="AB11" i="9"/>
  <c r="AC11" i="9" s="1"/>
  <c r="AB19" i="9"/>
  <c r="AC19" i="9" s="1"/>
  <c r="AB27" i="9"/>
  <c r="AC27" i="9" s="1"/>
  <c r="AB35" i="9"/>
  <c r="AC35" i="9" s="1"/>
  <c r="AB43" i="9"/>
  <c r="AC43" i="9" s="1"/>
  <c r="X42" i="9"/>
  <c r="Y42" i="9" s="1"/>
  <c r="H43" i="9"/>
  <c r="I43" i="9" s="1"/>
  <c r="H35" i="9"/>
  <c r="I35" i="9" s="1"/>
  <c r="H27" i="9"/>
  <c r="I27" i="9" s="1"/>
  <c r="H19" i="9"/>
  <c r="I19" i="9" s="1"/>
  <c r="H11" i="9"/>
  <c r="I11" i="9" s="1"/>
  <c r="J18" i="9"/>
  <c r="K18" i="9" s="1"/>
  <c r="J26" i="9"/>
  <c r="K26" i="9" s="1"/>
  <c r="J34" i="9"/>
  <c r="K34" i="9" s="1"/>
  <c r="J42" i="9"/>
  <c r="K42" i="9" s="1"/>
  <c r="L12" i="9"/>
  <c r="M12" i="9" s="1"/>
  <c r="L20" i="9"/>
  <c r="M20" i="9" s="1"/>
  <c r="L28" i="9"/>
  <c r="M28" i="9" s="1"/>
  <c r="L36" i="9"/>
  <c r="M36" i="9" s="1"/>
  <c r="L44" i="9"/>
  <c r="M44" i="9" s="1"/>
  <c r="N16" i="9"/>
  <c r="O16" i="9" s="1"/>
  <c r="N24" i="9"/>
  <c r="O24" i="9" s="1"/>
  <c r="N32" i="9"/>
  <c r="O32" i="9" s="1"/>
  <c r="N40" i="9"/>
  <c r="O40" i="9" s="1"/>
  <c r="P12" i="9"/>
  <c r="Q12" i="9" s="1"/>
  <c r="P20" i="9"/>
  <c r="Q20" i="9" s="1"/>
  <c r="P28" i="9"/>
  <c r="Q28" i="9" s="1"/>
  <c r="P36" i="9"/>
  <c r="Q36" i="9" s="1"/>
  <c r="P44" i="9"/>
  <c r="Q44" i="9" s="1"/>
  <c r="R16" i="9"/>
  <c r="S16" i="9" s="1"/>
  <c r="R24" i="9"/>
  <c r="S24" i="9" s="1"/>
  <c r="R32" i="9"/>
  <c r="S32" i="9" s="1"/>
  <c r="R40" i="9"/>
  <c r="S40" i="9" s="1"/>
  <c r="T12" i="9"/>
  <c r="U12" i="9" s="1"/>
  <c r="T20" i="9"/>
  <c r="U20" i="9" s="1"/>
  <c r="T28" i="9"/>
  <c r="U28" i="9" s="1"/>
  <c r="T36" i="9"/>
  <c r="U36" i="9" s="1"/>
  <c r="T44" i="9"/>
  <c r="U44" i="9" s="1"/>
  <c r="V16" i="9"/>
  <c r="W16" i="9" s="1"/>
  <c r="V24" i="9"/>
  <c r="W24" i="9" s="1"/>
  <c r="V32" i="9"/>
  <c r="W32" i="9" s="1"/>
  <c r="V40" i="9"/>
  <c r="W40" i="9" s="1"/>
  <c r="X12" i="9"/>
  <c r="Y12" i="9" s="1"/>
  <c r="X20" i="9"/>
  <c r="Y20" i="9" s="1"/>
  <c r="X28" i="9"/>
  <c r="Y28" i="9" s="1"/>
  <c r="X36" i="9"/>
  <c r="Y36" i="9" s="1"/>
  <c r="X44" i="9"/>
  <c r="Y44" i="9" s="1"/>
  <c r="Z16" i="9"/>
  <c r="AA16" i="9" s="1"/>
  <c r="Z24" i="9"/>
  <c r="AA24" i="9" s="1"/>
  <c r="Z32" i="9"/>
  <c r="AA32" i="9" s="1"/>
  <c r="Z40" i="9"/>
  <c r="AA40" i="9" s="1"/>
  <c r="AB12" i="9"/>
  <c r="AC12" i="9" s="1"/>
  <c r="AB20" i="9"/>
  <c r="AC20" i="9" s="1"/>
  <c r="AB28" i="9"/>
  <c r="AC28" i="9" s="1"/>
  <c r="AB36" i="9"/>
  <c r="AC36" i="9" s="1"/>
  <c r="AB44" i="9"/>
  <c r="AC44" i="9" s="1"/>
  <c r="H21" i="9"/>
  <c r="I21" i="9" s="1"/>
  <c r="H42" i="9"/>
  <c r="I42" i="9" s="1"/>
  <c r="H34" i="9"/>
  <c r="I34" i="9" s="1"/>
  <c r="H26" i="9"/>
  <c r="I26" i="9" s="1"/>
  <c r="H18" i="9"/>
  <c r="I18" i="9" s="1"/>
  <c r="J11" i="9"/>
  <c r="K11" i="9" s="1"/>
  <c r="J19" i="9"/>
  <c r="K19" i="9" s="1"/>
  <c r="J27" i="9"/>
  <c r="K27" i="9" s="1"/>
  <c r="J35" i="9"/>
  <c r="K35" i="9" s="1"/>
  <c r="J43" i="9"/>
  <c r="K43" i="9" s="1"/>
  <c r="L13" i="9"/>
  <c r="M13" i="9" s="1"/>
  <c r="L21" i="9"/>
  <c r="M21" i="9" s="1"/>
  <c r="L29" i="9"/>
  <c r="M29" i="9" s="1"/>
  <c r="L37" i="9"/>
  <c r="M37" i="9" s="1"/>
  <c r="L45" i="9"/>
  <c r="M45" i="9" s="1"/>
  <c r="N17" i="9"/>
  <c r="O17" i="9" s="1"/>
  <c r="N25" i="9"/>
  <c r="O25" i="9" s="1"/>
  <c r="N33" i="9"/>
  <c r="O33" i="9" s="1"/>
  <c r="N41" i="9"/>
  <c r="O41" i="9" s="1"/>
  <c r="P13" i="9"/>
  <c r="Q13" i="9" s="1"/>
  <c r="P21" i="9"/>
  <c r="Q21" i="9" s="1"/>
  <c r="P29" i="9"/>
  <c r="Q29" i="9" s="1"/>
  <c r="P37" i="9"/>
  <c r="Q37" i="9" s="1"/>
  <c r="P45" i="9"/>
  <c r="Q45" i="9" s="1"/>
  <c r="R17" i="9"/>
  <c r="S17" i="9" s="1"/>
  <c r="R25" i="9"/>
  <c r="S25" i="9" s="1"/>
  <c r="R33" i="9"/>
  <c r="S33" i="9" s="1"/>
  <c r="R41" i="9"/>
  <c r="S41" i="9" s="1"/>
  <c r="T13" i="9"/>
  <c r="U13" i="9" s="1"/>
  <c r="T21" i="9"/>
  <c r="U21" i="9" s="1"/>
  <c r="T29" i="9"/>
  <c r="U29" i="9" s="1"/>
  <c r="T37" i="9"/>
  <c r="U37" i="9" s="1"/>
  <c r="T45" i="9"/>
  <c r="U45" i="9" s="1"/>
  <c r="V17" i="9"/>
  <c r="W17" i="9" s="1"/>
  <c r="V25" i="9"/>
  <c r="W25" i="9" s="1"/>
  <c r="V33" i="9"/>
  <c r="W33" i="9" s="1"/>
  <c r="V41" i="9"/>
  <c r="W41" i="9" s="1"/>
  <c r="X13" i="9"/>
  <c r="Y13" i="9" s="1"/>
  <c r="X21" i="9"/>
  <c r="Y21" i="9" s="1"/>
  <c r="X29" i="9"/>
  <c r="Y29" i="9" s="1"/>
  <c r="X37" i="9"/>
  <c r="Y37" i="9" s="1"/>
  <c r="X45" i="9"/>
  <c r="Y45" i="9" s="1"/>
  <c r="Z17" i="9"/>
  <c r="AA17" i="9" s="1"/>
  <c r="Z25" i="9"/>
  <c r="AA25" i="9" s="1"/>
  <c r="Z33" i="9"/>
  <c r="AA33" i="9" s="1"/>
  <c r="Z41" i="9"/>
  <c r="AA41" i="9" s="1"/>
  <c r="AB13" i="9"/>
  <c r="AC13" i="9" s="1"/>
  <c r="AB21" i="9"/>
  <c r="AC21" i="9" s="1"/>
  <c r="AB29" i="9"/>
  <c r="AC29" i="9" s="1"/>
  <c r="AB37" i="9"/>
  <c r="AC37" i="9" s="1"/>
  <c r="AB45" i="9"/>
  <c r="AC45" i="9" s="1"/>
  <c r="H45" i="9"/>
  <c r="I45" i="9" s="1"/>
  <c r="H13" i="9"/>
  <c r="I13" i="9" s="1"/>
  <c r="N22" i="9"/>
  <c r="O22" i="9" s="1"/>
  <c r="T26" i="9"/>
  <c r="U26" i="9" s="1"/>
  <c r="X34" i="9"/>
  <c r="Y34" i="9" s="1"/>
  <c r="H41" i="9"/>
  <c r="I41" i="9" s="1"/>
  <c r="H33" i="9"/>
  <c r="I33" i="9" s="1"/>
  <c r="H25" i="9"/>
  <c r="I25" i="9" s="1"/>
  <c r="H17" i="9"/>
  <c r="I17" i="9" s="1"/>
  <c r="J12" i="9"/>
  <c r="K12" i="9" s="1"/>
  <c r="J20" i="9"/>
  <c r="K20" i="9" s="1"/>
  <c r="J28" i="9"/>
  <c r="K28" i="9" s="1"/>
  <c r="J36" i="9"/>
  <c r="K36" i="9" s="1"/>
  <c r="J44" i="9"/>
  <c r="K44" i="9" s="1"/>
  <c r="L14" i="9"/>
  <c r="M14" i="9" s="1"/>
  <c r="L22" i="9"/>
  <c r="M22" i="9" s="1"/>
  <c r="L30" i="9"/>
  <c r="M30" i="9" s="1"/>
  <c r="L38" i="9"/>
  <c r="M38" i="9" s="1"/>
  <c r="N10" i="9"/>
  <c r="O10" i="9" s="1"/>
  <c r="N18" i="9"/>
  <c r="O18" i="9" s="1"/>
  <c r="N26" i="9"/>
  <c r="O26" i="9" s="1"/>
  <c r="N34" i="9"/>
  <c r="O34" i="9" s="1"/>
  <c r="N42" i="9"/>
  <c r="O42" i="9" s="1"/>
  <c r="P14" i="9"/>
  <c r="Q14" i="9" s="1"/>
  <c r="P22" i="9"/>
  <c r="Q22" i="9" s="1"/>
  <c r="P30" i="9"/>
  <c r="Q30" i="9" s="1"/>
  <c r="P38" i="9"/>
  <c r="Q38" i="9" s="1"/>
  <c r="R10" i="9"/>
  <c r="S10" i="9" s="1"/>
  <c r="R18" i="9"/>
  <c r="S18" i="9" s="1"/>
  <c r="R26" i="9"/>
  <c r="S26" i="9" s="1"/>
  <c r="R34" i="9"/>
  <c r="S34" i="9" s="1"/>
  <c r="R42" i="9"/>
  <c r="S42" i="9" s="1"/>
  <c r="T14" i="9"/>
  <c r="U14" i="9" s="1"/>
  <c r="T22" i="9"/>
  <c r="U22" i="9" s="1"/>
  <c r="T30" i="9"/>
  <c r="U30" i="9" s="1"/>
  <c r="T38" i="9"/>
  <c r="U38" i="9" s="1"/>
  <c r="V10" i="9"/>
  <c r="W10" i="9" s="1"/>
  <c r="V18" i="9"/>
  <c r="W18" i="9" s="1"/>
  <c r="V26" i="9"/>
  <c r="W26" i="9" s="1"/>
  <c r="V34" i="9"/>
  <c r="W34" i="9" s="1"/>
  <c r="V42" i="9"/>
  <c r="W42" i="9" s="1"/>
  <c r="X14" i="9"/>
  <c r="Y14" i="9" s="1"/>
  <c r="X22" i="9"/>
  <c r="Y22" i="9" s="1"/>
  <c r="X30" i="9"/>
  <c r="Y30" i="9" s="1"/>
  <c r="X38" i="9"/>
  <c r="Y38" i="9" s="1"/>
  <c r="Z10" i="9"/>
  <c r="AA10" i="9" s="1"/>
  <c r="Z18" i="9"/>
  <c r="AA18" i="9" s="1"/>
  <c r="Z26" i="9"/>
  <c r="AA26" i="9" s="1"/>
  <c r="Z34" i="9"/>
  <c r="AA34" i="9" s="1"/>
  <c r="Z42" i="9"/>
  <c r="AA42" i="9" s="1"/>
  <c r="AB14" i="9"/>
  <c r="AC14" i="9" s="1"/>
  <c r="AB22" i="9"/>
  <c r="AC22" i="9" s="1"/>
  <c r="AB30" i="9"/>
  <c r="AC30" i="9" s="1"/>
  <c r="AB38" i="9"/>
  <c r="AC38" i="9" s="1"/>
  <c r="H29" i="9"/>
  <c r="I29" i="9" s="1"/>
  <c r="N30" i="9"/>
  <c r="O30" i="9" s="1"/>
  <c r="T34" i="9"/>
  <c r="U34" i="9" s="1"/>
  <c r="X18" i="9"/>
  <c r="Y18" i="9" s="1"/>
  <c r="H40" i="9"/>
  <c r="I40" i="9" s="1"/>
  <c r="H32" i="9"/>
  <c r="I32" i="9" s="1"/>
  <c r="H24" i="9"/>
  <c r="I24" i="9" s="1"/>
  <c r="H16" i="9"/>
  <c r="I16" i="9" s="1"/>
  <c r="J13" i="9"/>
  <c r="K13" i="9" s="1"/>
  <c r="J21" i="9"/>
  <c r="K21" i="9" s="1"/>
  <c r="J29" i="9"/>
  <c r="K29" i="9" s="1"/>
  <c r="J37" i="9"/>
  <c r="K37" i="9" s="1"/>
  <c r="J45" i="9"/>
  <c r="K45" i="9" s="1"/>
  <c r="L15" i="9"/>
  <c r="M15" i="9" s="1"/>
  <c r="L23" i="9"/>
  <c r="M23" i="9" s="1"/>
  <c r="L31" i="9"/>
  <c r="M31" i="9" s="1"/>
  <c r="L39" i="9"/>
  <c r="M39" i="9" s="1"/>
  <c r="N11" i="9"/>
  <c r="O11" i="9" s="1"/>
  <c r="N19" i="9"/>
  <c r="O19" i="9" s="1"/>
  <c r="N27" i="9"/>
  <c r="O27" i="9" s="1"/>
  <c r="N35" i="9"/>
  <c r="O35" i="9" s="1"/>
  <c r="N43" i="9"/>
  <c r="O43" i="9" s="1"/>
  <c r="P15" i="9"/>
  <c r="Q15" i="9" s="1"/>
  <c r="P23" i="9"/>
  <c r="Q23" i="9" s="1"/>
  <c r="P31" i="9"/>
  <c r="Q31" i="9" s="1"/>
  <c r="P39" i="9"/>
  <c r="Q39" i="9" s="1"/>
  <c r="R11" i="9"/>
  <c r="S11" i="9" s="1"/>
  <c r="R19" i="9"/>
  <c r="S19" i="9" s="1"/>
  <c r="R27" i="9"/>
  <c r="S27" i="9" s="1"/>
  <c r="R35" i="9"/>
  <c r="S35" i="9" s="1"/>
  <c r="R43" i="9"/>
  <c r="S43" i="9" s="1"/>
  <c r="T15" i="9"/>
  <c r="U15" i="9" s="1"/>
  <c r="T23" i="9"/>
  <c r="U23" i="9" s="1"/>
  <c r="T31" i="9"/>
  <c r="U31" i="9" s="1"/>
  <c r="T39" i="9"/>
  <c r="U39" i="9" s="1"/>
  <c r="V11" i="9"/>
  <c r="W11" i="9" s="1"/>
  <c r="V19" i="9"/>
  <c r="W19" i="9" s="1"/>
  <c r="V27" i="9"/>
  <c r="W27" i="9" s="1"/>
  <c r="V35" i="9"/>
  <c r="W35" i="9" s="1"/>
  <c r="V43" i="9"/>
  <c r="W43" i="9" s="1"/>
  <c r="X15" i="9"/>
  <c r="Y15" i="9" s="1"/>
  <c r="X23" i="9"/>
  <c r="Y23" i="9" s="1"/>
  <c r="X31" i="9"/>
  <c r="Y31" i="9" s="1"/>
  <c r="X39" i="9"/>
  <c r="Y39" i="9" s="1"/>
  <c r="Z11" i="9"/>
  <c r="AA11" i="9" s="1"/>
  <c r="Z19" i="9"/>
  <c r="AA19" i="9" s="1"/>
  <c r="Z27" i="9"/>
  <c r="AA27" i="9" s="1"/>
  <c r="Z35" i="9"/>
  <c r="AA35" i="9" s="1"/>
  <c r="Z43" i="9"/>
  <c r="AA43" i="9" s="1"/>
  <c r="AB15" i="9"/>
  <c r="AC15" i="9" s="1"/>
  <c r="AB23" i="9"/>
  <c r="AC23" i="9" s="1"/>
  <c r="AB31" i="9"/>
  <c r="AC31" i="9" s="1"/>
  <c r="AB39" i="9"/>
  <c r="AC39" i="9" s="1"/>
  <c r="H37" i="9"/>
  <c r="I37" i="9" s="1"/>
  <c r="N38" i="9"/>
  <c r="O38" i="9" s="1"/>
  <c r="T18" i="9"/>
  <c r="U18" i="9" s="1"/>
  <c r="X10" i="9"/>
  <c r="Y10" i="9" s="1"/>
  <c r="H39" i="9"/>
  <c r="I39" i="9" s="1"/>
  <c r="H31" i="9"/>
  <c r="I31" i="9" s="1"/>
  <c r="H23" i="9"/>
  <c r="I23" i="9" s="1"/>
  <c r="H15" i="9"/>
  <c r="I15" i="9" s="1"/>
  <c r="J14" i="9"/>
  <c r="K14" i="9" s="1"/>
  <c r="J22" i="9"/>
  <c r="K22" i="9" s="1"/>
  <c r="J30" i="9"/>
  <c r="K30" i="9" s="1"/>
  <c r="J38" i="9"/>
  <c r="K38" i="9" s="1"/>
  <c r="L16" i="9"/>
  <c r="M16" i="9" s="1"/>
  <c r="L24" i="9"/>
  <c r="M24" i="9" s="1"/>
  <c r="L32" i="9"/>
  <c r="M32" i="9" s="1"/>
  <c r="L40" i="9"/>
  <c r="M40" i="9" s="1"/>
  <c r="N12" i="9"/>
  <c r="O12" i="9" s="1"/>
  <c r="N20" i="9"/>
  <c r="O20" i="9" s="1"/>
  <c r="N28" i="9"/>
  <c r="O28" i="9" s="1"/>
  <c r="N36" i="9"/>
  <c r="O36" i="9" s="1"/>
  <c r="N44" i="9"/>
  <c r="O44" i="9" s="1"/>
  <c r="P16" i="9"/>
  <c r="Q16" i="9" s="1"/>
  <c r="P24" i="9"/>
  <c r="Q24" i="9" s="1"/>
  <c r="P32" i="9"/>
  <c r="Q32" i="9" s="1"/>
  <c r="P40" i="9"/>
  <c r="Q40" i="9" s="1"/>
  <c r="R12" i="9"/>
  <c r="S12" i="9" s="1"/>
  <c r="R20" i="9"/>
  <c r="S20" i="9" s="1"/>
  <c r="R28" i="9"/>
  <c r="S28" i="9" s="1"/>
  <c r="R36" i="9"/>
  <c r="S36" i="9" s="1"/>
  <c r="R44" i="9"/>
  <c r="S44" i="9" s="1"/>
  <c r="T16" i="9"/>
  <c r="U16" i="9" s="1"/>
  <c r="T24" i="9"/>
  <c r="U24" i="9" s="1"/>
  <c r="T32" i="9"/>
  <c r="U32" i="9" s="1"/>
  <c r="T40" i="9"/>
  <c r="U40" i="9" s="1"/>
  <c r="V12" i="9"/>
  <c r="W12" i="9" s="1"/>
  <c r="V20" i="9"/>
  <c r="W20" i="9" s="1"/>
  <c r="V28" i="9"/>
  <c r="W28" i="9" s="1"/>
  <c r="V36" i="9"/>
  <c r="W36" i="9" s="1"/>
  <c r="V44" i="9"/>
  <c r="W44" i="9" s="1"/>
  <c r="X16" i="9"/>
  <c r="Y16" i="9" s="1"/>
  <c r="X24" i="9"/>
  <c r="Y24" i="9" s="1"/>
  <c r="X32" i="9"/>
  <c r="Y32" i="9" s="1"/>
  <c r="X40" i="9"/>
  <c r="Y40" i="9" s="1"/>
  <c r="Z12" i="9"/>
  <c r="AA12" i="9" s="1"/>
  <c r="Z20" i="9"/>
  <c r="AA20" i="9" s="1"/>
  <c r="Z28" i="9"/>
  <c r="AA28" i="9" s="1"/>
  <c r="Z36" i="9"/>
  <c r="AA36" i="9" s="1"/>
  <c r="Z44" i="9"/>
  <c r="AA44" i="9" s="1"/>
  <c r="AB16" i="9"/>
  <c r="AC16" i="9" s="1"/>
  <c r="AB24" i="9"/>
  <c r="AC24" i="9" s="1"/>
  <c r="AB32" i="9"/>
  <c r="AC32" i="9" s="1"/>
  <c r="AB40" i="9"/>
  <c r="AC40" i="9" s="1"/>
  <c r="T10" i="9"/>
  <c r="U10" i="9" s="1"/>
  <c r="H10" i="9"/>
  <c r="I10" i="9" s="1"/>
  <c r="H38" i="9"/>
  <c r="I38" i="9" s="1"/>
  <c r="H30" i="9"/>
  <c r="I30" i="9" s="1"/>
  <c r="H22" i="9"/>
  <c r="I22" i="9" s="1"/>
  <c r="J15" i="9"/>
  <c r="K15" i="9" s="1"/>
  <c r="J23" i="9"/>
  <c r="K23" i="9" s="1"/>
  <c r="J31" i="9"/>
  <c r="K31" i="9" s="1"/>
  <c r="L17" i="9"/>
  <c r="M17" i="9" s="1"/>
  <c r="L25" i="9"/>
  <c r="M25" i="9" s="1"/>
  <c r="L33" i="9"/>
  <c r="M33" i="9" s="1"/>
  <c r="N13" i="9"/>
  <c r="O13" i="9" s="1"/>
  <c r="N21" i="9"/>
  <c r="O21" i="9" s="1"/>
  <c r="N29" i="9"/>
  <c r="O29" i="9" s="1"/>
  <c r="N37" i="9"/>
  <c r="O37" i="9" s="1"/>
  <c r="P17" i="9"/>
  <c r="Q17" i="9" s="1"/>
  <c r="P25" i="9"/>
  <c r="Q25" i="9" s="1"/>
  <c r="P33" i="9"/>
  <c r="Q33" i="9" s="1"/>
  <c r="R13" i="9"/>
  <c r="S13" i="9" s="1"/>
  <c r="R21" i="9"/>
  <c r="S21" i="9" s="1"/>
  <c r="R29" i="9"/>
  <c r="S29" i="9" s="1"/>
  <c r="R37" i="9"/>
  <c r="S37" i="9" s="1"/>
  <c r="T17" i="9"/>
  <c r="U17" i="9" s="1"/>
  <c r="T25" i="9"/>
  <c r="U25" i="9" s="1"/>
  <c r="T33" i="9"/>
  <c r="U33" i="9" s="1"/>
  <c r="V13" i="9"/>
  <c r="W13" i="9" s="1"/>
  <c r="V21" i="9"/>
  <c r="W21" i="9" s="1"/>
  <c r="V29" i="9"/>
  <c r="W29" i="9" s="1"/>
  <c r="V37" i="9"/>
  <c r="W37" i="9" s="1"/>
  <c r="X17" i="9"/>
  <c r="Y17" i="9" s="1"/>
  <c r="X25" i="9"/>
  <c r="Y25" i="9" s="1"/>
  <c r="X33" i="9"/>
  <c r="Y33" i="9" s="1"/>
  <c r="Z13" i="9"/>
  <c r="AA13" i="9" s="1"/>
  <c r="Z21" i="9"/>
  <c r="AA21" i="9" s="1"/>
  <c r="Z29" i="9"/>
  <c r="AA29" i="9" s="1"/>
  <c r="Z37" i="9"/>
  <c r="AA37" i="9" s="1"/>
  <c r="AB17" i="9"/>
  <c r="AC17" i="9" s="1"/>
  <c r="AB25" i="9"/>
  <c r="AC25" i="9" s="1"/>
  <c r="AB33" i="9"/>
  <c r="AC33" i="9" s="1"/>
  <c r="B43" i="2"/>
  <c r="B6" i="8" s="1"/>
  <c r="B25" i="2"/>
  <c r="B4" i="8" s="1"/>
  <c r="B20" i="2"/>
  <c r="B3" i="8" s="1"/>
  <c r="C3" i="8" l="1"/>
  <c r="D3" i="8"/>
  <c r="C4" i="8"/>
  <c r="C6" i="8"/>
  <c r="D6" i="8"/>
  <c r="C9" i="6"/>
  <c r="B7" i="8" s="1"/>
  <c r="D4" i="3"/>
  <c r="B5" i="8" s="1"/>
  <c r="B11" i="2"/>
  <c r="B2" i="8" s="1"/>
  <c r="C5" i="8" l="1"/>
  <c r="D5" i="8"/>
  <c r="C7" i="8"/>
  <c r="D7" i="8"/>
  <c r="D2" i="8"/>
  <c r="C2" i="8"/>
</calcChain>
</file>

<file path=xl/sharedStrings.xml><?xml version="1.0" encoding="utf-8"?>
<sst xmlns="http://schemas.openxmlformats.org/spreadsheetml/2006/main" count="168" uniqueCount="114">
  <si>
    <t>Lifetime (years)</t>
  </si>
  <si>
    <t>Forced air furnace, heat pump</t>
  </si>
  <si>
    <t>Boilers</t>
  </si>
  <si>
    <t>Furnaces</t>
  </si>
  <si>
    <t>Unit heaters</t>
  </si>
  <si>
    <t>Radiant heaters, electric</t>
  </si>
  <si>
    <t>Radiant heaters, hot water or steam</t>
  </si>
  <si>
    <t>Baseboard systems</t>
  </si>
  <si>
    <t>Centrifugal, axial, or roof-mounted fans</t>
  </si>
  <si>
    <t>Heat exchangers</t>
  </si>
  <si>
    <t>Average</t>
  </si>
  <si>
    <t>Average Use (hrs/day)</t>
  </si>
  <si>
    <t>Average Lifetime (yr)</t>
  </si>
  <si>
    <t>Bulb</t>
  </si>
  <si>
    <t>Average ENERGY STAR qualified CFL</t>
  </si>
  <si>
    <t>Assumptions:</t>
  </si>
  <si>
    <t>Rated Lifetime (hr)</t>
  </si>
  <si>
    <t>The lifetime of the typical bulb sold during the model run can be represented by that of the average ENERGY</t>
  </si>
  <si>
    <t>to the sale of non-ENERGY STAR bulbs, as well as bulbs with shorter lifetimes than CFLs.</t>
  </si>
  <si>
    <t>This may underestimate lifetime of bulbs sold in the last years of the model run, as CFL technology may improve</t>
  </si>
  <si>
    <t>Lighting</t>
  </si>
  <si>
    <t>ENERGY STAR</t>
  </si>
  <si>
    <t>undated</t>
  </si>
  <si>
    <t>Light Bulbs: Key Product Criteria</t>
  </si>
  <si>
    <t>http://www.energystar.gov/index.cfm?c=cfls.pr_crit_cfls</t>
  </si>
  <si>
    <t>"Lifetime"</t>
  </si>
  <si>
    <t>U.S. Department of Housing and Urban Development</t>
  </si>
  <si>
    <t>Residential Rehabilitation Inspection Guide</t>
  </si>
  <si>
    <t>http://www.huduser.org/Publications/pdf/rehabinspect_app.pdf</t>
  </si>
  <si>
    <t>Appliances</t>
  </si>
  <si>
    <t>compactors</t>
  </si>
  <si>
    <t>dishwashers</t>
  </si>
  <si>
    <t>dryers</t>
  </si>
  <si>
    <t>disposal</t>
  </si>
  <si>
    <t>freezers, compact</t>
  </si>
  <si>
    <t>freezers, standard</t>
  </si>
  <si>
    <t>microwave ovens</t>
  </si>
  <si>
    <t>electric ranges</t>
  </si>
  <si>
    <t>gas ranges</t>
  </si>
  <si>
    <t>gas ovens</t>
  </si>
  <si>
    <t>refrigerators, compact</t>
  </si>
  <si>
    <t>refrigerators, standard</t>
  </si>
  <si>
    <t>washers, automatic and compact</t>
  </si>
  <si>
    <t>California State Controller's Office</t>
  </si>
  <si>
    <t>1992 (but still current)</t>
  </si>
  <si>
    <t>Audit Guidelines and Uniform Accounting Systems: Special Districts</t>
  </si>
  <si>
    <t>Appendix A: Suggested Useful Lives of Fixed Assets</t>
  </si>
  <si>
    <t>Table</t>
  </si>
  <si>
    <t>CA Asset Type</t>
  </si>
  <si>
    <t>Compressors</t>
  </si>
  <si>
    <t>Conveyor systems</t>
  </si>
  <si>
    <t>Other Components</t>
  </si>
  <si>
    <t>Motors, Medium</t>
  </si>
  <si>
    <t>Elevators</t>
  </si>
  <si>
    <t>Fire Protection Systems</t>
  </si>
  <si>
    <t>CL Component Lifetime</t>
  </si>
  <si>
    <t>Sources:</t>
  </si>
  <si>
    <t>Appendix C - Life Expectancy of Housing Components</t>
  </si>
  <si>
    <t>Heating</t>
  </si>
  <si>
    <t>central air conditioning unit</t>
  </si>
  <si>
    <t>window unit</t>
  </si>
  <si>
    <t>air conditioner compressor</t>
  </si>
  <si>
    <t>rooftop air conditioners</t>
  </si>
  <si>
    <t>axial fans</t>
  </si>
  <si>
    <t>ventilating roof-mounted fans</t>
  </si>
  <si>
    <t>gas water heaters</t>
  </si>
  <si>
    <t>electric water heaters</t>
  </si>
  <si>
    <t>Note:</t>
  </si>
  <si>
    <t>Note that the "heating" building component refers to air heating.  Water heaters are grouped with appliances,</t>
  </si>
  <si>
    <t>Cooling and Ventilation</t>
  </si>
  <si>
    <t>Envelope</t>
  </si>
  <si>
    <t>STAR-qualified CFL.  This may overestimate lifetime of average bulbs sold in the earliest years of the model run, due</t>
  </si>
  <si>
    <t>and LEDs may grow in importance.</t>
  </si>
  <si>
    <t>lighting</t>
  </si>
  <si>
    <t>other components</t>
  </si>
  <si>
    <t>energy use in the model).</t>
  </si>
  <si>
    <t>since they are unaffected by envelope (whereas envelope affects "heating" and "cooling and ventilation"</t>
  </si>
  <si>
    <t>heating</t>
  </si>
  <si>
    <t>cooling and ventilation</t>
  </si>
  <si>
    <t>envelope</t>
  </si>
  <si>
    <t>appliances</t>
  </si>
  <si>
    <t>other component</t>
  </si>
  <si>
    <t>urban residential</t>
  </si>
  <si>
    <t>rural residential</t>
  </si>
  <si>
    <t>commercial</t>
  </si>
  <si>
    <t>For the U.S. model, we use the same component lifetimes across building types.</t>
  </si>
  <si>
    <t>Building Component (years)</t>
  </si>
  <si>
    <t>Residential Turnover</t>
  </si>
  <si>
    <t>Commercial Turnover</t>
  </si>
  <si>
    <t>NEMS</t>
  </si>
  <si>
    <t>heating, cooling and ventilation, appliances</t>
  </si>
  <si>
    <t>EIA</t>
  </si>
  <si>
    <t>https://www.eia.gov/outlooks/aeo/nems/documentation/commercial/pdf/m066(2017).pdf</t>
  </si>
  <si>
    <t>Assembly</t>
  </si>
  <si>
    <t>Education</t>
  </si>
  <si>
    <t>Health</t>
  </si>
  <si>
    <t>Lodging</t>
  </si>
  <si>
    <t>Office</t>
  </si>
  <si>
    <t>Mercantile/Services</t>
  </si>
  <si>
    <t>Warehouse</t>
  </si>
  <si>
    <t>Other</t>
  </si>
  <si>
    <t>Food sales</t>
  </si>
  <si>
    <t>Food service</t>
  </si>
  <si>
    <t>yr</t>
  </si>
  <si>
    <t>median</t>
  </si>
  <si>
    <t>gamma</t>
  </si>
  <si>
    <t>surviving</t>
  </si>
  <si>
    <t>retired</t>
  </si>
  <si>
    <t>Age at which reaches 95% retirement</t>
  </si>
  <si>
    <t>http://www.sco.ca.gov/ard_local_rep_uas_special_dist.html</t>
    <phoneticPr fontId="4" type="noConversion"/>
  </si>
  <si>
    <t>https://www.eia.gov/outlooks/aeo/nems/documentation/residential/pdf/m067(2020).pdf</t>
    <phoneticPr fontId="4" type="noConversion"/>
  </si>
  <si>
    <t>AEO Residential Demand Module of the National Energy Modeling System: Model Documentation 2020 &amp;
Commercial Demand Module of the National Energy Modeling System: Model Documentation</t>
    <phoneticPr fontId="4" type="noConversion"/>
  </si>
  <si>
    <t>https://www.eia.gov/outlooks/aeo/nems/documentation/commercial/pdf/CDM_2022.pdf</t>
    <phoneticPr fontId="4" type="noConversion"/>
  </si>
  <si>
    <r>
      <t xml:space="preserve">2020 and 2017 </t>
    </r>
    <r>
      <rPr>
        <sz val="11"/>
        <color rgb="FFFF0000"/>
        <rFont val="맑은 고딕"/>
        <family val="3"/>
        <charset val="129"/>
        <scheme val="minor"/>
      </rPr>
      <t>and 2022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</si>
</sst>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76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/>
    <xf numFmtId="1" fontId="1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0" borderId="0" xfId="1"/>
    <xf numFmtId="0" fontId="2" fillId="0" borderId="0" xfId="1" applyAlignment="1">
      <alignment horizontal="left"/>
    </xf>
    <xf numFmtId="1" fontId="0" fillId="3" borderId="2" xfId="0" applyNumberForma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1" fontId="0" fillId="4" borderId="0" xfId="0" applyNumberFormat="1" applyFill="1"/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1" fillId="4" borderId="0" xfId="0" applyFont="1" applyFill="1"/>
    <xf numFmtId="0" fontId="1" fillId="0" borderId="0" xfId="0" applyFont="1" applyAlignment="1">
      <alignment wrapText="1"/>
    </xf>
    <xf numFmtId="176" fontId="0" fillId="0" borderId="0" xfId="2" applyFont="1"/>
    <xf numFmtId="176" fontId="0" fillId="0" borderId="0" xfId="0" applyNumberFormat="1" applyAlignment="1">
      <alignment horizontal="left"/>
    </xf>
    <xf numFmtId="0" fontId="5" fillId="0" borderId="0" xfId="0" applyFont="1"/>
    <xf numFmtId="0" fontId="7" fillId="0" borderId="0" xfId="1" applyFont="1"/>
  </cellXfs>
  <cellStyles count="3">
    <cellStyle name="쉼표" xfId="2" builtinId="3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1295009</xdr:colOff>
      <xdr:row>4</xdr:row>
      <xdr:rowOff>123738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58300-F1C6-4F8D-8036-6F0506857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3123809" cy="6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co.ca.gov/ard_local_rep_uas_special_dist.html" TargetMode="External"/><Relationship Id="rId2" Type="http://schemas.openxmlformats.org/officeDocument/2006/relationships/hyperlink" Target="http://www.energystar.gov/index.cfm?c=cfls.pr_crit_cfls" TargetMode="External"/><Relationship Id="rId1" Type="http://schemas.openxmlformats.org/officeDocument/2006/relationships/hyperlink" Target="http://www.huduser.org/Publications/pdf/rehabinspect_app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eia.gov/outlooks/aeo/nems/documentation/commercial/pdf/CDM_2022.pdf" TargetMode="External"/><Relationship Id="rId4" Type="http://schemas.openxmlformats.org/officeDocument/2006/relationships/hyperlink" Target="https://www.eia.gov/outlooks/aeo/nems/documentation/residential/pdf/m067(2020)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>
      <selection activeCell="B14" sqref="B14"/>
    </sheetView>
  </sheetViews>
  <sheetFormatPr defaultRowHeight="16.5" x14ac:dyDescent="0.3"/>
  <cols>
    <col min="2" max="2" width="61.625" customWidth="1"/>
    <col min="5" max="5" width="9.125" customWidth="1"/>
  </cols>
  <sheetData>
    <row r="1" spans="1:2" x14ac:dyDescent="0.3">
      <c r="A1" s="1" t="s">
        <v>55</v>
      </c>
    </row>
    <row r="3" spans="1:2" x14ac:dyDescent="0.3">
      <c r="A3" s="1" t="s">
        <v>56</v>
      </c>
      <c r="B3" s="2" t="s">
        <v>90</v>
      </c>
    </row>
    <row r="4" spans="1:2" x14ac:dyDescent="0.3">
      <c r="B4" s="4" t="s">
        <v>26</v>
      </c>
    </row>
    <row r="5" spans="1:2" x14ac:dyDescent="0.3">
      <c r="B5" s="4">
        <v>2000</v>
      </c>
    </row>
    <row r="6" spans="1:2" x14ac:dyDescent="0.3">
      <c r="B6" s="4" t="s">
        <v>27</v>
      </c>
    </row>
    <row r="7" spans="1:2" x14ac:dyDescent="0.3">
      <c r="B7" s="10" t="s">
        <v>28</v>
      </c>
    </row>
    <row r="8" spans="1:2" x14ac:dyDescent="0.3">
      <c r="B8" s="4" t="s">
        <v>57</v>
      </c>
    </row>
    <row r="9" spans="1:2" x14ac:dyDescent="0.3">
      <c r="B9" s="4"/>
    </row>
    <row r="10" spans="1:2" x14ac:dyDescent="0.3">
      <c r="B10" s="3" t="s">
        <v>73</v>
      </c>
    </row>
    <row r="11" spans="1:2" x14ac:dyDescent="0.3">
      <c r="B11" t="s">
        <v>21</v>
      </c>
    </row>
    <row r="12" spans="1:2" x14ac:dyDescent="0.3">
      <c r="B12" t="s">
        <v>22</v>
      </c>
    </row>
    <row r="13" spans="1:2" x14ac:dyDescent="0.3">
      <c r="B13" t="s">
        <v>23</v>
      </c>
    </row>
    <row r="14" spans="1:2" x14ac:dyDescent="0.3">
      <c r="B14" s="9" t="s">
        <v>24</v>
      </c>
    </row>
    <row r="15" spans="1:2" x14ac:dyDescent="0.3">
      <c r="B15" t="s">
        <v>25</v>
      </c>
    </row>
    <row r="17" spans="2:2" x14ac:dyDescent="0.3">
      <c r="B17" s="2" t="s">
        <v>74</v>
      </c>
    </row>
    <row r="18" spans="2:2" x14ac:dyDescent="0.3">
      <c r="B18" s="4" t="s">
        <v>43</v>
      </c>
    </row>
    <row r="19" spans="2:2" x14ac:dyDescent="0.3">
      <c r="B19" s="4" t="s">
        <v>44</v>
      </c>
    </row>
    <row r="20" spans="2:2" x14ac:dyDescent="0.3">
      <c r="B20" s="4" t="s">
        <v>45</v>
      </c>
    </row>
    <row r="21" spans="2:2" x14ac:dyDescent="0.3">
      <c r="B21" s="10" t="s">
        <v>109</v>
      </c>
    </row>
    <row r="22" spans="2:2" x14ac:dyDescent="0.3">
      <c r="B22" s="4" t="s">
        <v>46</v>
      </c>
    </row>
    <row r="23" spans="2:2" x14ac:dyDescent="0.3">
      <c r="B23" s="4"/>
    </row>
    <row r="24" spans="2:2" x14ac:dyDescent="0.3">
      <c r="B24" s="3" t="s">
        <v>79</v>
      </c>
    </row>
    <row r="25" spans="2:2" x14ac:dyDescent="0.3">
      <c r="B25" t="s">
        <v>91</v>
      </c>
    </row>
    <row r="26" spans="2:2" ht="66" x14ac:dyDescent="0.3">
      <c r="B26" s="16" t="s">
        <v>111</v>
      </c>
    </row>
    <row r="27" spans="2:2" x14ac:dyDescent="0.3">
      <c r="B27" s="9" t="s">
        <v>110</v>
      </c>
    </row>
    <row r="28" spans="2:2" x14ac:dyDescent="0.3">
      <c r="B28" s="9" t="s">
        <v>92</v>
      </c>
    </row>
    <row r="29" spans="2:2" x14ac:dyDescent="0.3">
      <c r="B29" s="24" t="s">
        <v>112</v>
      </c>
    </row>
    <row r="30" spans="2:2" x14ac:dyDescent="0.3">
      <c r="B30" t="s">
        <v>113</v>
      </c>
    </row>
    <row r="31" spans="2:2" x14ac:dyDescent="0.3">
      <c r="B31" s="4"/>
    </row>
    <row r="33" spans="1:1" x14ac:dyDescent="0.3">
      <c r="A33" s="1" t="s">
        <v>67</v>
      </c>
    </row>
    <row r="34" spans="1:1" x14ac:dyDescent="0.3">
      <c r="A34" t="s">
        <v>68</v>
      </c>
    </row>
    <row r="35" spans="1:1" x14ac:dyDescent="0.3">
      <c r="A35" t="s">
        <v>76</v>
      </c>
    </row>
    <row r="36" spans="1:1" x14ac:dyDescent="0.3">
      <c r="A36" t="s">
        <v>75</v>
      </c>
    </row>
    <row r="38" spans="1:1" x14ac:dyDescent="0.3">
      <c r="A38" t="s">
        <v>85</v>
      </c>
    </row>
  </sheetData>
  <phoneticPr fontId="4" type="noConversion"/>
  <hyperlinks>
    <hyperlink ref="B7" r:id="rId1" xr:uid="{00000000-0004-0000-0000-000000000000}"/>
    <hyperlink ref="B14" r:id="rId2" xr:uid="{00000000-0004-0000-0000-000001000000}"/>
    <hyperlink ref="B21" r:id="rId3" xr:uid="{19AF9261-6E39-4A69-9E5B-7A41E85869A6}"/>
    <hyperlink ref="B27" r:id="rId4" xr:uid="{A5CB34AA-AB7F-48B3-B147-61B332C06857}"/>
    <hyperlink ref="B29" r:id="rId5" xr:uid="{25B1EC9D-8D51-493F-8CCF-9424C66CAE83}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tabSelected="1" topLeftCell="A4" workbookViewId="0">
      <selection activeCell="A30" sqref="A30"/>
    </sheetView>
  </sheetViews>
  <sheetFormatPr defaultRowHeight="16.5" x14ac:dyDescent="0.3"/>
  <cols>
    <col min="1" max="1" width="55.875" customWidth="1"/>
    <col min="2" max="2" width="24.75" style="4" customWidth="1"/>
  </cols>
  <sheetData>
    <row r="1" spans="1:2" x14ac:dyDescent="0.3">
      <c r="A1" s="2" t="s">
        <v>58</v>
      </c>
      <c r="B1" s="3" t="s">
        <v>0</v>
      </c>
    </row>
    <row r="2" spans="1:2" x14ac:dyDescent="0.3">
      <c r="A2" t="s">
        <v>1</v>
      </c>
      <c r="B2" s="4">
        <v>15</v>
      </c>
    </row>
    <row r="3" spans="1:2" x14ac:dyDescent="0.3">
      <c r="A3" t="s">
        <v>2</v>
      </c>
      <c r="B3" s="4">
        <v>30</v>
      </c>
    </row>
    <row r="4" spans="1:2" x14ac:dyDescent="0.3">
      <c r="A4" t="s">
        <v>3</v>
      </c>
      <c r="B4" s="4">
        <v>18</v>
      </c>
    </row>
    <row r="5" spans="1:2" x14ac:dyDescent="0.3">
      <c r="A5" t="s">
        <v>4</v>
      </c>
      <c r="B5" s="4">
        <v>13</v>
      </c>
    </row>
    <row r="6" spans="1:2" x14ac:dyDescent="0.3">
      <c r="A6" t="s">
        <v>5</v>
      </c>
      <c r="B6" s="4">
        <v>10</v>
      </c>
    </row>
    <row r="7" spans="1:2" x14ac:dyDescent="0.3">
      <c r="A7" t="s">
        <v>6</v>
      </c>
      <c r="B7" s="4">
        <v>25</v>
      </c>
    </row>
    <row r="8" spans="1:2" x14ac:dyDescent="0.3">
      <c r="A8" t="s">
        <v>7</v>
      </c>
      <c r="B8" s="4">
        <v>20</v>
      </c>
    </row>
    <row r="9" spans="1:2" x14ac:dyDescent="0.3">
      <c r="A9" t="s">
        <v>8</v>
      </c>
      <c r="B9" s="4">
        <v>20</v>
      </c>
    </row>
    <row r="10" spans="1:2" x14ac:dyDescent="0.3">
      <c r="A10" t="s">
        <v>9</v>
      </c>
      <c r="B10" s="4">
        <v>20</v>
      </c>
    </row>
    <row r="11" spans="1:2" x14ac:dyDescent="0.3">
      <c r="A11" s="5" t="s">
        <v>10</v>
      </c>
      <c r="B11" s="6">
        <f>AVERAGE(B2:B10)</f>
        <v>19</v>
      </c>
    </row>
    <row r="13" spans="1:2" x14ac:dyDescent="0.3">
      <c r="A13" s="2" t="s">
        <v>69</v>
      </c>
      <c r="B13" s="3" t="s">
        <v>0</v>
      </c>
    </row>
    <row r="14" spans="1:2" x14ac:dyDescent="0.3">
      <c r="A14" t="s">
        <v>59</v>
      </c>
      <c r="B14" s="4">
        <v>15</v>
      </c>
    </row>
    <row r="15" spans="1:2" x14ac:dyDescent="0.3">
      <c r="A15" t="s">
        <v>60</v>
      </c>
      <c r="B15" s="4">
        <v>10</v>
      </c>
    </row>
    <row r="16" spans="1:2" x14ac:dyDescent="0.3">
      <c r="A16" t="s">
        <v>61</v>
      </c>
      <c r="B16" s="4">
        <v>15</v>
      </c>
    </row>
    <row r="17" spans="1:3" x14ac:dyDescent="0.3">
      <c r="A17" t="s">
        <v>62</v>
      </c>
      <c r="B17" s="4">
        <v>15</v>
      </c>
    </row>
    <row r="18" spans="1:3" x14ac:dyDescent="0.3">
      <c r="A18" t="s">
        <v>63</v>
      </c>
      <c r="B18" s="4">
        <v>20</v>
      </c>
    </row>
    <row r="19" spans="1:3" x14ac:dyDescent="0.3">
      <c r="A19" t="s">
        <v>64</v>
      </c>
      <c r="B19" s="4">
        <v>20</v>
      </c>
    </row>
    <row r="20" spans="1:3" x14ac:dyDescent="0.3">
      <c r="A20" s="5" t="s">
        <v>10</v>
      </c>
      <c r="B20" s="6">
        <f>AVERAGE(B14:B19)</f>
        <v>15.833333333333334</v>
      </c>
    </row>
    <row r="22" spans="1:3" x14ac:dyDescent="0.3">
      <c r="A22" s="2" t="s">
        <v>70</v>
      </c>
      <c r="B22" s="3" t="s">
        <v>0</v>
      </c>
    </row>
    <row r="23" spans="1:3" x14ac:dyDescent="0.3">
      <c r="A23" t="s">
        <v>87</v>
      </c>
      <c r="B23" s="4">
        <v>250</v>
      </c>
      <c r="C23" t="s">
        <v>89</v>
      </c>
    </row>
    <row r="24" spans="1:3" x14ac:dyDescent="0.3">
      <c r="A24" t="s">
        <v>88</v>
      </c>
      <c r="B24" s="22">
        <f>commercial!D22</f>
        <v>176.36363636363637</v>
      </c>
      <c r="C24" t="s">
        <v>89</v>
      </c>
    </row>
    <row r="25" spans="1:3" x14ac:dyDescent="0.3">
      <c r="A25" s="5" t="s">
        <v>10</v>
      </c>
      <c r="B25" s="6">
        <f>AVERAGE(B23:B23)</f>
        <v>250</v>
      </c>
    </row>
    <row r="27" spans="1:3" x14ac:dyDescent="0.3">
      <c r="A27" s="2" t="s">
        <v>29</v>
      </c>
      <c r="B27" s="3" t="s">
        <v>0</v>
      </c>
    </row>
    <row r="28" spans="1:3" x14ac:dyDescent="0.3">
      <c r="A28" t="s">
        <v>30</v>
      </c>
      <c r="B28" s="4">
        <v>10</v>
      </c>
    </row>
    <row r="29" spans="1:3" x14ac:dyDescent="0.3">
      <c r="A29" t="s">
        <v>31</v>
      </c>
      <c r="B29" s="4">
        <v>10</v>
      </c>
    </row>
    <row r="30" spans="1:3" x14ac:dyDescent="0.3">
      <c r="A30" t="s">
        <v>32</v>
      </c>
      <c r="B30" s="4">
        <v>14</v>
      </c>
    </row>
    <row r="31" spans="1:3" x14ac:dyDescent="0.3">
      <c r="A31" t="s">
        <v>33</v>
      </c>
      <c r="B31" s="4">
        <v>10</v>
      </c>
    </row>
    <row r="32" spans="1:3" x14ac:dyDescent="0.3">
      <c r="A32" t="s">
        <v>34</v>
      </c>
      <c r="B32" s="4">
        <v>12</v>
      </c>
    </row>
    <row r="33" spans="1:2" x14ac:dyDescent="0.3">
      <c r="A33" t="s">
        <v>35</v>
      </c>
      <c r="B33" s="4">
        <v>16</v>
      </c>
    </row>
    <row r="34" spans="1:2" x14ac:dyDescent="0.3">
      <c r="A34" t="s">
        <v>36</v>
      </c>
      <c r="B34" s="4">
        <v>11</v>
      </c>
    </row>
    <row r="35" spans="1:2" x14ac:dyDescent="0.3">
      <c r="A35" t="s">
        <v>37</v>
      </c>
      <c r="B35" s="4">
        <v>17</v>
      </c>
    </row>
    <row r="36" spans="1:2" x14ac:dyDescent="0.3">
      <c r="A36" t="s">
        <v>38</v>
      </c>
      <c r="B36" s="4">
        <v>19</v>
      </c>
    </row>
    <row r="37" spans="1:2" x14ac:dyDescent="0.3">
      <c r="A37" t="s">
        <v>39</v>
      </c>
      <c r="B37" s="4">
        <v>14</v>
      </c>
    </row>
    <row r="38" spans="1:2" x14ac:dyDescent="0.3">
      <c r="A38" t="s">
        <v>40</v>
      </c>
      <c r="B38" s="4">
        <v>14</v>
      </c>
    </row>
    <row r="39" spans="1:2" x14ac:dyDescent="0.3">
      <c r="A39" t="s">
        <v>41</v>
      </c>
      <c r="B39" s="4">
        <v>17</v>
      </c>
    </row>
    <row r="40" spans="1:2" x14ac:dyDescent="0.3">
      <c r="A40" t="s">
        <v>42</v>
      </c>
      <c r="B40" s="4">
        <v>13</v>
      </c>
    </row>
    <row r="41" spans="1:2" x14ac:dyDescent="0.3">
      <c r="A41" t="s">
        <v>65</v>
      </c>
      <c r="B41" s="4">
        <v>12</v>
      </c>
    </row>
    <row r="42" spans="1:2" x14ac:dyDescent="0.3">
      <c r="A42" t="s">
        <v>66</v>
      </c>
      <c r="B42" s="4">
        <v>14</v>
      </c>
    </row>
    <row r="43" spans="1:2" x14ac:dyDescent="0.3">
      <c r="A43" s="5" t="s">
        <v>10</v>
      </c>
      <c r="B43" s="6">
        <f>AVERAGE(B28:B42)</f>
        <v>13.533333333333333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E7D3-3248-4A9A-AC48-726EA7E84B1F}">
  <dimension ref="A1:AC58"/>
  <sheetViews>
    <sheetView workbookViewId="0">
      <selection activeCell="D23" sqref="D23"/>
    </sheetView>
  </sheetViews>
  <sheetFormatPr defaultRowHeight="16.5" x14ac:dyDescent="0.3"/>
  <cols>
    <col min="4" max="4" width="27" customWidth="1"/>
  </cols>
  <sheetData>
    <row r="1" spans="1:29" x14ac:dyDescent="0.3">
      <c r="A1" s="1" t="s">
        <v>84</v>
      </c>
    </row>
    <row r="6" spans="1:29" x14ac:dyDescent="0.3">
      <c r="H6" t="s">
        <v>93</v>
      </c>
      <c r="J6" t="str">
        <f>A11</f>
        <v>Education</v>
      </c>
      <c r="L6" t="str">
        <f>A12</f>
        <v>Food sales</v>
      </c>
      <c r="N6" t="str">
        <f>A13</f>
        <v>Food service</v>
      </c>
      <c r="P6" t="str">
        <f>A14</f>
        <v>Health</v>
      </c>
      <c r="R6" t="str">
        <f>A15</f>
        <v>Lodging</v>
      </c>
      <c r="T6" t="str">
        <f>A16</f>
        <v>Office</v>
      </c>
      <c r="V6" t="str">
        <f>A17</f>
        <v>Office</v>
      </c>
      <c r="X6" t="str">
        <f>A18</f>
        <v>Mercantile/Services</v>
      </c>
      <c r="Z6" t="str">
        <f>A19</f>
        <v>Warehouse</v>
      </c>
      <c r="AB6" t="str">
        <f>A20</f>
        <v>Other</v>
      </c>
    </row>
    <row r="7" spans="1:29" x14ac:dyDescent="0.3">
      <c r="H7" s="1" t="s">
        <v>104</v>
      </c>
      <c r="I7" s="1" t="s">
        <v>105</v>
      </c>
      <c r="J7" s="1" t="s">
        <v>104</v>
      </c>
      <c r="K7" s="1" t="s">
        <v>105</v>
      </c>
      <c r="L7" s="1" t="s">
        <v>104</v>
      </c>
      <c r="M7" s="1" t="s">
        <v>105</v>
      </c>
      <c r="N7" s="1" t="s">
        <v>104</v>
      </c>
      <c r="O7" s="1" t="s">
        <v>105</v>
      </c>
      <c r="P7" s="1" t="s">
        <v>104</v>
      </c>
      <c r="Q7" s="1" t="s">
        <v>105</v>
      </c>
      <c r="R7" s="1" t="s">
        <v>104</v>
      </c>
      <c r="S7" s="1" t="s">
        <v>105</v>
      </c>
      <c r="T7" s="1" t="s">
        <v>104</v>
      </c>
      <c r="U7" s="1" t="s">
        <v>105</v>
      </c>
      <c r="V7" s="1" t="s">
        <v>104</v>
      </c>
      <c r="W7" s="1" t="s">
        <v>105</v>
      </c>
      <c r="X7" s="1" t="s">
        <v>104</v>
      </c>
      <c r="Y7" s="1" t="s">
        <v>105</v>
      </c>
      <c r="Z7" s="1" t="s">
        <v>104</v>
      </c>
      <c r="AA7" s="1" t="s">
        <v>105</v>
      </c>
      <c r="AB7" s="1" t="s">
        <v>104</v>
      </c>
      <c r="AC7" s="1" t="s">
        <v>105</v>
      </c>
    </row>
    <row r="8" spans="1:29" x14ac:dyDescent="0.3">
      <c r="H8" s="1" t="s">
        <v>106</v>
      </c>
      <c r="I8" s="1" t="s">
        <v>107</v>
      </c>
      <c r="J8" s="1" t="s">
        <v>106</v>
      </c>
      <c r="K8" s="1" t="s">
        <v>107</v>
      </c>
      <c r="L8" s="1" t="s">
        <v>106</v>
      </c>
      <c r="M8" s="1" t="s">
        <v>107</v>
      </c>
      <c r="N8" s="1" t="s">
        <v>106</v>
      </c>
      <c r="O8" s="1" t="s">
        <v>107</v>
      </c>
      <c r="P8" s="1" t="s">
        <v>106</v>
      </c>
      <c r="Q8" s="1" t="s">
        <v>107</v>
      </c>
      <c r="R8" s="1" t="s">
        <v>106</v>
      </c>
      <c r="S8" s="1" t="s">
        <v>107</v>
      </c>
      <c r="T8" s="1" t="s">
        <v>106</v>
      </c>
      <c r="U8" s="1" t="s">
        <v>107</v>
      </c>
      <c r="V8" s="1" t="s">
        <v>106</v>
      </c>
      <c r="W8" s="1" t="s">
        <v>107</v>
      </c>
      <c r="X8" s="1" t="s">
        <v>106</v>
      </c>
      <c r="Y8" s="1" t="s">
        <v>107</v>
      </c>
      <c r="Z8" s="1" t="s">
        <v>106</v>
      </c>
      <c r="AA8" s="1" t="s">
        <v>107</v>
      </c>
      <c r="AB8" s="1" t="s">
        <v>106</v>
      </c>
      <c r="AC8" s="1" t="s">
        <v>107</v>
      </c>
    </row>
    <row r="9" spans="1:29" ht="33" x14ac:dyDescent="0.3">
      <c r="D9" s="20" t="s">
        <v>108</v>
      </c>
      <c r="G9" s="1" t="s">
        <v>103</v>
      </c>
      <c r="H9">
        <f>B10</f>
        <v>55</v>
      </c>
      <c r="I9">
        <f>C10</f>
        <v>1.2</v>
      </c>
      <c r="J9">
        <f>B11</f>
        <v>62</v>
      </c>
      <c r="K9">
        <f>C11</f>
        <v>1.4</v>
      </c>
      <c r="L9">
        <f>B12</f>
        <v>55</v>
      </c>
      <c r="M9">
        <f>C12</f>
        <v>1</v>
      </c>
      <c r="N9">
        <f>B13</f>
        <v>50</v>
      </c>
      <c r="O9">
        <f>C13</f>
        <v>1.4</v>
      </c>
      <c r="P9">
        <f>B14</f>
        <v>55</v>
      </c>
      <c r="Q9">
        <f>C14</f>
        <v>1.4</v>
      </c>
      <c r="R9">
        <f>B15</f>
        <v>53</v>
      </c>
      <c r="S9">
        <f>C15</f>
        <v>1.4</v>
      </c>
      <c r="T9">
        <f>B16</f>
        <v>65</v>
      </c>
      <c r="U9">
        <f>C16</f>
        <v>2</v>
      </c>
      <c r="V9">
        <f>B17</f>
        <v>58</v>
      </c>
      <c r="W9">
        <f>C17</f>
        <v>1.5</v>
      </c>
      <c r="X9">
        <f>B18</f>
        <v>50</v>
      </c>
      <c r="Y9">
        <f>C18</f>
        <v>1.3</v>
      </c>
      <c r="Z9">
        <f>B19</f>
        <v>58</v>
      </c>
      <c r="AA9">
        <f>C19</f>
        <v>1.3</v>
      </c>
      <c r="AB9">
        <f>B20</f>
        <v>60</v>
      </c>
      <c r="AC9">
        <f>C20</f>
        <v>1.3</v>
      </c>
    </row>
    <row r="10" spans="1:29" x14ac:dyDescent="0.3">
      <c r="A10" t="s">
        <v>93</v>
      </c>
      <c r="B10" s="23">
        <v>55</v>
      </c>
      <c r="C10" s="23">
        <v>1.2</v>
      </c>
      <c r="D10">
        <f>G41</f>
        <v>160</v>
      </c>
      <c r="G10">
        <v>5</v>
      </c>
      <c r="H10" s="17">
        <f t="shared" ref="H10:H45" si="0">1/((1+($G10/H$9))^I$9)</f>
        <v>0.90085258051813399</v>
      </c>
      <c r="I10" s="18">
        <f>1-H10</f>
        <v>9.9147419481866006E-2</v>
      </c>
      <c r="J10" s="17">
        <f t="shared" ref="J10:J45" si="1">1/((1+($G10/J$9))^K$9)</f>
        <v>0.89710575252208624</v>
      </c>
      <c r="K10" s="18">
        <f>1-J10</f>
        <v>0.10289424747791376</v>
      </c>
      <c r="L10" s="17">
        <f>1/((1+($G10/L$9))^M$9)</f>
        <v>0.91666666666666674</v>
      </c>
      <c r="M10" s="18">
        <f>1-L10</f>
        <v>8.3333333333333259E-2</v>
      </c>
      <c r="N10" s="17">
        <f>1/((1+($G10/N$9))^O$9)</f>
        <v>0.87508500241469789</v>
      </c>
      <c r="O10" s="18">
        <f>1-N10</f>
        <v>0.12491499758530211</v>
      </c>
      <c r="P10" s="17">
        <f>1/((1+($G10/P$9))^Q$9)</f>
        <v>0.88531131471947011</v>
      </c>
      <c r="Q10" s="18">
        <f>1-P10</f>
        <v>0.11468868528052989</v>
      </c>
      <c r="R10" s="17">
        <f>1/((1+($G10/R$9))^S$9)</f>
        <v>0.88142837341213964</v>
      </c>
      <c r="S10" s="18">
        <f>1-R10</f>
        <v>0.11857162658786036</v>
      </c>
      <c r="T10" s="17">
        <f>1/((1+($G10/T$9))^U$9)</f>
        <v>0.86224489795918369</v>
      </c>
      <c r="U10" s="18">
        <f>1-T10</f>
        <v>0.13775510204081631</v>
      </c>
      <c r="V10" s="17">
        <f>1/((1+($G10/V$9))^W$9)</f>
        <v>0.88334664959740983</v>
      </c>
      <c r="W10" s="18">
        <f>1-V10</f>
        <v>0.11665335040259017</v>
      </c>
      <c r="X10" s="17">
        <f>1/((1+($G10/X$9))^Y$9)</f>
        <v>0.88346532637713471</v>
      </c>
      <c r="Y10" s="18">
        <f>1-X10</f>
        <v>0.11653467362286529</v>
      </c>
      <c r="Z10" s="17">
        <f>1/((1+($G10/Z$9))^AA$9)</f>
        <v>0.89807721343235947</v>
      </c>
      <c r="AA10" s="18">
        <f>1-Z10</f>
        <v>0.10192278656764053</v>
      </c>
      <c r="AB10" s="17">
        <f>1/((1+($G10/AB$9))^AC$9)</f>
        <v>0.90117526280365756</v>
      </c>
      <c r="AC10" s="18">
        <f>1-AB10</f>
        <v>9.8824737196342438E-2</v>
      </c>
    </row>
    <row r="11" spans="1:29" x14ac:dyDescent="0.3">
      <c r="A11" t="s">
        <v>94</v>
      </c>
      <c r="B11" s="23">
        <v>62</v>
      </c>
      <c r="C11" s="23">
        <v>1.4</v>
      </c>
      <c r="D11">
        <f>G49</f>
        <v>200</v>
      </c>
      <c r="G11">
        <v>10</v>
      </c>
      <c r="H11" s="17">
        <f t="shared" si="0"/>
        <v>0.81835021230820537</v>
      </c>
      <c r="I11" s="18">
        <f t="shared" ref="I11:K45" si="2">1-H11</f>
        <v>0.18164978769179463</v>
      </c>
      <c r="J11" s="17">
        <f t="shared" si="1"/>
        <v>0.8111158168852538</v>
      </c>
      <c r="K11" s="18">
        <f t="shared" si="2"/>
        <v>0.1888841831147462</v>
      </c>
      <c r="L11" s="17">
        <f t="shared" ref="L11" si="3">1/((1+($G11/L$9))^M$9)</f>
        <v>0.84615384615384615</v>
      </c>
      <c r="M11" s="18">
        <f t="shared" ref="M11" si="4">1-L11</f>
        <v>0.15384615384615385</v>
      </c>
      <c r="N11" s="17">
        <f t="shared" ref="N11" si="5">1/((1+($G11/N$9))^O$9)</f>
        <v>0.77472265397904694</v>
      </c>
      <c r="O11" s="18">
        <f t="shared" ref="O11" si="6">1-N11</f>
        <v>0.22527734602095306</v>
      </c>
      <c r="P11" s="17">
        <f t="shared" ref="P11" si="7">1/((1+($G11/P$9))^Q$9)</f>
        <v>0.79146017361850018</v>
      </c>
      <c r="Q11" s="18">
        <f t="shared" ref="Q11" si="8">1-P11</f>
        <v>0.20853982638149982</v>
      </c>
      <c r="R11" s="17">
        <f t="shared" ref="R11" si="9">1/((1+($G11/R$9))^S$9)</f>
        <v>0.78507192752634014</v>
      </c>
      <c r="S11" s="18">
        <f t="shared" ref="S11" si="10">1-R11</f>
        <v>0.21492807247365986</v>
      </c>
      <c r="T11" s="17">
        <f t="shared" ref="T11" si="11">1/((1+($G11/T$9))^U$9)</f>
        <v>0.75111111111111128</v>
      </c>
      <c r="U11" s="18">
        <f t="shared" ref="U11" si="12">1-T11</f>
        <v>0.24888888888888872</v>
      </c>
      <c r="V11" s="17">
        <f t="shared" ref="V11" si="13">1/((1+($G11/V$9))^W$9)</f>
        <v>0.78773224147944609</v>
      </c>
      <c r="W11" s="18">
        <f t="shared" ref="W11" si="14">1-V11</f>
        <v>0.21226775852055391</v>
      </c>
      <c r="X11" s="17">
        <f t="shared" ref="X11" si="15">1/((1+($G11/X$9))^Y$9)</f>
        <v>0.78897706749922825</v>
      </c>
      <c r="Y11" s="18">
        <f t="shared" ref="Y11" si="16">1-X11</f>
        <v>0.21102293250077175</v>
      </c>
      <c r="Z11" s="17">
        <f t="shared" ref="Z11" si="17">1/((1+($G11/Z$9))^AA$9)</f>
        <v>0.81319519742522639</v>
      </c>
      <c r="AA11" s="18">
        <f t="shared" ref="AA11:AC11" si="18">1-Z11</f>
        <v>0.18680480257477361</v>
      </c>
      <c r="AB11" s="17">
        <f t="shared" ref="AB11" si="19">1/((1+($G11/AB$9))^AC$9)</f>
        <v>0.81840669500528684</v>
      </c>
      <c r="AC11" s="18">
        <f t="shared" si="18"/>
        <v>0.18159330499471316</v>
      </c>
    </row>
    <row r="12" spans="1:29" x14ac:dyDescent="0.3">
      <c r="A12" t="s">
        <v>101</v>
      </c>
      <c r="B12" s="23">
        <v>55</v>
      </c>
      <c r="C12" s="23">
        <v>1</v>
      </c>
      <c r="D12">
        <f>G39</f>
        <v>150</v>
      </c>
      <c r="G12">
        <v>15</v>
      </c>
      <c r="H12" s="17">
        <f t="shared" si="0"/>
        <v>0.74871680218842218</v>
      </c>
      <c r="I12" s="18">
        <f t="shared" si="2"/>
        <v>0.25128319781157782</v>
      </c>
      <c r="J12" s="17">
        <f t="shared" si="1"/>
        <v>0.73834842032425529</v>
      </c>
      <c r="K12" s="18">
        <f t="shared" si="2"/>
        <v>0.26165157967574471</v>
      </c>
      <c r="L12" s="17">
        <f t="shared" ref="L12" si="20">1/((1+($G12/L$9))^M$9)</f>
        <v>0.7857142857142857</v>
      </c>
      <c r="M12" s="18">
        <f t="shared" ref="M12" si="21">1-L12</f>
        <v>0.2142857142857143</v>
      </c>
      <c r="N12" s="17">
        <f t="shared" ref="N12" si="22">1/((1+($G12/N$9))^O$9)</f>
        <v>0.69259492794208244</v>
      </c>
      <c r="O12" s="18">
        <f t="shared" ref="O12" si="23">1-N12</f>
        <v>0.30740507205791756</v>
      </c>
      <c r="P12" s="17">
        <f t="shared" ref="P12" si="24">1/((1+($G12/P$9))^Q$9)</f>
        <v>0.7134614453008723</v>
      </c>
      <c r="Q12" s="18">
        <f t="shared" ref="Q12" si="25">1-P12</f>
        <v>0.2865385546991277</v>
      </c>
      <c r="R12" s="17">
        <f t="shared" ref="R12" si="26">1/((1+($G12/R$9))^S$9)</f>
        <v>0.70546218580120967</v>
      </c>
      <c r="S12" s="18">
        <f t="shared" ref="S12" si="27">1-R12</f>
        <v>0.29453781419879033</v>
      </c>
      <c r="T12" s="17">
        <f t="shared" ref="T12" si="28">1/((1+($G12/T$9))^U$9)</f>
        <v>0.66015624999999989</v>
      </c>
      <c r="U12" s="18">
        <f t="shared" ref="U12" si="29">1-T12</f>
        <v>0.33984375000000011</v>
      </c>
      <c r="V12" s="17">
        <f t="shared" ref="V12" si="30">1/((1+($G12/V$9))^W$9)</f>
        <v>0.70820289895278776</v>
      </c>
      <c r="W12" s="18">
        <f t="shared" ref="W12" si="31">1-V12</f>
        <v>0.29179710104721224</v>
      </c>
      <c r="X12" s="17">
        <f t="shared" ref="X12" si="32">1/((1+($G12/X$9))^Y$9)</f>
        <v>0.71100661614967597</v>
      </c>
      <c r="Y12" s="18">
        <f t="shared" ref="Y12" si="33">1-X12</f>
        <v>0.28899338385032403</v>
      </c>
      <c r="Z12" s="17">
        <f t="shared" ref="Z12" si="34">1/((1+($G12/Z$9))^AA$9)</f>
        <v>0.74154357005643068</v>
      </c>
      <c r="AA12" s="18">
        <f t="shared" ref="AA12:AC12" si="35">1-Z12</f>
        <v>0.25845642994356932</v>
      </c>
      <c r="AB12" s="17">
        <f t="shared" ref="AB12" si="36">1/((1+($G12/AB$9))^AC$9)</f>
        <v>0.74819875825809701</v>
      </c>
      <c r="AC12" s="18">
        <f t="shared" si="35"/>
        <v>0.25180124174190299</v>
      </c>
    </row>
    <row r="13" spans="1:29" x14ac:dyDescent="0.3">
      <c r="A13" t="s">
        <v>102</v>
      </c>
      <c r="B13" s="23">
        <v>50</v>
      </c>
      <c r="C13" s="23">
        <v>1.4</v>
      </c>
      <c r="D13">
        <f>G44</f>
        <v>175</v>
      </c>
      <c r="G13">
        <v>20</v>
      </c>
      <c r="H13" s="17">
        <f t="shared" si="0"/>
        <v>0.68922609385665834</v>
      </c>
      <c r="I13" s="18">
        <f t="shared" si="2"/>
        <v>0.31077390614334166</v>
      </c>
      <c r="J13" s="17">
        <f t="shared" si="1"/>
        <v>0.67609694253307806</v>
      </c>
      <c r="K13" s="18">
        <f t="shared" si="2"/>
        <v>0.32390305746692194</v>
      </c>
      <c r="L13" s="17">
        <f t="shared" ref="L13" si="37">1/((1+($G13/L$9))^M$9)</f>
        <v>0.73333333333333328</v>
      </c>
      <c r="M13" s="18">
        <f t="shared" ref="M13" si="38">1-L13</f>
        <v>0.26666666666666672</v>
      </c>
      <c r="N13" s="17">
        <f t="shared" ref="N13" si="39">1/((1+($G13/N$9))^O$9)</f>
        <v>0.62433941058390774</v>
      </c>
      <c r="O13" s="18">
        <f t="shared" ref="O13" si="40">1-N13</f>
        <v>0.37566058941609226</v>
      </c>
      <c r="P13" s="17">
        <f t="shared" ref="P13" si="41">1/((1+($G13/P$9))^Q$9)</f>
        <v>0.64777173879941885</v>
      </c>
      <c r="Q13" s="18">
        <f t="shared" ref="Q13" si="42">1-P13</f>
        <v>0.35222826120058115</v>
      </c>
      <c r="R13" s="17">
        <f t="shared" ref="R13" si="43">1/((1+($G13/R$9))^S$9)</f>
        <v>0.63875485377075014</v>
      </c>
      <c r="S13" s="18">
        <f t="shared" ref="S13" si="44">1-R13</f>
        <v>0.36124514622924986</v>
      </c>
      <c r="T13" s="17">
        <f t="shared" ref="T13" si="45">1/((1+($G13/T$9))^U$9)</f>
        <v>0.58477508650519028</v>
      </c>
      <c r="U13" s="18">
        <f t="shared" ref="U13" si="46">1-T13</f>
        <v>0.41522491349480972</v>
      </c>
      <c r="V13" s="17">
        <f t="shared" ref="V13" si="47">1/((1+($G13/V$9))^W$9)</f>
        <v>0.64120970401473609</v>
      </c>
      <c r="W13" s="18">
        <f t="shared" ref="W13" si="48">1-V13</f>
        <v>0.35879029598526391</v>
      </c>
      <c r="X13" s="17">
        <f t="shared" ref="X13" si="49">1/((1+($G13/X$9))^Y$9)</f>
        <v>0.64570411424700658</v>
      </c>
      <c r="Y13" s="18">
        <f t="shared" ref="Y13" si="50">1-X13</f>
        <v>0.35429588575299342</v>
      </c>
      <c r="Z13" s="17">
        <f t="shared" ref="Z13" si="51">1/((1+($G13/Z$9))^AA$9)</f>
        <v>0.68035159634731746</v>
      </c>
      <c r="AA13" s="18">
        <f t="shared" ref="AA13:AC13" si="52">1-Z13</f>
        <v>0.31964840365268254</v>
      </c>
      <c r="AB13" s="17">
        <f t="shared" ref="AB13" si="53">1/((1+($G13/AB$9))^AC$9)</f>
        <v>0.68798606598180134</v>
      </c>
      <c r="AC13" s="18">
        <f t="shared" si="52"/>
        <v>0.31201393401819866</v>
      </c>
    </row>
    <row r="14" spans="1:29" x14ac:dyDescent="0.3">
      <c r="A14" t="s">
        <v>95</v>
      </c>
      <c r="B14" s="23">
        <v>55</v>
      </c>
      <c r="C14" s="23">
        <v>1.4</v>
      </c>
      <c r="D14">
        <f>G35</f>
        <v>130</v>
      </c>
      <c r="G14">
        <v>25</v>
      </c>
      <c r="H14" s="17">
        <f t="shared" si="0"/>
        <v>0.63786275308871643</v>
      </c>
      <c r="I14" s="18">
        <f t="shared" si="2"/>
        <v>0.36213724691128357</v>
      </c>
      <c r="J14" s="17">
        <f t="shared" si="1"/>
        <v>0.62233096663854148</v>
      </c>
      <c r="K14" s="18">
        <f t="shared" si="2"/>
        <v>0.37766903336145852</v>
      </c>
      <c r="L14" s="17">
        <f t="shared" ref="L14" si="54">1/((1+($G14/L$9))^M$9)</f>
        <v>0.6875</v>
      </c>
      <c r="M14" s="18">
        <f t="shared" ref="M14" si="55">1-L14</f>
        <v>0.3125</v>
      </c>
      <c r="N14" s="17">
        <f t="shared" ref="N14" si="56">1/((1+($G14/N$9))^O$9)</f>
        <v>0.56685533361146268</v>
      </c>
      <c r="O14" s="18">
        <f t="shared" ref="O14" si="57">1-N14</f>
        <v>0.43314466638853732</v>
      </c>
      <c r="P14" s="17">
        <f t="shared" ref="P14" si="58">1/((1+($G14/P$9))^Q$9)</f>
        <v>0.59180929713151553</v>
      </c>
      <c r="Q14" s="18">
        <f t="shared" ref="Q14" si="59">1-P14</f>
        <v>0.40819070286848447</v>
      </c>
      <c r="R14" s="17">
        <f t="shared" ref="R14" si="60">1/((1+($G14/R$9))^S$9)</f>
        <v>0.5821752973578217</v>
      </c>
      <c r="S14" s="18">
        <f t="shared" ref="S14" si="61">1-R14</f>
        <v>0.4178247026421783</v>
      </c>
      <c r="T14" s="17">
        <f t="shared" ref="T14" si="62">1/((1+($G14/T$9))^U$9)</f>
        <v>0.52160493827160503</v>
      </c>
      <c r="U14" s="18">
        <f t="shared" ref="U14" si="63">1-T14</f>
        <v>0.47839506172839497</v>
      </c>
      <c r="V14" s="17">
        <f t="shared" ref="V14" si="64">1/((1+($G14/V$9))^W$9)</f>
        <v>0.58415063318606253</v>
      </c>
      <c r="W14" s="18">
        <f t="shared" ref="W14" si="65">1-V14</f>
        <v>0.41584936681393747</v>
      </c>
      <c r="X14" s="17">
        <f t="shared" ref="X14" si="66">1/((1+($G14/X$9))^Y$9)</f>
        <v>0.59031166219703735</v>
      </c>
      <c r="Y14" s="18">
        <f t="shared" ref="Y14" si="67">1-X14</f>
        <v>0.40968833780296265</v>
      </c>
      <c r="Z14" s="17">
        <f t="shared" ref="Z14" si="68">1/((1+($G14/Z$9))^AA$9)</f>
        <v>0.6275594468639335</v>
      </c>
      <c r="AA14" s="18">
        <f t="shared" ref="AA14:AC14" si="69">1-Z14</f>
        <v>0.3724405531360665</v>
      </c>
      <c r="AB14" s="17">
        <f t="shared" ref="AB14" si="70">1/((1+($G14/AB$9))^AC$9)</f>
        <v>0.63584611494719556</v>
      </c>
      <c r="AC14" s="18">
        <f t="shared" si="69"/>
        <v>0.36415388505280444</v>
      </c>
    </row>
    <row r="15" spans="1:29" x14ac:dyDescent="0.3">
      <c r="A15" t="s">
        <v>96</v>
      </c>
      <c r="B15" s="23">
        <v>53</v>
      </c>
      <c r="C15" s="23">
        <v>1.4</v>
      </c>
      <c r="D15">
        <f>G43</f>
        <v>170</v>
      </c>
      <c r="G15">
        <v>30</v>
      </c>
      <c r="H15" s="17">
        <f t="shared" si="0"/>
        <v>0.5931062718450526</v>
      </c>
      <c r="I15" s="18">
        <f t="shared" si="2"/>
        <v>0.4068937281549474</v>
      </c>
      <c r="J15" s="17">
        <f t="shared" si="1"/>
        <v>0.57550010474945301</v>
      </c>
      <c r="K15" s="18">
        <f t="shared" si="2"/>
        <v>0.42449989525054699</v>
      </c>
      <c r="L15" s="17">
        <f t="shared" ref="L15" si="71">1/((1+($G15/L$9))^M$9)</f>
        <v>0.6470588235294118</v>
      </c>
      <c r="M15" s="18">
        <f t="shared" ref="M15" si="72">1-L15</f>
        <v>0.3529411764705882</v>
      </c>
      <c r="N15" s="17">
        <f t="shared" ref="N15" si="73">1/((1+($G15/N$9))^O$9)</f>
        <v>0.51788344020937294</v>
      </c>
      <c r="O15" s="18">
        <f t="shared" ref="O15" si="74">1-N15</f>
        <v>0.48211655979062706</v>
      </c>
      <c r="P15" s="17">
        <f t="shared" ref="P15" si="75">1/((1+($G15/P$9))^Q$9)</f>
        <v>0.54365234953935793</v>
      </c>
      <c r="Q15" s="18">
        <f t="shared" ref="Q15" si="76">1-P15</f>
        <v>0.45634765046064207</v>
      </c>
      <c r="R15" s="17">
        <f t="shared" ref="R15" si="77">1/((1+($G15/R$9))^S$9)</f>
        <v>0.53367503607253941</v>
      </c>
      <c r="S15" s="18">
        <f t="shared" ref="S15" si="78">1-R15</f>
        <v>0.46632496392746059</v>
      </c>
      <c r="T15" s="17">
        <f t="shared" ref="T15" si="79">1/((1+($G15/T$9))^U$9)</f>
        <v>0.46814404432132956</v>
      </c>
      <c r="U15" s="18">
        <f t="shared" ref="U15" si="80">1-T15</f>
        <v>0.53185595567867039</v>
      </c>
      <c r="V15" s="17">
        <f t="shared" ref="V15" si="81">1/((1+($G15/V$9))^W$9)</f>
        <v>0.53507909285667443</v>
      </c>
      <c r="W15" s="18">
        <f t="shared" ref="W15" si="82">1-V15</f>
        <v>0.46492090714332557</v>
      </c>
      <c r="X15" s="17">
        <f t="shared" ref="X15" si="83">1/((1+($G15/X$9))^Y$9)</f>
        <v>0.54280522881865212</v>
      </c>
      <c r="Y15" s="18">
        <f t="shared" ref="Y15" si="84">1-X15</f>
        <v>0.45719477118134788</v>
      </c>
      <c r="Z15" s="17">
        <f t="shared" ref="Z15" si="85">1/((1+($G15/Z$9))^AA$9)</f>
        <v>0.58160605312161417</v>
      </c>
      <c r="AA15" s="18">
        <f t="shared" ref="AA15:AC15" si="86">1-Z15</f>
        <v>0.41839394687838583</v>
      </c>
      <c r="AB15" s="17">
        <f t="shared" ref="AB15" si="87">1/((1+($G15/AB$9))^AC$9)</f>
        <v>0.59031166219703735</v>
      </c>
      <c r="AC15" s="18">
        <f t="shared" si="86"/>
        <v>0.40968833780296265</v>
      </c>
    </row>
    <row r="16" spans="1:29" x14ac:dyDescent="0.3">
      <c r="A16" t="s">
        <v>97</v>
      </c>
      <c r="B16" s="23">
        <v>65</v>
      </c>
      <c r="C16" s="23">
        <v>2</v>
      </c>
      <c r="D16">
        <f>G55</f>
        <v>230</v>
      </c>
      <c r="G16">
        <v>35</v>
      </c>
      <c r="H16" s="17">
        <f t="shared" si="0"/>
        <v>0.55378886104966762</v>
      </c>
      <c r="I16" s="18">
        <f t="shared" si="2"/>
        <v>0.44621113895033238</v>
      </c>
      <c r="J16" s="17">
        <f t="shared" si="1"/>
        <v>0.53440183081376524</v>
      </c>
      <c r="K16" s="18">
        <f t="shared" si="2"/>
        <v>0.46559816918623476</v>
      </c>
      <c r="L16" s="17">
        <f t="shared" ref="L16" si="88">1/((1+($G16/L$9))^M$9)</f>
        <v>0.61111111111111116</v>
      </c>
      <c r="M16" s="18">
        <f t="shared" ref="M16" si="89">1-L16</f>
        <v>0.38888888888888884</v>
      </c>
      <c r="N16" s="17">
        <f t="shared" ref="N16" si="90">1/((1+($G16/N$9))^O$9)</f>
        <v>0.47574201760940521</v>
      </c>
      <c r="O16" s="18">
        <f t="shared" ref="O16" si="91">1-N16</f>
        <v>0.52425798239059485</v>
      </c>
      <c r="P16" s="17">
        <f t="shared" ref="P16" si="92">1/((1+($G16/P$9))^Q$9)</f>
        <v>0.50184344065530784</v>
      </c>
      <c r="Q16" s="18">
        <f t="shared" ref="Q16" si="93">1-P16</f>
        <v>0.49815655934469216</v>
      </c>
      <c r="R16" s="17">
        <f t="shared" ref="R16" si="94">1/((1+($G16/R$9))^S$9)</f>
        <v>0.49171162553217251</v>
      </c>
      <c r="S16" s="18">
        <f t="shared" ref="S16" si="95">1-R16</f>
        <v>0.50828837446782749</v>
      </c>
      <c r="T16" s="17">
        <f t="shared" ref="T16" si="96">1/((1+($G16/T$9))^U$9)</f>
        <v>0.42250000000000004</v>
      </c>
      <c r="U16" s="18">
        <f t="shared" ref="U16" si="97">1-T16</f>
        <v>0.5774999999999999</v>
      </c>
      <c r="V16" s="17">
        <f t="shared" ref="V16" si="98">1/((1+($G16/V$9))^W$9)</f>
        <v>0.49251285168909947</v>
      </c>
      <c r="W16" s="18">
        <f t="shared" ref="W16" si="99">1-V16</f>
        <v>0.50748714831090047</v>
      </c>
      <c r="X16" s="17">
        <f t="shared" ref="X16" si="100">1/((1+($G16/X$9))^Y$9)</f>
        <v>0.50166800315181559</v>
      </c>
      <c r="Y16" s="18">
        <f t="shared" ref="Y16" si="101">1-X16</f>
        <v>0.49833199684818441</v>
      </c>
      <c r="Z16" s="17">
        <f t="shared" ref="Z16" si="102">1/((1+($G16/Z$9))^AA$9)</f>
        <v>0.54128819859254762</v>
      </c>
      <c r="AA16" s="18">
        <f t="shared" ref="AA16:AC16" si="103">1-Z16</f>
        <v>0.45871180140745238</v>
      </c>
      <c r="AB16" s="17">
        <f t="shared" ref="AB16" si="104">1/((1+($G16/AB$9))^AC$9)</f>
        <v>0.55024478936824384</v>
      </c>
      <c r="AC16" s="18">
        <f t="shared" si="103"/>
        <v>0.44975521063175616</v>
      </c>
    </row>
    <row r="17" spans="1:29" x14ac:dyDescent="0.3">
      <c r="A17" t="s">
        <v>97</v>
      </c>
      <c r="B17" s="23">
        <v>58</v>
      </c>
      <c r="C17" s="23">
        <v>1.5</v>
      </c>
      <c r="D17">
        <f>G50</f>
        <v>205</v>
      </c>
      <c r="G17">
        <v>40</v>
      </c>
      <c r="H17" s="17">
        <f t="shared" si="0"/>
        <v>0.51899945410288606</v>
      </c>
      <c r="I17" s="18">
        <f t="shared" si="2"/>
        <v>0.48100054589711394</v>
      </c>
      <c r="J17" s="17">
        <f t="shared" si="1"/>
        <v>0.49809034660076962</v>
      </c>
      <c r="K17" s="18">
        <f t="shared" si="2"/>
        <v>0.50190965339923044</v>
      </c>
      <c r="L17" s="17">
        <f t="shared" ref="L17" si="105">1/((1+($G17/L$9))^M$9)</f>
        <v>0.57894736842105265</v>
      </c>
      <c r="M17" s="18">
        <f t="shared" ref="M17" si="106">1-L17</f>
        <v>0.42105263157894735</v>
      </c>
      <c r="N17" s="17">
        <f t="shared" ref="N17" si="107">1/((1+($G17/N$9))^O$9)</f>
        <v>0.43915566847765025</v>
      </c>
      <c r="O17" s="18">
        <f t="shared" ref="O17" si="108">1-N17</f>
        <v>0.56084433152234969</v>
      </c>
      <c r="P17" s="17">
        <f t="shared" ref="P17" si="109">1/((1+($G17/P$9))^Q$9)</f>
        <v>0.46525893034752563</v>
      </c>
      <c r="Q17" s="18">
        <f t="shared" ref="Q17" si="110">1-P17</f>
        <v>0.53474106965247437</v>
      </c>
      <c r="R17" s="17">
        <f t="shared" ref="R17" si="111">1/((1+($G17/R$9))^S$9)</f>
        <v>0.45510340985769465</v>
      </c>
      <c r="S17" s="18">
        <f t="shared" ref="S17" si="112">1-R17</f>
        <v>0.54489659014230529</v>
      </c>
      <c r="T17" s="17">
        <f t="shared" ref="T17" si="113">1/((1+($G17/T$9))^U$9)</f>
        <v>0.38321995464852604</v>
      </c>
      <c r="U17" s="18">
        <f t="shared" ref="U17" si="114">1-T17</f>
        <v>0.61678004535147402</v>
      </c>
      <c r="V17" s="17">
        <f t="shared" ref="V17" si="115">1/((1+($G17/V$9))^W$9)</f>
        <v>0.45530547932040999</v>
      </c>
      <c r="W17" s="18">
        <f t="shared" ref="W17" si="116">1-V17</f>
        <v>0.54469452067959001</v>
      </c>
      <c r="X17" s="17">
        <f t="shared" ref="X17" si="117">1/((1+($G17/X$9))^Y$9)</f>
        <v>0.46574236415081355</v>
      </c>
      <c r="Y17" s="18">
        <f t="shared" ref="Y17" si="118">1-X17</f>
        <v>0.5342576358491864</v>
      </c>
      <c r="Z17" s="17">
        <f t="shared" ref="Z17" si="119">1/((1+($G17/Z$9))^AA$9)</f>
        <v>0.50566453262652289</v>
      </c>
      <c r="AA17" s="18">
        <f t="shared" ref="AA17:AC17" si="120">1-Z17</f>
        <v>0.49433546737347711</v>
      </c>
      <c r="AB17" s="17">
        <f t="shared" ref="AB17" si="121">1/((1+($G17/AB$9))^AC$9)</f>
        <v>0.51475032026645706</v>
      </c>
      <c r="AC17" s="18">
        <f t="shared" si="120"/>
        <v>0.48524967973354294</v>
      </c>
    </row>
    <row r="18" spans="1:29" x14ac:dyDescent="0.3">
      <c r="A18" t="s">
        <v>98</v>
      </c>
      <c r="B18" s="23">
        <v>50</v>
      </c>
      <c r="C18" s="23">
        <v>1.3</v>
      </c>
      <c r="D18">
        <f>G39</f>
        <v>150</v>
      </c>
      <c r="G18">
        <v>45</v>
      </c>
      <c r="H18" s="17">
        <f t="shared" si="0"/>
        <v>0.48801731075147925</v>
      </c>
      <c r="I18" s="18">
        <f t="shared" si="2"/>
        <v>0.51198268924852075</v>
      </c>
      <c r="J18" s="17">
        <f t="shared" si="1"/>
        <v>0.46581243346180257</v>
      </c>
      <c r="K18" s="18">
        <f t="shared" si="2"/>
        <v>0.53418756653819743</v>
      </c>
      <c r="L18" s="17">
        <f t="shared" ref="L18" si="122">1/((1+($G18/L$9))^M$9)</f>
        <v>0.54999999999999993</v>
      </c>
      <c r="M18" s="18">
        <f t="shared" ref="M18" si="123">1-L18</f>
        <v>0.45000000000000007</v>
      </c>
      <c r="N18" s="17">
        <f t="shared" ref="N18" si="124">1/((1+($G18/N$9))^O$9)</f>
        <v>0.40714111218662424</v>
      </c>
      <c r="O18" s="18">
        <f t="shared" ref="O18" si="125">1-N18</f>
        <v>0.59285888781337581</v>
      </c>
      <c r="P18" s="17">
        <f t="shared" ref="P18" si="126">1/((1+($G18/P$9))^Q$9)</f>
        <v>0.43301981016928348</v>
      </c>
      <c r="Q18" s="18">
        <f t="shared" ref="Q18" si="127">1-P18</f>
        <v>0.56698018983071652</v>
      </c>
      <c r="R18" s="17">
        <f t="shared" ref="R18" si="128">1/((1+($G18/R$9))^S$9)</f>
        <v>0.42293118720749301</v>
      </c>
      <c r="S18" s="18">
        <f t="shared" ref="S18" si="129">1-R18</f>
        <v>0.57706881279250699</v>
      </c>
      <c r="T18" s="17">
        <f t="shared" ref="T18" si="130">1/((1+($G18/T$9))^U$9)</f>
        <v>0.34917355371900827</v>
      </c>
      <c r="U18" s="18">
        <f t="shared" ref="U18" si="131">1-T18</f>
        <v>0.65082644628099173</v>
      </c>
      <c r="V18" s="17">
        <f t="shared" ref="V18" si="132">1/((1+($G18/V$9))^W$9)</f>
        <v>0.42255782969874506</v>
      </c>
      <c r="W18" s="18">
        <f t="shared" ref="W18" si="133">1-V18</f>
        <v>0.57744217030125489</v>
      </c>
      <c r="X18" s="17">
        <f t="shared" ref="X18" si="134">1/((1+($G18/X$9))^Y$9)</f>
        <v>0.43413052032248761</v>
      </c>
      <c r="Y18" s="18">
        <f t="shared" ref="Y18" si="135">1-X18</f>
        <v>0.56586947967751233</v>
      </c>
      <c r="Z18" s="17">
        <f t="shared" ref="Z18" si="136">1/((1+($G18/Z$9))^AA$9)</f>
        <v>0.47398871244006852</v>
      </c>
      <c r="AA18" s="18">
        <f t="shared" ref="AA18:AC18" si="137">1-Z18</f>
        <v>0.52601128755993143</v>
      </c>
      <c r="AB18" s="17">
        <f t="shared" ref="AB18" si="138">1/((1+($G18/AB$9))^AC$9)</f>
        <v>0.48311501648175476</v>
      </c>
      <c r="AC18" s="18">
        <f t="shared" si="137"/>
        <v>0.51688498351824519</v>
      </c>
    </row>
    <row r="19" spans="1:29" x14ac:dyDescent="0.3">
      <c r="A19" t="s">
        <v>99</v>
      </c>
      <c r="B19" s="23">
        <v>58</v>
      </c>
      <c r="C19" s="23">
        <v>1.3</v>
      </c>
      <c r="D19">
        <f>G50</f>
        <v>205</v>
      </c>
      <c r="G19">
        <v>50</v>
      </c>
      <c r="H19" s="17">
        <f t="shared" si="0"/>
        <v>0.4602651245048292</v>
      </c>
      <c r="I19" s="18">
        <f t="shared" si="2"/>
        <v>0.53973487549517074</v>
      </c>
      <c r="J19" s="17">
        <f t="shared" si="1"/>
        <v>0.43696145967026229</v>
      </c>
      <c r="K19" s="18">
        <f t="shared" si="2"/>
        <v>0.56303854032973777</v>
      </c>
      <c r="L19" s="17">
        <f t="shared" ref="L19" si="139">1/((1+($G19/L$9))^M$9)</f>
        <v>0.52380952380952384</v>
      </c>
      <c r="M19" s="18">
        <f t="shared" ref="M19" si="140">1-L19</f>
        <v>0.47619047619047616</v>
      </c>
      <c r="N19" s="17">
        <f t="shared" ref="N19" si="141">1/((1+($G19/N$9))^O$9)</f>
        <v>0.37892914162759955</v>
      </c>
      <c r="O19" s="18">
        <f t="shared" ref="O19" si="142">1-N19</f>
        <v>0.6210708583724005</v>
      </c>
      <c r="P19" s="17">
        <f t="shared" ref="P19" si="143">1/((1+($G19/P$9))^Q$9)</f>
        <v>0.40442942559494216</v>
      </c>
      <c r="Q19" s="18">
        <f t="shared" ref="Q19" si="144">1-P19</f>
        <v>0.5955705744050579</v>
      </c>
      <c r="R19" s="17">
        <f t="shared" ref="R19" si="145">1/((1+($G19/R$9))^S$9)</f>
        <v>0.39447011150354122</v>
      </c>
      <c r="S19" s="18">
        <f t="shared" ref="S19" si="146">1-R19</f>
        <v>0.60552988849645883</v>
      </c>
      <c r="T19" s="17">
        <f t="shared" ref="T19" si="147">1/((1+($G19/T$9))^U$9)</f>
        <v>0.31947069943289225</v>
      </c>
      <c r="U19" s="18">
        <f t="shared" ref="U19" si="148">1-T19</f>
        <v>0.68052930056710781</v>
      </c>
      <c r="V19" s="17">
        <f t="shared" ref="V19" si="149">1/((1+($G19/V$9))^W$9)</f>
        <v>0.39355583620361589</v>
      </c>
      <c r="W19" s="18">
        <f t="shared" ref="W19" si="150">1-V19</f>
        <v>0.60644416379638411</v>
      </c>
      <c r="X19" s="17">
        <f t="shared" ref="X19" si="151">1/((1+($G19/X$9))^Y$9)</f>
        <v>0.40612619817811774</v>
      </c>
      <c r="Y19" s="18">
        <f t="shared" ref="Y19" si="152">1-X19</f>
        <v>0.59387380182188232</v>
      </c>
      <c r="Z19" s="17">
        <f t="shared" ref="Z19" si="153">1/((1+($G19/Z$9))^AA$9)</f>
        <v>0.44566190206853823</v>
      </c>
      <c r="AA19" s="18">
        <f t="shared" ref="AA19:AC19" si="154">1-Z19</f>
        <v>0.55433809793146183</v>
      </c>
      <c r="AB19" s="17">
        <f t="shared" ref="AB19" si="155">1/((1+($G19/AB$9))^AC$9)</f>
        <v>0.45476405969693995</v>
      </c>
      <c r="AC19" s="18">
        <f t="shared" si="154"/>
        <v>0.54523594030306</v>
      </c>
    </row>
    <row r="20" spans="1:29" x14ac:dyDescent="0.3">
      <c r="A20" t="s">
        <v>100</v>
      </c>
      <c r="B20" s="23">
        <v>60</v>
      </c>
      <c r="C20" s="23">
        <v>1.3</v>
      </c>
      <c r="D20">
        <f>G42</f>
        <v>165</v>
      </c>
      <c r="G20">
        <v>55</v>
      </c>
      <c r="H20" s="17">
        <f t="shared" si="0"/>
        <v>0.43527528164806206</v>
      </c>
      <c r="I20" s="18">
        <f t="shared" si="2"/>
        <v>0.56472471835193794</v>
      </c>
      <c r="J20" s="17">
        <f t="shared" si="1"/>
        <v>0.41104385391547416</v>
      </c>
      <c r="K20" s="18">
        <f t="shared" si="2"/>
        <v>0.58895614608452584</v>
      </c>
      <c r="L20" s="17">
        <f t="shared" ref="L20" si="156">1/((1+($G20/L$9))^M$9)</f>
        <v>0.5</v>
      </c>
      <c r="M20" s="18">
        <f t="shared" ref="M20" si="157">1-L20</f>
        <v>0.5</v>
      </c>
      <c r="N20" s="17">
        <f t="shared" ref="N20" si="158">1/((1+($G20/N$9))^O$9)</f>
        <v>0.35391012487332496</v>
      </c>
      <c r="O20" s="18">
        <f t="shared" ref="O20" si="159">1-N20</f>
        <v>0.64608987512667504</v>
      </c>
      <c r="P20" s="17">
        <f t="shared" ref="P20" si="160">1/((1+($G20/P$9))^Q$9)</f>
        <v>0.37892914162759955</v>
      </c>
      <c r="Q20" s="18">
        <f t="shared" ref="Q20" si="161">1-P20</f>
        <v>0.6210708583724005</v>
      </c>
      <c r="R20" s="17">
        <f t="shared" ref="R20" si="162">1/((1+($G20/R$9))^S$9)</f>
        <v>0.36914157405398851</v>
      </c>
      <c r="S20" s="18">
        <f t="shared" ref="S20" si="163">1-R20</f>
        <v>0.63085842594601149</v>
      </c>
      <c r="T20" s="17">
        <f t="shared" ref="T20" si="164">1/((1+($G20/T$9))^U$9)</f>
        <v>0.29340277777777773</v>
      </c>
      <c r="U20" s="18">
        <f t="shared" ref="U20" si="165">1-T20</f>
        <v>0.70659722222222232</v>
      </c>
      <c r="V20" s="17">
        <f t="shared" ref="V20" si="166">1/((1+($G20/V$9))^W$9)</f>
        <v>0.36772598937568401</v>
      </c>
      <c r="W20" s="18">
        <f t="shared" ref="W20" si="167">1-V20</f>
        <v>0.63227401062431599</v>
      </c>
      <c r="X20" s="17">
        <f t="shared" ref="X20" si="168">1/((1+($G20/X$9))^Y$9)</f>
        <v>0.38116666896861612</v>
      </c>
      <c r="Y20" s="18">
        <f t="shared" ref="Y20" si="169">1-X20</f>
        <v>0.61883333103138383</v>
      </c>
      <c r="Z20" s="17">
        <f t="shared" ref="Z20" si="170">1/((1+($G20/Z$9))^AA$9)</f>
        <v>0.42019842003228802</v>
      </c>
      <c r="AA20" s="18">
        <f t="shared" ref="AA20:AC20" si="171">1-Z20</f>
        <v>0.57980157996771198</v>
      </c>
      <c r="AB20" s="17">
        <f t="shared" ref="AB20" si="172">1/((1+($G20/AB$9))^AC$9)</f>
        <v>0.42922937212329776</v>
      </c>
      <c r="AC20" s="18">
        <f t="shared" si="171"/>
        <v>0.57077062787670219</v>
      </c>
    </row>
    <row r="21" spans="1:29" x14ac:dyDescent="0.3">
      <c r="G21">
        <v>60</v>
      </c>
      <c r="H21" s="17">
        <f t="shared" si="0"/>
        <v>0.41266517390909252</v>
      </c>
      <c r="I21" s="18">
        <f t="shared" si="2"/>
        <v>0.58733482609090748</v>
      </c>
      <c r="J21" s="17">
        <f t="shared" si="1"/>
        <v>0.38765429702860232</v>
      </c>
      <c r="K21" s="18">
        <f t="shared" si="2"/>
        <v>0.61234570297139768</v>
      </c>
      <c r="L21" s="17">
        <f t="shared" ref="L21" si="173">1/((1+($G21/L$9))^M$9)</f>
        <v>0.47826086956521741</v>
      </c>
      <c r="M21" s="18">
        <f t="shared" ref="M21" si="174">1-L21</f>
        <v>0.52173913043478259</v>
      </c>
      <c r="N21" s="17">
        <f t="shared" ref="N21" si="175">1/((1+($G21/N$9))^O$9)</f>
        <v>0.33159520881618737</v>
      </c>
      <c r="O21" s="18">
        <f t="shared" ref="O21" si="176">1-N21</f>
        <v>0.66840479118381269</v>
      </c>
      <c r="P21" s="17">
        <f t="shared" ref="P21" si="177">1/((1+($G21/P$9))^Q$9)</f>
        <v>0.356066232038245</v>
      </c>
      <c r="Q21" s="18">
        <f t="shared" ref="Q21" si="178">1-P21</f>
        <v>0.64393376796175494</v>
      </c>
      <c r="R21" s="17">
        <f t="shared" ref="R21" si="179">1/((1+($G21/R$9))^S$9)</f>
        <v>0.34647858458062492</v>
      </c>
      <c r="S21" s="18">
        <f t="shared" ref="S21" si="180">1-R21</f>
        <v>0.65352141541937514</v>
      </c>
      <c r="T21" s="17">
        <f t="shared" ref="T21" si="181">1/((1+($G21/T$9))^U$9)</f>
        <v>0.27039999999999997</v>
      </c>
      <c r="U21" s="18">
        <f t="shared" ref="U21" si="182">1-T21</f>
        <v>0.72960000000000003</v>
      </c>
      <c r="V21" s="17">
        <f t="shared" ref="V21" si="183">1/((1+($G21/V$9))^W$9)</f>
        <v>0.34460294083220144</v>
      </c>
      <c r="W21" s="18">
        <f t="shared" ref="W21" si="184">1-V21</f>
        <v>0.65539705916779856</v>
      </c>
      <c r="X21" s="17">
        <f t="shared" ref="X21" si="185">1/((1+($G21/X$9))^Y$9)</f>
        <v>0.35879841422373565</v>
      </c>
      <c r="Y21" s="18">
        <f t="shared" ref="Y21" si="186">1-X21</f>
        <v>0.64120158577626429</v>
      </c>
      <c r="Z21" s="17">
        <f t="shared" ref="Z21" si="187">1/((1+($G21/Z$9))^AA$9)</f>
        <v>0.39720049599034479</v>
      </c>
      <c r="AA21" s="18">
        <f t="shared" ref="AA21:AC21" si="188">1-Z21</f>
        <v>0.60279950400965521</v>
      </c>
      <c r="AB21" s="17">
        <f t="shared" ref="AB21" si="189">1/((1+($G21/AB$9))^AC$9)</f>
        <v>0.40612619817811774</v>
      </c>
      <c r="AC21" s="18">
        <f t="shared" si="188"/>
        <v>0.59387380182188232</v>
      </c>
    </row>
    <row r="22" spans="1:29" x14ac:dyDescent="0.3">
      <c r="D22" s="21">
        <f>AVERAGE(D10:D20)</f>
        <v>176.36363636363637</v>
      </c>
      <c r="G22">
        <v>65</v>
      </c>
      <c r="H22" s="17">
        <f t="shared" si="0"/>
        <v>0.39211886070841434</v>
      </c>
      <c r="I22" s="18">
        <f t="shared" si="2"/>
        <v>0.60788113929158571</v>
      </c>
      <c r="J22" s="17">
        <f t="shared" si="1"/>
        <v>0.3664571130949032</v>
      </c>
      <c r="K22" s="18">
        <f t="shared" si="2"/>
        <v>0.63354288690509675</v>
      </c>
      <c r="L22" s="17">
        <f t="shared" ref="L22" si="190">1/((1+($G22/L$9))^M$9)</f>
        <v>0.45833333333333337</v>
      </c>
      <c r="M22" s="18">
        <f t="shared" ref="M22" si="191">1-L22</f>
        <v>0.54166666666666663</v>
      </c>
      <c r="N22" s="17">
        <f t="shared" ref="N22" si="192">1/((1+($G22/N$9))^O$9)</f>
        <v>0.31158821952298016</v>
      </c>
      <c r="O22" s="18">
        <f t="shared" ref="O22" si="193">1-N22</f>
        <v>0.68841178047701979</v>
      </c>
      <c r="P22" s="17">
        <f t="shared" ref="P22" si="194">1/((1+($G22/P$9))^Q$9)</f>
        <v>0.33547025655985047</v>
      </c>
      <c r="Q22" s="18">
        <f t="shared" ref="Q22" si="195">1-P22</f>
        <v>0.66452974344014959</v>
      </c>
      <c r="R22" s="17">
        <f t="shared" ref="R22" si="196">1/((1+($G22/R$9))^S$9)</f>
        <v>0.32610045683638733</v>
      </c>
      <c r="S22" s="18">
        <f t="shared" ref="S22" si="197">1-R22</f>
        <v>0.67389954316361267</v>
      </c>
      <c r="T22" s="17">
        <f t="shared" ref="T22" si="198">1/((1+($G22/T$9))^U$9)</f>
        <v>0.25</v>
      </c>
      <c r="U22" s="18">
        <f t="shared" ref="U22" si="199">1-T22</f>
        <v>0.75</v>
      </c>
      <c r="V22" s="17">
        <f t="shared" ref="V22" si="200">1/((1+($G22/V$9))^W$9)</f>
        <v>0.32380557604578314</v>
      </c>
      <c r="W22" s="18">
        <f t="shared" ref="W22" si="201">1-V22</f>
        <v>0.67619442395421681</v>
      </c>
      <c r="X22" s="17">
        <f t="shared" ref="X22" si="202">1/((1+($G22/X$9))^Y$9)</f>
        <v>0.33865213130237448</v>
      </c>
      <c r="Y22" s="18">
        <f t="shared" ref="Y22" si="203">1-X22</f>
        <v>0.66134786869762552</v>
      </c>
      <c r="Z22" s="17">
        <f t="shared" ref="Z22" si="204">1/((1+($G22/Z$9))^AA$9)</f>
        <v>0.37633945076673425</v>
      </c>
      <c r="AA22" s="18">
        <f t="shared" ref="AA22:AC22" si="205">1-Z22</f>
        <v>0.62366054923326575</v>
      </c>
      <c r="AB22" s="17">
        <f t="shared" ref="AB22" si="206">1/((1+($G22/AB$9))^AC$9)</f>
        <v>0.38513555043632092</v>
      </c>
      <c r="AC22" s="18">
        <f t="shared" si="205"/>
        <v>0.61486444956367903</v>
      </c>
    </row>
    <row r="23" spans="1:29" x14ac:dyDescent="0.3">
      <c r="G23">
        <v>70</v>
      </c>
      <c r="H23" s="17">
        <f t="shared" si="0"/>
        <v>0.37337326006239085</v>
      </c>
      <c r="I23" s="18">
        <f t="shared" si="2"/>
        <v>0.62662673993760909</v>
      </c>
      <c r="J23" s="17">
        <f t="shared" si="1"/>
        <v>0.3471721361093083</v>
      </c>
      <c r="K23" s="18">
        <f t="shared" si="2"/>
        <v>0.6528278638906917</v>
      </c>
      <c r="L23" s="17">
        <f t="shared" ref="L23" si="207">1/((1+($G23/L$9))^M$9)</f>
        <v>0.44000000000000006</v>
      </c>
      <c r="M23" s="18">
        <f t="shared" ref="M23" si="208">1-L23</f>
        <v>0.55999999999999994</v>
      </c>
      <c r="N23" s="17">
        <f t="shared" ref="N23" si="209">1/((1+($G23/N$9))^O$9)</f>
        <v>0.29356499027173616</v>
      </c>
      <c r="O23" s="18">
        <f t="shared" ref="O23" si="210">1-N23</f>
        <v>0.7064350097282639</v>
      </c>
      <c r="P23" s="17">
        <f t="shared" ref="P23" si="211">1/((1+($G23/P$9))^Q$9)</f>
        <v>0.3168354348400404</v>
      </c>
      <c r="Q23" s="18">
        <f t="shared" ref="Q23" si="212">1-P23</f>
        <v>0.6831645651599596</v>
      </c>
      <c r="R23" s="17">
        <f t="shared" ref="R23" si="213">1/((1+($G23/R$9))^S$9)</f>
        <v>0.30769402394116557</v>
      </c>
      <c r="S23" s="18">
        <f t="shared" ref="S23" si="214">1-R23</f>
        <v>0.69230597605883437</v>
      </c>
      <c r="T23" s="17">
        <f t="shared" ref="T23" si="215">1/((1+($G23/T$9))^U$9)</f>
        <v>0.23182441700960224</v>
      </c>
      <c r="U23" s="18">
        <f t="shared" ref="U23" si="216">1-T23</f>
        <v>0.76817558299039779</v>
      </c>
      <c r="V23" s="17">
        <f t="shared" ref="V23" si="217">1/((1+($G23/V$9))^W$9)</f>
        <v>0.30501910040410279</v>
      </c>
      <c r="W23" s="18">
        <f t="shared" ref="W23" si="218">1-V23</f>
        <v>0.69498089959589726</v>
      </c>
      <c r="X23" s="17">
        <f t="shared" ref="X23" si="219">1/((1+($G23/X$9))^Y$9)</f>
        <v>0.32042425687318182</v>
      </c>
      <c r="Y23" s="18">
        <f t="shared" ref="Y23" si="220">1-X23</f>
        <v>0.67957574312681812</v>
      </c>
      <c r="Z23" s="17">
        <f t="shared" ref="Z23" si="221">1/((1+($G23/Z$9))^AA$9)</f>
        <v>0.35734147942352296</v>
      </c>
      <c r="AA23" s="18">
        <f t="shared" ref="AA23:AC23" si="222">1-Z23</f>
        <v>0.64265852057647699</v>
      </c>
      <c r="AB23" s="17">
        <f t="shared" ref="AB23" si="223">1/((1+($G23/AB$9))^AC$9)</f>
        <v>0.36599088337461549</v>
      </c>
      <c r="AC23" s="18">
        <f t="shared" si="222"/>
        <v>0.63400911662538451</v>
      </c>
    </row>
    <row r="24" spans="1:29" x14ac:dyDescent="0.3">
      <c r="G24">
        <v>75</v>
      </c>
      <c r="H24" s="17">
        <f t="shared" si="0"/>
        <v>0.35620761914920557</v>
      </c>
      <c r="I24" s="18">
        <f t="shared" si="2"/>
        <v>0.64379238085079438</v>
      </c>
      <c r="J24" s="17">
        <f t="shared" si="1"/>
        <v>0.3295638527234323</v>
      </c>
      <c r="K24" s="18">
        <f t="shared" si="2"/>
        <v>0.67043614727656764</v>
      </c>
      <c r="L24" s="17">
        <f t="shared" ref="L24" si="224">1/((1+($G24/L$9))^M$9)</f>
        <v>0.42307692307692313</v>
      </c>
      <c r="M24" s="18">
        <f t="shared" ref="M24" si="225">1-L24</f>
        <v>0.57692307692307687</v>
      </c>
      <c r="N24" s="17">
        <f t="shared" ref="N24" si="226">1/((1+($G24/N$9))^O$9)</f>
        <v>0.27725793726205861</v>
      </c>
      <c r="O24" s="18">
        <f t="shared" ref="O24" si="227">1-N24</f>
        <v>0.72274206273794139</v>
      </c>
      <c r="P24" s="17">
        <f t="shared" ref="P24" si="228">1/((1+($G24/P$9))^Q$9)</f>
        <v>0.29990732422168925</v>
      </c>
      <c r="Q24" s="18">
        <f t="shared" ref="Q24" si="229">1-P24</f>
        <v>0.7000926757783108</v>
      </c>
      <c r="R24" s="17">
        <f t="shared" ref="R24" si="230">1/((1+($G24/R$9))^S$9)</f>
        <v>0.29099951149759007</v>
      </c>
      <c r="S24" s="18">
        <f t="shared" ref="S24" si="231">1-R24</f>
        <v>0.70900048850240993</v>
      </c>
      <c r="T24" s="17">
        <f t="shared" ref="T24" si="232">1/((1+($G24/T$9))^U$9)</f>
        <v>0.21556122448979592</v>
      </c>
      <c r="U24" s="18">
        <f t="shared" ref="U24" si="233">1-T24</f>
        <v>0.78443877551020402</v>
      </c>
      <c r="V24" s="17">
        <f t="shared" ref="V24" si="234">1/((1+($G24/V$9))^W$9)</f>
        <v>0.28798145982875151</v>
      </c>
      <c r="W24" s="18">
        <f t="shared" ref="W24" si="235">1-V24</f>
        <v>0.71201854017124844</v>
      </c>
      <c r="X24" s="17">
        <f t="shared" ref="X24" si="236">1/((1+($G24/X$9))^Y$9)</f>
        <v>0.30386311717294956</v>
      </c>
      <c r="Y24" s="18">
        <f t="shared" ref="Y24" si="237">1-X24</f>
        <v>0.69613688282705044</v>
      </c>
      <c r="Z24" s="17">
        <f t="shared" ref="Z24" si="238">1/((1+($G24/Z$9))^AA$9)</f>
        <v>0.33997678164677675</v>
      </c>
      <c r="AA24" s="18">
        <f t="shared" ref="AA24:AC24" si="239">1-Z24</f>
        <v>0.66002321835322331</v>
      </c>
      <c r="AB24" s="17">
        <f t="shared" ref="AB24" si="240">1/((1+($G24/AB$9))^AC$9)</f>
        <v>0.34846785852582923</v>
      </c>
      <c r="AC24" s="18">
        <f t="shared" si="239"/>
        <v>0.65153214147417082</v>
      </c>
    </row>
    <row r="25" spans="1:29" x14ac:dyDescent="0.3">
      <c r="G25">
        <v>80</v>
      </c>
      <c r="H25" s="17">
        <f t="shared" si="0"/>
        <v>0.34043539337623585</v>
      </c>
      <c r="I25" s="18">
        <f t="shared" si="2"/>
        <v>0.65956460662376415</v>
      </c>
      <c r="J25" s="17">
        <f t="shared" si="1"/>
        <v>0.31343297375923979</v>
      </c>
      <c r="K25" s="18">
        <f t="shared" si="2"/>
        <v>0.68656702624076016</v>
      </c>
      <c r="L25" s="17">
        <f t="shared" ref="L25" si="241">1/((1+($G25/L$9))^M$9)</f>
        <v>0.40740740740740738</v>
      </c>
      <c r="M25" s="18">
        <f t="shared" ref="M25" si="242">1-L25</f>
        <v>0.59259259259259256</v>
      </c>
      <c r="N25" s="17">
        <f t="shared" ref="N25" si="243">1/((1+($G25/N$9))^O$9)</f>
        <v>0.26244440154072246</v>
      </c>
      <c r="O25" s="18">
        <f t="shared" ref="O25" si="244">1-N25</f>
        <v>0.73755559845927754</v>
      </c>
      <c r="P25" s="17">
        <f t="shared" ref="P25" si="245">1/((1+($G25/P$9))^Q$9)</f>
        <v>0.28447263097338871</v>
      </c>
      <c r="Q25" s="18">
        <f t="shared" ref="Q25" si="246">1-P25</f>
        <v>0.71552736902661129</v>
      </c>
      <c r="R25" s="17">
        <f t="shared" ref="R25" si="247">1/((1+($G25/R$9))^S$9)</f>
        <v>0.27579978296905278</v>
      </c>
      <c r="S25" s="18">
        <f t="shared" ref="S25" si="248">1-R25</f>
        <v>0.72420021703094717</v>
      </c>
      <c r="T25" s="17">
        <f t="shared" ref="T25" si="249">1/((1+($G25/T$9))^U$9)</f>
        <v>0.20095124851367421</v>
      </c>
      <c r="U25" s="18">
        <f t="shared" ref="U25" si="250">1-T25</f>
        <v>0.79904875148632581</v>
      </c>
      <c r="V25" s="17">
        <f t="shared" ref="V25" si="251">1/((1+($G25/V$9))^W$9)</f>
        <v>0.27247292927704525</v>
      </c>
      <c r="W25" s="18">
        <f t="shared" ref="W25" si="252">1-V25</f>
        <v>0.72752707072295475</v>
      </c>
      <c r="X25" s="17">
        <f t="shared" ref="X25" si="253">1/((1+($G25/X$9))^Y$9)</f>
        <v>0.2887584138963562</v>
      </c>
      <c r="Y25" s="18">
        <f t="shared" ref="Y25" si="254">1-X25</f>
        <v>0.71124158610364385</v>
      </c>
      <c r="Z25" s="17">
        <f t="shared" ref="Z25" si="255">1/((1+($G25/Z$9))^AA$9)</f>
        <v>0.32405115916599164</v>
      </c>
      <c r="AA25" s="18">
        <f t="shared" ref="AA25:AC25" si="256">1-Z25</f>
        <v>0.67594884083400841</v>
      </c>
      <c r="AB25" s="17">
        <f t="shared" ref="AB25" si="257">1/((1+($G25/AB$9))^AC$9)</f>
        <v>0.33237639960601556</v>
      </c>
      <c r="AC25" s="18">
        <f t="shared" si="256"/>
        <v>0.66762360039398438</v>
      </c>
    </row>
    <row r="26" spans="1:29" x14ac:dyDescent="0.3">
      <c r="G26">
        <v>85</v>
      </c>
      <c r="H26" s="17">
        <f t="shared" si="0"/>
        <v>0.32589791694720177</v>
      </c>
      <c r="I26" s="18">
        <f t="shared" si="2"/>
        <v>0.67410208305279817</v>
      </c>
      <c r="J26" s="17">
        <f t="shared" si="1"/>
        <v>0.2986098275206715</v>
      </c>
      <c r="K26" s="18">
        <f t="shared" si="2"/>
        <v>0.70139017247932856</v>
      </c>
      <c r="L26" s="17">
        <f t="shared" ref="L26" si="258">1/((1+($G26/L$9))^M$9)</f>
        <v>0.39285714285714285</v>
      </c>
      <c r="M26" s="18">
        <f t="shared" ref="M26" si="259">1-L26</f>
        <v>0.60714285714285721</v>
      </c>
      <c r="N26" s="17">
        <f t="shared" ref="N26" si="260">1/((1+($G26/N$9))^O$9)</f>
        <v>0.24893773296226335</v>
      </c>
      <c r="O26" s="18">
        <f t="shared" ref="O26" si="261">1-N26</f>
        <v>0.75106226703773671</v>
      </c>
      <c r="P26" s="17">
        <f t="shared" ref="P26" si="262">1/((1+($G26/P$9))^Q$9)</f>
        <v>0.27035133305224612</v>
      </c>
      <c r="Q26" s="18">
        <f t="shared" ref="Q26" si="263">1-P26</f>
        <v>0.72964866694775388</v>
      </c>
      <c r="R26" s="17">
        <f t="shared" ref="R26" si="264">1/((1+($G26/R$9))^S$9)</f>
        <v>0.26191206004493656</v>
      </c>
      <c r="S26" s="18">
        <f t="shared" ref="S26" si="265">1-R26</f>
        <v>0.7380879399550635</v>
      </c>
      <c r="T26" s="17">
        <f t="shared" ref="T26" si="266">1/((1+($G26/T$9))^U$9)</f>
        <v>0.18777777777777782</v>
      </c>
      <c r="U26" s="18">
        <f t="shared" ref="U26" si="267">1-T26</f>
        <v>0.81222222222222218</v>
      </c>
      <c r="V26" s="17">
        <f t="shared" ref="V26" si="268">1/((1+($G26/V$9))^W$9)</f>
        <v>0.25830804599211438</v>
      </c>
      <c r="W26" s="18">
        <f t="shared" ref="W26" si="269">1-V26</f>
        <v>0.74169195400788568</v>
      </c>
      <c r="X26" s="17">
        <f t="shared" ref="X26" si="270">1/((1+($G26/X$9))^Y$9)</f>
        <v>0.27493314913744465</v>
      </c>
      <c r="Y26" s="18">
        <f t="shared" ref="Y26" si="271">1-X26</f>
        <v>0.72506685086255529</v>
      </c>
      <c r="Z26" s="17">
        <f t="shared" ref="Z26" si="272">1/((1+($G26/Z$9))^AA$9)</f>
        <v>0.30939945397619983</v>
      </c>
      <c r="AA26" s="18">
        <f t="shared" ref="AA26:AC26" si="273">1-Z26</f>
        <v>0.69060054602380017</v>
      </c>
      <c r="AB26" s="17">
        <f t="shared" ref="AB26" si="274">1/((1+($G26/AB$9))^AC$9)</f>
        <v>0.31755446430016043</v>
      </c>
      <c r="AC26" s="18">
        <f t="shared" si="273"/>
        <v>0.68244553569983957</v>
      </c>
    </row>
    <row r="27" spans="1:29" x14ac:dyDescent="0.3">
      <c r="G27">
        <v>90</v>
      </c>
      <c r="H27" s="17">
        <f t="shared" si="0"/>
        <v>0.3124594217535151</v>
      </c>
      <c r="I27" s="18">
        <f t="shared" si="2"/>
        <v>0.68754057824648496</v>
      </c>
      <c r="J27" s="17">
        <f t="shared" si="1"/>
        <v>0.28494913448833431</v>
      </c>
      <c r="K27" s="18">
        <f t="shared" si="2"/>
        <v>0.71505086551166563</v>
      </c>
      <c r="L27" s="17">
        <f t="shared" ref="L27" si="275">1/((1+($G27/L$9))^M$9)</f>
        <v>0.37931034482758619</v>
      </c>
      <c r="M27" s="18">
        <f t="shared" ref="M27" si="276">1-L27</f>
        <v>0.62068965517241381</v>
      </c>
      <c r="N27" s="17">
        <f t="shared" ref="N27" si="277">1/((1+($G27/N$9))^O$9)</f>
        <v>0.23658039693684163</v>
      </c>
      <c r="O27" s="18">
        <f t="shared" ref="O27" si="278">1-N27</f>
        <v>0.76341960306315837</v>
      </c>
      <c r="P27" s="17">
        <f t="shared" ref="P27" si="279">1/((1+($G27/P$9))^Q$9)</f>
        <v>0.25739052882124447</v>
      </c>
      <c r="Q27" s="18">
        <f t="shared" ref="Q27" si="280">1-P27</f>
        <v>0.74260947117875553</v>
      </c>
      <c r="R27" s="17">
        <f t="shared" ref="R27" si="281">1/((1+($G27/R$9))^S$9)</f>
        <v>0.24918148230658815</v>
      </c>
      <c r="S27" s="18">
        <f t="shared" ref="S27" si="282">1-R27</f>
        <v>0.7508185176934119</v>
      </c>
      <c r="T27" s="17">
        <f t="shared" ref="T27" si="283">1/((1+($G27/T$9))^U$9)</f>
        <v>0.17585848074921956</v>
      </c>
      <c r="U27" s="18">
        <f t="shared" ref="U27" si="284">1-T27</f>
        <v>0.82414151925078039</v>
      </c>
      <c r="V27" s="17">
        <f t="shared" ref="V27" si="285">1/((1+($G27/V$9))^W$9)</f>
        <v>0.2453292986377747</v>
      </c>
      <c r="W27" s="18">
        <f t="shared" ref="W27" si="286">1-V27</f>
        <v>0.75467070136222536</v>
      </c>
      <c r="X27" s="17">
        <f t="shared" ref="X27" si="287">1/((1+($G27/X$9))^Y$9)</f>
        <v>0.26223735706710577</v>
      </c>
      <c r="Y27" s="18">
        <f t="shared" ref="Y27" si="288">1-X27</f>
        <v>0.73776264293289429</v>
      </c>
      <c r="Z27" s="17">
        <f t="shared" ref="Z27" si="289">1/((1+($G27/Z$9))^AA$9)</f>
        <v>0.2958803757913509</v>
      </c>
      <c r="AA27" s="18">
        <f t="shared" ref="AA27:AC27" si="290">1-Z27</f>
        <v>0.70411962420864915</v>
      </c>
      <c r="AB27" s="17">
        <f t="shared" ref="AB27" si="291">1/((1+($G27/AB$9))^AC$9)</f>
        <v>0.30386311717294956</v>
      </c>
      <c r="AC27" s="18">
        <f t="shared" si="290"/>
        <v>0.69613688282705044</v>
      </c>
    </row>
    <row r="28" spans="1:29" x14ac:dyDescent="0.3">
      <c r="G28">
        <v>95</v>
      </c>
      <c r="H28" s="17">
        <f t="shared" si="0"/>
        <v>0.30000308212265053</v>
      </c>
      <c r="I28" s="18">
        <f t="shared" si="2"/>
        <v>0.69999691787734952</v>
      </c>
      <c r="J28" s="17">
        <f t="shared" si="1"/>
        <v>0.27232584001202897</v>
      </c>
      <c r="K28" s="18">
        <f t="shared" si="2"/>
        <v>0.72767415998797103</v>
      </c>
      <c r="L28" s="17">
        <f t="shared" ref="L28" si="292">1/((1+($G28/L$9))^M$9)</f>
        <v>0.36666666666666664</v>
      </c>
      <c r="M28" s="18">
        <f t="shared" ref="M28" si="293">1-L28</f>
        <v>0.6333333333333333</v>
      </c>
      <c r="N28" s="17">
        <f t="shared" ref="N28" si="294">1/((1+($G28/N$9))^O$9)</f>
        <v>0.22523859153505918</v>
      </c>
      <c r="O28" s="18">
        <f t="shared" ref="O28" si="295">1-N28</f>
        <v>0.77476140846494079</v>
      </c>
      <c r="P28" s="17">
        <f t="shared" ref="P28" si="296">1/((1+($G28/P$9))^Q$9)</f>
        <v>0.24545958895388134</v>
      </c>
      <c r="Q28" s="18">
        <f t="shared" ref="Q28" si="297">1-P28</f>
        <v>0.75454041104611869</v>
      </c>
      <c r="R28" s="17">
        <f t="shared" ref="R28" si="298">1/((1+($G28/R$9))^S$9)</f>
        <v>0.23747604962023319</v>
      </c>
      <c r="S28" s="18">
        <f t="shared" ref="S28" si="299">1-R28</f>
        <v>0.76252395037976684</v>
      </c>
      <c r="T28" s="17">
        <f t="shared" ref="T28" si="300">1/((1+($G28/T$9))^U$9)</f>
        <v>0.16503906249999997</v>
      </c>
      <c r="U28" s="18">
        <f t="shared" ref="U28" si="301">1-T28</f>
        <v>0.8349609375</v>
      </c>
      <c r="V28" s="17">
        <f t="shared" ref="V28" si="302">1/((1+($G28/V$9))^W$9)</f>
        <v>0.23340214562353956</v>
      </c>
      <c r="W28" s="18">
        <f t="shared" ref="W28" si="303">1-V28</f>
        <v>0.76659785437646044</v>
      </c>
      <c r="X28" s="17">
        <f t="shared" ref="X28" si="304">1/((1+($G28/X$9))^Y$9)</f>
        <v>0.25054319001482894</v>
      </c>
      <c r="Y28" s="18">
        <f t="shared" ref="Y28" si="305">1-X28</f>
        <v>0.74945680998517106</v>
      </c>
      <c r="Z28" s="17">
        <f t="shared" ref="Z28" si="306">1/((1+($G28/Z$9))^AA$9)</f>
        <v>0.28337238901025752</v>
      </c>
      <c r="AA28" s="18">
        <f t="shared" ref="AA28:AC28" si="307">1-Z28</f>
        <v>0.71662761098974248</v>
      </c>
      <c r="AB28" s="17">
        <f t="shared" ref="AB28" si="308">1/((1+($G28/AB$9))^AC$9)</f>
        <v>0.29118259886026349</v>
      </c>
      <c r="AC28" s="18">
        <f t="shared" si="307"/>
        <v>0.70881740113973657</v>
      </c>
    </row>
    <row r="29" spans="1:29" x14ac:dyDescent="0.3">
      <c r="G29">
        <v>100</v>
      </c>
      <c r="H29" s="17">
        <f t="shared" si="0"/>
        <v>0.28842784796423204</v>
      </c>
      <c r="I29" s="18">
        <f t="shared" si="2"/>
        <v>0.71157215203576796</v>
      </c>
      <c r="J29" s="17">
        <f t="shared" si="1"/>
        <v>0.26063176491378359</v>
      </c>
      <c r="K29" s="18">
        <f t="shared" si="2"/>
        <v>0.73936823508621641</v>
      </c>
      <c r="L29" s="17">
        <f t="shared" ref="L29" si="309">1/((1+($G29/L$9))^M$9)</f>
        <v>0.35483870967741932</v>
      </c>
      <c r="M29" s="18">
        <f t="shared" ref="M29" si="310">1-L29</f>
        <v>0.64516129032258074</v>
      </c>
      <c r="N29" s="17">
        <f t="shared" ref="N29" si="311">1/((1+($G29/N$9))^O$9)</f>
        <v>0.21479800499241811</v>
      </c>
      <c r="O29" s="18">
        <f t="shared" ref="O29" si="312">1-N29</f>
        <v>0.78520199500758192</v>
      </c>
      <c r="P29" s="17">
        <f t="shared" ref="P29" si="313">1/((1+($G29/P$9))^Q$9)</f>
        <v>0.23444630253814755</v>
      </c>
      <c r="Q29" s="18">
        <f t="shared" ref="Q29" si="314">1-P29</f>
        <v>0.76555369746185242</v>
      </c>
      <c r="R29" s="17">
        <f t="shared" ref="R29" si="315">1/((1+($G29/R$9))^S$9)</f>
        <v>0.22668261515521121</v>
      </c>
      <c r="S29" s="18">
        <f t="shared" ref="S29" si="316">1-R29</f>
        <v>0.77331738484478874</v>
      </c>
      <c r="T29" s="17">
        <f t="shared" ref="T29" si="317">1/((1+($G29/T$9))^U$9)</f>
        <v>0.15518824609733703</v>
      </c>
      <c r="U29" s="18">
        <f t="shared" ref="U29" si="318">1-T29</f>
        <v>0.84481175390266294</v>
      </c>
      <c r="V29" s="17">
        <f t="shared" ref="V29" si="319">1/((1+($G29/V$9))^W$9)</f>
        <v>0.22241104974808865</v>
      </c>
      <c r="W29" s="18">
        <f t="shared" ref="W29" si="320">1-V29</f>
        <v>0.77758895025191133</v>
      </c>
      <c r="X29" s="17">
        <f t="shared" ref="X29" si="321">1/((1+($G29/X$9))^Y$9)</f>
        <v>0.23974103110828812</v>
      </c>
      <c r="Y29" s="18">
        <f t="shared" ref="Y29" si="322">1-X29</f>
        <v>0.76025896889171185</v>
      </c>
      <c r="Z29" s="17">
        <f t="shared" ref="Z29" si="323">1/((1+($G29/Z$9))^AA$9)</f>
        <v>0.27177041564756244</v>
      </c>
      <c r="AA29" s="18">
        <f t="shared" ref="AA29:AC29" si="324">1-Z29</f>
        <v>0.72822958435243756</v>
      </c>
      <c r="AB29" s="17">
        <f t="shared" ref="AB29" si="325">1/((1+($G29/AB$9))^AC$9)</f>
        <v>0.27940916537670862</v>
      </c>
      <c r="AC29" s="18">
        <f t="shared" si="324"/>
        <v>0.72059083462329143</v>
      </c>
    </row>
    <row r="30" spans="1:29" x14ac:dyDescent="0.3">
      <c r="G30">
        <v>105</v>
      </c>
      <c r="H30" s="17">
        <f t="shared" si="0"/>
        <v>0.27764588950349933</v>
      </c>
      <c r="I30" s="18">
        <f t="shared" si="2"/>
        <v>0.72235411049650067</v>
      </c>
      <c r="J30" s="17">
        <f t="shared" si="1"/>
        <v>0.24977289391675109</v>
      </c>
      <c r="K30" s="18">
        <f t="shared" si="2"/>
        <v>0.75022710608324894</v>
      </c>
      <c r="L30" s="17">
        <f t="shared" ref="L30" si="326">1/((1+($G30/L$9))^M$9)</f>
        <v>0.34375</v>
      </c>
      <c r="M30" s="18">
        <f t="shared" ref="M30" si="327">1-L30</f>
        <v>0.65625</v>
      </c>
      <c r="N30" s="17">
        <f t="shared" ref="N30" si="328">1/((1+($G30/N$9))^O$9)</f>
        <v>0.20516044322271187</v>
      </c>
      <c r="O30" s="18">
        <f t="shared" ref="O30" si="329">1-N30</f>
        <v>0.79483955677728813</v>
      </c>
      <c r="P30" s="17">
        <f t="shared" ref="P30" si="330">1/((1+($G30/P$9))^Q$9)</f>
        <v>0.22425378896927814</v>
      </c>
      <c r="Q30" s="18">
        <f t="shared" ref="Q30" si="331">1-P30</f>
        <v>0.77574621103072183</v>
      </c>
      <c r="R30" s="17">
        <f t="shared" ref="R30" si="332">1/((1+($G30/R$9))^S$9)</f>
        <v>0.21670368461935641</v>
      </c>
      <c r="S30" s="18">
        <f t="shared" ref="S30" si="333">1-R30</f>
        <v>0.78329631538064359</v>
      </c>
      <c r="T30" s="17">
        <f t="shared" ref="T30" si="334">1/((1+($G30/T$9))^U$9)</f>
        <v>0.14619377162629757</v>
      </c>
      <c r="U30" s="18">
        <f t="shared" ref="U30" si="335">1-T30</f>
        <v>0.85380622837370246</v>
      </c>
      <c r="V30" s="17">
        <f t="shared" ref="V30" si="336">1/((1+($G30/V$9))^W$9)</f>
        <v>0.21225629721134884</v>
      </c>
      <c r="W30" s="18">
        <f t="shared" ref="W30" si="337">1-V30</f>
        <v>0.78774370278865113</v>
      </c>
      <c r="X30" s="17">
        <f t="shared" ref="X30" si="338">1/((1+($G30/X$9))^Y$9)</f>
        <v>0.22973639295557477</v>
      </c>
      <c r="Y30" s="18">
        <f t="shared" ref="Y30" si="339">1-X30</f>
        <v>0.7702636070444252</v>
      </c>
      <c r="Z30" s="17">
        <f t="shared" ref="Z30" si="340">1/((1+($G30/Z$9))^AA$9)</f>
        <v>0.26098317239027197</v>
      </c>
      <c r="AA30" s="18">
        <f t="shared" ref="AA30:AC30" si="341">1-Z30</f>
        <v>0.73901682760972798</v>
      </c>
      <c r="AB30" s="17">
        <f t="shared" ref="AB30" si="342">1/((1+($G30/AB$9))^AC$9)</f>
        <v>0.26845252798717339</v>
      </c>
      <c r="AC30" s="18">
        <f t="shared" si="341"/>
        <v>0.73154747201282655</v>
      </c>
    </row>
    <row r="31" spans="1:29" x14ac:dyDescent="0.3">
      <c r="G31">
        <v>110</v>
      </c>
      <c r="H31" s="17">
        <f t="shared" si="0"/>
        <v>0.26758052058674353</v>
      </c>
      <c r="I31" s="18">
        <f t="shared" si="2"/>
        <v>0.73241947941325647</v>
      </c>
      <c r="J31" s="17">
        <f t="shared" si="1"/>
        <v>0.23966716552220657</v>
      </c>
      <c r="K31" s="18">
        <f t="shared" si="2"/>
        <v>0.76033283447779343</v>
      </c>
      <c r="L31" s="17">
        <f t="shared" ref="L31" si="343">1/((1+($G31/L$9))^M$9)</f>
        <v>0.33333333333333331</v>
      </c>
      <c r="M31" s="18">
        <f t="shared" ref="M31" si="344">1-L31</f>
        <v>0.66666666666666674</v>
      </c>
      <c r="N31" s="17">
        <f t="shared" ref="N31" si="345">1/((1+($G31/N$9))^O$9)</f>
        <v>0.19624112746168593</v>
      </c>
      <c r="O31" s="18">
        <f t="shared" ref="O31" si="346">1-N31</f>
        <v>0.80375887253831402</v>
      </c>
      <c r="P31" s="17">
        <f t="shared" ref="P31" si="347">1/((1+($G31/P$9))^Q$9)</f>
        <v>0.21479800499241811</v>
      </c>
      <c r="Q31" s="18">
        <f t="shared" ref="Q31" si="348">1-P31</f>
        <v>0.78520199500758192</v>
      </c>
      <c r="R31" s="17">
        <f t="shared" ref="R31" si="349">1/((1+($G31/R$9))^S$9)</f>
        <v>0.2074548398746581</v>
      </c>
      <c r="S31" s="18">
        <f t="shared" ref="S31" si="350">1-R31</f>
        <v>0.79254516012534193</v>
      </c>
      <c r="T31" s="17">
        <f t="shared" ref="T31" si="351">1/((1+($G31/T$9))^U$9)</f>
        <v>0.13795918367346938</v>
      </c>
      <c r="U31" s="18">
        <f t="shared" ref="U31" si="352">1-T31</f>
        <v>0.86204081632653062</v>
      </c>
      <c r="V31" s="17">
        <f t="shared" ref="V31" si="353">1/((1+($G31/V$9))^W$9)</f>
        <v>0.202851427266632</v>
      </c>
      <c r="W31" s="18">
        <f t="shared" ref="W31" si="354">1-V31</f>
        <v>0.79714857273336803</v>
      </c>
      <c r="X31" s="17">
        <f t="shared" ref="X31" si="355">1/((1+($G31/X$9))^Y$9)</f>
        <v>0.22044742393132247</v>
      </c>
      <c r="Y31" s="18">
        <f t="shared" ref="Y31" si="356">1-X31</f>
        <v>0.77955257606867756</v>
      </c>
      <c r="Z31" s="17">
        <f t="shared" ref="Z31" si="357">1/((1+($G31/Z$9))^AA$9)</f>
        <v>0.25093100464897572</v>
      </c>
      <c r="AA31" s="18">
        <f t="shared" ref="AA31:AC31" si="358">1-Z31</f>
        <v>0.74906899535102434</v>
      </c>
      <c r="AB31" s="17">
        <f t="shared" ref="AB31" si="359">1/((1+($G31/AB$9))^AC$9)</f>
        <v>0.258233765289831</v>
      </c>
      <c r="AC31" s="18">
        <f t="shared" si="358"/>
        <v>0.741766234710169</v>
      </c>
    </row>
    <row r="32" spans="1:29" x14ac:dyDescent="0.3">
      <c r="G32">
        <v>115</v>
      </c>
      <c r="H32" s="17">
        <f t="shared" si="0"/>
        <v>0.25816449952458731</v>
      </c>
      <c r="I32" s="18">
        <f t="shared" si="2"/>
        <v>0.74183550047541269</v>
      </c>
      <c r="J32" s="17">
        <f t="shared" si="1"/>
        <v>0.230242659126843</v>
      </c>
      <c r="K32" s="18">
        <f t="shared" si="2"/>
        <v>0.76975734087315706</v>
      </c>
      <c r="L32" s="17">
        <f t="shared" ref="L32" si="360">1/((1+($G32/L$9))^M$9)</f>
        <v>0.3235294117647059</v>
      </c>
      <c r="M32" s="18">
        <f t="shared" ref="M32" si="361">1-L32</f>
        <v>0.67647058823529416</v>
      </c>
      <c r="N32" s="17">
        <f t="shared" ref="N32" si="362">1/((1+($G32/N$9))^O$9)</f>
        <v>0.18796651271746254</v>
      </c>
      <c r="O32" s="18">
        <f t="shared" ref="O32" si="363">1-N32</f>
        <v>0.81203348728253744</v>
      </c>
      <c r="P32" s="17">
        <f t="shared" ref="P32" si="364">1/((1+($G32/P$9))^Q$9)</f>
        <v>0.20600571815477656</v>
      </c>
      <c r="Q32" s="18">
        <f t="shared" ref="Q32" si="365">1-P32</f>
        <v>0.79399428184522347</v>
      </c>
      <c r="R32" s="17">
        <f t="shared" ref="R32" si="366">1/((1+($G32/R$9))^S$9)</f>
        <v>0.19886265027233185</v>
      </c>
      <c r="S32" s="18">
        <f t="shared" ref="S32" si="367">1-R32</f>
        <v>0.80113734972766815</v>
      </c>
      <c r="T32" s="17">
        <f t="shared" ref="T32" si="368">1/((1+($G32/T$9))^U$9)</f>
        <v>0.13040123456790126</v>
      </c>
      <c r="U32" s="18">
        <f t="shared" ref="U32" si="369">1-T32</f>
        <v>0.86959876543209869</v>
      </c>
      <c r="V32" s="17">
        <f t="shared" ref="V32" si="370">1/((1+($G32/V$9))^W$9)</f>
        <v>0.1941211411412842</v>
      </c>
      <c r="W32" s="18">
        <f t="shared" ref="W32" si="371">1-V32</f>
        <v>0.8058788588587158</v>
      </c>
      <c r="X32" s="17">
        <f t="shared" ref="X32" si="372">1/((1+($G32/X$9))^Y$9)</f>
        <v>0.21180288829407454</v>
      </c>
      <c r="Y32" s="18">
        <f t="shared" ref="Y32" si="373">1-X32</f>
        <v>0.78819711170592544</v>
      </c>
      <c r="Z32" s="17">
        <f t="shared" ref="Z32" si="374">1/((1+($G32/Z$9))^AA$9)</f>
        <v>0.24154411321923275</v>
      </c>
      <c r="AA32" s="18">
        <f t="shared" ref="AA32:AC32" si="375">1-Z32</f>
        <v>0.75845588678076725</v>
      </c>
      <c r="AB32" s="17">
        <f t="shared" ref="AB32" si="376">1/((1+($G32/AB$9))^AC$9)</f>
        <v>0.2486836094595179</v>
      </c>
      <c r="AC32" s="18">
        <f t="shared" si="375"/>
        <v>0.75131639054048205</v>
      </c>
    </row>
    <row r="33" spans="7:29" x14ac:dyDescent="0.3">
      <c r="G33">
        <v>120</v>
      </c>
      <c r="H33" s="17">
        <f t="shared" si="0"/>
        <v>0.24933863003905787</v>
      </c>
      <c r="I33" s="18">
        <f t="shared" si="2"/>
        <v>0.75066136996094213</v>
      </c>
      <c r="J33" s="17">
        <f t="shared" si="1"/>
        <v>0.22143609908275844</v>
      </c>
      <c r="K33" s="18">
        <f t="shared" si="2"/>
        <v>0.77856390091724159</v>
      </c>
      <c r="L33" s="17">
        <f t="shared" ref="L33" si="377">1/((1+($G33/L$9))^M$9)</f>
        <v>0.31428571428571428</v>
      </c>
      <c r="M33" s="18">
        <f t="shared" ref="M33" si="378">1-L33</f>
        <v>0.68571428571428572</v>
      </c>
      <c r="N33" s="17">
        <f t="shared" ref="N33" si="379">1/((1+($G33/N$9))^O$9)</f>
        <v>0.18027251436891423</v>
      </c>
      <c r="O33" s="18">
        <f t="shared" ref="O33" si="380">1-N33</f>
        <v>0.81972748563108577</v>
      </c>
      <c r="P33" s="17">
        <f t="shared" ref="P33" si="381">1/((1+($G33/P$9))^Q$9)</f>
        <v>0.19781284864012691</v>
      </c>
      <c r="Q33" s="18">
        <f t="shared" ref="Q33" si="382">1-P33</f>
        <v>0.80218715135987306</v>
      </c>
      <c r="R33" s="17">
        <f t="shared" ref="R33" si="383">1/((1+($G33/R$9))^S$9)</f>
        <v>0.19086296802378358</v>
      </c>
      <c r="S33" s="18">
        <f t="shared" ref="S33" si="384">1-R33</f>
        <v>0.80913703197621645</v>
      </c>
      <c r="T33" s="17">
        <f t="shared" ref="T33" si="385">1/((1+($G33/T$9))^U$9)</f>
        <v>0.12344777209642073</v>
      </c>
      <c r="U33" s="18">
        <f t="shared" ref="U33" si="386">1-T33</f>
        <v>0.87655222790357923</v>
      </c>
      <c r="V33" s="17">
        <f t="shared" ref="V33" si="387">1/((1+($G33/V$9))^W$9)</f>
        <v>0.18599958999143315</v>
      </c>
      <c r="W33" s="18">
        <f t="shared" ref="W33" si="388">1-V33</f>
        <v>0.81400041000856682</v>
      </c>
      <c r="X33" s="17">
        <f t="shared" ref="X33" si="389">1/((1+($G33/X$9))^Y$9)</f>
        <v>0.20374051886765485</v>
      </c>
      <c r="Y33" s="18">
        <f t="shared" ref="Y33" si="390">1-X33</f>
        <v>0.79625948113234513</v>
      </c>
      <c r="Z33" s="17">
        <f t="shared" ref="Z33" si="391">1/((1+($G33/Z$9))^AA$9)</f>
        <v>0.23276109339832468</v>
      </c>
      <c r="AA33" s="18">
        <f t="shared" ref="AA33:AC33" si="392">1-Z33</f>
        <v>0.76723890660167537</v>
      </c>
      <c r="AB33" s="17">
        <f t="shared" ref="AB33" si="393">1/((1+($G33/AB$9))^AC$9)</f>
        <v>0.23974103110828812</v>
      </c>
      <c r="AC33" s="18">
        <f t="shared" si="392"/>
        <v>0.76025896889171185</v>
      </c>
    </row>
    <row r="34" spans="7:29" x14ac:dyDescent="0.3">
      <c r="G34">
        <v>125</v>
      </c>
      <c r="H34" s="17">
        <f t="shared" si="0"/>
        <v>0.24105060246695362</v>
      </c>
      <c r="I34" s="18">
        <f t="shared" si="2"/>
        <v>0.75894939753304635</v>
      </c>
      <c r="J34" s="17">
        <f t="shared" si="1"/>
        <v>0.21319161333686301</v>
      </c>
      <c r="K34" s="18">
        <f t="shared" si="2"/>
        <v>0.78680838666313702</v>
      </c>
      <c r="L34" s="17">
        <f t="shared" ref="L34" si="394">1/((1+($G34/L$9))^M$9)</f>
        <v>0.30555555555555552</v>
      </c>
      <c r="M34" s="18">
        <f t="shared" ref="M34" si="395">1-L34</f>
        <v>0.69444444444444442</v>
      </c>
      <c r="N34" s="17">
        <f t="shared" ref="N34" si="396">1/((1+($G34/N$9))^O$9)</f>
        <v>0.17310305712990368</v>
      </c>
      <c r="O34" s="18">
        <f t="shared" ref="O34" si="397">1-N34</f>
        <v>0.8268969428700963</v>
      </c>
      <c r="P34" s="17">
        <f t="shared" ref="P34" si="398">1/((1+($G34/P$9))^Q$9)</f>
        <v>0.19016310419895696</v>
      </c>
      <c r="Q34" s="18">
        <f t="shared" ref="Q34" si="399">1-P34</f>
        <v>0.80983689580104301</v>
      </c>
      <c r="R34" s="17">
        <f t="shared" ref="R34" si="400">1/((1+($G34/R$9))^S$9)</f>
        <v>0.18339952824515607</v>
      </c>
      <c r="S34" s="18">
        <f t="shared" ref="S34" si="401">1-R34</f>
        <v>0.81660047175484396</v>
      </c>
      <c r="T34" s="17">
        <f t="shared" ref="T34" si="402">1/((1+($G34/T$9))^U$9)</f>
        <v>0.11703601108033239</v>
      </c>
      <c r="U34" s="18">
        <f t="shared" ref="U34" si="403">1-T34</f>
        <v>0.88296398891966765</v>
      </c>
      <c r="V34" s="17">
        <f t="shared" ref="V34" si="404">1/((1+($G34/V$9))^W$9)</f>
        <v>0.17842896476932546</v>
      </c>
      <c r="W34" s="18">
        <f t="shared" ref="W34" si="405">1-V34</f>
        <v>0.82157103523067454</v>
      </c>
      <c r="X34" s="17">
        <f t="shared" ref="X34" si="406">1/((1+($G34/X$9))^Y$9)</f>
        <v>0.19620566492649374</v>
      </c>
      <c r="Y34" s="18">
        <f t="shared" ref="Y34" si="407">1-X34</f>
        <v>0.80379433507350628</v>
      </c>
      <c r="Z34" s="17">
        <f t="shared" ref="Z34" si="408">1/((1+($G34/Z$9))^AA$9)</f>
        <v>0.22452772450203518</v>
      </c>
      <c r="AA34" s="18">
        <f t="shared" ref="AA34:AC34" si="409">1-Z34</f>
        <v>0.77547227549796482</v>
      </c>
      <c r="AB34" s="17">
        <f t="shared" ref="AB34" si="410">1/((1+($G34/AB$9))^AC$9)</f>
        <v>0.23135206409448297</v>
      </c>
      <c r="AC34" s="18">
        <f t="shared" si="409"/>
        <v>0.76864793590551705</v>
      </c>
    </row>
    <row r="35" spans="7:29" x14ac:dyDescent="0.3">
      <c r="G35">
        <v>130</v>
      </c>
      <c r="H35" s="17">
        <f t="shared" si="0"/>
        <v>0.23325402859809025</v>
      </c>
      <c r="I35" s="18">
        <f t="shared" si="2"/>
        <v>0.76674597140190981</v>
      </c>
      <c r="J35" s="17">
        <f t="shared" si="1"/>
        <v>0.20545969785449653</v>
      </c>
      <c r="K35" s="18">
        <f t="shared" si="2"/>
        <v>0.79454030214550353</v>
      </c>
      <c r="L35" s="17">
        <f t="shared" ref="L35" si="411">1/((1+($G35/L$9))^M$9)</f>
        <v>0.29729729729729731</v>
      </c>
      <c r="M35" s="18">
        <f t="shared" ref="M35" si="412">1-L35</f>
        <v>0.70270270270270263</v>
      </c>
      <c r="N35" s="17">
        <f t="shared" ref="N35" si="413">1/((1+($G35/N$9))^O$9)</f>
        <v>0.16640888049713073</v>
      </c>
      <c r="O35" s="18">
        <f t="shared" ref="O35" si="414">1-N35</f>
        <v>0.83359111950286924</v>
      </c>
      <c r="P35" s="17">
        <f t="shared" ref="P35" si="415">1/((1+($G35/P$9))^Q$9)</f>
        <v>0.18300684988343929</v>
      </c>
      <c r="Q35" s="19">
        <f t="shared" ref="Q35" si="416">1-P35</f>
        <v>0.81699315011656071</v>
      </c>
      <c r="R35" s="17">
        <f t="shared" ref="R35" si="417">1/((1+($G35/R$9))^S$9)</f>
        <v>0.17642279242370446</v>
      </c>
      <c r="S35" s="18">
        <f t="shared" ref="S35" si="418">1-R35</f>
        <v>0.82357720757629549</v>
      </c>
      <c r="T35" s="17">
        <f t="shared" ref="T35" si="419">1/((1+($G35/T$9))^U$9)</f>
        <v>0.1111111111111111</v>
      </c>
      <c r="U35" s="18">
        <f t="shared" ref="U35" si="420">1-T35</f>
        <v>0.88888888888888884</v>
      </c>
      <c r="V35" s="17">
        <f t="shared" ref="V35" si="421">1/((1+($G35/V$9))^W$9)</f>
        <v>0.17135832819555988</v>
      </c>
      <c r="W35" s="18">
        <f t="shared" ref="W35" si="422">1-V35</f>
        <v>0.82864167180444015</v>
      </c>
      <c r="X35" s="17">
        <f t="shared" ref="X35" si="423">1/((1+($G35/X$9))^Y$9)</f>
        <v>0.18915017568305842</v>
      </c>
      <c r="Y35" s="18">
        <f t="shared" ref="Y35" si="424">1-X35</f>
        <v>0.81084982431694153</v>
      </c>
      <c r="Z35" s="17">
        <f t="shared" ref="Z35" si="425">1/((1+($G35/Z$9))^AA$9)</f>
        <v>0.21679596136755583</v>
      </c>
      <c r="AA35" s="18">
        <f t="shared" ref="AA35:AC35" si="426">1-Z35</f>
        <v>0.78320403863244414</v>
      </c>
      <c r="AB35" s="17">
        <f t="shared" ref="AB35" si="427">1/((1+($G35/AB$9))^AC$9)</f>
        <v>0.22346882437344412</v>
      </c>
      <c r="AC35" s="18">
        <f t="shared" si="426"/>
        <v>0.77653117562655583</v>
      </c>
    </row>
    <row r="36" spans="7:29" x14ac:dyDescent="0.3">
      <c r="G36">
        <v>135</v>
      </c>
      <c r="H36" s="17">
        <f t="shared" si="0"/>
        <v>0.22590763355982421</v>
      </c>
      <c r="I36" s="18">
        <f t="shared" si="2"/>
        <v>0.77409236644017576</v>
      </c>
      <c r="J36" s="17">
        <f t="shared" si="1"/>
        <v>0.19819634838022862</v>
      </c>
      <c r="K36" s="18">
        <f t="shared" si="2"/>
        <v>0.80180365161977141</v>
      </c>
      <c r="L36" s="17">
        <f t="shared" ref="L36" si="428">1/((1+($G36/L$9))^M$9)</f>
        <v>0.28947368421052633</v>
      </c>
      <c r="M36" s="18">
        <f t="shared" ref="M36" si="429">1-L36</f>
        <v>0.71052631578947367</v>
      </c>
      <c r="N36" s="17">
        <f t="shared" ref="N36" si="430">1/((1+($G36/N$9))^O$9)</f>
        <v>0.16014654967215569</v>
      </c>
      <c r="O36" s="18">
        <f t="shared" ref="O36" si="431">1-N36</f>
        <v>0.83985345032784431</v>
      </c>
      <c r="P36" s="17">
        <f t="shared" ref="P36" si="432">1/((1+($G36/P$9))^Q$9)</f>
        <v>0.176300167111163</v>
      </c>
      <c r="Q36" s="18">
        <f t="shared" ref="Q36" si="433">1-P36</f>
        <v>0.82369983288883697</v>
      </c>
      <c r="R36" s="17">
        <f t="shared" ref="R36" si="434">1/((1+($G36/R$9))^S$9)</f>
        <v>0.16988898766237465</v>
      </c>
      <c r="S36" s="18">
        <f t="shared" ref="S36" si="435">1-R36</f>
        <v>0.83011101233762541</v>
      </c>
      <c r="T36" s="17">
        <f t="shared" ref="T36" si="436">1/((1+($G36/T$9))^U$9)</f>
        <v>0.105625</v>
      </c>
      <c r="U36" s="18">
        <f t="shared" ref="U36" si="437">1-T36</f>
        <v>0.89437500000000003</v>
      </c>
      <c r="V36" s="17">
        <f t="shared" ref="V36" si="438">1/((1+($G36/V$9))^W$9)</f>
        <v>0.16474264210999509</v>
      </c>
      <c r="W36" s="18">
        <f t="shared" ref="W36" si="439">1-V36</f>
        <v>0.83525735789000488</v>
      </c>
      <c r="X36" s="17">
        <f t="shared" ref="X36" si="440">1/((1+($G36/X$9))^Y$9)</f>
        <v>0.18253147308915865</v>
      </c>
      <c r="Y36" s="18">
        <f t="shared" ref="Y36" si="441">1-X36</f>
        <v>0.81746852691084138</v>
      </c>
      <c r="Z36" s="17">
        <f t="shared" ref="Z36" si="442">1/((1+($G36/Z$9))^AA$9)</f>
        <v>0.20952308979676404</v>
      </c>
      <c r="AA36" s="18">
        <f t="shared" ref="AA36:AC36" si="443">1-Z36</f>
        <v>0.79047691020323596</v>
      </c>
      <c r="AB36" s="17">
        <f t="shared" ref="AB36" si="444">1/((1+($G36/AB$9))^AC$9)</f>
        <v>0.21604868671383132</v>
      </c>
      <c r="AC36" s="18">
        <f t="shared" si="443"/>
        <v>0.78395131328616863</v>
      </c>
    </row>
    <row r="37" spans="7:29" x14ac:dyDescent="0.3">
      <c r="G37">
        <v>140</v>
      </c>
      <c r="H37" s="17">
        <f t="shared" si="0"/>
        <v>0.21897457583170174</v>
      </c>
      <c r="I37" s="18">
        <f t="shared" si="2"/>
        <v>0.78102542416829823</v>
      </c>
      <c r="J37" s="17">
        <f t="shared" si="1"/>
        <v>0.19136232904167547</v>
      </c>
      <c r="K37" s="18">
        <f t="shared" si="2"/>
        <v>0.80863767095832451</v>
      </c>
      <c r="L37" s="17">
        <f t="shared" ref="L37" si="445">1/((1+($G37/L$9))^M$9)</f>
        <v>0.28205128205128205</v>
      </c>
      <c r="M37" s="18">
        <f t="shared" ref="M37" si="446">1-L37</f>
        <v>0.71794871794871795</v>
      </c>
      <c r="N37" s="17">
        <f t="shared" ref="N37" si="447">1/((1+($G37/N$9))^O$9)</f>
        <v>0.15427763216218374</v>
      </c>
      <c r="O37" s="18">
        <f t="shared" ref="O37" si="448">1-N37</f>
        <v>0.84572236783781629</v>
      </c>
      <c r="P37" s="17">
        <f t="shared" ref="P37" si="449">1/((1+($G37/P$9))^Q$9)</f>
        <v>0.17000406632420673</v>
      </c>
      <c r="Q37" s="18">
        <f t="shared" ref="Q37" si="450">1-P37</f>
        <v>0.82999593367579327</v>
      </c>
      <c r="R37" s="17">
        <f t="shared" ref="R37" si="451">1/((1+($G37/R$9))^S$9)</f>
        <v>0.16375930437114339</v>
      </c>
      <c r="S37" s="18">
        <f t="shared" ref="S37" si="452">1-R37</f>
        <v>0.83624069562885661</v>
      </c>
      <c r="T37" s="17">
        <f t="shared" ref="T37" si="453">1/((1+($G37/T$9))^U$9)</f>
        <v>0.10053539559785843</v>
      </c>
      <c r="U37" s="18">
        <f t="shared" ref="U37" si="454">1-T37</f>
        <v>0.8994646044021416</v>
      </c>
      <c r="V37" s="17">
        <f t="shared" ref="V37" si="455">1/((1+($G37/V$9))^W$9)</f>
        <v>0.15854195343901464</v>
      </c>
      <c r="W37" s="18">
        <f t="shared" ref="W37" si="456">1-V37</f>
        <v>0.84145804656098533</v>
      </c>
      <c r="X37" s="17">
        <f t="shared" ref="X37" si="457">1/((1+($G37/X$9))^Y$9)</f>
        <v>0.17631177773165996</v>
      </c>
      <c r="Y37" s="18">
        <f t="shared" ref="Y37" si="458">1-X37</f>
        <v>0.82368822226834004</v>
      </c>
      <c r="Z37" s="17">
        <f t="shared" ref="Z37" si="459">1/((1+($G37/Z$9))^AA$9)</f>
        <v>0.20267101583694855</v>
      </c>
      <c r="AA37" s="18">
        <f t="shared" ref="AA37:AC37" si="460">1-Z37</f>
        <v>0.79732898416305142</v>
      </c>
      <c r="AB37" s="17">
        <f t="shared" ref="AB37" si="461">1/((1+($G37/AB$9))^AC$9)</f>
        <v>0.20905359058078465</v>
      </c>
      <c r="AC37" s="18">
        <f t="shared" si="460"/>
        <v>0.79094640941921535</v>
      </c>
    </row>
    <row r="38" spans="7:29" x14ac:dyDescent="0.3">
      <c r="G38">
        <v>145</v>
      </c>
      <c r="H38" s="17">
        <f t="shared" si="0"/>
        <v>0.21242187238647997</v>
      </c>
      <c r="I38" s="18">
        <f t="shared" si="2"/>
        <v>0.78757812761352008</v>
      </c>
      <c r="J38" s="17">
        <f t="shared" si="1"/>
        <v>0.18492255345840011</v>
      </c>
      <c r="K38" s="18">
        <f t="shared" si="2"/>
        <v>0.81507744654159986</v>
      </c>
      <c r="L38" s="17">
        <f t="shared" ref="L38" si="462">1/((1+($G38/L$9))^M$9)</f>
        <v>0.27500000000000002</v>
      </c>
      <c r="M38" s="18">
        <f t="shared" ref="M38" si="463">1-L38</f>
        <v>0.72499999999999998</v>
      </c>
      <c r="N38" s="17">
        <f t="shared" ref="N38" si="464">1/((1+($G38/N$9))^O$9)</f>
        <v>0.14876800878982691</v>
      </c>
      <c r="O38" s="18">
        <f t="shared" ref="O38" si="465">1-N38</f>
        <v>0.85123199121017312</v>
      </c>
      <c r="P38" s="17">
        <f t="shared" ref="P38" si="466">1/((1+($G38/P$9))^Q$9)</f>
        <v>0.16408382497519269</v>
      </c>
      <c r="Q38" s="18">
        <f t="shared" ref="Q38" si="467">1-P38</f>
        <v>0.83591617502480731</v>
      </c>
      <c r="R38" s="17">
        <f t="shared" ref="R38" si="468">1/((1+($G38/R$9))^S$9)</f>
        <v>0.15799922295092586</v>
      </c>
      <c r="S38" s="18">
        <f t="shared" ref="S38" si="469">1-R38</f>
        <v>0.84200077704907417</v>
      </c>
      <c r="T38" s="17">
        <f t="shared" ref="T38" si="470">1/((1+($G38/T$9))^U$9)</f>
        <v>9.580498866213151E-2</v>
      </c>
      <c r="U38" s="18">
        <f t="shared" ref="U38" si="471">1-T38</f>
        <v>0.9041950113378685</v>
      </c>
      <c r="V38" s="17">
        <f t="shared" ref="V38" si="472">1/((1+($G38/V$9))^W$9)</f>
        <v>0.15272070966424248</v>
      </c>
      <c r="W38" s="18">
        <f t="shared" ref="W38" si="473">1-V38</f>
        <v>0.84727929033575755</v>
      </c>
      <c r="X38" s="17">
        <f t="shared" ref="X38" si="474">1/((1+($G38/X$9))^Y$9)</f>
        <v>0.17045745928053818</v>
      </c>
      <c r="Y38" s="18">
        <f t="shared" ref="Y38" si="475">1-X38</f>
        <v>0.82954254071946187</v>
      </c>
      <c r="Z38" s="17">
        <f t="shared" ref="Z38" si="476">1/((1+($G38/Z$9))^AA$9)</f>
        <v>0.19620566492649374</v>
      </c>
      <c r="AA38" s="18">
        <f t="shared" ref="AA38:AC38" si="477">1-Z38</f>
        <v>0.80379433507350628</v>
      </c>
      <c r="AB38" s="17">
        <f t="shared" ref="AB38" si="478">1/((1+($G38/AB$9))^AC$9)</f>
        <v>0.2024494522748507</v>
      </c>
      <c r="AC38" s="18">
        <f t="shared" si="477"/>
        <v>0.79755054772514933</v>
      </c>
    </row>
    <row r="39" spans="7:29" x14ac:dyDescent="0.3">
      <c r="G39">
        <v>150</v>
      </c>
      <c r="H39" s="17">
        <f t="shared" si="0"/>
        <v>0.20621991054285882</v>
      </c>
      <c r="I39" s="18">
        <f t="shared" si="2"/>
        <v>0.79378008945714118</v>
      </c>
      <c r="J39" s="17">
        <f t="shared" si="1"/>
        <v>0.17884555881606889</v>
      </c>
      <c r="K39" s="18">
        <f t="shared" si="2"/>
        <v>0.82115444118393111</v>
      </c>
      <c r="L39" s="17">
        <f t="shared" ref="L39" si="479">1/((1+($G39/L$9))^M$9)</f>
        <v>0.26829268292682928</v>
      </c>
      <c r="M39" s="19">
        <f t="shared" ref="M39" si="480">1-L39</f>
        <v>0.73170731707317072</v>
      </c>
      <c r="N39" s="17">
        <f t="shared" ref="N39" si="481">1/((1+($G39/N$9))^O$9)</f>
        <v>0.14358729437462939</v>
      </c>
      <c r="O39" s="18">
        <f t="shared" ref="O39" si="482">1-N39</f>
        <v>0.85641270562537064</v>
      </c>
      <c r="P39" s="17">
        <f t="shared" ref="P39" si="483">1/((1+($G39/P$9))^Q$9)</f>
        <v>0.15850842833422657</v>
      </c>
      <c r="Q39" s="18">
        <f t="shared" ref="Q39" si="484">1-P39</f>
        <v>0.84149157166577337</v>
      </c>
      <c r="R39" s="17">
        <f t="shared" ref="R39" si="485">1/((1+($G39/R$9))^S$9)</f>
        <v>0.15257794607867975</v>
      </c>
      <c r="S39" s="18">
        <f t="shared" ref="S39" si="486">1-R39</f>
        <v>0.8474220539213202</v>
      </c>
      <c r="T39" s="17">
        <f t="shared" ref="T39" si="487">1/((1+($G39/T$9))^U$9)</f>
        <v>9.1400757166035698E-2</v>
      </c>
      <c r="U39" s="18">
        <f t="shared" ref="U39" si="488">1-T39</f>
        <v>0.90859924283396432</v>
      </c>
      <c r="V39" s="17">
        <f t="shared" ref="V39" si="489">1/((1+($G39/V$9))^W$9)</f>
        <v>0.14724718058973132</v>
      </c>
      <c r="W39" s="18">
        <f t="shared" ref="W39" si="490">1-V39</f>
        <v>0.8527528194102687</v>
      </c>
      <c r="X39" s="17">
        <f t="shared" ref="X39" si="491">1/((1+($G39/X$9))^Y$9)</f>
        <v>0.1649384888466118</v>
      </c>
      <c r="Y39" s="19">
        <f t="shared" ref="Y39" si="492">1-X39</f>
        <v>0.83506151115338823</v>
      </c>
      <c r="Z39" s="17">
        <f t="shared" ref="Z39" si="493">1/((1+($G39/Z$9))^AA$9)</f>
        <v>0.19009647169811533</v>
      </c>
      <c r="AA39" s="18">
        <f t="shared" ref="AA39:AC39" si="494">1-Z39</f>
        <v>0.80990352830188472</v>
      </c>
      <c r="AB39" s="17">
        <f t="shared" ref="AB39" si="495">1/((1+($G39/AB$9))^AC$9)</f>
        <v>0.19620566492649374</v>
      </c>
      <c r="AC39" s="18">
        <f t="shared" si="494"/>
        <v>0.80379433507350628</v>
      </c>
    </row>
    <row r="40" spans="7:29" x14ac:dyDescent="0.3">
      <c r="G40">
        <v>155</v>
      </c>
      <c r="H40" s="17">
        <f t="shared" si="0"/>
        <v>0.20034203170161988</v>
      </c>
      <c r="I40" s="18">
        <f t="shared" si="2"/>
        <v>0.7996579682983801</v>
      </c>
      <c r="J40" s="17">
        <f t="shared" si="1"/>
        <v>0.17310305712990368</v>
      </c>
      <c r="K40" s="18">
        <f t="shared" si="2"/>
        <v>0.8268969428700963</v>
      </c>
      <c r="L40" s="17">
        <f t="shared" ref="L40" si="496">1/((1+($G40/L$9))^M$9)</f>
        <v>0.26190476190476192</v>
      </c>
      <c r="M40" s="18">
        <f t="shared" ref="M40" si="497">1-L40</f>
        <v>0.73809523809523814</v>
      </c>
      <c r="N40" s="17">
        <f t="shared" ref="N40" si="498">1/((1+($G40/N$9))^O$9)</f>
        <v>0.13870834839160667</v>
      </c>
      <c r="O40" s="18">
        <f t="shared" ref="O40" si="499">1-N40</f>
        <v>0.86129165160839327</v>
      </c>
      <c r="P40" s="17">
        <f t="shared" ref="P40" si="500">1/((1+($G40/P$9))^Q$9)</f>
        <v>0.15325009508963458</v>
      </c>
      <c r="Q40" s="18">
        <f t="shared" ref="Q40" si="501">1-P40</f>
        <v>0.84674990491036539</v>
      </c>
      <c r="R40" s="17">
        <f t="shared" ref="R40" si="502">1/((1+($G40/R$9))^S$9)</f>
        <v>0.1474679179020511</v>
      </c>
      <c r="S40" s="18">
        <f t="shared" ref="S40" si="503">1-R40</f>
        <v>0.85253208209794895</v>
      </c>
      <c r="T40" s="17">
        <f t="shared" ref="T40" si="504">1/((1+($G40/T$9))^U$9)</f>
        <v>8.7293388429752067E-2</v>
      </c>
      <c r="U40" s="18">
        <f t="shared" ref="U40" si="505">1-T40</f>
        <v>0.91270661157024791</v>
      </c>
      <c r="V40" s="17">
        <f t="shared" ref="V40" si="506">1/((1+($G40/V$9))^W$9)</f>
        <v>0.14209296780623196</v>
      </c>
      <c r="W40" s="18">
        <f t="shared" ref="W40" si="507">1-V40</f>
        <v>0.85790703219376807</v>
      </c>
      <c r="X40" s="17">
        <f t="shared" ref="X40" si="508">1/((1+($G40/X$9))^Y$9)</f>
        <v>0.15972797517263665</v>
      </c>
      <c r="Y40" s="18">
        <f t="shared" ref="Y40" si="509">1-X40</f>
        <v>0.84027202482736341</v>
      </c>
      <c r="Z40" s="17">
        <f t="shared" ref="Z40" si="510">1/((1+($G40/Z$9))^AA$9)</f>
        <v>0.18431594496086753</v>
      </c>
      <c r="AA40" s="18">
        <f t="shared" ref="AA40:AC40" si="511">1-Z40</f>
        <v>0.81568405503913244</v>
      </c>
      <c r="AB40" s="17">
        <f t="shared" ref="AB40" si="512">1/((1+($G40/AB$9))^AC$9)</f>
        <v>0.19029467148483548</v>
      </c>
      <c r="AC40" s="18">
        <f t="shared" si="511"/>
        <v>0.80970532851516452</v>
      </c>
    </row>
    <row r="41" spans="7:29" x14ac:dyDescent="0.3">
      <c r="G41">
        <v>160</v>
      </c>
      <c r="H41" s="17">
        <f t="shared" si="0"/>
        <v>0.19476417495777529</v>
      </c>
      <c r="I41" s="19">
        <f t="shared" si="2"/>
        <v>0.80523582504222468</v>
      </c>
      <c r="J41" s="17">
        <f t="shared" si="1"/>
        <v>0.16766955089220703</v>
      </c>
      <c r="K41" s="18">
        <f t="shared" si="2"/>
        <v>0.83233044910779297</v>
      </c>
      <c r="L41" s="17">
        <f t="shared" ref="L41" si="513">1/((1+($G41/L$9))^M$9)</f>
        <v>0.2558139534883721</v>
      </c>
      <c r="M41" s="18">
        <f t="shared" ref="M41" si="514">1-L41</f>
        <v>0.7441860465116279</v>
      </c>
      <c r="N41" s="17">
        <f t="shared" ref="N41" si="515">1/((1+($G41/N$9))^O$9)</f>
        <v>0.13410685983156556</v>
      </c>
      <c r="O41" s="18">
        <f t="shared" ref="O41" si="516">1-N41</f>
        <v>0.86589314016843444</v>
      </c>
      <c r="P41" s="17">
        <f t="shared" ref="P41" si="517">1/((1+($G41/P$9))^Q$9)</f>
        <v>0.14828387322002415</v>
      </c>
      <c r="Q41" s="18">
        <f t="shared" ref="Q41" si="518">1-P41</f>
        <v>0.85171612677997588</v>
      </c>
      <c r="R41" s="17">
        <f t="shared" ref="R41" si="519">1/((1+($G41/R$9))^S$9)</f>
        <v>0.14264441511966736</v>
      </c>
      <c r="S41" s="18">
        <f t="shared" ref="S41" si="520">1-R41</f>
        <v>0.8573555848803327</v>
      </c>
      <c r="T41" s="17">
        <f t="shared" ref="T41" si="521">1/((1+($G41/T$9))^U$9)</f>
        <v>8.3456790123456789E-2</v>
      </c>
      <c r="U41" s="18">
        <f t="shared" ref="U41" si="522">1-T41</f>
        <v>0.91654320987654325</v>
      </c>
      <c r="V41" s="17">
        <f t="shared" ref="V41" si="523">1/((1+($G41/V$9))^W$9)</f>
        <v>0.13723258685607181</v>
      </c>
      <c r="W41" s="18">
        <f t="shared" ref="W41" si="524">1-V41</f>
        <v>0.86276741314392824</v>
      </c>
      <c r="X41" s="17">
        <f t="shared" ref="X41" si="525">1/((1+($G41/X$9))^Y$9)</f>
        <v>0.15480177014044119</v>
      </c>
      <c r="Y41" s="18">
        <f t="shared" ref="Y41" si="526">1-X41</f>
        <v>0.84519822985955884</v>
      </c>
      <c r="Z41" s="17">
        <f t="shared" ref="Z41" si="527">1/((1+($G41/Z$9))^AA$9)</f>
        <v>0.17883929531829484</v>
      </c>
      <c r="AA41" s="18">
        <f t="shared" ref="AA41:AC41" si="528">1-Z41</f>
        <v>0.8211607046817051</v>
      </c>
      <c r="AB41" s="17">
        <f t="shared" ref="AB41" si="529">1/((1+($G41/AB$9))^AC$9)</f>
        <v>0.1846915986327648</v>
      </c>
      <c r="AC41" s="18">
        <f t="shared" si="528"/>
        <v>0.81530840136723515</v>
      </c>
    </row>
    <row r="42" spans="7:29" x14ac:dyDescent="0.3">
      <c r="G42">
        <v>165</v>
      </c>
      <c r="H42" s="17">
        <f t="shared" si="0"/>
        <v>0.18946457081379978</v>
      </c>
      <c r="I42" s="18">
        <f t="shared" si="2"/>
        <v>0.81053542918620025</v>
      </c>
      <c r="J42" s="17">
        <f t="shared" si="1"/>
        <v>0.1625220026572014</v>
      </c>
      <c r="K42" s="18">
        <f t="shared" si="2"/>
        <v>0.8374779973427986</v>
      </c>
      <c r="L42" s="17">
        <f t="shared" ref="L42" si="530">1/((1+($G42/L$9))^M$9)</f>
        <v>0.25</v>
      </c>
      <c r="M42" s="18">
        <f t="shared" ref="M42" si="531">1-L42</f>
        <v>0.75</v>
      </c>
      <c r="N42" s="17">
        <f t="shared" ref="N42" si="532">1/((1+($G42/N$9))^O$9)</f>
        <v>0.12976099355480561</v>
      </c>
      <c r="O42" s="18">
        <f t="shared" ref="O42" si="533">1-N42</f>
        <v>0.87023900644519436</v>
      </c>
      <c r="P42" s="17">
        <f t="shared" ref="P42" si="534">1/((1+($G42/P$9))^Q$9)</f>
        <v>0.14358729437462939</v>
      </c>
      <c r="Q42" s="18">
        <f t="shared" ref="Q42" si="535">1-P42</f>
        <v>0.85641270562537064</v>
      </c>
      <c r="R42" s="17">
        <f t="shared" ref="R42" si="536">1/((1+($G42/R$9))^S$9)</f>
        <v>0.13808519780395298</v>
      </c>
      <c r="S42" s="18">
        <f t="shared" ref="S42" si="537">1-R42</f>
        <v>0.86191480219604699</v>
      </c>
      <c r="T42" s="17">
        <f t="shared" ref="T42" si="538">1/((1+($G42/T$9))^U$9)</f>
        <v>7.9867674858223062E-2</v>
      </c>
      <c r="U42" s="18">
        <f t="shared" ref="U42" si="539">1-T42</f>
        <v>0.9201323251417769</v>
      </c>
      <c r="V42" s="17">
        <f t="shared" ref="V42" si="540">1/((1+($G42/V$9))^W$9)</f>
        <v>0.13264310994368941</v>
      </c>
      <c r="W42" s="18">
        <f t="shared" ref="W42" si="541">1-V42</f>
        <v>0.86735689005631056</v>
      </c>
      <c r="X42" s="17">
        <f t="shared" ref="X42" si="542">1/((1+($G42/X$9))^Y$9)</f>
        <v>0.15013813186883454</v>
      </c>
      <c r="Y42" s="18">
        <f t="shared" ref="Y42" si="543">1-X42</f>
        <v>0.84986186813116549</v>
      </c>
      <c r="Z42" s="17">
        <f t="shared" ref="Z42" si="544">1/((1+($G42/Z$9))^AA$9)</f>
        <v>0.17364411520614376</v>
      </c>
      <c r="AA42" s="18">
        <f t="shared" ref="AA42:AC42" si="545">1-Z42</f>
        <v>0.82635588479385624</v>
      </c>
      <c r="AB42" s="17">
        <f t="shared" ref="AB42" si="546">1/((1+($G42/AB$9))^AC$9)</f>
        <v>0.17937394177873695</v>
      </c>
      <c r="AC42" s="19">
        <f t="shared" si="545"/>
        <v>0.820626058221263</v>
      </c>
    </row>
    <row r="43" spans="7:29" x14ac:dyDescent="0.3">
      <c r="G43">
        <v>170</v>
      </c>
      <c r="H43" s="17">
        <f t="shared" si="0"/>
        <v>0.18442347699613243</v>
      </c>
      <c r="I43" s="18">
        <f t="shared" si="2"/>
        <v>0.81557652300386763</v>
      </c>
      <c r="J43" s="17">
        <f t="shared" si="1"/>
        <v>0.15763954999923274</v>
      </c>
      <c r="K43" s="18">
        <f t="shared" si="2"/>
        <v>0.84236045000076731</v>
      </c>
      <c r="L43" s="17">
        <f t="shared" ref="L43" si="547">1/((1+($G43/L$9))^M$9)</f>
        <v>0.24444444444444444</v>
      </c>
      <c r="M43" s="18">
        <f t="shared" ref="M43" si="548">1-L43</f>
        <v>0.75555555555555554</v>
      </c>
      <c r="N43" s="17">
        <f t="shared" ref="N43" si="549">1/((1+($G43/N$9))^O$9)</f>
        <v>0.12565108784454251</v>
      </c>
      <c r="O43" s="18">
        <f t="shared" ref="O43" si="550">1-N43</f>
        <v>0.87434891215545751</v>
      </c>
      <c r="P43" s="17">
        <f t="shared" ref="P43" si="551">1/((1+($G43/P$9))^Q$9)</f>
        <v>0.13914007718458493</v>
      </c>
      <c r="Q43" s="18">
        <f t="shared" ref="Q43" si="552">1-P43</f>
        <v>0.86085992281541501</v>
      </c>
      <c r="R43" s="17">
        <f t="shared" ref="R43" si="553">1/((1+($G43/R$9))^S$9)</f>
        <v>0.13377021009978804</v>
      </c>
      <c r="S43" s="19">
        <f t="shared" ref="S43" si="554">1-R43</f>
        <v>0.86622978990021193</v>
      </c>
      <c r="T43" s="17">
        <f t="shared" ref="T43" si="555">1/((1+($G43/T$9))^U$9)</f>
        <v>7.6505205975554547E-2</v>
      </c>
      <c r="U43" s="18">
        <f t="shared" ref="U43" si="556">1-T43</f>
        <v>0.92349479402444545</v>
      </c>
      <c r="V43" s="17">
        <f t="shared" ref="V43" si="557">1/((1+($G43/V$9))^W$9)</f>
        <v>0.12830385928977731</v>
      </c>
      <c r="W43" s="18">
        <f t="shared" ref="W43" si="558">1-V43</f>
        <v>0.87169614071022272</v>
      </c>
      <c r="X43" s="17">
        <f t="shared" ref="X43" si="559">1/((1+($G43/X$9))^Y$9)</f>
        <v>0.14571743588102323</v>
      </c>
      <c r="Y43" s="18">
        <f t="shared" ref="Y43" si="560">1-X43</f>
        <v>0.85428256411897674</v>
      </c>
      <c r="Z43" s="17">
        <f t="shared" ref="Z43" si="561">1/((1+($G43/Z$9))^AA$9)</f>
        <v>0.16871010298632216</v>
      </c>
      <c r="AA43" s="18">
        <f t="shared" ref="AA43:AC43" si="562">1-Z43</f>
        <v>0.83128989701367784</v>
      </c>
      <c r="AB43" s="17">
        <f t="shared" ref="AB43" si="563">1/((1+($G43/AB$9))^AC$9)</f>
        <v>0.17432129304681546</v>
      </c>
      <c r="AC43" s="18">
        <f t="shared" si="562"/>
        <v>0.82567870695318457</v>
      </c>
    </row>
    <row r="44" spans="7:29" x14ac:dyDescent="0.3">
      <c r="G44">
        <v>175</v>
      </c>
      <c r="H44" s="17">
        <f t="shared" si="0"/>
        <v>0.17962294979962679</v>
      </c>
      <c r="I44" s="18">
        <f t="shared" si="2"/>
        <v>0.82037705020037321</v>
      </c>
      <c r="J44" s="17">
        <f t="shared" si="1"/>
        <v>0.15300325879144236</v>
      </c>
      <c r="K44" s="18">
        <f t="shared" si="2"/>
        <v>0.84699674120855761</v>
      </c>
      <c r="L44" s="17">
        <f t="shared" ref="L44" si="564">1/((1+($G44/L$9))^M$9)</f>
        <v>0.2391304347826087</v>
      </c>
      <c r="M44" s="18">
        <f t="shared" ref="M44" si="565">1-L44</f>
        <v>0.76086956521739135</v>
      </c>
      <c r="N44" s="17">
        <f t="shared" ref="N44" si="566">1/((1+($G44/N$9))^O$9)</f>
        <v>0.12175939477905377</v>
      </c>
      <c r="O44" s="19">
        <f t="shared" ref="O44" si="567">1-N44</f>
        <v>0.87824060522094627</v>
      </c>
      <c r="P44" s="17">
        <f t="shared" ref="P44" si="568">1/((1+($G44/P$9))^Q$9)</f>
        <v>0.13492387166882591</v>
      </c>
      <c r="Q44" s="18">
        <f t="shared" ref="Q44" si="569">1-P44</f>
        <v>0.86507612833117409</v>
      </c>
      <c r="R44" s="17">
        <f t="shared" ref="R44" si="570">1/((1+($G44/R$9))^S$9)</f>
        <v>0.12968132274163982</v>
      </c>
      <c r="S44" s="18">
        <f t="shared" ref="S44" si="571">1-R44</f>
        <v>0.87031867725836021</v>
      </c>
      <c r="T44" s="17">
        <f t="shared" ref="T44" si="572">1/((1+($G44/T$9))^U$9)</f>
        <v>7.3350694444444434E-2</v>
      </c>
      <c r="U44" s="18">
        <f t="shared" ref="U44" si="573">1-T44</f>
        <v>0.92664930555555558</v>
      </c>
      <c r="V44" s="17">
        <f t="shared" ref="V44" si="574">1/((1+($G44/V$9))^W$9)</f>
        <v>0.12419614302315611</v>
      </c>
      <c r="W44" s="18">
        <f t="shared" ref="W44" si="575">1-V44</f>
        <v>0.87580385697684393</v>
      </c>
      <c r="X44" s="17">
        <f t="shared" ref="X44" si="576">1/((1+($G44/X$9))^Y$9)</f>
        <v>0.14152192657036519</v>
      </c>
      <c r="Y44" s="18">
        <f t="shared" ref="Y44" si="577">1-X44</f>
        <v>0.85847807342963478</v>
      </c>
      <c r="Z44" s="17">
        <f t="shared" ref="Z44" si="578">1/((1+($G44/Z$9))^AA$9)</f>
        <v>0.16401882421844752</v>
      </c>
      <c r="AA44" s="18">
        <f t="shared" ref="AA44:AC44" si="579">1-Z44</f>
        <v>0.83598117578155251</v>
      </c>
      <c r="AB44" s="17">
        <f t="shared" ref="AB44" si="580">1/((1+($G44/AB$9))^AC$9)</f>
        <v>0.1695151056084267</v>
      </c>
      <c r="AC44" s="18">
        <f t="shared" si="579"/>
        <v>0.83048489439157325</v>
      </c>
    </row>
    <row r="45" spans="7:29" x14ac:dyDescent="0.3">
      <c r="G45">
        <v>180</v>
      </c>
      <c r="H45" s="17">
        <f t="shared" si="0"/>
        <v>0.17504664552928692</v>
      </c>
      <c r="I45" s="18">
        <f t="shared" si="2"/>
        <v>0.82495335447071305</v>
      </c>
      <c r="J45" s="17">
        <f t="shared" si="1"/>
        <v>0.14859590897085276</v>
      </c>
      <c r="K45" s="18">
        <f t="shared" si="2"/>
        <v>0.85140409102914727</v>
      </c>
      <c r="L45" s="17">
        <f t="shared" ref="L45:L58" si="581">1/((1+($G45/L$9))^M$9)</f>
        <v>0.23404255319148934</v>
      </c>
      <c r="M45" s="18">
        <f t="shared" ref="M45:M58" si="582">1-L45</f>
        <v>0.76595744680851063</v>
      </c>
      <c r="N45" s="17">
        <f t="shared" ref="N45:N58" si="583">1/((1+($G45/N$9))^O$9)</f>
        <v>0.11806985656511491</v>
      </c>
      <c r="O45" s="18">
        <f t="shared" ref="O45:O58" si="584">1-N45</f>
        <v>0.88193014343488507</v>
      </c>
      <c r="P45" s="17">
        <f t="shared" ref="P45:P58" si="585">1/((1+($G45/P$9))^Q$9)</f>
        <v>0.13092203829269308</v>
      </c>
      <c r="Q45" s="18">
        <f t="shared" ref="Q45:Q58" si="586">1-P45</f>
        <v>0.86907796170730689</v>
      </c>
      <c r="R45" s="17">
        <f t="shared" ref="R45:R58" si="587">1/((1+($G45/R$9))^S$9)</f>
        <v>0.12580211077776376</v>
      </c>
      <c r="S45" s="18">
        <f t="shared" ref="S45:S58" si="588">1-R45</f>
        <v>0.87419788922223618</v>
      </c>
      <c r="T45" s="17">
        <f t="shared" ref="T45:T58" si="589">1/((1+($G45/T$9))^U$9)</f>
        <v>7.0387338608912955E-2</v>
      </c>
      <c r="U45" s="18">
        <f t="shared" ref="U45:U58" si="590">1-T45</f>
        <v>0.929612661391087</v>
      </c>
      <c r="V45" s="17">
        <f t="shared" ref="V45:V58" si="591">1/((1+($G45/V$9))^W$9)</f>
        <v>0.12030302694414546</v>
      </c>
      <c r="W45" s="18">
        <f t="shared" ref="W45:W58" si="592">1-V45</f>
        <v>0.87969697305585459</v>
      </c>
      <c r="X45" s="17">
        <f t="shared" ref="X45:X58" si="593">1/((1+($G45/X$9))^Y$9)</f>
        <v>0.13753550259075012</v>
      </c>
      <c r="Y45" s="18">
        <f t="shared" ref="Y45:Y58" si="594">1-X45</f>
        <v>0.86246449740924991</v>
      </c>
      <c r="Z45" s="17">
        <f t="shared" ref="Z45:Z58" si="595">1/((1+($G45/Z$9))^AA$9)</f>
        <v>0.15955350442584787</v>
      </c>
      <c r="AA45" s="18">
        <f t="shared" ref="AA45:AC58" si="596">1-Z45</f>
        <v>0.84044649557415219</v>
      </c>
      <c r="AB45" s="17">
        <f t="shared" ref="AB45:AB58" si="597">1/((1+($G45/AB$9))^AC$9)</f>
        <v>0.1649384888466118</v>
      </c>
      <c r="AC45" s="18">
        <f t="shared" si="596"/>
        <v>0.83506151115338823</v>
      </c>
    </row>
    <row r="46" spans="7:29" x14ac:dyDescent="0.3">
      <c r="G46">
        <v>185</v>
      </c>
      <c r="H46" s="17">
        <f t="shared" ref="H46:H58" si="598">1/((1+($G46/H$9))^I$9)</f>
        <v>0.17067964753437223</v>
      </c>
      <c r="I46" s="18">
        <f t="shared" ref="I46" si="599">1-H46</f>
        <v>0.82932035246562774</v>
      </c>
      <c r="J46" s="17">
        <f t="shared" ref="J46:J58" si="600">1/((1+($G46/J$9))^K$9)</f>
        <v>0.14440180794370244</v>
      </c>
      <c r="K46" s="18">
        <f t="shared" ref="K46" si="601">1-J46</f>
        <v>0.85559819205629761</v>
      </c>
      <c r="L46" s="17">
        <f t="shared" si="581"/>
        <v>0.22916666666666669</v>
      </c>
      <c r="M46" s="18">
        <f t="shared" si="582"/>
        <v>0.77083333333333326</v>
      </c>
      <c r="N46" s="17">
        <f t="shared" si="583"/>
        <v>0.11456791219549854</v>
      </c>
      <c r="O46" s="18">
        <f t="shared" si="584"/>
        <v>0.88543208780450144</v>
      </c>
      <c r="P46" s="17">
        <f t="shared" si="585"/>
        <v>0.12711945635981475</v>
      </c>
      <c r="Q46" s="18">
        <f t="shared" si="586"/>
        <v>0.87288054364018519</v>
      </c>
      <c r="R46" s="17">
        <f t="shared" si="587"/>
        <v>0.12211766105173351</v>
      </c>
      <c r="S46" s="18">
        <f t="shared" si="588"/>
        <v>0.87788233894826651</v>
      </c>
      <c r="T46" s="17">
        <f t="shared" si="589"/>
        <v>6.7599999999999993E-2</v>
      </c>
      <c r="U46" s="18">
        <f t="shared" si="590"/>
        <v>0.93240000000000001</v>
      </c>
      <c r="V46" s="17">
        <f t="shared" si="591"/>
        <v>0.11660913665292322</v>
      </c>
      <c r="W46" s="18">
        <f t="shared" si="592"/>
        <v>0.88339086334707684</v>
      </c>
      <c r="X46" s="17">
        <f t="shared" si="593"/>
        <v>0.13374353091975846</v>
      </c>
      <c r="Y46" s="18">
        <f t="shared" si="594"/>
        <v>0.86625646908024156</v>
      </c>
      <c r="Z46" s="17">
        <f t="shared" si="595"/>
        <v>0.15529884864037133</v>
      </c>
      <c r="AA46" s="18">
        <f t="shared" si="596"/>
        <v>0.84470115135962864</v>
      </c>
      <c r="AB46" s="17">
        <f t="shared" si="597"/>
        <v>0.16057602977380642</v>
      </c>
      <c r="AC46" s="18">
        <f t="shared" si="596"/>
        <v>0.83942397022619364</v>
      </c>
    </row>
    <row r="47" spans="7:29" x14ac:dyDescent="0.3">
      <c r="G47">
        <v>190</v>
      </c>
      <c r="H47" s="17">
        <f t="shared" si="598"/>
        <v>0.16650831508224651</v>
      </c>
      <c r="I47" s="18">
        <f t="shared" ref="I47" si="602">1-H47</f>
        <v>0.83349168491775349</v>
      </c>
      <c r="J47" s="17">
        <f t="shared" si="600"/>
        <v>0.14040662758925665</v>
      </c>
      <c r="K47" s="18">
        <f t="shared" ref="K47" si="603">1-J47</f>
        <v>0.85959337241074341</v>
      </c>
      <c r="L47" s="17">
        <f t="shared" si="581"/>
        <v>0.22448979591836732</v>
      </c>
      <c r="M47" s="18">
        <f t="shared" si="582"/>
        <v>0.77551020408163263</v>
      </c>
      <c r="N47" s="17">
        <f t="shared" si="583"/>
        <v>0.11124032977558357</v>
      </c>
      <c r="O47" s="18">
        <f t="shared" si="584"/>
        <v>0.88875967022441649</v>
      </c>
      <c r="P47" s="17">
        <f t="shared" si="585"/>
        <v>0.12350235732590052</v>
      </c>
      <c r="Q47" s="18">
        <f t="shared" si="586"/>
        <v>0.87649764267409946</v>
      </c>
      <c r="R47" s="17">
        <f t="shared" si="587"/>
        <v>0.11861440492949196</v>
      </c>
      <c r="S47" s="18">
        <f t="shared" si="588"/>
        <v>0.88138559507050807</v>
      </c>
      <c r="T47" s="17">
        <f t="shared" si="589"/>
        <v>6.4975009611687812E-2</v>
      </c>
      <c r="U47" s="18">
        <f t="shared" si="590"/>
        <v>0.93502499038831222</v>
      </c>
      <c r="V47" s="17">
        <f t="shared" si="591"/>
        <v>0.11310048547512579</v>
      </c>
      <c r="W47" s="18">
        <f t="shared" si="592"/>
        <v>0.88689951452487426</v>
      </c>
      <c r="X47" s="17">
        <f t="shared" si="593"/>
        <v>0.13013268524795396</v>
      </c>
      <c r="Y47" s="18">
        <f t="shared" si="594"/>
        <v>0.86986731475204604</v>
      </c>
      <c r="Z47" s="17">
        <f t="shared" si="595"/>
        <v>0.15124088379700582</v>
      </c>
      <c r="AA47" s="18">
        <f t="shared" si="596"/>
        <v>0.84875911620299416</v>
      </c>
      <c r="AB47" s="17">
        <f t="shared" si="597"/>
        <v>0.15641363688193974</v>
      </c>
      <c r="AC47" s="18">
        <f t="shared" si="596"/>
        <v>0.84358636311806023</v>
      </c>
    </row>
    <row r="48" spans="7:29" x14ac:dyDescent="0.3">
      <c r="G48">
        <v>195</v>
      </c>
      <c r="H48" s="17">
        <f t="shared" si="598"/>
        <v>0.1625201509335123</v>
      </c>
      <c r="I48" s="18">
        <f t="shared" ref="I48" si="604">1-H48</f>
        <v>0.83747984906648765</v>
      </c>
      <c r="J48" s="17">
        <f t="shared" si="600"/>
        <v>0.13659726147820059</v>
      </c>
      <c r="K48" s="18">
        <f t="shared" ref="K48" si="605">1-J48</f>
        <v>0.86340273852179938</v>
      </c>
      <c r="L48" s="17">
        <f t="shared" si="581"/>
        <v>0.22000000000000003</v>
      </c>
      <c r="M48" s="18">
        <f t="shared" si="582"/>
        <v>0.78</v>
      </c>
      <c r="N48" s="17">
        <f t="shared" si="583"/>
        <v>0.10807506065875659</v>
      </c>
      <c r="O48" s="18">
        <f t="shared" si="584"/>
        <v>0.89192493934124339</v>
      </c>
      <c r="P48" s="17">
        <f t="shared" si="585"/>
        <v>0.12005817936114375</v>
      </c>
      <c r="Q48" s="18">
        <f t="shared" si="586"/>
        <v>0.87994182063885629</v>
      </c>
      <c r="R48" s="17">
        <f t="shared" si="587"/>
        <v>0.11527997252104009</v>
      </c>
      <c r="S48" s="18">
        <f t="shared" si="588"/>
        <v>0.88472002747895995</v>
      </c>
      <c r="T48" s="17">
        <f t="shared" si="589"/>
        <v>6.25E-2</v>
      </c>
      <c r="U48" s="18">
        <f t="shared" si="590"/>
        <v>0.9375</v>
      </c>
      <c r="V48" s="17">
        <f t="shared" si="591"/>
        <v>0.10976432438034908</v>
      </c>
      <c r="W48" s="18">
        <f t="shared" si="592"/>
        <v>0.89023567561965089</v>
      </c>
      <c r="X48" s="17">
        <f t="shared" si="593"/>
        <v>0.1266908050816066</v>
      </c>
      <c r="Y48" s="18">
        <f t="shared" si="594"/>
        <v>0.87330919491839343</v>
      </c>
      <c r="Z48" s="17">
        <f t="shared" si="595"/>
        <v>0.14736682069182561</v>
      </c>
      <c r="AA48" s="18">
        <f t="shared" si="596"/>
        <v>0.85263317930817439</v>
      </c>
      <c r="AB48" s="17">
        <f t="shared" si="597"/>
        <v>0.15243840322363977</v>
      </c>
      <c r="AC48" s="18">
        <f t="shared" si="596"/>
        <v>0.84756159677636023</v>
      </c>
    </row>
    <row r="49" spans="7:29" x14ac:dyDescent="0.3">
      <c r="G49">
        <v>200</v>
      </c>
      <c r="H49" s="17">
        <f t="shared" si="598"/>
        <v>0.15870368498356183</v>
      </c>
      <c r="I49" s="18">
        <f t="shared" ref="I49" si="606">1-H49</f>
        <v>0.8412963150164382</v>
      </c>
      <c r="J49" s="17">
        <f t="shared" si="600"/>
        <v>0.13296169946204872</v>
      </c>
      <c r="K49" s="19">
        <f t="shared" ref="K49" si="607">1-J49</f>
        <v>0.86703830053795128</v>
      </c>
      <c r="L49" s="17">
        <f t="shared" si="581"/>
        <v>0.2156862745098039</v>
      </c>
      <c r="M49" s="18">
        <f t="shared" si="582"/>
        <v>0.78431372549019607</v>
      </c>
      <c r="N49" s="17">
        <f t="shared" si="583"/>
        <v>0.1050611121761507</v>
      </c>
      <c r="O49" s="18">
        <f t="shared" si="584"/>
        <v>0.89493888782384934</v>
      </c>
      <c r="P49" s="17">
        <f t="shared" si="585"/>
        <v>0.11677544009049479</v>
      </c>
      <c r="Q49" s="18">
        <f t="shared" si="586"/>
        <v>0.88322455990950521</v>
      </c>
      <c r="R49" s="17">
        <f t="shared" si="587"/>
        <v>0.11210306526602154</v>
      </c>
      <c r="S49" s="18">
        <f t="shared" si="588"/>
        <v>0.88789693473397846</v>
      </c>
      <c r="T49" s="17">
        <f t="shared" si="589"/>
        <v>6.0163759344962625E-2</v>
      </c>
      <c r="U49" s="18">
        <f t="shared" si="590"/>
        <v>0.93983624065503735</v>
      </c>
      <c r="V49" s="17">
        <f t="shared" si="591"/>
        <v>0.10658901071277396</v>
      </c>
      <c r="W49" s="18">
        <f t="shared" si="592"/>
        <v>0.89341098928722606</v>
      </c>
      <c r="X49" s="17">
        <f t="shared" si="593"/>
        <v>0.12340677254400194</v>
      </c>
      <c r="Y49" s="18">
        <f t="shared" si="594"/>
        <v>0.8765932274559981</v>
      </c>
      <c r="Z49" s="17">
        <f t="shared" si="595"/>
        <v>0.14366493274383602</v>
      </c>
      <c r="AA49" s="18">
        <f t="shared" si="596"/>
        <v>0.85633506725616404</v>
      </c>
      <c r="AB49" s="17">
        <f t="shared" si="597"/>
        <v>0.14863848603278348</v>
      </c>
      <c r="AC49" s="18">
        <f t="shared" si="596"/>
        <v>0.85136151396721649</v>
      </c>
    </row>
    <row r="50" spans="7:29" x14ac:dyDescent="0.3">
      <c r="G50">
        <v>205</v>
      </c>
      <c r="H50" s="17">
        <f t="shared" si="598"/>
        <v>0.15504837175035607</v>
      </c>
      <c r="I50" s="18">
        <f t="shared" ref="I50" si="608">1-H50</f>
        <v>0.84495162824964387</v>
      </c>
      <c r="J50" s="17">
        <f t="shared" si="600"/>
        <v>0.12948891723558456</v>
      </c>
      <c r="K50" s="18">
        <f t="shared" ref="K50" si="609">1-J50</f>
        <v>0.87051108276441547</v>
      </c>
      <c r="L50" s="17">
        <f t="shared" si="581"/>
        <v>0.21153846153846156</v>
      </c>
      <c r="M50" s="18">
        <f t="shared" si="582"/>
        <v>0.78846153846153844</v>
      </c>
      <c r="N50" s="17">
        <f t="shared" si="583"/>
        <v>0.10218843627356809</v>
      </c>
      <c r="O50" s="18">
        <f t="shared" si="584"/>
        <v>0.89781156372643189</v>
      </c>
      <c r="P50" s="17">
        <f t="shared" si="585"/>
        <v>0.11364362493515491</v>
      </c>
      <c r="Q50" s="18">
        <f t="shared" si="586"/>
        <v>0.8863563750648451</v>
      </c>
      <c r="R50" s="17">
        <f t="shared" si="587"/>
        <v>0.10907334426008475</v>
      </c>
      <c r="S50" s="18">
        <f t="shared" si="588"/>
        <v>0.89092665573991525</v>
      </c>
      <c r="T50" s="17">
        <f t="shared" si="589"/>
        <v>5.795610425240056E-2</v>
      </c>
      <c r="U50" s="18">
        <f t="shared" si="590"/>
        <v>0.94204389574759939</v>
      </c>
      <c r="V50" s="17">
        <f t="shared" si="591"/>
        <v>0.10356389306463151</v>
      </c>
      <c r="W50" s="19">
        <f t="shared" si="592"/>
        <v>0.89643610693536846</v>
      </c>
      <c r="X50" s="17">
        <f t="shared" si="593"/>
        <v>0.12027040434965219</v>
      </c>
      <c r="Y50" s="18">
        <f t="shared" si="594"/>
        <v>0.87972959565034781</v>
      </c>
      <c r="Z50" s="17">
        <f t="shared" si="595"/>
        <v>0.14012444923543502</v>
      </c>
      <c r="AA50" s="19">
        <f t="shared" si="596"/>
        <v>0.85987555076456501</v>
      </c>
      <c r="AB50" s="17">
        <f t="shared" si="597"/>
        <v>0.14500300061293644</v>
      </c>
      <c r="AC50" s="18">
        <f t="shared" si="596"/>
        <v>0.85499699938706353</v>
      </c>
    </row>
    <row r="51" spans="7:29" x14ac:dyDescent="0.3">
      <c r="G51">
        <v>210</v>
      </c>
      <c r="H51" s="17">
        <f t="shared" si="598"/>
        <v>0.15154449983107354</v>
      </c>
      <c r="I51" s="18">
        <f t="shared" ref="I51" si="610">1-H51</f>
        <v>0.84845550016892646</v>
      </c>
      <c r="J51" s="17">
        <f t="shared" si="600"/>
        <v>0.12616877884322275</v>
      </c>
      <c r="K51" s="18">
        <f t="shared" ref="K51" si="611">1-J51</f>
        <v>0.87383122115677725</v>
      </c>
      <c r="L51" s="17">
        <f t="shared" si="581"/>
        <v>0.20754716981132074</v>
      </c>
      <c r="M51" s="18">
        <f t="shared" si="582"/>
        <v>0.79245283018867929</v>
      </c>
      <c r="N51" s="17">
        <f t="shared" si="583"/>
        <v>9.9447831800795042E-2</v>
      </c>
      <c r="O51" s="18">
        <f t="shared" si="584"/>
        <v>0.90055216819920492</v>
      </c>
      <c r="P51" s="17">
        <f t="shared" si="585"/>
        <v>0.11065308888542393</v>
      </c>
      <c r="Q51" s="18">
        <f t="shared" si="586"/>
        <v>0.88934691111457609</v>
      </c>
      <c r="R51" s="17">
        <f t="shared" si="587"/>
        <v>0.10618133211616679</v>
      </c>
      <c r="S51" s="18">
        <f t="shared" si="588"/>
        <v>0.89381866788383324</v>
      </c>
      <c r="T51" s="17">
        <f t="shared" si="589"/>
        <v>5.5867768595041327E-2</v>
      </c>
      <c r="U51" s="18">
        <f t="shared" si="590"/>
        <v>0.94413223140495872</v>
      </c>
      <c r="V51" s="17">
        <f t="shared" si="591"/>
        <v>0.10067921004449816</v>
      </c>
      <c r="W51" s="18">
        <f t="shared" si="592"/>
        <v>0.8993207899555018</v>
      </c>
      <c r="X51" s="17">
        <f t="shared" si="593"/>
        <v>0.11727235682767051</v>
      </c>
      <c r="Y51" s="18">
        <f t="shared" si="594"/>
        <v>0.88272764317232943</v>
      </c>
      <c r="Z51" s="17">
        <f t="shared" si="595"/>
        <v>0.13673546106524576</v>
      </c>
      <c r="AA51" s="18">
        <f t="shared" si="596"/>
        <v>0.86326453893475419</v>
      </c>
      <c r="AB51" s="17">
        <f t="shared" si="597"/>
        <v>0.14152192657036519</v>
      </c>
      <c r="AC51" s="18">
        <f t="shared" si="596"/>
        <v>0.85847807342963478</v>
      </c>
    </row>
    <row r="52" spans="7:29" x14ac:dyDescent="0.3">
      <c r="G52">
        <v>215</v>
      </c>
      <c r="H52" s="17">
        <f t="shared" si="598"/>
        <v>0.14818311173480989</v>
      </c>
      <c r="I52" s="18">
        <f t="shared" ref="I52" si="612">1-H52</f>
        <v>0.85181688826519009</v>
      </c>
      <c r="J52" s="17">
        <f t="shared" si="600"/>
        <v>0.12299195040671031</v>
      </c>
      <c r="K52" s="18">
        <f t="shared" ref="K52" si="613">1-J52</f>
        <v>0.87700804959328971</v>
      </c>
      <c r="L52" s="17">
        <f t="shared" si="581"/>
        <v>0.20370370370370369</v>
      </c>
      <c r="M52" s="18">
        <f t="shared" si="582"/>
        <v>0.79629629629629628</v>
      </c>
      <c r="N52" s="17">
        <f t="shared" si="583"/>
        <v>9.683085855449497E-2</v>
      </c>
      <c r="O52" s="18">
        <f t="shared" si="584"/>
        <v>0.90316914144550497</v>
      </c>
      <c r="P52" s="17">
        <f t="shared" si="585"/>
        <v>0.10779496987129111</v>
      </c>
      <c r="Q52" s="18">
        <f t="shared" si="586"/>
        <v>0.89220503012870889</v>
      </c>
      <c r="R52" s="17">
        <f t="shared" si="587"/>
        <v>0.10341832649921308</v>
      </c>
      <c r="S52" s="18">
        <f t="shared" si="588"/>
        <v>0.89658167350078688</v>
      </c>
      <c r="T52" s="17">
        <f t="shared" si="589"/>
        <v>5.389030612244898E-2</v>
      </c>
      <c r="U52" s="18">
        <f t="shared" si="590"/>
        <v>0.94610969387755106</v>
      </c>
      <c r="V52" s="17">
        <f t="shared" si="591"/>
        <v>9.7926001040729405E-2</v>
      </c>
      <c r="W52" s="18">
        <f t="shared" si="592"/>
        <v>0.90207399895927054</v>
      </c>
      <c r="X52" s="17">
        <f t="shared" si="593"/>
        <v>0.11440404220218338</v>
      </c>
      <c r="Y52" s="18">
        <f t="shared" si="594"/>
        <v>0.88559595779781664</v>
      </c>
      <c r="Z52" s="17">
        <f t="shared" si="595"/>
        <v>0.1334888373451269</v>
      </c>
      <c r="AA52" s="18">
        <f t="shared" si="596"/>
        <v>0.86651116265487316</v>
      </c>
      <c r="AB52" s="17">
        <f t="shared" si="597"/>
        <v>0.13818602475773745</v>
      </c>
      <c r="AC52" s="18">
        <f t="shared" si="596"/>
        <v>0.86181397524226255</v>
      </c>
    </row>
    <row r="53" spans="7:29" x14ac:dyDescent="0.3">
      <c r="G53">
        <v>220</v>
      </c>
      <c r="H53" s="17">
        <f t="shared" si="598"/>
        <v>0.14495593273553914</v>
      </c>
      <c r="I53" s="18">
        <f t="shared" ref="I53" si="614">1-H53</f>
        <v>0.85504406726446081</v>
      </c>
      <c r="J53" s="17">
        <f t="shared" si="600"/>
        <v>0.11994982360720169</v>
      </c>
      <c r="K53" s="18">
        <f t="shared" ref="K53" si="615">1-J53</f>
        <v>0.88005017639279837</v>
      </c>
      <c r="L53" s="17">
        <f t="shared" si="581"/>
        <v>0.2</v>
      </c>
      <c r="M53" s="18">
        <f t="shared" si="582"/>
        <v>0.8</v>
      </c>
      <c r="N53" s="17">
        <f t="shared" si="583"/>
        <v>9.4329761470111004E-2</v>
      </c>
      <c r="O53" s="18">
        <f t="shared" si="584"/>
        <v>0.90567023852988904</v>
      </c>
      <c r="P53" s="17">
        <f t="shared" si="585"/>
        <v>0.1050611121761507</v>
      </c>
      <c r="Q53" s="18">
        <f t="shared" si="586"/>
        <v>0.89493888782384934</v>
      </c>
      <c r="R53" s="17">
        <f t="shared" si="587"/>
        <v>0.10077632375814972</v>
      </c>
      <c r="S53" s="18">
        <f t="shared" si="588"/>
        <v>0.89922367624185029</v>
      </c>
      <c r="T53" s="17">
        <f t="shared" si="589"/>
        <v>5.2016004924592178E-2</v>
      </c>
      <c r="U53" s="18">
        <f t="shared" si="590"/>
        <v>0.94798399507540787</v>
      </c>
      <c r="V53" s="17">
        <f t="shared" si="591"/>
        <v>9.5296027369421707E-2</v>
      </c>
      <c r="W53" s="18">
        <f t="shared" si="592"/>
        <v>0.90470397263057833</v>
      </c>
      <c r="X53" s="17">
        <f t="shared" si="593"/>
        <v>0.11165755461232785</v>
      </c>
      <c r="Y53" s="18">
        <f t="shared" si="594"/>
        <v>0.88834244538767215</v>
      </c>
      <c r="Z53" s="17">
        <f t="shared" si="595"/>
        <v>0.13037615142150782</v>
      </c>
      <c r="AA53" s="18">
        <f t="shared" si="596"/>
        <v>0.86962384857849218</v>
      </c>
      <c r="AB53" s="17">
        <f t="shared" si="597"/>
        <v>0.13498676353612196</v>
      </c>
      <c r="AC53" s="18">
        <f t="shared" si="596"/>
        <v>0.86501323646387807</v>
      </c>
    </row>
    <row r="54" spans="7:29" x14ac:dyDescent="0.3">
      <c r="G54">
        <v>225</v>
      </c>
      <c r="H54" s="17">
        <f t="shared" si="598"/>
        <v>0.14185530758771001</v>
      </c>
      <c r="I54" s="18">
        <f t="shared" ref="I54" si="616">1-H54</f>
        <v>0.85814469241228997</v>
      </c>
      <c r="J54" s="17">
        <f t="shared" si="600"/>
        <v>0.1170344476686566</v>
      </c>
      <c r="K54" s="18">
        <f t="shared" ref="K54" si="617">1-J54</f>
        <v>0.88296555233134344</v>
      </c>
      <c r="L54" s="17">
        <f t="shared" si="581"/>
        <v>0.19642857142857142</v>
      </c>
      <c r="M54" s="18">
        <f t="shared" si="582"/>
        <v>0.8035714285714286</v>
      </c>
      <c r="N54" s="17">
        <f t="shared" si="583"/>
        <v>9.1937403602357679E-2</v>
      </c>
      <c r="O54" s="18">
        <f t="shared" si="584"/>
        <v>0.90806259639764231</v>
      </c>
      <c r="P54" s="17">
        <f t="shared" si="585"/>
        <v>0.10244399857136488</v>
      </c>
      <c r="Q54" s="18">
        <f t="shared" si="586"/>
        <v>0.89755600142863512</v>
      </c>
      <c r="R54" s="17">
        <f t="shared" si="587"/>
        <v>9.8247951316176113E-2</v>
      </c>
      <c r="S54" s="18">
        <f t="shared" si="588"/>
        <v>0.90175204868382386</v>
      </c>
      <c r="T54" s="17">
        <f t="shared" si="589"/>
        <v>5.0237812128418553E-2</v>
      </c>
      <c r="U54" s="18">
        <f t="shared" si="590"/>
        <v>0.9497621878715814</v>
      </c>
      <c r="V54" s="17">
        <f t="shared" si="591"/>
        <v>9.2781702437074065E-2</v>
      </c>
      <c r="W54" s="18">
        <f t="shared" si="592"/>
        <v>0.90721829756292593</v>
      </c>
      <c r="X54" s="17">
        <f t="shared" si="593"/>
        <v>0.10902560458273546</v>
      </c>
      <c r="Y54" s="18">
        <f t="shared" si="594"/>
        <v>0.89097439541726453</v>
      </c>
      <c r="Z54" s="17">
        <f t="shared" si="595"/>
        <v>0.12738961510884025</v>
      </c>
      <c r="AA54" s="18">
        <f t="shared" si="596"/>
        <v>0.87261038489115972</v>
      </c>
      <c r="AB54" s="17">
        <f t="shared" si="597"/>
        <v>0.13191625316510558</v>
      </c>
      <c r="AC54" s="18">
        <f t="shared" si="596"/>
        <v>0.86808374683489442</v>
      </c>
    </row>
    <row r="55" spans="7:29" x14ac:dyDescent="0.3">
      <c r="G55">
        <v>230</v>
      </c>
      <c r="H55" s="17">
        <f t="shared" si="598"/>
        <v>0.13887414411308599</v>
      </c>
      <c r="I55" s="18">
        <f t="shared" ref="I55" si="618">1-H55</f>
        <v>0.86112585588691404</v>
      </c>
      <c r="J55" s="17">
        <f t="shared" si="600"/>
        <v>0.11423846876910619</v>
      </c>
      <c r="K55" s="18">
        <f t="shared" ref="K55" si="619">1-J55</f>
        <v>0.88576153123089385</v>
      </c>
      <c r="L55" s="17">
        <f t="shared" si="581"/>
        <v>0.19298245614035089</v>
      </c>
      <c r="M55" s="18">
        <f t="shared" si="582"/>
        <v>0.80701754385964908</v>
      </c>
      <c r="N55" s="17">
        <f t="shared" si="583"/>
        <v>8.9647206737194188E-2</v>
      </c>
      <c r="O55" s="18">
        <f t="shared" si="584"/>
        <v>0.91035279326280583</v>
      </c>
      <c r="P55" s="17">
        <f t="shared" si="585"/>
        <v>9.9936690043554904E-2</v>
      </c>
      <c r="Q55" s="18">
        <f t="shared" si="586"/>
        <v>0.90006330995644512</v>
      </c>
      <c r="R55" s="17">
        <f t="shared" si="587"/>
        <v>9.5826407678435255E-2</v>
      </c>
      <c r="S55" s="18">
        <f t="shared" si="588"/>
        <v>0.9041735923215648</v>
      </c>
      <c r="T55" s="17">
        <f t="shared" si="589"/>
        <v>4.854926745188165E-2</v>
      </c>
      <c r="U55" s="19">
        <f t="shared" si="590"/>
        <v>0.95145073254811829</v>
      </c>
      <c r="V55" s="17">
        <f t="shared" si="591"/>
        <v>9.0376029749363804E-2</v>
      </c>
      <c r="W55" s="18">
        <f t="shared" si="592"/>
        <v>0.90962397025063624</v>
      </c>
      <c r="X55" s="17">
        <f t="shared" si="593"/>
        <v>0.10650146084594124</v>
      </c>
      <c r="Y55" s="18">
        <f t="shared" si="594"/>
        <v>0.89349853915405875</v>
      </c>
      <c r="Z55" s="17">
        <f t="shared" si="595"/>
        <v>0.12452202009716673</v>
      </c>
      <c r="AA55" s="18">
        <f t="shared" si="596"/>
        <v>0.87547797990283327</v>
      </c>
      <c r="AB55" s="17">
        <f t="shared" si="597"/>
        <v>0.12896718730071294</v>
      </c>
      <c r="AC55" s="18">
        <f t="shared" si="596"/>
        <v>0.87103281269928701</v>
      </c>
    </row>
    <row r="56" spans="7:29" x14ac:dyDescent="0.3">
      <c r="G56">
        <v>235</v>
      </c>
      <c r="H56" s="17">
        <f t="shared" si="598"/>
        <v>0.13600586280735194</v>
      </c>
      <c r="I56" s="18">
        <f t="shared" ref="I56" si="620">1-H56</f>
        <v>0.86399413719264806</v>
      </c>
      <c r="J56" s="17">
        <f t="shared" si="600"/>
        <v>0.11155507595761481</v>
      </c>
      <c r="K56" s="18">
        <f t="shared" ref="K56" si="621">1-J56</f>
        <v>0.88844492404238518</v>
      </c>
      <c r="L56" s="17">
        <f t="shared" si="581"/>
        <v>0.18965517241379312</v>
      </c>
      <c r="M56" s="18">
        <f t="shared" si="582"/>
        <v>0.81034482758620685</v>
      </c>
      <c r="N56" s="17">
        <f t="shared" si="583"/>
        <v>8.7453098648081165E-2</v>
      </c>
      <c r="O56" s="18">
        <f t="shared" si="584"/>
        <v>0.91254690135191885</v>
      </c>
      <c r="P56" s="17">
        <f t="shared" si="585"/>
        <v>9.7532772149308111E-2</v>
      </c>
      <c r="Q56" s="18">
        <f t="shared" si="586"/>
        <v>0.90246722785069189</v>
      </c>
      <c r="R56" s="17">
        <f t="shared" si="587"/>
        <v>9.3505409081913043E-2</v>
      </c>
      <c r="S56" s="18">
        <f t="shared" si="588"/>
        <v>0.90649459091808693</v>
      </c>
      <c r="T56" s="17">
        <f t="shared" si="589"/>
        <v>4.6944444444444455E-2</v>
      </c>
      <c r="U56" s="18">
        <f t="shared" si="590"/>
        <v>0.95305555555555554</v>
      </c>
      <c r="V56" s="17">
        <f t="shared" si="591"/>
        <v>8.8072547766217535E-2</v>
      </c>
      <c r="W56" s="18">
        <f t="shared" si="592"/>
        <v>0.91192745223378247</v>
      </c>
      <c r="X56" s="17">
        <f t="shared" si="593"/>
        <v>0.10407889857769079</v>
      </c>
      <c r="Y56" s="18">
        <f t="shared" si="594"/>
        <v>0.89592110142230919</v>
      </c>
      <c r="Z56" s="17">
        <f t="shared" si="595"/>
        <v>0.12176668564244056</v>
      </c>
      <c r="AA56" s="18">
        <f t="shared" si="596"/>
        <v>0.87823331435755947</v>
      </c>
      <c r="AB56" s="17">
        <f t="shared" si="597"/>
        <v>0.12613279072397196</v>
      </c>
      <c r="AC56" s="18">
        <f t="shared" si="596"/>
        <v>0.87386720927602801</v>
      </c>
    </row>
    <row r="57" spans="7:29" x14ac:dyDescent="0.3">
      <c r="G57">
        <v>240</v>
      </c>
      <c r="H57" s="17">
        <f t="shared" si="598"/>
        <v>0.1332443517331455</v>
      </c>
      <c r="I57" s="18">
        <f t="shared" ref="I57" si="622">1-H57</f>
        <v>0.86675564826685447</v>
      </c>
      <c r="J57" s="17">
        <f t="shared" si="600"/>
        <v>0.1089779527825767</v>
      </c>
      <c r="K57" s="18">
        <f t="shared" ref="K57" si="623">1-J57</f>
        <v>0.89102204721742329</v>
      </c>
      <c r="L57" s="17">
        <f t="shared" si="581"/>
        <v>0.1864406779661017</v>
      </c>
      <c r="M57" s="18">
        <f t="shared" si="582"/>
        <v>0.81355932203389836</v>
      </c>
      <c r="N57" s="17">
        <f t="shared" si="583"/>
        <v>8.5349466151789469E-2</v>
      </c>
      <c r="O57" s="18">
        <f t="shared" si="584"/>
        <v>0.91465053384821049</v>
      </c>
      <c r="P57" s="17">
        <f t="shared" si="585"/>
        <v>9.5226307168944077E-2</v>
      </c>
      <c r="Q57" s="18">
        <f t="shared" si="586"/>
        <v>0.90477369283105591</v>
      </c>
      <c r="R57" s="17">
        <f t="shared" si="587"/>
        <v>9.1279141951713383E-2</v>
      </c>
      <c r="S57" s="18">
        <f t="shared" si="588"/>
        <v>0.90872085804828662</v>
      </c>
      <c r="T57" s="17">
        <f t="shared" si="589"/>
        <v>4.5417898414404731E-2</v>
      </c>
      <c r="U57" s="18">
        <f t="shared" si="590"/>
        <v>0.95458210158559531</v>
      </c>
      <c r="V57" s="17">
        <f t="shared" si="591"/>
        <v>8.5865280745335615E-2</v>
      </c>
      <c r="W57" s="18">
        <f t="shared" si="592"/>
        <v>0.91413471925466439</v>
      </c>
      <c r="X57" s="17">
        <f t="shared" si="593"/>
        <v>0.10175215324014024</v>
      </c>
      <c r="Y57" s="18">
        <f t="shared" si="594"/>
        <v>0.8982478467598598</v>
      </c>
      <c r="Z57" s="17">
        <f t="shared" si="595"/>
        <v>0.11911741177204659</v>
      </c>
      <c r="AA57" s="18">
        <f t="shared" si="596"/>
        <v>0.8808825882279534</v>
      </c>
      <c r="AB57" s="17">
        <f t="shared" si="597"/>
        <v>0.12340677254400194</v>
      </c>
      <c r="AC57" s="18">
        <f t="shared" si="596"/>
        <v>0.8765932274559981</v>
      </c>
    </row>
    <row r="58" spans="7:29" x14ac:dyDescent="0.3">
      <c r="G58">
        <v>245</v>
      </c>
      <c r="H58" s="17">
        <f t="shared" si="598"/>
        <v>0.13058392606622346</v>
      </c>
      <c r="I58" s="18">
        <f t="shared" ref="I58" si="624">1-H58</f>
        <v>0.86941607393377651</v>
      </c>
      <c r="J58" s="17">
        <f t="shared" si="600"/>
        <v>0.10650123394529845</v>
      </c>
      <c r="K58" s="18">
        <f t="shared" ref="K58" si="625">1-J58</f>
        <v>0.89349876605470158</v>
      </c>
      <c r="L58" s="17">
        <f t="shared" si="581"/>
        <v>0.18333333333333335</v>
      </c>
      <c r="M58" s="18">
        <f t="shared" si="582"/>
        <v>0.81666666666666665</v>
      </c>
      <c r="N58" s="17">
        <f t="shared" si="583"/>
        <v>8.3331113238878193E-2</v>
      </c>
      <c r="O58" s="18">
        <f t="shared" si="584"/>
        <v>0.91666888676112179</v>
      </c>
      <c r="P58" s="17">
        <f t="shared" si="585"/>
        <v>9.3011791346557723E-2</v>
      </c>
      <c r="Q58" s="18">
        <f t="shared" si="586"/>
        <v>0.90698820865344232</v>
      </c>
      <c r="R58" s="17">
        <f t="shared" si="587"/>
        <v>8.9142220445253578E-2</v>
      </c>
      <c r="S58" s="18">
        <f t="shared" si="588"/>
        <v>0.91085777955474645</v>
      </c>
      <c r="T58" s="17">
        <f t="shared" si="589"/>
        <v>4.396462018730489E-2</v>
      </c>
      <c r="U58" s="18">
        <f t="shared" si="590"/>
        <v>0.95603537981269515</v>
      </c>
      <c r="V58" s="17">
        <f t="shared" si="591"/>
        <v>8.3748694836144874E-2</v>
      </c>
      <c r="W58" s="18">
        <f t="shared" si="592"/>
        <v>0.91625130516385511</v>
      </c>
      <c r="X58" s="17">
        <f t="shared" si="593"/>
        <v>9.9515879340893246E-2</v>
      </c>
      <c r="Y58" s="18">
        <f t="shared" si="594"/>
        <v>0.90048412065910677</v>
      </c>
      <c r="Z58" s="17">
        <f t="shared" si="595"/>
        <v>0.11656843734282833</v>
      </c>
      <c r="AA58" s="18">
        <f t="shared" si="596"/>
        <v>0.88343156265717171</v>
      </c>
      <c r="AB58" s="17">
        <f t="shared" si="597"/>
        <v>0.12078328422212159</v>
      </c>
      <c r="AC58" s="18">
        <f t="shared" si="596"/>
        <v>0.87921671577787841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C4" sqref="C4"/>
    </sheetView>
  </sheetViews>
  <sheetFormatPr defaultRowHeight="16.5" x14ac:dyDescent="0.3"/>
  <cols>
    <col min="1" max="1" width="35.125" customWidth="1"/>
    <col min="2" max="2" width="21.375" customWidth="1"/>
    <col min="3" max="3" width="22.875" customWidth="1"/>
    <col min="4" max="4" width="23" customWidth="1"/>
  </cols>
  <sheetData>
    <row r="1" spans="1:4" x14ac:dyDescent="0.3">
      <c r="A1" s="1" t="s">
        <v>20</v>
      </c>
    </row>
    <row r="2" spans="1:4" ht="17.25" thickBot="1" x14ac:dyDescent="0.35">
      <c r="A2" s="1"/>
    </row>
    <row r="3" spans="1:4" x14ac:dyDescent="0.3">
      <c r="A3" s="1" t="s">
        <v>13</v>
      </c>
      <c r="B3" s="7" t="s">
        <v>16</v>
      </c>
      <c r="C3" s="7" t="s">
        <v>11</v>
      </c>
      <c r="D3" s="8" t="s">
        <v>12</v>
      </c>
    </row>
    <row r="4" spans="1:4" ht="17.25" thickBot="1" x14ac:dyDescent="0.35">
      <c r="A4" t="s">
        <v>14</v>
      </c>
      <c r="B4" s="4">
        <v>10000</v>
      </c>
      <c r="C4" s="4">
        <v>3</v>
      </c>
      <c r="D4" s="11">
        <f>B4/C4/365</f>
        <v>9.1324200913242013</v>
      </c>
    </row>
    <row r="6" spans="1:4" x14ac:dyDescent="0.3">
      <c r="A6" s="1" t="s">
        <v>15</v>
      </c>
    </row>
    <row r="7" spans="1:4" x14ac:dyDescent="0.3">
      <c r="A7" t="s">
        <v>17</v>
      </c>
    </row>
    <row r="8" spans="1:4" x14ac:dyDescent="0.3">
      <c r="A8" t="s">
        <v>71</v>
      </c>
    </row>
    <row r="9" spans="1:4" x14ac:dyDescent="0.3">
      <c r="A9" t="s">
        <v>18</v>
      </c>
    </row>
    <row r="10" spans="1:4" x14ac:dyDescent="0.3">
      <c r="A10" t="s">
        <v>19</v>
      </c>
    </row>
    <row r="11" spans="1:4" x14ac:dyDescent="0.3">
      <c r="A11" t="s">
        <v>72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6.5" x14ac:dyDescent="0.3"/>
  <cols>
    <col min="1" max="1" width="20.125" customWidth="1"/>
    <col min="2" max="2" width="33.375" customWidth="1"/>
    <col min="3" max="3" width="20.375" customWidth="1"/>
  </cols>
  <sheetData>
    <row r="1" spans="1:3" x14ac:dyDescent="0.3">
      <c r="A1" s="1" t="s">
        <v>51</v>
      </c>
    </row>
    <row r="3" spans="1:3" x14ac:dyDescent="0.3">
      <c r="A3" s="3" t="s">
        <v>47</v>
      </c>
      <c r="B3" s="3" t="s">
        <v>48</v>
      </c>
      <c r="C3" s="3" t="s">
        <v>0</v>
      </c>
    </row>
    <row r="4" spans="1:3" x14ac:dyDescent="0.3">
      <c r="A4" s="4">
        <v>1000</v>
      </c>
      <c r="B4" s="4" t="s">
        <v>49</v>
      </c>
      <c r="C4" s="4">
        <v>12</v>
      </c>
    </row>
    <row r="5" spans="1:3" x14ac:dyDescent="0.3">
      <c r="A5" s="4">
        <v>1000</v>
      </c>
      <c r="B5" s="4" t="s">
        <v>50</v>
      </c>
      <c r="C5" s="4">
        <v>15</v>
      </c>
    </row>
    <row r="6" spans="1:3" x14ac:dyDescent="0.3">
      <c r="A6" s="4">
        <v>1000</v>
      </c>
      <c r="B6" s="4" t="s">
        <v>53</v>
      </c>
      <c r="C6" s="4">
        <v>20</v>
      </c>
    </row>
    <row r="7" spans="1:3" x14ac:dyDescent="0.3">
      <c r="A7" s="4">
        <v>1000</v>
      </c>
      <c r="B7" s="4" t="s">
        <v>54</v>
      </c>
      <c r="C7" s="4">
        <v>20</v>
      </c>
    </row>
    <row r="8" spans="1:3" x14ac:dyDescent="0.3">
      <c r="A8" s="4">
        <v>1000</v>
      </c>
      <c r="B8" s="4" t="s">
        <v>52</v>
      </c>
      <c r="C8" s="4">
        <v>10</v>
      </c>
    </row>
    <row r="9" spans="1:3" x14ac:dyDescent="0.3">
      <c r="A9" s="4"/>
      <c r="B9" s="12" t="s">
        <v>10</v>
      </c>
      <c r="C9" s="6">
        <f>AVERAGE(C4:C8)</f>
        <v>15.4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D7"/>
  <sheetViews>
    <sheetView workbookViewId="0">
      <selection activeCell="B4" sqref="B4"/>
    </sheetView>
  </sheetViews>
  <sheetFormatPr defaultRowHeight="16.5" x14ac:dyDescent="0.3"/>
  <cols>
    <col min="1" max="1" width="25.875" customWidth="1"/>
    <col min="2" max="2" width="18.375" customWidth="1"/>
    <col min="3" max="3" width="17.875" customWidth="1"/>
    <col min="4" max="4" width="16.625" customWidth="1"/>
  </cols>
  <sheetData>
    <row r="1" spans="1:4" x14ac:dyDescent="0.3">
      <c r="A1" s="1" t="s">
        <v>86</v>
      </c>
      <c r="B1" s="14" t="s">
        <v>82</v>
      </c>
      <c r="C1" s="14" t="s">
        <v>83</v>
      </c>
      <c r="D1" s="14" t="s">
        <v>84</v>
      </c>
    </row>
    <row r="2" spans="1:4" x14ac:dyDescent="0.3">
      <c r="A2" t="s">
        <v>77</v>
      </c>
      <c r="B2" s="13">
        <f>'HUD Appendix C Data'!B11</f>
        <v>19</v>
      </c>
      <c r="C2" s="13">
        <f>$B2</f>
        <v>19</v>
      </c>
      <c r="D2" s="13">
        <f>$B2</f>
        <v>19</v>
      </c>
    </row>
    <row r="3" spans="1:4" x14ac:dyDescent="0.3">
      <c r="A3" t="s">
        <v>78</v>
      </c>
      <c r="B3" s="13">
        <f>'HUD Appendix C Data'!B20</f>
        <v>15.833333333333334</v>
      </c>
      <c r="C3" s="13">
        <f t="shared" ref="C3:D7" si="0">$B3</f>
        <v>15.833333333333334</v>
      </c>
      <c r="D3" s="13">
        <f t="shared" si="0"/>
        <v>15.833333333333334</v>
      </c>
    </row>
    <row r="4" spans="1:4" x14ac:dyDescent="0.3">
      <c r="A4" t="s">
        <v>79</v>
      </c>
      <c r="B4" s="15">
        <f>'HUD Appendix C Data'!B25</f>
        <v>250</v>
      </c>
      <c r="C4" s="15">
        <f t="shared" si="0"/>
        <v>250</v>
      </c>
      <c r="D4" s="15">
        <f>'HUD Appendix C Data'!$B$24</f>
        <v>176.36363636363637</v>
      </c>
    </row>
    <row r="5" spans="1:4" x14ac:dyDescent="0.3">
      <c r="A5" t="s">
        <v>73</v>
      </c>
      <c r="B5" s="13">
        <f>lighting!D4</f>
        <v>9.1324200913242013</v>
      </c>
      <c r="C5" s="13">
        <f t="shared" si="0"/>
        <v>9.1324200913242013</v>
      </c>
      <c r="D5" s="13">
        <f t="shared" si="0"/>
        <v>9.1324200913242013</v>
      </c>
    </row>
    <row r="6" spans="1:4" x14ac:dyDescent="0.3">
      <c r="A6" t="s">
        <v>80</v>
      </c>
      <c r="B6" s="13">
        <f>'HUD Appendix C Data'!B43</f>
        <v>13.533333333333333</v>
      </c>
      <c r="C6" s="13">
        <f t="shared" si="0"/>
        <v>13.533333333333333</v>
      </c>
      <c r="D6" s="13">
        <f t="shared" si="0"/>
        <v>13.533333333333333</v>
      </c>
    </row>
    <row r="7" spans="1:4" x14ac:dyDescent="0.3">
      <c r="A7" t="s">
        <v>81</v>
      </c>
      <c r="B7" s="13">
        <f>'other components'!C9</f>
        <v>15.4</v>
      </c>
      <c r="C7" s="13">
        <f t="shared" si="0"/>
        <v>15.4</v>
      </c>
      <c r="D7" s="13">
        <f t="shared" si="0"/>
        <v>15.4</v>
      </c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1DEF81-64ED-49C6-BF76-221856236EF0}"/>
</file>

<file path=customXml/itemProps2.xml><?xml version="1.0" encoding="utf-8"?>
<ds:datastoreItem xmlns:ds="http://schemas.openxmlformats.org/officeDocument/2006/customXml" ds:itemID="{7782D1EA-E647-4D14-8A3F-2D0E3C9EEA2E}"/>
</file>

<file path=customXml/itemProps3.xml><?xml version="1.0" encoding="utf-8"?>
<ds:datastoreItem xmlns:ds="http://schemas.openxmlformats.org/officeDocument/2006/customXml" ds:itemID="{33A0E0C7-E11D-4944-8239-4331B19ABF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About</vt:lpstr>
      <vt:lpstr>HUD Appendix C Data</vt:lpstr>
      <vt:lpstr>commercial</vt:lpstr>
      <vt:lpstr>lighting</vt:lpstr>
      <vt:lpstr>other components</vt:lpstr>
      <vt:lpstr>CL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Hyojin</cp:lastModifiedBy>
  <dcterms:created xsi:type="dcterms:W3CDTF">2014-04-17T22:16:55Z</dcterms:created>
  <dcterms:modified xsi:type="dcterms:W3CDTF">2025-01-22T08:46:12Z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