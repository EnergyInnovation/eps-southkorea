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EoCEDwEC\"/>
    </mc:Choice>
  </mc:AlternateContent>
  <xr:revisionPtr revIDLastSave="0" documentId="13_ncr:1_{3FBD62E1-8344-41DD-9A32-23621A92430B}" xr6:coauthVersionLast="47" xr6:coauthVersionMax="47" xr10:uidLastSave="{00000000-0000-0000-0000-000000000000}"/>
  <bookViews>
    <workbookView xWindow="18705" yWindow="45" windowWidth="19905" windowHeight="19980" xr2:uid="{00000000-000D-0000-FFFF-FFFF00000000}"/>
  </bookViews>
  <sheets>
    <sheet name="About" sheetId="1" r:id="rId1"/>
    <sheet name="EIA Table 1" sheetId="2" r:id="rId2"/>
    <sheet name="EoCEDw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5" i="3"/>
  <c r="D4" i="3"/>
  <c r="B4" i="3"/>
  <c r="D2" i="3"/>
  <c r="B2" i="3"/>
  <c r="C6" i="3" l="1"/>
  <c r="D10" i="3" l="1"/>
  <c r="D11" i="3"/>
  <c r="C4" i="3" l="1"/>
  <c r="C10" i="3" s="1"/>
  <c r="B10" i="3"/>
  <c r="C2" i="3"/>
  <c r="C11" i="3" s="1"/>
  <c r="B11" i="3"/>
  <c r="B8" i="3"/>
  <c r="B9" i="3"/>
  <c r="D3" i="3"/>
  <c r="D8" i="3"/>
  <c r="D9" i="3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<sst xmlns="http://schemas.openxmlformats.org/spreadsheetml/2006/main" count="69" uniqueCount="53">
  <si>
    <t>EoCEDwEC Elasticity of Component Energy Demand wrt Energy Cost</t>
  </si>
  <si>
    <t>Source:</t>
  </si>
  <si>
    <t>U.S. Energy Information Administration</t>
  </si>
  <si>
    <t>It includes only the "Residential" and "Commercial" sections.</t>
  </si>
  <si>
    <t>Residential</t>
  </si>
  <si>
    <t>Fuel</t>
  </si>
  <si>
    <t>1-year</t>
  </si>
  <si>
    <t>2-year</t>
  </si>
  <si>
    <t>3-year</t>
  </si>
  <si>
    <t>Electricity</t>
  </si>
  <si>
    <t>Natural Gas</t>
  </si>
  <si>
    <t>Distillate Fuel</t>
  </si>
  <si>
    <t>Short-Run Own-Price Elasticity</t>
  </si>
  <si>
    <t>Long-Run Own-Price and Cross-Price Elasticity</t>
  </si>
  <si>
    <t>Commercial</t>
  </si>
  <si>
    <t>electricity</t>
  </si>
  <si>
    <t>coal</t>
  </si>
  <si>
    <t>natural gas</t>
  </si>
  <si>
    <t>petroleum diesel</t>
  </si>
  <si>
    <t>heat</t>
  </si>
  <si>
    <t>Note:</t>
  </si>
  <si>
    <t>change rather than equipment change, and the response of behavior to price per unit service</t>
  </si>
  <si>
    <t>provided (that is, controlling for things like efficiency of equipment) should be constant at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</si>
  <si>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</si>
  <si>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</si>
  <si>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</si>
  <si>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</si>
  <si>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</si>
  <si>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</si>
  <si>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</si>
  <si>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</si>
  <si>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</si>
  <si>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Urban Residential</t>
  </si>
  <si>
    <t>Rural Residential</t>
  </si>
  <si>
    <t>biomass</t>
  </si>
  <si>
    <t>We assume that biomass (wood) used in buildings is harvested by building users and</t>
  </si>
  <si>
    <t>therefore wood consumption is inelastic with respect to the price of wood in stores.</t>
  </si>
  <si>
    <t>kerosene</t>
  </si>
  <si>
    <t>heavy or residual fuel oil</t>
  </si>
  <si>
    <t>LPG propane or butane</t>
  </si>
  <si>
    <t>hydrogen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</si>
  <si>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</si>
  <si>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</si>
  <si>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</si>
  <si>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</si>
  <si>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Elasticity by Fuel (dimensionless)</t>
  </si>
  <si>
    <t>https://www.eia.gov/analysis/studies/buildings/energyuse/pdf/price_elasticities.pdf</t>
  </si>
  <si>
    <t>Price Elasticities for Energy Use in Buildings of the United States</t>
  </si>
  <si>
    <t>Appendix</t>
  </si>
  <si>
    <t>We use same-price, long-run elasticities minus the 3-year short-run elasticities.</t>
  </si>
  <si>
    <t>We calculate it this way because we assume that 3-year elasticities primarily reflect behavior</t>
  </si>
  <si>
    <t>all timescales.  So, the portion of the long-run elasticitiy represented by the 3-year elasticity</t>
  </si>
  <si>
    <t>This is a subset of Table 1 that includes only values from AEO2003 (not AEO99).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</si>
</sst>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nergyuse/pdf/price_elasticit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4" sqref="B4"/>
    </sheetView>
  </sheetViews>
  <sheetFormatPr defaultRowHeight="16.5" x14ac:dyDescent="0.3"/>
  <cols>
    <col min="2" max="2" width="67.3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s="23">
        <v>2021</v>
      </c>
    </row>
    <row r="5" spans="1:2" x14ac:dyDescent="0.3">
      <c r="B5" t="s">
        <v>47</v>
      </c>
    </row>
    <row r="6" spans="1:2" x14ac:dyDescent="0.3">
      <c r="B6" s="2" t="s">
        <v>46</v>
      </c>
    </row>
    <row r="7" spans="1:2" x14ac:dyDescent="0.3">
      <c r="B7" t="s">
        <v>48</v>
      </c>
    </row>
    <row r="9" spans="1:2" x14ac:dyDescent="0.3">
      <c r="A9" s="1" t="s">
        <v>20</v>
      </c>
    </row>
    <row r="10" spans="1:2" x14ac:dyDescent="0.3">
      <c r="A10" t="s">
        <v>49</v>
      </c>
    </row>
    <row r="11" spans="1:2" x14ac:dyDescent="0.3">
      <c r="A11" t="s">
        <v>50</v>
      </c>
    </row>
    <row r="12" spans="1:2" x14ac:dyDescent="0.3">
      <c r="A12" t="s">
        <v>21</v>
      </c>
    </row>
    <row r="13" spans="1:2" x14ac:dyDescent="0.3">
      <c r="A13" t="s">
        <v>22</v>
      </c>
    </row>
    <row r="14" spans="1:2" x14ac:dyDescent="0.3">
      <c r="A14" t="s">
        <v>51</v>
      </c>
    </row>
    <row r="15" spans="1:2" x14ac:dyDescent="0.3">
      <c r="A15" t="s">
        <v>23</v>
      </c>
    </row>
    <row r="16" spans="1:2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20" spans="1:1" x14ac:dyDescent="0.3">
      <c r="A20" t="s">
        <v>27</v>
      </c>
    </row>
    <row r="21" spans="1:1" x14ac:dyDescent="0.3">
      <c r="A21" t="s">
        <v>28</v>
      </c>
    </row>
    <row r="22" spans="1:1" x14ac:dyDescent="0.3">
      <c r="A22" t="s">
        <v>29</v>
      </c>
    </row>
    <row r="23" spans="1:1" x14ac:dyDescent="0.3">
      <c r="A23" t="s">
        <v>30</v>
      </c>
    </row>
    <row r="24" spans="1:1" x14ac:dyDescent="0.3">
      <c r="A24" t="s">
        <v>31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41</v>
      </c>
    </row>
    <row r="29" spans="1:1" x14ac:dyDescent="0.3">
      <c r="A29" t="s">
        <v>42</v>
      </c>
    </row>
    <row r="30" spans="1:1" x14ac:dyDescent="0.3">
      <c r="A30" t="s">
        <v>43</v>
      </c>
    </row>
    <row r="31" spans="1:1" x14ac:dyDescent="0.3">
      <c r="A31" t="s">
        <v>44</v>
      </c>
    </row>
  </sheetData>
  <phoneticPr fontId="3" type="noConversion"/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F12" sqref="F12"/>
    </sheetView>
  </sheetViews>
  <sheetFormatPr defaultRowHeight="16.5" x14ac:dyDescent="0.3"/>
  <cols>
    <col min="1" max="1" width="16.875" customWidth="1"/>
    <col min="2" max="2" width="11.25" customWidth="1"/>
    <col min="3" max="3" width="10.375" customWidth="1"/>
    <col min="4" max="4" width="9.875" customWidth="1"/>
    <col min="5" max="5" width="13.875" customWidth="1"/>
    <col min="6" max="6" width="12.625" customWidth="1"/>
    <col min="7" max="7" width="15.125" customWidth="1"/>
  </cols>
  <sheetData>
    <row r="1" spans="1:7" x14ac:dyDescent="0.3">
      <c r="A1" t="s">
        <v>52</v>
      </c>
    </row>
    <row r="2" spans="1:7" x14ac:dyDescent="0.3">
      <c r="A2" t="s">
        <v>3</v>
      </c>
    </row>
    <row r="4" spans="1:7" ht="17.25" thickBot="1" x14ac:dyDescent="0.35">
      <c r="A4" s="17" t="s">
        <v>4</v>
      </c>
      <c r="B4" s="18"/>
      <c r="C4" s="18"/>
      <c r="D4" s="18"/>
      <c r="E4" s="18"/>
      <c r="F4" s="18"/>
      <c r="G4" s="18"/>
    </row>
    <row r="5" spans="1:7" x14ac:dyDescent="0.3">
      <c r="A5" s="11"/>
      <c r="B5" s="3" t="s">
        <v>12</v>
      </c>
      <c r="C5" s="4"/>
      <c r="D5" s="5"/>
      <c r="E5" s="3" t="s">
        <v>13</v>
      </c>
      <c r="F5" s="4"/>
      <c r="G5" s="5"/>
    </row>
    <row r="6" spans="1:7" x14ac:dyDescent="0.3">
      <c r="A6" s="12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6" t="s">
        <v>11</v>
      </c>
    </row>
    <row r="7" spans="1:7" x14ac:dyDescent="0.3">
      <c r="A7" s="12" t="s">
        <v>9</v>
      </c>
      <c r="B7" s="6">
        <v>-0.12</v>
      </c>
      <c r="C7">
        <v>-0.21</v>
      </c>
      <c r="D7" s="7">
        <v>-0.25</v>
      </c>
      <c r="E7" s="6">
        <v>-0.28000000000000003</v>
      </c>
      <c r="F7">
        <v>0</v>
      </c>
      <c r="G7" s="7">
        <v>0</v>
      </c>
    </row>
    <row r="8" spans="1:7" x14ac:dyDescent="0.3">
      <c r="A8" s="12" t="s">
        <v>10</v>
      </c>
      <c r="B8" s="6">
        <v>-7.0000000000000007E-2</v>
      </c>
      <c r="C8">
        <v>-0.13</v>
      </c>
      <c r="D8" s="7">
        <v>-0.15</v>
      </c>
      <c r="E8" s="6">
        <v>0.03</v>
      </c>
      <c r="F8">
        <v>-0.21</v>
      </c>
      <c r="G8" s="7">
        <v>0</v>
      </c>
    </row>
    <row r="9" spans="1:7" ht="17.25" thickBot="1" x14ac:dyDescent="0.35">
      <c r="A9" s="13" t="s">
        <v>11</v>
      </c>
      <c r="B9" s="8">
        <v>-7.0000000000000007E-2</v>
      </c>
      <c r="C9" s="9">
        <v>-0.12</v>
      </c>
      <c r="D9" s="10">
        <v>-0.14000000000000001</v>
      </c>
      <c r="E9" s="8">
        <v>0</v>
      </c>
      <c r="F9" s="9">
        <v>0</v>
      </c>
      <c r="G9" s="10">
        <v>-0.22</v>
      </c>
    </row>
    <row r="11" spans="1:7" ht="17.25" thickBot="1" x14ac:dyDescent="0.35">
      <c r="A11" s="17" t="s">
        <v>14</v>
      </c>
      <c r="B11" s="18"/>
      <c r="C11" s="18"/>
      <c r="D11" s="18"/>
      <c r="E11" s="18"/>
      <c r="F11" s="18"/>
      <c r="G11" s="18"/>
    </row>
    <row r="12" spans="1:7" x14ac:dyDescent="0.3">
      <c r="A12" s="11"/>
      <c r="B12" s="3" t="s">
        <v>12</v>
      </c>
      <c r="C12" s="4"/>
      <c r="D12" s="5"/>
      <c r="E12" s="3" t="s">
        <v>13</v>
      </c>
      <c r="F12" s="4"/>
      <c r="G12" s="5"/>
    </row>
    <row r="13" spans="1:7" x14ac:dyDescent="0.3">
      <c r="A13" s="12" t="s">
        <v>5</v>
      </c>
      <c r="B13" s="14" t="s">
        <v>6</v>
      </c>
      <c r="C13" s="15" t="s">
        <v>7</v>
      </c>
      <c r="D13" s="16" t="s">
        <v>8</v>
      </c>
      <c r="E13" s="14" t="s">
        <v>9</v>
      </c>
      <c r="F13" s="15" t="s">
        <v>10</v>
      </c>
      <c r="G13" s="16" t="s">
        <v>11</v>
      </c>
    </row>
    <row r="14" spans="1:7" x14ac:dyDescent="0.3">
      <c r="A14" s="12" t="s">
        <v>9</v>
      </c>
      <c r="B14" s="6">
        <v>-0.11</v>
      </c>
      <c r="C14">
        <v>-0.18</v>
      </c>
      <c r="D14" s="7">
        <v>-0.22</v>
      </c>
      <c r="E14" s="6">
        <v>-0.33</v>
      </c>
      <c r="F14">
        <v>0.09</v>
      </c>
      <c r="G14" s="7">
        <v>0</v>
      </c>
    </row>
    <row r="15" spans="1:7" x14ac:dyDescent="0.3">
      <c r="A15" s="12" t="s">
        <v>10</v>
      </c>
      <c r="B15" s="6">
        <v>-0.15</v>
      </c>
      <c r="C15">
        <v>-0.25</v>
      </c>
      <c r="D15" s="7">
        <v>-0.3</v>
      </c>
      <c r="E15" s="6">
        <v>0.15</v>
      </c>
      <c r="F15">
        <v>-0.57999999999999996</v>
      </c>
      <c r="G15" s="7">
        <v>0.02</v>
      </c>
    </row>
    <row r="16" spans="1:7" ht="17.25" thickBot="1" x14ac:dyDescent="0.35">
      <c r="A16" s="13" t="s">
        <v>11</v>
      </c>
      <c r="B16" s="8">
        <v>-0.14000000000000001</v>
      </c>
      <c r="C16" s="9">
        <v>-0.24</v>
      </c>
      <c r="D16" s="10">
        <v>-0.28999999999999998</v>
      </c>
      <c r="E16" s="8">
        <v>0</v>
      </c>
      <c r="F16" s="9">
        <v>0.05</v>
      </c>
      <c r="G16" s="10">
        <v>-0.42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11"/>
  <sheetViews>
    <sheetView workbookViewId="0">
      <selection activeCell="C17" sqref="C17"/>
    </sheetView>
  </sheetViews>
  <sheetFormatPr defaultRowHeight="16.5" x14ac:dyDescent="0.3"/>
  <cols>
    <col min="1" max="1" width="24.125" customWidth="1"/>
    <col min="2" max="3" width="17.125" customWidth="1"/>
    <col min="4" max="4" width="15.875" customWidth="1"/>
  </cols>
  <sheetData>
    <row r="1" spans="1:4" ht="33" x14ac:dyDescent="0.3">
      <c r="A1" s="22" t="s">
        <v>45</v>
      </c>
      <c r="B1" s="19" t="s">
        <v>32</v>
      </c>
      <c r="C1" s="19" t="s">
        <v>33</v>
      </c>
      <c r="D1" s="19" t="s">
        <v>14</v>
      </c>
    </row>
    <row r="2" spans="1:4" x14ac:dyDescent="0.3">
      <c r="A2" t="s">
        <v>15</v>
      </c>
      <c r="B2" s="21">
        <f>'EIA Table 1'!E7-'EIA Table 1'!D7</f>
        <v>-3.0000000000000027E-2</v>
      </c>
      <c r="C2" s="21">
        <f>B2</f>
        <v>-3.0000000000000027E-2</v>
      </c>
      <c r="D2" s="21">
        <f>'EIA Table 1'!E14-'EIA Table 1'!D14</f>
        <v>-0.11000000000000001</v>
      </c>
    </row>
    <row r="3" spans="1:4" x14ac:dyDescent="0.3">
      <c r="A3" t="s">
        <v>16</v>
      </c>
      <c r="B3" s="20">
        <f>B5</f>
        <v>-7.9999999999999988E-2</v>
      </c>
      <c r="C3" s="20">
        <f t="shared" ref="C3:C6" si="0">B3</f>
        <v>-7.9999999999999988E-2</v>
      </c>
      <c r="D3" s="20">
        <f>D5</f>
        <v>-0.13</v>
      </c>
    </row>
    <row r="4" spans="1:4" x14ac:dyDescent="0.3">
      <c r="A4" t="s">
        <v>17</v>
      </c>
      <c r="B4" s="21">
        <f>'EIA Table 1'!F8-'EIA Table 1'!D8</f>
        <v>-0.06</v>
      </c>
      <c r="C4" s="21">
        <f t="shared" si="0"/>
        <v>-0.06</v>
      </c>
      <c r="D4" s="21">
        <f>'EIA Table 1'!F15-'EIA Table 1'!D15</f>
        <v>-0.27999999999999997</v>
      </c>
    </row>
    <row r="5" spans="1:4" x14ac:dyDescent="0.3">
      <c r="A5" t="s">
        <v>18</v>
      </c>
      <c r="B5" s="21">
        <f>'EIA Table 1'!G9-'EIA Table 1'!D9</f>
        <v>-7.9999999999999988E-2</v>
      </c>
      <c r="C5" s="21">
        <f t="shared" si="0"/>
        <v>-7.9999999999999988E-2</v>
      </c>
      <c r="D5" s="21">
        <f>'EIA Table 1'!G16-'EIA Table 1'!D16</f>
        <v>-0.13</v>
      </c>
    </row>
    <row r="6" spans="1:4" x14ac:dyDescent="0.3">
      <c r="A6" t="s">
        <v>19</v>
      </c>
      <c r="B6">
        <v>0</v>
      </c>
      <c r="C6">
        <f t="shared" si="0"/>
        <v>0</v>
      </c>
      <c r="D6">
        <v>0</v>
      </c>
    </row>
    <row r="7" spans="1:4" x14ac:dyDescent="0.3">
      <c r="A7" t="s">
        <v>34</v>
      </c>
      <c r="B7">
        <v>0</v>
      </c>
      <c r="C7">
        <v>0</v>
      </c>
      <c r="D7">
        <v>0</v>
      </c>
    </row>
    <row r="8" spans="1:4" x14ac:dyDescent="0.3">
      <c r="A8" t="s">
        <v>37</v>
      </c>
      <c r="B8" s="20">
        <f>B5</f>
        <v>-7.9999999999999988E-2</v>
      </c>
      <c r="C8" s="20">
        <f t="shared" ref="C8:D8" si="1">C5</f>
        <v>-7.9999999999999988E-2</v>
      </c>
      <c r="D8" s="20">
        <f t="shared" si="1"/>
        <v>-0.13</v>
      </c>
    </row>
    <row r="9" spans="1:4" x14ac:dyDescent="0.3">
      <c r="A9" t="s">
        <v>38</v>
      </c>
      <c r="B9" s="20">
        <f>B5</f>
        <v>-7.9999999999999988E-2</v>
      </c>
      <c r="C9" s="20">
        <f t="shared" ref="C9:D9" si="2">C5</f>
        <v>-7.9999999999999988E-2</v>
      </c>
      <c r="D9" s="20">
        <f t="shared" si="2"/>
        <v>-0.13</v>
      </c>
    </row>
    <row r="10" spans="1:4" x14ac:dyDescent="0.3">
      <c r="A10" t="s">
        <v>39</v>
      </c>
      <c r="B10" s="20">
        <f>B4</f>
        <v>-0.06</v>
      </c>
      <c r="C10" s="20">
        <f t="shared" ref="C10:D10" si="3">C4</f>
        <v>-0.06</v>
      </c>
      <c r="D10" s="20">
        <f t="shared" si="3"/>
        <v>-0.27999999999999997</v>
      </c>
    </row>
    <row r="11" spans="1:4" x14ac:dyDescent="0.3">
      <c r="A11" t="s">
        <v>40</v>
      </c>
      <c r="B11" s="20">
        <f>B2</f>
        <v>-3.0000000000000027E-2</v>
      </c>
      <c r="C11" s="20">
        <f t="shared" ref="C11:D11" si="4">C2</f>
        <v>-3.0000000000000027E-2</v>
      </c>
      <c r="D11" s="20">
        <f t="shared" si="4"/>
        <v>-0.11000000000000001</v>
      </c>
    </row>
  </sheetData>
  <phoneticPr fontId="3" type="noConversion"/>
  <pageMargins left="0.7" right="0.7" top="0.75" bottom="0.75" header="0.3" footer="0.3"/>
  <ignoredErrors>
    <ignoredError sqref="C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86AE1F-586A-4325-87F9-78F8F3D1B43B}"/>
</file>

<file path=customXml/itemProps2.xml><?xml version="1.0" encoding="utf-8"?>
<ds:datastoreItem xmlns:ds="http://schemas.openxmlformats.org/officeDocument/2006/customXml" ds:itemID="{AF2C730C-3181-4F0E-B421-673A5D72627D}"/>
</file>

<file path=customXml/itemProps3.xml><?xml version="1.0" encoding="utf-8"?>
<ds:datastoreItem xmlns:ds="http://schemas.openxmlformats.org/officeDocument/2006/customXml" ds:itemID="{B6F7612B-D3D6-40E3-A7AB-F2A5BFA63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EIA Table 1</vt:lpstr>
      <vt:lpstr>EoCEDwEC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2015-06-22T19:56:27Z</dcterms:created>
  <dcterms:modified xsi:type="dcterms:W3CDTF">2025-01-22T04:21:27Z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