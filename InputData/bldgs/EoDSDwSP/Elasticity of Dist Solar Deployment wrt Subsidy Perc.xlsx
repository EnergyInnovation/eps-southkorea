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231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administer\Dropbox\kjh\2025\02. EPS\EI\251020_메일회신\회신용 파일\"/>
    </mc:Choice>
  </mc:AlternateContent>
  <xr:revisionPtr revIDLastSave="0" documentId="8_{FDDE2B77-9DC7-43D0-B0C7-D331A5FB5BA9}" xr6:coauthVersionLast="47" xr6:coauthVersionMax="47" xr10:uidLastSave="{00000000-0000-0000-0000-000000000000}"/>
  <bookViews>
    <workbookView xWindow="14295" yWindow="0" windowWidth="14610" windowHeight="15585" xr2:uid="{00000000-000D-0000-FFFF-FFFF00000000}"/>
  </bookViews>
  <sheets>
    <sheet name="About" sheetId="1" r:id="rId1"/>
    <sheet name="Calculations" sheetId="3" r:id="rId2"/>
    <sheet name="EoDSDwSP" sheetId="4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" i="3" l="1"/>
  <c r="B10" i="3" s="1"/>
  <c r="B4" i="4" s="1"/>
  <c r="D2" i="3"/>
  <c r="B9" i="3" l="1"/>
  <c r="B2" i="4" s="1"/>
  <c r="B3" i="4" s="1"/>
</calcChain>
</file>

<file path=xl/sharedStrings.xml><?xml version="1.0" encoding="utf-8"?>
<sst xmlns="http://schemas.openxmlformats.org/spreadsheetml/2006/main" count="27" uniqueCount="24">
  <si>
    <t>Source:</t>
  </si>
  <si>
    <t>Residential</t>
  </si>
  <si>
    <t>Commercial</t>
  </si>
  <si>
    <t>Type</t>
  </si>
  <si>
    <t>ITC Incentive Level</t>
  </si>
  <si>
    <t>Elasticity of Distributed Solar Deployment with respect to ITC Incentive Level</t>
  </si>
  <si>
    <t>Bloomberg New Energy Finance</t>
  </si>
  <si>
    <t>How extending the investment tax credit would affect US solar build</t>
  </si>
  <si>
    <t>http://www.seia.org/sites/default/files/resources/BNEF_SEIA%20Solar%20Forecast_15%20September%202015.pdf</t>
  </si>
  <si>
    <t>Page 3 ("Residential") and Page 4 ("Commercial and Industrial")</t>
  </si>
  <si>
    <t>EoDSDwSP Elasticity of Distributed Solar Deployment wrt Subsidy Perc</t>
  </si>
  <si>
    <t>of system cost</t>
  </si>
  <si>
    <t>% Increase due to ITC</t>
  </si>
  <si>
    <t>BAU Deployment 2015-2022 (GW)</t>
  </si>
  <si>
    <t>Deployment with Extended ITC 2015-2022 (GW)</t>
  </si>
  <si>
    <t>Urban Residential</t>
  </si>
  <si>
    <t>Rural Residential</t>
  </si>
  <si>
    <t>Notes:</t>
  </si>
  <si>
    <t>Elasticities intended to reflect change in deployment with changing</t>
  </si>
  <si>
    <t>distributed solar price (through subsidies).</t>
  </si>
  <si>
    <t>Elasticity (dimensionless)</t>
  </si>
  <si>
    <t>Since precise statistics are unavailable, adopt the U.S. data by referencing past cases where aggressive support policies significantly expanded domestic PV penetration.</t>
  </si>
  <si>
    <t xml:space="preserve">Note of Korea Data: </t>
    <phoneticPr fontId="3" type="noConversion"/>
  </si>
  <si>
    <t>https://test.hri.co.kr/kor/report/report-view.html?mode=4&amp;uid=15265&amp;search=&amp;page=397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</si>
</sst>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00"/>
  </numFmts>
  <fonts count="5" x14ac:knownFonts="1">
    <font>
      <sz val="11"/>
      <color theme="1"/>
      <name val="맑은 고딕"/>
      <family val="2"/>
      <scheme val="minor"/>
    </font>
    <font>
      <b/>
      <sz val="11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8">
    <xf numFmtId="0" fontId="0" fillId="0" borderId="0" xfId="0"/>
    <xf numFmtId="0" fontId="1" fillId="0" borderId="0" xfId="0" applyFont="1"/>
    <xf numFmtId="0" fontId="0" fillId="0" borderId="0" xfId="0" applyAlignment="1">
      <alignment horizontal="left"/>
    </xf>
    <xf numFmtId="0" fontId="1" fillId="0" borderId="0" xfId="0" applyFont="1" applyAlignment="1">
      <alignment horizontal="right"/>
    </xf>
    <xf numFmtId="10" fontId="0" fillId="0" borderId="0" xfId="1" applyNumberFormat="1" applyFont="1"/>
    <xf numFmtId="9" fontId="0" fillId="0" borderId="0" xfId="0" applyNumberFormat="1"/>
    <xf numFmtId="176" fontId="0" fillId="0" borderId="0" xfId="0" applyNumberFormat="1"/>
    <xf numFmtId="0" fontId="4" fillId="0" borderId="0" xfId="0" applyFont="1"/>
  </cellXfs>
  <cellStyles count="2">
    <cellStyle name="백분율" xfId="1" builtinId="5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5"/>
  <sheetViews>
    <sheetView tabSelected="1" workbookViewId="0">
      <selection activeCell="A16" sqref="A16"/>
    </sheetView>
  </sheetViews>
  <sheetFormatPr defaultRowHeight="16.5" x14ac:dyDescent="0.3"/>
  <sheetData>
    <row r="1" spans="1:2" x14ac:dyDescent="0.3">
      <c r="A1" s="1" t="s">
        <v>10</v>
      </c>
    </row>
    <row r="3" spans="1:2" x14ac:dyDescent="0.3">
      <c r="A3" s="1" t="s">
        <v>0</v>
      </c>
      <c r="B3" t="s">
        <v>6</v>
      </c>
    </row>
    <row r="4" spans="1:2" x14ac:dyDescent="0.3">
      <c r="B4" s="2">
        <v>2015</v>
      </c>
    </row>
    <row r="5" spans="1:2" x14ac:dyDescent="0.3">
      <c r="B5" t="s">
        <v>7</v>
      </c>
    </row>
    <row r="6" spans="1:2" x14ac:dyDescent="0.3">
      <c r="B6" t="s">
        <v>8</v>
      </c>
    </row>
    <row r="7" spans="1:2" x14ac:dyDescent="0.3">
      <c r="B7" t="s">
        <v>9</v>
      </c>
    </row>
    <row r="9" spans="1:2" x14ac:dyDescent="0.3">
      <c r="A9" s="1" t="s">
        <v>17</v>
      </c>
    </row>
    <row r="10" spans="1:2" x14ac:dyDescent="0.3">
      <c r="A10" t="s">
        <v>18</v>
      </c>
    </row>
    <row r="11" spans="1:2" x14ac:dyDescent="0.3">
      <c r="A11" t="s">
        <v>19</v>
      </c>
    </row>
    <row r="13" spans="1:2" x14ac:dyDescent="0.3">
      <c r="A13" s="7" t="s">
        <v>22</v>
      </c>
    </row>
    <row r="14" spans="1:2" x14ac:dyDescent="0.3">
      <c r="A14" t="s">
        <v>21</v>
      </c>
    </row>
    <row r="15" spans="1:2" x14ac:dyDescent="0.3">
      <c r="A15" t="s">
        <v>23</v>
      </c>
    </row>
  </sheetData>
  <phoneticPr fontId="3" type="noConversion"/>
  <pageMargins left="0.7" right="0.7" top="0.75" bottom="0.75" header="0.3" footer="0.3"/>
  <pageSetup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10"/>
  <sheetViews>
    <sheetView workbookViewId="0">
      <selection activeCell="B20" sqref="B20"/>
    </sheetView>
  </sheetViews>
  <sheetFormatPr defaultRowHeight="16.5" x14ac:dyDescent="0.3"/>
  <cols>
    <col min="1" max="1" width="20" customWidth="1"/>
    <col min="2" max="2" width="35.125" customWidth="1"/>
    <col min="3" max="3" width="45.375" customWidth="1"/>
    <col min="4" max="4" width="22.75" customWidth="1"/>
  </cols>
  <sheetData>
    <row r="1" spans="1:4" x14ac:dyDescent="0.3">
      <c r="A1" s="1" t="s">
        <v>3</v>
      </c>
      <c r="B1" s="3" t="s">
        <v>13</v>
      </c>
      <c r="C1" s="3" t="s">
        <v>14</v>
      </c>
      <c r="D1" s="3" t="s">
        <v>12</v>
      </c>
    </row>
    <row r="2" spans="1:4" x14ac:dyDescent="0.3">
      <c r="A2" t="s">
        <v>1</v>
      </c>
      <c r="B2">
        <v>15.7</v>
      </c>
      <c r="C2">
        <v>22.6</v>
      </c>
      <c r="D2" s="4">
        <f>(C2-B2)/B2</f>
        <v>0.43949044585987279</v>
      </c>
    </row>
    <row r="3" spans="1:4" x14ac:dyDescent="0.3">
      <c r="A3" t="s">
        <v>2</v>
      </c>
      <c r="B3">
        <v>12.9</v>
      </c>
      <c r="C3">
        <v>17.8</v>
      </c>
      <c r="D3" s="4">
        <f>(C3-B3)/B3</f>
        <v>0.37984496124031009</v>
      </c>
    </row>
    <row r="5" spans="1:4" x14ac:dyDescent="0.3">
      <c r="A5" s="3" t="s">
        <v>4</v>
      </c>
    </row>
    <row r="6" spans="1:4" x14ac:dyDescent="0.3">
      <c r="A6" s="5">
        <v>0.3</v>
      </c>
      <c r="B6" t="s">
        <v>11</v>
      </c>
    </row>
    <row r="8" spans="1:4" x14ac:dyDescent="0.3">
      <c r="A8" s="1" t="s">
        <v>5</v>
      </c>
    </row>
    <row r="9" spans="1:4" x14ac:dyDescent="0.3">
      <c r="A9" t="s">
        <v>1</v>
      </c>
      <c r="B9" s="6">
        <f>D2/$A$6</f>
        <v>1.4649681528662426</v>
      </c>
    </row>
    <row r="10" spans="1:4" x14ac:dyDescent="0.3">
      <c r="A10" t="s">
        <v>2</v>
      </c>
      <c r="B10" s="6">
        <f>D3/$A$6</f>
        <v>1.2661498708010337</v>
      </c>
    </row>
  </sheetData>
  <phoneticPr fontId="3" type="noConversion"/>
  <pageMargins left="0.7" right="0.7" top="0.75" bottom="0.75" header="0.3" footer="0.3"/>
  <pageSetup orientation="portrait" horizontalDpi="1200" verticalDpi="12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3"/>
  </sheetPr>
  <dimension ref="A1:B4"/>
  <sheetViews>
    <sheetView workbookViewId="0">
      <selection activeCell="B2" sqref="B2"/>
    </sheetView>
  </sheetViews>
  <sheetFormatPr defaultRowHeight="16.5" x14ac:dyDescent="0.3"/>
  <cols>
    <col min="1" max="1" width="22.125" customWidth="1"/>
  </cols>
  <sheetData>
    <row r="1" spans="1:2" x14ac:dyDescent="0.3">
      <c r="B1" t="s">
        <v>20</v>
      </c>
    </row>
    <row r="2" spans="1:2" x14ac:dyDescent="0.3">
      <c r="A2" t="s">
        <v>15</v>
      </c>
      <c r="B2" s="6">
        <f>Calculations!B9</f>
        <v>1.4649681528662426</v>
      </c>
    </row>
    <row r="3" spans="1:2" x14ac:dyDescent="0.3">
      <c r="A3" t="s">
        <v>16</v>
      </c>
      <c r="B3" s="6">
        <f>B2</f>
        <v>1.4649681528662426</v>
      </c>
    </row>
    <row r="4" spans="1:2" x14ac:dyDescent="0.3">
      <c r="A4" t="s">
        <v>2</v>
      </c>
      <c r="B4" s="6">
        <f>Calculations!B10</f>
        <v>1.2661498708010337</v>
      </c>
    </row>
  </sheetData>
  <phoneticPr fontId="3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59C87379D9A4242BB3A95F198D6F941" ma:contentTypeVersion="4" ma:contentTypeDescription="Create a new document." ma:contentTypeScope="" ma:versionID="07a235b40ffe2d9a960bde50f6511605">
  <xsd:schema xmlns:xsd="http://www.w3.org/2001/XMLSchema" xmlns:xs="http://www.w3.org/2001/XMLSchema" xmlns:p="http://schemas.microsoft.com/office/2006/metadata/properties" xmlns:ns2="40f4d404-d193-41dc-bb72-733c1e774208" targetNamespace="http://schemas.microsoft.com/office/2006/metadata/properties" ma:root="true" ma:fieldsID="485fc8e6f691b86ce0aee9b7e82feca0" ns2:_="">
    <xsd:import namespace="40f4d404-d193-41dc-bb72-733c1e77420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0f4d404-d193-41dc-bb72-733c1e77420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6A8269B0-4DEE-42CF-A1D2-76C3BE659685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33ABAF6F-4A7A-4EA0-8105-5D600EC1851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0f4d404-d193-41dc-bb72-733c1e77420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39DCB46C-0742-4603-A7BF-23FDE354CD77}">
  <ds:schemaRefs>
    <ds:schemaRef ds:uri="http://schemas.microsoft.com/office/2006/metadata/properties"/>
    <ds:schemaRef ds:uri="http://schemas.microsoft.com/office/infopath/2007/PartnerControl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About</vt:lpstr>
      <vt:lpstr>Calculations</vt:lpstr>
      <vt:lpstr>EoDSDwSP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공용계정2</cp:lastModifiedBy>
  <dcterms:created xsi:type="dcterms:W3CDTF">2016-01-27T19:29:47Z</dcterms:created>
  <dcterms:modified xsi:type="dcterms:W3CDTF">2025-10-20T08:34:52Z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0x010100E59C87379D9A4242BB3A95F198D6F941</vt:lpwstr>
  </property>
</Properties>
</file>