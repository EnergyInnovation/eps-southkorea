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kjh_local\NEXTgroup_local\2025_local\2. EPS\업데이트 파일\eps-southkorea-3.3.1_2025update_v4.0.3\InputData\bldgs\SYDEC\"/>
    </mc:Choice>
  </mc:AlternateContent>
  <xr:revisionPtr revIDLastSave="0" documentId="13_ncr:1_{F5C5CF29-75C1-4297-BED8-6C3C181082EF}" xr6:coauthVersionLast="47" xr6:coauthVersionMax="47" xr10:uidLastSave="{00000000-0000-0000-0000-000000000000}"/>
  <bookViews>
    <workbookView xWindow="-105" yWindow="0" windowWidth="14610" windowHeight="15585" tabRatio="670" activeTab="4" xr2:uid="{00000000-000D-0000-FFFF-FFFF00000000}"/>
  </bookViews>
  <sheets>
    <sheet name="About" sheetId="23" r:id="rId1"/>
    <sheet name="KNREC" sheetId="24" r:id="rId2"/>
    <sheet name="KOSIS" sheetId="27" r:id="rId3"/>
    <sheet name="Calculations" sheetId="26" r:id="rId4"/>
    <sheet name="SYDEC" sheetId="6" r:id="rId5"/>
  </sheets>
  <externalReferences>
    <externalReference r:id="rId6"/>
  </externalReferences>
  <definedNames>
    <definedName name="billion_kw_to_MW" localSheetId="2">[1]About!#REF!</definedName>
    <definedName name="billion_kw_to_MW">#REF!</definedName>
    <definedName name="gigwatt_to_megawatt" localSheetId="2">[1]About!#REF!</definedName>
    <definedName name="gigwatt_to_megawatt">#REF!</definedName>
    <definedName name="GW_to_MW">#REF!</definedName>
    <definedName name="Percent_rural" localSheetId="2">[1]About!#REF!</definedName>
    <definedName name="Percent_rural">#REF!</definedName>
    <definedName name="Percent_Urban" localSheetId="2">[1]About!#REF!</definedName>
    <definedName name="Percent_Urba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8" i="27" l="1"/>
  <c r="J8" i="27" s="1"/>
  <c r="C26" i="27" s="1"/>
  <c r="K26" i="26" s="1"/>
  <c r="E120" i="24"/>
  <c r="E119" i="24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J27" i="26"/>
  <c r="O25" i="26"/>
  <c r="Q25" i="26"/>
  <c r="R25" i="26"/>
  <c r="S25" i="26"/>
  <c r="F48" i="26"/>
  <c r="F39" i="26"/>
  <c r="B36" i="26" s="1"/>
  <c r="F36" i="26" s="1"/>
  <c r="F8" i="26" s="1"/>
  <c r="B7" i="6" s="1"/>
  <c r="Q25" i="27"/>
  <c r="Y25" i="26" s="1"/>
  <c r="P25" i="27"/>
  <c r="X25" i="26" s="1"/>
  <c r="I23" i="27"/>
  <c r="R25" i="27" s="1"/>
  <c r="Z25" i="26" s="1"/>
  <c r="I22" i="27"/>
  <c r="J22" i="27" s="1"/>
  <c r="Q26" i="27" s="1"/>
  <c r="Y26" i="26" s="1"/>
  <c r="I21" i="27"/>
  <c r="J21" i="27" s="1"/>
  <c r="P26" i="27" s="1"/>
  <c r="X26" i="26" s="1"/>
  <c r="I20" i="27"/>
  <c r="J20" i="27" s="1"/>
  <c r="O26" i="27" s="1"/>
  <c r="W26" i="26" s="1"/>
  <c r="I19" i="27"/>
  <c r="J19" i="27" s="1"/>
  <c r="N26" i="27" s="1"/>
  <c r="V26" i="26" s="1"/>
  <c r="I18" i="27"/>
  <c r="J18" i="27" s="1"/>
  <c r="M26" i="27" s="1"/>
  <c r="U26" i="26" s="1"/>
  <c r="I17" i="27"/>
  <c r="J17" i="27" s="1"/>
  <c r="L26" i="27" s="1"/>
  <c r="T26" i="26" s="1"/>
  <c r="I16" i="27"/>
  <c r="K25" i="27" s="1"/>
  <c r="I15" i="27"/>
  <c r="J25" i="27" s="1"/>
  <c r="I14" i="27"/>
  <c r="I25" i="27" s="1"/>
  <c r="I13" i="27"/>
  <c r="H25" i="27" s="1"/>
  <c r="P25" i="26" s="1"/>
  <c r="I12" i="27"/>
  <c r="G25" i="27" s="1"/>
  <c r="I11" i="27"/>
  <c r="F25" i="27" s="1"/>
  <c r="N25" i="26" s="1"/>
  <c r="I10" i="27"/>
  <c r="J10" i="27" s="1"/>
  <c r="E26" i="27" s="1"/>
  <c r="M26" i="26" s="1"/>
  <c r="I9" i="27"/>
  <c r="J9" i="27" s="1"/>
  <c r="D26" i="27" s="1"/>
  <c r="L26" i="26" s="1"/>
  <c r="I7" i="27"/>
  <c r="J7" i="27" s="1"/>
  <c r="B26" i="27" s="1"/>
  <c r="J26" i="26" s="1"/>
  <c r="I6" i="27"/>
  <c r="J6" i="27" s="1"/>
  <c r="B45" i="26"/>
  <c r="F45" i="26" s="1"/>
  <c r="F7" i="26" s="1"/>
  <c r="B6" i="6" s="1"/>
  <c r="B46" i="26"/>
  <c r="F46" i="26" s="1"/>
  <c r="G7" i="26" s="1"/>
  <c r="C6" i="6" s="1"/>
  <c r="B47" i="26"/>
  <c r="F47" i="26" s="1"/>
  <c r="H7" i="26" s="1"/>
  <c r="D6" i="6" s="1"/>
  <c r="F49" i="26"/>
  <c r="E1" i="26"/>
  <c r="C2" i="6"/>
  <c r="D2" i="6"/>
  <c r="C3" i="6"/>
  <c r="D3" i="6"/>
  <c r="C5" i="6"/>
  <c r="D5" i="6"/>
  <c r="B37" i="26"/>
  <c r="F37" i="26" s="1"/>
  <c r="G8" i="26" s="1"/>
  <c r="C7" i="6" s="1"/>
  <c r="C9" i="6"/>
  <c r="D9" i="6"/>
  <c r="C10" i="6"/>
  <c r="D10" i="6"/>
  <c r="C11" i="6"/>
  <c r="D11" i="6"/>
  <c r="C12" i="6"/>
  <c r="D12" i="6"/>
  <c r="C13" i="6"/>
  <c r="D13" i="6"/>
  <c r="C14" i="6"/>
  <c r="D14" i="6"/>
  <c r="C15" i="6"/>
  <c r="D15" i="6"/>
  <c r="C16" i="6"/>
  <c r="D16" i="6"/>
  <c r="C17" i="6"/>
  <c r="D17" i="6"/>
  <c r="C18" i="6"/>
  <c r="D18" i="6"/>
  <c r="B3" i="6"/>
  <c r="B5" i="6"/>
  <c r="B9" i="6"/>
  <c r="B10" i="6"/>
  <c r="B11" i="6"/>
  <c r="B12" i="6"/>
  <c r="B13" i="6"/>
  <c r="B14" i="6"/>
  <c r="B15" i="6"/>
  <c r="B16" i="6"/>
  <c r="B17" i="6"/>
  <c r="B18" i="6"/>
  <c r="B2" i="6"/>
  <c r="F40" i="26"/>
  <c r="B38" i="26"/>
  <c r="F38" i="26" s="1"/>
  <c r="H8" i="26" s="1"/>
  <c r="D7" i="6" s="1"/>
  <c r="F30" i="26"/>
  <c r="O25" i="27" l="1"/>
  <c r="W25" i="26" s="1"/>
  <c r="N25" i="27"/>
  <c r="V25" i="26" s="1"/>
  <c r="D25" i="27"/>
  <c r="L25" i="26" s="1"/>
  <c r="E25" i="27"/>
  <c r="M25" i="26" s="1"/>
  <c r="C25" i="27"/>
  <c r="K25" i="26" s="1"/>
  <c r="B25" i="27"/>
  <c r="J25" i="26" s="1"/>
  <c r="B28" i="26"/>
  <c r="F28" i="26" s="1"/>
  <c r="H9" i="26" s="1"/>
  <c r="D8" i="6" s="1"/>
  <c r="L25" i="27"/>
  <c r="T25" i="26" s="1"/>
  <c r="J11" i="27"/>
  <c r="F26" i="27" s="1"/>
  <c r="N26" i="26" s="1"/>
  <c r="J23" i="27"/>
  <c r="R26" i="27" s="1"/>
  <c r="Z26" i="26" s="1"/>
  <c r="M25" i="27"/>
  <c r="U25" i="26" s="1"/>
  <c r="J12" i="27"/>
  <c r="G26" i="27" s="1"/>
  <c r="O26" i="26" s="1"/>
  <c r="J13" i="27"/>
  <c r="H26" i="27" s="1"/>
  <c r="P26" i="26" s="1"/>
  <c r="J14" i="27"/>
  <c r="I26" i="27" s="1"/>
  <c r="Q26" i="26" s="1"/>
  <c r="J15" i="27"/>
  <c r="J26" i="27" s="1"/>
  <c r="R26" i="26" s="1"/>
  <c r="J16" i="27"/>
  <c r="K26" i="27" s="1"/>
  <c r="S26" i="26" s="1"/>
  <c r="B27" i="26" l="1"/>
  <c r="F27" i="26" s="1"/>
  <c r="G9" i="26" s="1"/>
  <c r="C8" i="6" s="1"/>
  <c r="B26" i="26"/>
  <c r="F26" i="26" s="1"/>
  <c r="F9" i="26" s="1"/>
  <c r="B8" i="6" s="1"/>
</calcChain>
</file>

<file path=xl/sharedStrings.xml><?xml version="1.0" encoding="utf-8"?>
<sst xmlns="http://schemas.openxmlformats.org/spreadsheetml/2006/main" count="2193" uniqueCount="264">
  <si>
    <t>natural gas nonpeaker</t>
  </si>
  <si>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</si>
  <si>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</si>
  <si>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</si>
  <si>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</si>
  <si>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</si>
  <si>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</si>
  <si>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</si>
  <si>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</si>
  <si>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Notes</t>
  </si>
  <si>
    <t>Sources: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</si>
  <si>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</si>
  <si>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</si>
  <si>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</si>
  <si>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</si>
  <si>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</si>
  <si>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</si>
  <si>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</si>
  <si>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MW</t>
  </si>
  <si>
    <t>urban residential</t>
  </si>
  <si>
    <t>rural residential</t>
  </si>
  <si>
    <t>commercial</t>
  </si>
  <si>
    <t>Total</t>
  </si>
  <si>
    <t>주) 누적 보급용량 사업용은 각 연도별 신설, 증·감설, 해지를 반영한 용량임</t>
  </si>
  <si>
    <t>20,000kW 초과</t>
  </si>
  <si>
    <t>10,000~20,000kW 이하</t>
  </si>
  <si>
    <t>5,000~10,000kW 이하</t>
  </si>
  <si>
    <t>1,000~5,000kW 이하</t>
  </si>
  <si>
    <t>500~1,000kW 이하</t>
  </si>
  <si>
    <t>100~500kW 이하</t>
  </si>
  <si>
    <t>50~100kW 이하</t>
  </si>
  <si>
    <t>10~50kW 이하</t>
  </si>
  <si>
    <t>3~10kW 이하</t>
  </si>
  <si>
    <t>1~3kW 이하</t>
  </si>
  <si>
    <t>1kW 이하</t>
  </si>
  <si>
    <t>기타</t>
  </si>
  <si>
    <t>발전사업용</t>
  </si>
  <si>
    <t>상업시설</t>
  </si>
  <si>
    <t>산업시설</t>
  </si>
  <si>
    <t>사회복지시설</t>
  </si>
  <si>
    <t>교육시설</t>
  </si>
  <si>
    <t>공공시설</t>
  </si>
  <si>
    <t>가정용</t>
  </si>
  <si>
    <t>최근 3년간 신규 보급용량(kW)</t>
  </si>
  <si>
    <t>Jeju</t>
  </si>
  <si>
    <t>Gyeongnam</t>
  </si>
  <si>
    <t>Gyeongbuk</t>
  </si>
  <si>
    <t>Jeonnam</t>
  </si>
  <si>
    <t>Jeonbuk</t>
  </si>
  <si>
    <t>Chungnam</t>
  </si>
  <si>
    <t>Chungbuk</t>
  </si>
  <si>
    <t>Gangwon</t>
  </si>
  <si>
    <t>Gyeonggi</t>
  </si>
  <si>
    <t>Sejong</t>
  </si>
  <si>
    <t>Ulsan</t>
  </si>
  <si>
    <t>Daejeon</t>
  </si>
  <si>
    <t>Gwangju</t>
  </si>
  <si>
    <t>Incheon</t>
  </si>
  <si>
    <t>Daegu</t>
  </si>
  <si>
    <t>Busan</t>
  </si>
  <si>
    <t>Seoul</t>
  </si>
  <si>
    <t>구 분</t>
  </si>
  <si>
    <t>제주</t>
  </si>
  <si>
    <t>경남</t>
  </si>
  <si>
    <t>경북</t>
  </si>
  <si>
    <t>전남</t>
  </si>
  <si>
    <t>전북</t>
  </si>
  <si>
    <t>충남</t>
  </si>
  <si>
    <t>충북</t>
  </si>
  <si>
    <t>강원</t>
  </si>
  <si>
    <t>경기</t>
  </si>
  <si>
    <t>세종</t>
  </si>
  <si>
    <t>울산</t>
  </si>
  <si>
    <t>대전</t>
  </si>
  <si>
    <t>광주</t>
  </si>
  <si>
    <t>인천</t>
  </si>
  <si>
    <t>대구</t>
  </si>
  <si>
    <t>부산</t>
  </si>
  <si>
    <t>서울</t>
  </si>
  <si>
    <t>전국</t>
  </si>
  <si>
    <t xml:space="preserve">  4.27 IGCC</t>
    <phoneticPr fontId="15" type="noConversion"/>
  </si>
  <si>
    <t>주) 누적 보급용량 사업용은 각 연도별 신설, 증·감설, 해지를 반영한 용량이며, 자가용은 각 연도별 설치용량의 단순합계임</t>
    <phoneticPr fontId="15" type="noConversion"/>
  </si>
  <si>
    <t xml:space="preserve">  4.26 연료전지</t>
    <phoneticPr fontId="15" type="noConversion"/>
  </si>
  <si>
    <t>주3) 신에너지 및 재생에너지 개발∙이용∙보급 촉진법 개정('19.10.01 시행)에 따라 폐기물에너지 중 비재생폐기물은 제외</t>
    <phoneticPr fontId="15" type="noConversion"/>
  </si>
  <si>
    <t>주2) 최근 3년간 신규 보급용량은 각 연도별로 설치된 가동설비 용량임</t>
  </si>
  <si>
    <t>전기(kW)</t>
  </si>
  <si>
    <t>최근 3년간 신규 보급용량</t>
  </si>
  <si>
    <t>열(증기톤/시간)</t>
  </si>
  <si>
    <t>주4) 신에너지 및 재생에너지 개발∙이용∙보급 촉진법 개정('19.10.01 시행)에 따라 폐기물에너지 중 비재생폐기물은 제외</t>
    <phoneticPr fontId="15" type="noConversion"/>
  </si>
  <si>
    <t>주3) '15년부터 대형도시쓰레기는 생활폐기물로 포함</t>
    <phoneticPr fontId="15" type="noConversion"/>
  </si>
  <si>
    <t xml:space="preserve">  4.19 바이오에너지 - 바이오중유</t>
    <phoneticPr fontId="15" type="noConversion"/>
  </si>
  <si>
    <t>주3) '14년부터 우드칩, 목재펠릿 중 일부는 Bio-SRF로 대체 분류</t>
  </si>
  <si>
    <t xml:space="preserve">  4.18 바이오에너지 - Bio SRF</t>
    <phoneticPr fontId="15" type="noConversion"/>
  </si>
  <si>
    <t xml:space="preserve">  4.17 바이오에너지 - 하수슬러지고형연료</t>
    <phoneticPr fontId="15" type="noConversion"/>
  </si>
  <si>
    <t xml:space="preserve">  4.16 바이오에너지 - 흑액</t>
    <phoneticPr fontId="15" type="noConversion"/>
  </si>
  <si>
    <t xml:space="preserve">  4.15 바이오에너지 - 폐목재</t>
    <phoneticPr fontId="15" type="noConversion"/>
  </si>
  <si>
    <t xml:space="preserve">  4.14 바이오에너지 - 목재펠릿</t>
    <phoneticPr fontId="15" type="noConversion"/>
  </si>
  <si>
    <t>주2) '17년부터 임산연료는 행정자료 제공 기관(산림청 : 임산통계연보)의 통계수집 방법 변경</t>
    <phoneticPr fontId="15" type="noConversion"/>
  </si>
  <si>
    <t xml:space="preserve">  4.13 바이오에너지 - 임산연료</t>
    <phoneticPr fontId="15" type="noConversion"/>
  </si>
  <si>
    <t xml:space="preserve">  4.12 바이오에너지 - 성형탄</t>
    <phoneticPr fontId="15" type="noConversion"/>
  </si>
  <si>
    <t>(단위 : toe)</t>
  </si>
  <si>
    <t xml:space="preserve">  4.11 바이오에너지 - 우드칩</t>
    <phoneticPr fontId="15" type="noConversion"/>
  </si>
  <si>
    <t xml:space="preserve">  4.10 바이오에너지 - 바이오디젤</t>
    <phoneticPr fontId="15" type="noConversion"/>
  </si>
  <si>
    <t xml:space="preserve">  4.9 바이오에너지 - 매립지가스</t>
    <phoneticPr fontId="15" type="noConversion"/>
  </si>
  <si>
    <t xml:space="preserve">  4.8 바이오에너지 - 바이오가스</t>
    <phoneticPr fontId="15" type="noConversion"/>
  </si>
  <si>
    <t>주2) 통계의 1RT는 3.5kW로 계산함</t>
  </si>
  <si>
    <t>3,000kW 초과</t>
  </si>
  <si>
    <t>1,000~3,000kW 이하</t>
  </si>
  <si>
    <t>200~500kW 이하</t>
  </si>
  <si>
    <t>100~200kW 이하</t>
  </si>
  <si>
    <t>17.5~100kW 이하</t>
  </si>
  <si>
    <t>17.5kW 이하</t>
  </si>
  <si>
    <t xml:space="preserve">  4.7 수열</t>
    <phoneticPr fontId="15" type="noConversion"/>
  </si>
  <si>
    <t xml:space="preserve">  4.6 지열</t>
    <phoneticPr fontId="15" type="noConversion"/>
  </si>
  <si>
    <t xml:space="preserve">  4.5 해양</t>
    <phoneticPr fontId="15" type="noConversion"/>
  </si>
  <si>
    <t xml:space="preserve">  4.4 수력</t>
    <phoneticPr fontId="15" type="noConversion"/>
  </si>
  <si>
    <t xml:space="preserve">  4.3 풍력</t>
    <phoneticPr fontId="15" type="noConversion"/>
  </si>
  <si>
    <t xml:space="preserve">  4.2 태양에너지 - 태양광</t>
    <phoneticPr fontId="15" type="noConversion"/>
  </si>
  <si>
    <t>10,000㎡ 초과</t>
  </si>
  <si>
    <t>5,000~10,000㎡ 이하</t>
  </si>
  <si>
    <t>1,500~5,000㎡ 이하</t>
  </si>
  <si>
    <t>1,000~1,500㎡ 이하</t>
  </si>
  <si>
    <t>500~1,000㎡ 이하</t>
  </si>
  <si>
    <t>100~500㎡ 이하</t>
  </si>
  <si>
    <t>20~100㎡ 이하</t>
  </si>
  <si>
    <t>20㎡ 이하</t>
  </si>
  <si>
    <t>최근 3년간 신규 보급용량(㎡)</t>
  </si>
  <si>
    <t>** rural-residential zone : Sejong, Gyeonggi, Gangwon, Chungbuk, Chungnam, Jeonbuk, Jeonnam, Gyeongbuk, Gyeongnam, Jeju</t>
    <phoneticPr fontId="8" type="noConversion"/>
  </si>
  <si>
    <t xml:space="preserve">  4.1 태양에너지 - 태양열</t>
    <phoneticPr fontId="15" type="noConversion"/>
  </si>
  <si>
    <t>* urban-residential zone : Seoul, Busan, Daegu, Incheon, Gwangju, Daejeon, Ulsan</t>
    <phoneticPr fontId="8" type="noConversion"/>
  </si>
  <si>
    <t>4. 원별 세부자료</t>
    <phoneticPr fontId="15" type="noConversion"/>
  </si>
  <si>
    <t>commercial</t>
    <phoneticPr fontId="8" type="noConversion"/>
  </si>
  <si>
    <t>rural residential</t>
    <phoneticPr fontId="8" type="noConversion"/>
  </si>
  <si>
    <t>urban residential</t>
    <phoneticPr fontId="8" type="noConversion"/>
  </si>
  <si>
    <t>MW</t>
    <phoneticPr fontId="8" type="noConversion"/>
  </si>
  <si>
    <t>unit</t>
    <phoneticPr fontId="8" type="noConversion"/>
  </si>
  <si>
    <t>kW</t>
    <phoneticPr fontId="8" type="noConversion"/>
  </si>
  <si>
    <t>Generation Capacity</t>
    <phoneticPr fontId="8" type="noConversion"/>
  </si>
  <si>
    <t>Urban population rate (2019)</t>
    <phoneticPr fontId="8" type="noConversion"/>
  </si>
  <si>
    <t>Hydro</t>
    <phoneticPr fontId="15" type="noConversion"/>
  </si>
  <si>
    <t>* Assumed '풍력'(in korean) has only onshore wind power</t>
    <phoneticPr fontId="8" type="noConversion"/>
  </si>
  <si>
    <t>Wind</t>
    <phoneticPr fontId="15" type="noConversion"/>
  </si>
  <si>
    <t>Solar PV</t>
    <phoneticPr fontId="15" type="noConversion"/>
  </si>
  <si>
    <t>rural</t>
    <phoneticPr fontId="8" type="noConversion"/>
  </si>
  <si>
    <t>urban</t>
    <phoneticPr fontId="8" type="noConversion"/>
  </si>
  <si>
    <t>residential</t>
    <phoneticPr fontId="8" type="noConversion"/>
  </si>
  <si>
    <t>Generation Capacity (MW)</t>
    <phoneticPr fontId="8" type="noConversion"/>
  </si>
  <si>
    <t>Electricity Output/Capacity</t>
    <phoneticPr fontId="8" type="noConversion"/>
  </si>
  <si>
    <t>KNREC</t>
    <phoneticPr fontId="8" type="noConversion"/>
  </si>
  <si>
    <t>Urban/Rural Proportion</t>
    <phoneticPr fontId="8" type="noConversion"/>
  </si>
  <si>
    <t>1toe to kWh</t>
    <phoneticPr fontId="8" type="noConversion"/>
  </si>
  <si>
    <t>BDEQ BAU Electricity Output from Distributed Sources</t>
  </si>
  <si>
    <t>BDEQ BAU Distributed Electricity Source Capacity</t>
  </si>
  <si>
    <t>Urban Population Rate</t>
    <phoneticPr fontId="8" type="noConversion"/>
  </si>
  <si>
    <t>(Perc)</t>
    <phoneticPr fontId="8" type="noConversion"/>
  </si>
  <si>
    <t>* Assumed future urban population rate is constant</t>
    <phoneticPr fontId="8" type="noConversion"/>
  </si>
  <si>
    <t>** Geothermal and solar thermal are excluded because they are used only as heat sources.</t>
    <phoneticPr fontId="8" type="noConversion"/>
  </si>
  <si>
    <r>
      <t xml:space="preserve">* We assumed </t>
    </r>
    <r>
      <rPr>
        <b/>
        <sz val="11"/>
        <rFont val="맑은 고딕"/>
        <family val="3"/>
        <charset val="129"/>
        <scheme val="minor"/>
      </rPr>
      <t>red one is connected to grid</t>
    </r>
    <r>
      <rPr>
        <sz val="11"/>
        <rFont val="맑은 고딕"/>
        <family val="3"/>
        <charset val="129"/>
        <scheme val="minor"/>
      </rPr>
      <t>, so it equals zero in BDEQ.                  ** BCEU deals with electricity conneted to grid</t>
    </r>
    <phoneticPr fontId="8" type="noConversion"/>
  </si>
  <si>
    <t># KNREC</t>
    <phoneticPr fontId="15" type="noConversion"/>
  </si>
  <si>
    <t>The start year is the year before the first simulated year.</t>
  </si>
  <si>
    <t>This can be adjusted using the yellow field below.</t>
  </si>
  <si>
    <t>The start year is:</t>
  </si>
  <si>
    <t>The variable "Start Year Distributed Electricity Capacity" includes only "generated on-site"</t>
    <phoneticPr fontId="8" type="noConversion"/>
  </si>
  <si>
    <t>(i.e. that which buildings don't get electricity from the grid)</t>
    <phoneticPr fontId="8" type="noConversion"/>
  </si>
  <si>
    <t>Start Year</t>
    <phoneticPr fontId="8" type="noConversion"/>
  </si>
  <si>
    <t># 도시지역 인구현황</t>
    <phoneticPr fontId="8" type="noConversion"/>
  </si>
  <si>
    <t>소재지(시군구)별(1)</t>
  </si>
  <si>
    <t>전체인구(A) (명)</t>
  </si>
  <si>
    <t>용도지역기준 (명)</t>
  </si>
  <si>
    <t>행정구역기준 (명)</t>
  </si>
  <si>
    <t>도시지역 인구비율 (%)</t>
  </si>
  <si>
    <t>소계</t>
  </si>
  <si>
    <t>도시인구(B)</t>
  </si>
  <si>
    <t>비도시인구(C=A-B)</t>
  </si>
  <si>
    <t>도시인구(D)</t>
  </si>
  <si>
    <t>농촌인구(E=A-D)</t>
  </si>
  <si>
    <t>용도지역 인구기준(B/A*100)</t>
  </si>
  <si>
    <t>행정구역 인구기준(D/A*100)</t>
  </si>
  <si>
    <t>urban rate</t>
    <phoneticPr fontId="8" type="noConversion"/>
  </si>
  <si>
    <t>rural rate</t>
    <phoneticPr fontId="8" type="noConversion"/>
  </si>
  <si>
    <t>서울특별시</t>
  </si>
  <si>
    <t>부산광역시</t>
  </si>
  <si>
    <t>대구광역시</t>
  </si>
  <si>
    <t>인천광역시</t>
  </si>
  <si>
    <t>광주광역시</t>
  </si>
  <si>
    <t>대전광역시</t>
  </si>
  <si>
    <t>울산광역시</t>
  </si>
  <si>
    <t>세종특별자치시</t>
  </si>
  <si>
    <t>경기도</t>
  </si>
  <si>
    <t>강원도</t>
  </si>
  <si>
    <t>충청북도</t>
  </si>
  <si>
    <t>충청남도</t>
  </si>
  <si>
    <t>전라북도</t>
  </si>
  <si>
    <t>전라남도</t>
  </si>
  <si>
    <t>경상북도</t>
  </si>
  <si>
    <t>경상남도</t>
  </si>
  <si>
    <t>제주특별자치도</t>
  </si>
  <si>
    <t>* Assumed urban rate of Wind turbine 0</t>
    <phoneticPr fontId="8" type="noConversion"/>
  </si>
  <si>
    <t>** calculation formula : "Energy Output" = "Generating Capacity" * (365days) * (24hours) * Capacity factor(%)/100</t>
    <phoneticPr fontId="8" type="noConversion"/>
  </si>
  <si>
    <t>* Assumed urban rate of Hydro energy 0</t>
    <phoneticPr fontId="8" type="noConversion"/>
  </si>
  <si>
    <t>* calculation formula : "Energy Output" = "Generating Capacity" * (365days) * (24hours) * Capacity factor(%)/100</t>
    <phoneticPr fontId="8" type="noConversion"/>
  </si>
  <si>
    <t>generation capacity</t>
    <phoneticPr fontId="8" type="noConversion"/>
  </si>
  <si>
    <t>and used capacity factor to calculate the amount of the on-site generation.</t>
    <phoneticPr fontId="8" type="noConversion"/>
  </si>
  <si>
    <t>So we assumed Solar PV, Hydro, and Wind turbine (for distributed generation) are the only sources that generate on-site,</t>
    <phoneticPr fontId="8" type="noConversion"/>
  </si>
  <si>
    <t xml:space="preserve">We could not find the generation capacity data distinguished "purchsed" or "generated on-site" generations. </t>
    <phoneticPr fontId="8" type="noConversion"/>
  </si>
  <si>
    <t xml:space="preserve">* Assumed biomass, fuel cell, and others are not for distributed generation. </t>
    <phoneticPr fontId="8" type="noConversion"/>
  </si>
  <si>
    <t>Index Korea</t>
    <phoneticPr fontId="8" type="noConversion"/>
  </si>
  <si>
    <t>Capacity factor(%)</t>
    <phoneticPr fontId="8" type="noConversion"/>
  </si>
  <si>
    <t>https://www.index.go.kr/unity/potal/main/EachDtlPageDetail.do?idx_cd=1200</t>
    <phoneticPr fontId="8" type="noConversion"/>
  </si>
  <si>
    <t>2023_Urban Population Rate</t>
    <phoneticPr fontId="8" type="noConversion"/>
  </si>
  <si>
    <t>2023 Renewable energy statistics</t>
    <phoneticPr fontId="8" type="noConversion"/>
  </si>
  <si>
    <t>2023년 에너지생산량(toe)</t>
    <phoneticPr fontId="15" type="noConversion"/>
  </si>
  <si>
    <t>2023년 누적 보급용량(㎡)</t>
    <phoneticPr fontId="15" type="noConversion"/>
  </si>
  <si>
    <t>'23</t>
    <phoneticPr fontId="15" type="noConversion"/>
  </si>
  <si>
    <t>'22</t>
    <phoneticPr fontId="15" type="noConversion"/>
  </si>
  <si>
    <t>'21</t>
    <phoneticPr fontId="15" type="noConversion"/>
  </si>
  <si>
    <t>2023년 용도별 누적 보급용량(㎡)</t>
    <phoneticPr fontId="15" type="noConversion"/>
  </si>
  <si>
    <t>2023년 용량별 누적 보급용량(㎡)</t>
    <phoneticPr fontId="15" type="noConversion"/>
  </si>
  <si>
    <t>주) 누적 보급용량은 각 연도별 신설, 해지를 반영한 용량임</t>
    <phoneticPr fontId="15" type="noConversion"/>
  </si>
  <si>
    <t>2023년 발전량(MWh)</t>
    <phoneticPr fontId="15" type="noConversion"/>
  </si>
  <si>
    <t>2023년 누적 보급용량(kW)</t>
    <phoneticPr fontId="15" type="noConversion"/>
  </si>
  <si>
    <t>2023년 용도별 누적 보급용량(kW)</t>
    <phoneticPr fontId="15" type="noConversion"/>
  </si>
  <si>
    <t>2023년 용량별 누적 보급용량(kW)</t>
    <phoneticPr fontId="15" type="noConversion"/>
  </si>
  <si>
    <t>주) 누적 보급용량은 각 연도별 신설, 증·감설, 해지를 반영한 용량임</t>
    <phoneticPr fontId="15" type="noConversion"/>
  </si>
  <si>
    <t>https://www.knrec.or.kr/biz/pds/statistic/view.do?no=390</t>
    <phoneticPr fontId="8" type="noConversion"/>
  </si>
  <si>
    <t>2023년 누적 보급용량 - 열(kW)</t>
    <phoneticPr fontId="15" type="noConversion"/>
  </si>
  <si>
    <t>주1) 누적 보급용량은 각 연도별 신설, 해지를 반영한 용량임</t>
    <phoneticPr fontId="15" type="noConversion"/>
  </si>
  <si>
    <t>2023년 누적 보급용량</t>
    <phoneticPr fontId="15" type="noConversion"/>
  </si>
  <si>
    <t>'23</t>
  </si>
  <si>
    <t>'22</t>
  </si>
  <si>
    <t>'21</t>
  </si>
  <si>
    <t>주1) 누적 보급용량은 2023년 기준 가동설비 누적용량임</t>
    <phoneticPr fontId="15" type="noConversion"/>
  </si>
  <si>
    <t>2023년 에너지생산량(toe)</t>
    <phoneticPr fontId="32" type="noConversion"/>
  </si>
  <si>
    <t>2023년 발전량(MWh)</t>
    <phoneticPr fontId="32" type="noConversion"/>
  </si>
  <si>
    <t>2023년 누적 보급용량</t>
    <phoneticPr fontId="32" type="noConversion"/>
  </si>
  <si>
    <t>2023년 보급용량(㎘/년)</t>
    <phoneticPr fontId="15" type="noConversion"/>
  </si>
  <si>
    <t>주1) 바이오디젤 보급용량은 2023년 기준 생산능력임</t>
    <phoneticPr fontId="15" type="noConversion"/>
  </si>
  <si>
    <t>주2) 전국 경유 자동차수(자동차등록현황보고, 경유자동차 현황_국토교통부, 2023년 기준)를 지역별로 비례배분하여 그 비율로 바이오디젤 에너지생산량 및 보급용량을 재배분함</t>
    <phoneticPr fontId="15" type="noConversion"/>
  </si>
  <si>
    <t>2023년 에너지생산량(toe)</t>
  </si>
  <si>
    <t>2023년 발전량(MWh)</t>
  </si>
  <si>
    <t>2023년 누적 보급용량</t>
  </si>
  <si>
    <t>주1) 누적 보급용량은 2022년 기준 가동설비 누적용량임</t>
  </si>
  <si>
    <t>2023년 보급용량(톤/년)</t>
    <phoneticPr fontId="15" type="noConversion"/>
  </si>
  <si>
    <t>주1) 성형탄 보급용량은 2023년 기준 생산량(판매량)임</t>
    <phoneticPr fontId="15" type="noConversion"/>
  </si>
  <si>
    <t>주2) 전국 인구수(주민등록인구통계_행정자치부, 2023년 기준), 음식점수(전국사업체조사 한식 육류요리 전문점 현황_통계청, 2022년 기준)를 지역별 비례배분하여 그 비율로 성형탄 에너지생산량 및 보급용량을 재배분함</t>
    <phoneticPr fontId="15" type="noConversion"/>
  </si>
  <si>
    <t>주3) 2023년 전국사업체조사 결과 미공표로 2022년 전국사업체조사 한식 육류요리 전문점 현황 통계 활용</t>
    <phoneticPr fontId="15" type="noConversion"/>
  </si>
  <si>
    <t>주1) 임산 보급용량은 2023년 기준 연료 생산량(판매량)임</t>
    <phoneticPr fontId="15" type="noConversion"/>
  </si>
  <si>
    <t xml:space="preserve">  4.20 폐기물에너지</t>
    <phoneticPr fontId="15" type="noConversion"/>
  </si>
  <si>
    <t xml:space="preserve">  4.21 폐기물에너지 - 산업폐기물</t>
    <phoneticPr fontId="15" type="noConversion"/>
  </si>
  <si>
    <t xml:space="preserve">  4.22 폐기물에너지 - 생활폐기물</t>
    <phoneticPr fontId="15" type="noConversion"/>
  </si>
  <si>
    <t xml:space="preserve">  4.23 폐기물에너지 - 시멘트킬른보조연료</t>
    <phoneticPr fontId="15" type="noConversion"/>
  </si>
  <si>
    <t xml:space="preserve">  4.24 폐기물에너지 - SRF</t>
    <phoneticPr fontId="15" type="noConversion"/>
  </si>
  <si>
    <t xml:space="preserve">  4.25 폐기물에너지 - 정제연료유</t>
    <phoneticPr fontId="15" type="noConversion"/>
  </si>
  <si>
    <t>2023</t>
  </si>
  <si>
    <t>-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</si>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</sst>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3" formatCode="_-* #,##0.00_-;\-* #,##0.00_-;_-* &quot;-&quot;??_-;_-@_-"/>
    <numFmt numFmtId="176" formatCode="0.00_ "/>
    <numFmt numFmtId="177" formatCode="#,##0.00_ "/>
    <numFmt numFmtId="178" formatCode="_(* #,##0_);_(* \(#,##0\);_(* &quot;-&quot;??_);_(@_)"/>
    <numFmt numFmtId="179" formatCode="#,##0_);[Red]\(#,##0\)"/>
    <numFmt numFmtId="182" formatCode="0_);[Red]\(0\)"/>
  </numFmts>
  <fonts count="35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sz val="11"/>
      <color theme="1"/>
      <name val="맑은 고딕"/>
      <family val="2"/>
      <scheme val="minor"/>
    </font>
    <font>
      <b/>
      <sz val="9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sz val="13"/>
      <color indexed="0"/>
      <name val="맑은 고딕"/>
      <family val="3"/>
      <charset val="129"/>
    </font>
    <font>
      <sz val="10"/>
      <name val="맑은 고딕"/>
      <family val="3"/>
      <charset val="129"/>
    </font>
    <font>
      <b/>
      <sz val="14"/>
      <color rgb="FFFF0000"/>
      <name val="맑은 고딕"/>
      <family val="3"/>
      <charset val="129"/>
      <scheme val="minor"/>
    </font>
    <font>
      <u/>
      <sz val="11"/>
      <color rgb="FFFF0000"/>
      <name val="맑은 고딕"/>
      <family val="3"/>
      <charset val="129"/>
      <scheme val="minor"/>
    </font>
    <font>
      <b/>
      <sz val="11"/>
      <color theme="1" tint="4.9989318521683403E-2"/>
      <name val="맑은 고딕"/>
      <family val="3"/>
      <charset val="129"/>
      <scheme val="minor"/>
    </font>
    <font>
      <sz val="11"/>
      <color theme="1" tint="4.9989318521683403E-2"/>
      <name val="맑은 고딕"/>
      <family val="3"/>
      <charset val="129"/>
      <scheme val="minor"/>
    </font>
    <font>
      <sz val="10"/>
      <color theme="1" tint="4.9989318521683403E-2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돋움"/>
      <family val="3"/>
      <charset val="129"/>
    </font>
    <font>
      <b/>
      <sz val="16"/>
      <color rgb="FFFF0000"/>
      <name val="맑은 고딕"/>
      <family val="3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AFAFA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BCCCE0"/>
      </patternFill>
    </fill>
    <fill>
      <patternFill patternType="solid">
        <fgColor rgb="FFF0EBD7"/>
      </patternFill>
    </fill>
    <fill>
      <patternFill patternType="solid">
        <fgColor rgb="FFE2ECF8"/>
      </patternFill>
    </fill>
  </fills>
  <borders count="77">
    <border>
      <left/>
      <right/>
      <top/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/>
      <right/>
      <top/>
      <bottom style="medium">
        <color theme="1" tint="0.34998626667073579"/>
      </bottom>
      <diagonal/>
    </border>
    <border>
      <left style="hair">
        <color theme="1" tint="0.34998626667073579"/>
      </left>
      <right style="thin">
        <color theme="1" tint="0.34998626667073579"/>
      </right>
      <top/>
      <bottom style="medium">
        <color theme="1" tint="0.34998626667073579"/>
      </bottom>
      <diagonal/>
    </border>
    <border>
      <left style="hair">
        <color theme="1" tint="0.34998626667073579"/>
      </left>
      <right style="hair">
        <color theme="1" tint="0.34998626667073579"/>
      </right>
      <top/>
      <bottom style="medium">
        <color theme="1" tint="0.34998626667073579"/>
      </bottom>
      <diagonal/>
    </border>
    <border>
      <left style="thin">
        <color indexed="64"/>
      </left>
      <right style="hair">
        <color theme="1" tint="0.34998626667073579"/>
      </right>
      <top/>
      <bottom style="medium">
        <color theme="1" tint="0.34998626667073579"/>
      </bottom>
      <diagonal/>
    </border>
    <border>
      <left style="hair">
        <color theme="1" tint="0.34998626667073579"/>
      </left>
      <right style="thin">
        <color theme="1" tint="0.34998626667073579"/>
      </right>
      <top/>
      <bottom/>
      <diagonal/>
    </border>
    <border>
      <left style="hair">
        <color theme="1" tint="0.34998626667073579"/>
      </left>
      <right style="hair">
        <color theme="1" tint="0.34998626667073579"/>
      </right>
      <top/>
      <bottom/>
      <diagonal/>
    </border>
    <border>
      <left style="thin">
        <color indexed="64"/>
      </left>
      <right style="hair">
        <color theme="1" tint="0.34998626667073579"/>
      </right>
      <top/>
      <bottom/>
      <diagonal/>
    </border>
    <border>
      <left style="hair">
        <color theme="1" tint="0.34998626667073579"/>
      </left>
      <right/>
      <top/>
      <bottom/>
      <diagonal/>
    </border>
    <border>
      <left/>
      <right/>
      <top/>
      <bottom style="thin">
        <color theme="1" tint="0.34998626667073579"/>
      </bottom>
      <diagonal/>
    </border>
    <border>
      <left style="thin">
        <color theme="1" tint="0.34998626667073579"/>
      </left>
      <right/>
      <top/>
      <bottom style="thin">
        <color theme="1" tint="0.34998626667073579"/>
      </bottom>
      <diagonal/>
    </border>
    <border>
      <left style="hair">
        <color theme="1" tint="0.34998626667073579"/>
      </left>
      <right style="thin">
        <color theme="1" tint="0.34998626667073579"/>
      </right>
      <top/>
      <bottom style="thin">
        <color theme="1" tint="0.34998626667073579"/>
      </bottom>
      <diagonal/>
    </border>
    <border>
      <left style="hair">
        <color theme="1" tint="0.34998626667073579"/>
      </left>
      <right style="hair">
        <color theme="1" tint="0.34998626667073579"/>
      </right>
      <top/>
      <bottom style="thin">
        <color theme="1" tint="0.34998626667073579"/>
      </bottom>
      <diagonal/>
    </border>
    <border>
      <left style="hair">
        <color theme="1" tint="0.34998626667073579"/>
      </left>
      <right/>
      <top/>
      <bottom style="thin">
        <color theme="1" tint="0.34998626667073579"/>
      </bottom>
      <diagonal/>
    </border>
    <border>
      <left style="thin">
        <color indexed="64"/>
      </left>
      <right style="hair">
        <color theme="1" tint="0.34998626667073579"/>
      </right>
      <top/>
      <bottom style="thin">
        <color theme="1" tint="0.34998626667073579"/>
      </bottom>
      <diagonal/>
    </border>
    <border>
      <left/>
      <right/>
      <top style="medium">
        <color theme="1" tint="0.34998626667073579"/>
      </top>
      <bottom/>
      <diagonal/>
    </border>
    <border>
      <left style="thin">
        <color theme="1" tint="0.34998626667073579"/>
      </left>
      <right/>
      <top style="medium">
        <color theme="1" tint="0.34998626667073579"/>
      </top>
      <bottom/>
      <diagonal/>
    </border>
    <border>
      <left style="hair">
        <color theme="1" tint="0.34998626667073579"/>
      </left>
      <right style="thin">
        <color theme="1" tint="0.34998626667073579"/>
      </right>
      <top style="medium">
        <color theme="1" tint="0.34998626667073579"/>
      </top>
      <bottom/>
      <diagonal/>
    </border>
    <border>
      <left style="hair">
        <color theme="1" tint="0.34998626667073579"/>
      </left>
      <right style="hair">
        <color theme="1" tint="0.34998626667073579"/>
      </right>
      <top style="medium">
        <color theme="1" tint="0.34998626667073579"/>
      </top>
      <bottom/>
      <diagonal/>
    </border>
    <border>
      <left style="hair">
        <color theme="1" tint="0.34998626667073579"/>
      </left>
      <right/>
      <top style="medium">
        <color theme="1" tint="0.34998626667073579"/>
      </top>
      <bottom/>
      <diagonal/>
    </border>
    <border>
      <left style="thin">
        <color indexed="64"/>
      </left>
      <right style="hair">
        <color theme="1" tint="0.34998626667073579"/>
      </right>
      <top style="medium">
        <color theme="1" tint="0.34998626667073579"/>
      </top>
      <bottom/>
      <diagonal/>
    </border>
    <border>
      <left style="hair">
        <color theme="0" tint="-0.499984740745262"/>
      </left>
      <right style="thin">
        <color theme="0" tint="-0.499984740745262"/>
      </right>
      <top/>
      <bottom/>
      <diagonal/>
    </border>
    <border>
      <left style="hair">
        <color theme="0" tint="-0.499984740745262"/>
      </left>
      <right style="hair">
        <color theme="0" tint="-0.499984740745262"/>
      </right>
      <top/>
      <bottom/>
      <diagonal/>
    </border>
    <border>
      <left style="thin">
        <color indexed="64"/>
      </left>
      <right style="hair">
        <color theme="0" tint="-0.499984740745262"/>
      </right>
      <top/>
      <bottom/>
      <diagonal/>
    </border>
    <border>
      <left style="thin">
        <color theme="1" tint="0.34998626667073579"/>
      </left>
      <right/>
      <top/>
      <bottom style="medium">
        <color theme="1" tint="0.34998626667073579"/>
      </bottom>
      <diagonal/>
    </border>
    <border>
      <left/>
      <right style="thin">
        <color indexed="64"/>
      </right>
      <top/>
      <bottom style="medium">
        <color theme="1" tint="0.34998626667073579"/>
      </bottom>
      <diagonal/>
    </border>
    <border>
      <left/>
      <right/>
      <top style="thin">
        <color theme="1" tint="0.34998626667073579"/>
      </top>
      <bottom/>
      <diagonal/>
    </border>
    <border>
      <left/>
      <right style="thin">
        <color indexed="64"/>
      </right>
      <top style="thin">
        <color theme="1" tint="0.34998626667073579"/>
      </top>
      <bottom/>
      <diagonal/>
    </border>
    <border>
      <left/>
      <right style="thin">
        <color theme="1" tint="0.34998626667073579"/>
      </right>
      <top/>
      <bottom style="thin">
        <color theme="1" tint="0.34998626667073579"/>
      </bottom>
      <diagonal/>
    </border>
    <border>
      <left/>
      <right style="thin">
        <color theme="1" tint="0.34998626667073579"/>
      </right>
      <top style="medium">
        <color theme="1" tint="0.34998626667073579"/>
      </top>
      <bottom/>
      <diagonal/>
    </border>
    <border>
      <left style="hair">
        <color rgb="FF000000"/>
      </left>
      <right style="thin">
        <color theme="1" tint="0.34998626667073579"/>
      </right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medium">
        <color theme="1" tint="0.34998626667073579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theme="1" tint="0.34998626667073579"/>
      </right>
      <top/>
      <bottom style="medium">
        <color theme="1" tint="0.34998626667073579"/>
      </bottom>
      <diagonal/>
    </border>
    <border>
      <left style="hair">
        <color indexed="64"/>
      </left>
      <right style="hair">
        <color indexed="64"/>
      </right>
      <top/>
      <bottom style="medium">
        <color theme="1" tint="0.34998626667073579"/>
      </bottom>
      <diagonal/>
    </border>
    <border>
      <left style="hair">
        <color indexed="64"/>
      </left>
      <right/>
      <top/>
      <bottom style="medium">
        <color theme="1" tint="0.34998626667073579"/>
      </bottom>
      <diagonal/>
    </border>
    <border>
      <left style="hair">
        <color indexed="64"/>
      </left>
      <right style="thin">
        <color theme="1" tint="0.34998626667073579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theme="1" tint="0.34998626667073579"/>
      </bottom>
      <diagonal/>
    </border>
    <border>
      <left style="thin">
        <color indexed="64"/>
      </left>
      <right style="hair">
        <color indexed="64"/>
      </right>
      <top/>
      <bottom style="thin">
        <color theme="1" tint="0.34998626667073579"/>
      </bottom>
      <diagonal/>
    </border>
    <border>
      <left style="hair">
        <color indexed="64"/>
      </left>
      <right style="hair">
        <color indexed="64"/>
      </right>
      <top style="medium">
        <color theme="1" tint="0.34998626667073579"/>
      </top>
      <bottom/>
      <diagonal/>
    </border>
    <border>
      <left style="thin">
        <color indexed="64"/>
      </left>
      <right style="hair">
        <color indexed="64"/>
      </right>
      <top style="medium">
        <color theme="1" tint="0.34998626667073579"/>
      </top>
      <bottom/>
      <diagonal/>
    </border>
    <border>
      <left style="hair">
        <color theme="1" tint="0.34998626667073579"/>
      </left>
      <right style="thin">
        <color theme="1" tint="0.34998626667073579"/>
      </right>
      <top style="thin">
        <color theme="1" tint="0.34998626667073579"/>
      </top>
      <bottom/>
      <diagonal/>
    </border>
    <border>
      <left style="hair">
        <color theme="1" tint="0.34998626667073579"/>
      </left>
      <right style="hair">
        <color theme="1" tint="0.34998626667073579"/>
      </right>
      <top style="thin">
        <color theme="1" tint="0.34998626667073579"/>
      </top>
      <bottom/>
      <diagonal/>
    </border>
    <border>
      <left style="thin">
        <color indexed="64"/>
      </left>
      <right style="hair">
        <color theme="1" tint="0.34998626667073579"/>
      </right>
      <top style="thin">
        <color theme="1" tint="0.34998626667073579"/>
      </top>
      <bottom/>
      <diagonal/>
    </border>
    <border>
      <left/>
      <right style="hair">
        <color indexed="64"/>
      </right>
      <top/>
      <bottom style="medium">
        <color theme="1" tint="0.34998626667073579"/>
      </bottom>
      <diagonal/>
    </border>
    <border>
      <left/>
      <right style="hair">
        <color indexed="64"/>
      </right>
      <top/>
      <bottom/>
      <diagonal/>
    </border>
    <border>
      <left style="hair">
        <color theme="1" tint="0.34998626667073579"/>
      </left>
      <right style="thin">
        <color indexed="64"/>
      </right>
      <top/>
      <bottom/>
      <diagonal/>
    </border>
    <border>
      <left/>
      <right style="hair">
        <color theme="1" tint="0.34998626667073579"/>
      </right>
      <top/>
      <bottom/>
      <diagonal/>
    </border>
    <border>
      <left style="hair">
        <color theme="1" tint="0.34998626667073579"/>
      </left>
      <right style="hair">
        <color indexed="64"/>
      </right>
      <top/>
      <bottom/>
      <diagonal/>
    </border>
    <border>
      <left style="hair">
        <color indexed="64"/>
      </left>
      <right style="hair">
        <color theme="1" tint="0.34998626667073579"/>
      </right>
      <top/>
      <bottom/>
      <diagonal/>
    </border>
    <border>
      <left/>
      <right style="thin">
        <color theme="1" tint="0.34998626667073579"/>
      </right>
      <top/>
      <bottom/>
      <diagonal/>
    </border>
    <border>
      <left style="hair">
        <color theme="1" tint="0.34998626667073579"/>
      </left>
      <right style="hair">
        <color indexed="64"/>
      </right>
      <top style="thin">
        <color theme="1" tint="0.34998626667073579"/>
      </top>
      <bottom/>
      <diagonal/>
    </border>
    <border>
      <left/>
      <right style="hair">
        <color theme="1" tint="0.34998626667073579"/>
      </right>
      <top/>
      <bottom style="thin">
        <color theme="1" tint="0.34998626667073579"/>
      </bottom>
      <diagonal/>
    </border>
    <border>
      <left style="hair">
        <color theme="1" tint="0.34998626667073579"/>
      </left>
      <right style="hair">
        <color indexed="64"/>
      </right>
      <top/>
      <bottom style="thin">
        <color theme="1" tint="0.34998626667073579"/>
      </bottom>
      <diagonal/>
    </border>
    <border>
      <left/>
      <right style="hair">
        <color theme="1" tint="0.34998626667073579"/>
      </right>
      <top style="medium">
        <color theme="1" tint="0.34998626667073579"/>
      </top>
      <bottom/>
      <diagonal/>
    </border>
    <border>
      <left style="hair">
        <color theme="1" tint="0.34998626667073579"/>
      </left>
      <right style="hair">
        <color indexed="64"/>
      </right>
      <top style="medium">
        <color theme="1" tint="0.34998626667073579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hair">
        <color theme="1" tint="0.34998626667073579"/>
      </right>
      <top/>
      <bottom style="medium">
        <color indexed="64"/>
      </bottom>
      <diagonal/>
    </border>
    <border>
      <left style="hair">
        <color theme="1" tint="0.34998626667073579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hair">
        <color theme="1" tint="0.34998626667073579"/>
      </right>
      <top/>
      <bottom style="medium">
        <color indexed="64"/>
      </bottom>
      <diagonal/>
    </border>
    <border>
      <left style="hair">
        <color theme="1" tint="0.34998626667073579"/>
      </left>
      <right style="hair">
        <color theme="1" tint="0.34998626667073579"/>
      </right>
      <top/>
      <bottom style="medium">
        <color indexed="64"/>
      </bottom>
      <diagonal/>
    </border>
    <border>
      <left style="hair">
        <color theme="1" tint="0.34998626667073579"/>
      </left>
      <right style="thin">
        <color theme="1" tint="0.34998626667073579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theme="1" tint="0.34998626667073579"/>
      </left>
      <right/>
      <top/>
      <bottom/>
      <diagonal/>
    </border>
    <border>
      <left style="hair">
        <color theme="1" tint="0.34998626667073579"/>
      </left>
      <right/>
      <top/>
      <bottom style="medium">
        <color theme="1" tint="0.34998626667073579"/>
      </bottom>
      <diagonal/>
    </border>
  </borders>
  <cellStyleXfs count="1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Protection="0">
      <alignment wrapText="1"/>
    </xf>
    <xf numFmtId="0" fontId="4" fillId="0" borderId="0" applyNumberFormat="0" applyProtection="0">
      <alignment horizontal="left"/>
    </xf>
    <xf numFmtId="0" fontId="3" fillId="0" borderId="2" applyNumberFormat="0" applyProtection="0">
      <alignment wrapText="1"/>
    </xf>
    <xf numFmtId="0" fontId="2" fillId="0" borderId="3" applyNumberFormat="0" applyFont="0" applyProtection="0">
      <alignment wrapText="1"/>
    </xf>
    <xf numFmtId="0" fontId="2" fillId="0" borderId="4" applyNumberFormat="0" applyProtection="0">
      <alignment wrapText="1"/>
    </xf>
    <xf numFmtId="0" fontId="2" fillId="0" borderId="0"/>
    <xf numFmtId="0" fontId="6" fillId="0" borderId="5" applyNumberFormat="0" applyProtection="0">
      <alignment horizontal="left" wrapText="1"/>
    </xf>
    <xf numFmtId="41" fontId="5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23" fillId="0" borderId="0" applyNumberFormat="0" applyFill="0" applyBorder="0" applyAlignment="0" applyProtection="0"/>
    <xf numFmtId="0" fontId="25" fillId="0" borderId="0">
      <alignment vertical="center"/>
    </xf>
  </cellStyleXfs>
  <cellXfs count="290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1" fillId="2" borderId="0" xfId="0" applyFont="1" applyFill="1"/>
    <xf numFmtId="0" fontId="0" fillId="0" borderId="0" xfId="0" applyAlignment="1">
      <alignment horizontal="right"/>
    </xf>
    <xf numFmtId="0" fontId="0" fillId="3" borderId="0" xfId="0" applyFill="1"/>
    <xf numFmtId="0" fontId="0" fillId="0" borderId="0" xfId="0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horizontal="left" vertical="center"/>
    </xf>
    <xf numFmtId="41" fontId="0" fillId="0" borderId="0" xfId="0" applyNumberFormat="1" applyAlignment="1">
      <alignment vertical="center"/>
    </xf>
    <xf numFmtId="41" fontId="14" fillId="0" borderId="0" xfId="0" applyNumberFormat="1" applyFont="1" applyAlignment="1">
      <alignment horizontal="right" vertical="center"/>
    </xf>
    <xf numFmtId="0" fontId="13" fillId="0" borderId="0" xfId="0" applyFont="1" applyAlignment="1">
      <alignment vertical="center"/>
    </xf>
    <xf numFmtId="0" fontId="14" fillId="5" borderId="16" xfId="0" applyFont="1" applyFill="1" applyBorder="1" applyAlignment="1">
      <alignment horizontal="center" vertical="center" wrapText="1"/>
    </xf>
    <xf numFmtId="0" fontId="14" fillId="5" borderId="17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right" vertical="center"/>
    </xf>
    <xf numFmtId="0" fontId="0" fillId="0" borderId="6" xfId="0" applyBorder="1" applyAlignment="1">
      <alignment vertical="center"/>
    </xf>
    <xf numFmtId="0" fontId="13" fillId="0" borderId="6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41" fontId="19" fillId="0" borderId="0" xfId="9" applyFont="1">
      <alignment vertical="center"/>
    </xf>
    <xf numFmtId="41" fontId="19" fillId="0" borderId="6" xfId="9" applyFont="1" applyBorder="1">
      <alignment vertical="center"/>
    </xf>
    <xf numFmtId="41" fontId="18" fillId="0" borderId="6" xfId="9" applyFont="1" applyBorder="1">
      <alignment vertical="center"/>
    </xf>
    <xf numFmtId="0" fontId="20" fillId="0" borderId="0" xfId="0" applyFont="1" applyAlignment="1">
      <alignment vertical="center"/>
    </xf>
    <xf numFmtId="0" fontId="0" fillId="0" borderId="6" xfId="0" applyBorder="1" applyAlignment="1">
      <alignment horizontal="right" vertical="center"/>
    </xf>
    <xf numFmtId="0" fontId="21" fillId="0" borderId="0" xfId="0" applyFont="1" applyAlignment="1">
      <alignment vertical="center"/>
    </xf>
    <xf numFmtId="0" fontId="13" fillId="0" borderId="6" xfId="0" applyFont="1" applyBorder="1" applyAlignment="1">
      <alignment horizontal="right" vertical="center"/>
    </xf>
    <xf numFmtId="0" fontId="14" fillId="5" borderId="45" xfId="0" applyFont="1" applyFill="1" applyBorder="1" applyAlignment="1">
      <alignment horizontal="center" vertical="center" wrapText="1"/>
    </xf>
    <xf numFmtId="0" fontId="0" fillId="0" borderId="0" xfId="0" applyAlignment="1">
      <alignment horizontal="right" vertical="center"/>
    </xf>
    <xf numFmtId="0" fontId="14" fillId="5" borderId="60" xfId="0" applyFont="1" applyFill="1" applyBorder="1" applyAlignment="1">
      <alignment horizontal="center" vertical="center" wrapText="1"/>
    </xf>
    <xf numFmtId="0" fontId="14" fillId="5" borderId="6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1" fillId="0" borderId="0" xfId="0" applyFont="1"/>
    <xf numFmtId="0" fontId="0" fillId="9" borderId="0" xfId="0" applyFill="1"/>
    <xf numFmtId="0" fontId="0" fillId="10" borderId="0" xfId="0" applyFill="1"/>
    <xf numFmtId="0" fontId="21" fillId="4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7" fillId="0" borderId="0" xfId="0" applyFont="1" applyAlignment="1">
      <alignment vertical="center"/>
    </xf>
    <xf numFmtId="0" fontId="7" fillId="0" borderId="0" xfId="0" applyFont="1"/>
    <xf numFmtId="0" fontId="0" fillId="4" borderId="0" xfId="0" applyFill="1" applyAlignment="1">
      <alignment horizontal="center"/>
    </xf>
    <xf numFmtId="11" fontId="0" fillId="0" borderId="0" xfId="0" applyNumberFormat="1"/>
    <xf numFmtId="41" fontId="0" fillId="0" borderId="0" xfId="0" applyNumberFormat="1"/>
    <xf numFmtId="0" fontId="22" fillId="0" borderId="0" xfId="0" applyFont="1" applyAlignment="1">
      <alignment vertical="center"/>
    </xf>
    <xf numFmtId="0" fontId="0" fillId="3" borderId="0" xfId="0" applyFill="1" applyAlignment="1">
      <alignment horizontal="center"/>
    </xf>
    <xf numFmtId="0" fontId="0" fillId="10" borderId="0" xfId="0" applyFill="1" applyAlignment="1">
      <alignment horizontal="center"/>
    </xf>
    <xf numFmtId="177" fontId="0" fillId="0" borderId="0" xfId="0" applyNumberFormat="1"/>
    <xf numFmtId="0" fontId="23" fillId="0" borderId="0" xfId="11"/>
    <xf numFmtId="0" fontId="19" fillId="0" borderId="0" xfId="0" applyFont="1" applyAlignment="1">
      <alignment horizontal="left"/>
    </xf>
    <xf numFmtId="0" fontId="0" fillId="0" borderId="0" xfId="0" applyAlignment="1">
      <alignment horizontal="center"/>
    </xf>
    <xf numFmtId="178" fontId="0" fillId="0" borderId="0" xfId="0" applyNumberFormat="1"/>
    <xf numFmtId="0" fontId="13" fillId="0" borderId="0" xfId="0" applyFont="1" applyAlignment="1">
      <alignment horizontal="left"/>
    </xf>
    <xf numFmtId="0" fontId="24" fillId="0" borderId="0" xfId="0" applyFont="1"/>
    <xf numFmtId="11" fontId="24" fillId="0" borderId="0" xfId="0" applyNumberFormat="1" applyFont="1"/>
    <xf numFmtId="0" fontId="18" fillId="0" borderId="0" xfId="0" applyFont="1"/>
    <xf numFmtId="0" fontId="26" fillId="0" borderId="0" xfId="12" applyFont="1" applyAlignment="1">
      <alignment horizontal="center" vertical="center"/>
    </xf>
    <xf numFmtId="0" fontId="19" fillId="0" borderId="0" xfId="0" applyFont="1"/>
    <xf numFmtId="0" fontId="0" fillId="6" borderId="0" xfId="0" applyFill="1"/>
    <xf numFmtId="176" fontId="0" fillId="6" borderId="0" xfId="0" applyNumberFormat="1" applyFill="1"/>
    <xf numFmtId="176" fontId="0" fillId="0" borderId="0" xfId="0" applyNumberFormat="1"/>
    <xf numFmtId="0" fontId="0" fillId="3" borderId="64" xfId="0" applyFill="1" applyBorder="1"/>
    <xf numFmtId="0" fontId="27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13" borderId="65" xfId="10" applyFill="1" applyBorder="1" applyAlignment="1"/>
    <xf numFmtId="0" fontId="10" fillId="14" borderId="66" xfId="10" applyFill="1" applyBorder="1" applyAlignment="1"/>
    <xf numFmtId="0" fontId="10" fillId="14" borderId="65" xfId="10" applyFill="1" applyBorder="1" applyAlignment="1"/>
    <xf numFmtId="0" fontId="10" fillId="14" borderId="0" xfId="10" applyFill="1" applyAlignment="1"/>
    <xf numFmtId="43" fontId="0" fillId="0" borderId="0" xfId="0" applyNumberFormat="1"/>
    <xf numFmtId="0" fontId="24" fillId="0" borderId="0" xfId="0" applyFont="1" applyAlignment="1">
      <alignment horizontal="left"/>
    </xf>
    <xf numFmtId="0" fontId="28" fillId="0" borderId="0" xfId="11" applyFont="1" applyAlignment="1">
      <alignment horizontal="left"/>
    </xf>
    <xf numFmtId="0" fontId="24" fillId="3" borderId="0" xfId="0" applyFont="1" applyFill="1"/>
    <xf numFmtId="0" fontId="29" fillId="5" borderId="25" xfId="0" applyFont="1" applyFill="1" applyBorder="1" applyAlignment="1">
      <alignment horizontal="center" vertical="center" wrapText="1"/>
    </xf>
    <xf numFmtId="0" fontId="29" fillId="5" borderId="23" xfId="0" applyFont="1" applyFill="1" applyBorder="1" applyAlignment="1">
      <alignment horizontal="center" vertical="center" wrapText="1"/>
    </xf>
    <xf numFmtId="0" fontId="29" fillId="5" borderId="22" xfId="0" applyFont="1" applyFill="1" applyBorder="1" applyAlignment="1">
      <alignment horizontal="center" vertical="center" wrapText="1"/>
    </xf>
    <xf numFmtId="0" fontId="30" fillId="5" borderId="19" xfId="0" applyFont="1" applyFill="1" applyBorder="1" applyAlignment="1">
      <alignment horizontal="center" vertical="center" wrapText="1"/>
    </xf>
    <xf numFmtId="0" fontId="30" fillId="5" borderId="17" xfId="0" applyFont="1" applyFill="1" applyBorder="1" applyAlignment="1">
      <alignment horizontal="center" vertical="center" wrapText="1"/>
    </xf>
    <xf numFmtId="0" fontId="30" fillId="5" borderId="16" xfId="0" applyFont="1" applyFill="1" applyBorder="1" applyAlignment="1">
      <alignment horizontal="center" vertical="center" wrapText="1"/>
    </xf>
    <xf numFmtId="0" fontId="30" fillId="4" borderId="0" xfId="0" applyFont="1" applyFill="1" applyAlignment="1">
      <alignment horizontal="left" vertical="center"/>
    </xf>
    <xf numFmtId="0" fontId="30" fillId="4" borderId="0" xfId="0" applyFont="1" applyFill="1" applyAlignment="1">
      <alignment vertical="center"/>
    </xf>
    <xf numFmtId="41" fontId="30" fillId="4" borderId="12" xfId="0" applyNumberFormat="1" applyFont="1" applyFill="1" applyBorder="1" applyAlignment="1">
      <alignment horizontal="right" vertical="center"/>
    </xf>
    <xf numFmtId="41" fontId="30" fillId="4" borderId="11" xfId="0" applyNumberFormat="1" applyFont="1" applyFill="1" applyBorder="1" applyAlignment="1">
      <alignment horizontal="right" vertical="center"/>
    </xf>
    <xf numFmtId="41" fontId="30" fillId="4" borderId="11" xfId="0" applyNumberFormat="1" applyFont="1" applyFill="1" applyBorder="1" applyAlignment="1">
      <alignment vertical="center"/>
    </xf>
    <xf numFmtId="41" fontId="30" fillId="4" borderId="10" xfId="0" applyNumberFormat="1" applyFont="1" applyFill="1" applyBorder="1" applyAlignment="1">
      <alignment vertical="center"/>
    </xf>
    <xf numFmtId="0" fontId="30" fillId="0" borderId="0" xfId="0" applyFont="1" applyAlignment="1">
      <alignment horizontal="left" vertical="center"/>
    </xf>
    <xf numFmtId="41" fontId="30" fillId="0" borderId="12" xfId="0" applyNumberFormat="1" applyFont="1" applyBorder="1" applyAlignment="1">
      <alignment horizontal="right" vertical="center"/>
    </xf>
    <xf numFmtId="41" fontId="30" fillId="0" borderId="11" xfId="0" applyNumberFormat="1" applyFont="1" applyBorder="1" applyAlignment="1">
      <alignment horizontal="right" vertical="center"/>
    </xf>
    <xf numFmtId="41" fontId="30" fillId="0" borderId="11" xfId="0" applyNumberFormat="1" applyFont="1" applyBorder="1" applyAlignment="1">
      <alignment vertical="center"/>
    </xf>
    <xf numFmtId="41" fontId="30" fillId="0" borderId="10" xfId="0" applyNumberFormat="1" applyFont="1" applyBorder="1" applyAlignment="1">
      <alignment vertical="center"/>
    </xf>
    <xf numFmtId="41" fontId="30" fillId="4" borderId="10" xfId="0" applyNumberFormat="1" applyFont="1" applyFill="1" applyBorder="1" applyAlignment="1">
      <alignment horizontal="right" vertical="center"/>
    </xf>
    <xf numFmtId="0" fontId="30" fillId="0" borderId="0" xfId="0" quotePrefix="1" applyFont="1" applyAlignment="1">
      <alignment horizontal="left" vertical="center"/>
    </xf>
    <xf numFmtId="41" fontId="30" fillId="0" borderId="0" xfId="9" applyFont="1" applyFill="1" applyBorder="1">
      <alignment vertical="center"/>
    </xf>
    <xf numFmtId="41" fontId="30" fillId="0" borderId="11" xfId="9" applyFont="1" applyFill="1" applyBorder="1" applyAlignment="1">
      <alignment horizontal="right" vertical="center"/>
    </xf>
    <xf numFmtId="0" fontId="30" fillId="0" borderId="0" xfId="0" applyFont="1" applyAlignment="1">
      <alignment vertical="center"/>
    </xf>
    <xf numFmtId="0" fontId="30" fillId="0" borderId="0" xfId="0" applyFont="1" applyAlignment="1">
      <alignment horizontal="justify" vertical="center"/>
    </xf>
    <xf numFmtId="41" fontId="30" fillId="0" borderId="11" xfId="9" applyFont="1" applyBorder="1" applyAlignment="1">
      <alignment horizontal="right" vertical="center"/>
    </xf>
    <xf numFmtId="0" fontId="30" fillId="0" borderId="6" xfId="0" applyFont="1" applyBorder="1" applyAlignment="1">
      <alignment horizontal="left" vertical="center"/>
    </xf>
    <xf numFmtId="41" fontId="30" fillId="0" borderId="9" xfId="0" applyNumberFormat="1" applyFont="1" applyBorder="1" applyAlignment="1">
      <alignment horizontal="right" vertical="center"/>
    </xf>
    <xf numFmtId="41" fontId="30" fillId="0" borderId="8" xfId="0" applyNumberFormat="1" applyFont="1" applyBorder="1" applyAlignment="1">
      <alignment horizontal="right" vertical="center"/>
    </xf>
    <xf numFmtId="41" fontId="30" fillId="0" borderId="8" xfId="0" applyNumberFormat="1" applyFont="1" applyBorder="1" applyAlignment="1">
      <alignment vertical="center"/>
    </xf>
    <xf numFmtId="41" fontId="30" fillId="0" borderId="7" xfId="0" applyNumberFormat="1" applyFont="1" applyBorder="1" applyAlignment="1">
      <alignment vertical="center"/>
    </xf>
    <xf numFmtId="41" fontId="30" fillId="0" borderId="0" xfId="0" applyNumberFormat="1" applyFont="1" applyAlignment="1">
      <alignment horizontal="right" vertical="center"/>
    </xf>
    <xf numFmtId="41" fontId="30" fillId="0" borderId="0" xfId="0" applyNumberFormat="1" applyFont="1" applyAlignment="1">
      <alignment vertical="center"/>
    </xf>
    <xf numFmtId="0" fontId="31" fillId="0" borderId="0" xfId="0" applyFont="1" applyAlignment="1">
      <alignment vertical="center"/>
    </xf>
    <xf numFmtId="41" fontId="29" fillId="5" borderId="25" xfId="0" applyNumberFormat="1" applyFont="1" applyFill="1" applyBorder="1" applyAlignment="1">
      <alignment horizontal="center" vertical="center" wrapText="1"/>
    </xf>
    <xf numFmtId="0" fontId="29" fillId="5" borderId="63" xfId="0" applyFont="1" applyFill="1" applyBorder="1" applyAlignment="1">
      <alignment horizontal="center" vertical="center" wrapText="1"/>
    </xf>
    <xf numFmtId="0" fontId="29" fillId="5" borderId="47" xfId="0" applyFont="1" applyFill="1" applyBorder="1" applyAlignment="1">
      <alignment horizontal="center" vertical="center" wrapText="1"/>
    </xf>
    <xf numFmtId="0" fontId="29" fillId="5" borderId="62" xfId="0" applyFont="1" applyFill="1" applyBorder="1" applyAlignment="1">
      <alignment horizontal="center" vertical="center" wrapText="1"/>
    </xf>
    <xf numFmtId="41" fontId="30" fillId="5" borderId="19" xfId="0" applyNumberFormat="1" applyFont="1" applyFill="1" applyBorder="1" applyAlignment="1">
      <alignment horizontal="center" vertical="center" wrapText="1"/>
    </xf>
    <xf numFmtId="0" fontId="30" fillId="5" borderId="61" xfId="0" applyFont="1" applyFill="1" applyBorder="1" applyAlignment="1">
      <alignment horizontal="center" vertical="center" wrapText="1"/>
    </xf>
    <xf numFmtId="0" fontId="30" fillId="5" borderId="45" xfId="0" applyFont="1" applyFill="1" applyBorder="1" applyAlignment="1">
      <alignment horizontal="center" vertical="center" wrapText="1"/>
    </xf>
    <xf numFmtId="0" fontId="30" fillId="5" borderId="60" xfId="0" applyFont="1" applyFill="1" applyBorder="1" applyAlignment="1">
      <alignment horizontal="center" vertical="center" wrapText="1"/>
    </xf>
    <xf numFmtId="41" fontId="30" fillId="4" borderId="56" xfId="0" applyNumberFormat="1" applyFont="1" applyFill="1" applyBorder="1" applyAlignment="1">
      <alignment horizontal="right" vertical="center"/>
    </xf>
    <xf numFmtId="41" fontId="30" fillId="4" borderId="38" xfId="0" applyNumberFormat="1" applyFont="1" applyFill="1" applyBorder="1" applyAlignment="1">
      <alignment horizontal="right" vertical="center"/>
    </xf>
    <xf numFmtId="41" fontId="30" fillId="4" borderId="55" xfId="0" applyNumberFormat="1" applyFont="1" applyFill="1" applyBorder="1" applyAlignment="1">
      <alignment horizontal="right" vertical="center"/>
    </xf>
    <xf numFmtId="41" fontId="30" fillId="4" borderId="59" xfId="0" applyNumberFormat="1" applyFont="1" applyFill="1" applyBorder="1" applyAlignment="1">
      <alignment vertical="center"/>
    </xf>
    <xf numFmtId="41" fontId="30" fillId="4" borderId="55" xfId="0" applyNumberFormat="1" applyFont="1" applyFill="1" applyBorder="1" applyAlignment="1">
      <alignment vertical="center"/>
    </xf>
    <xf numFmtId="41" fontId="30" fillId="4" borderId="57" xfId="0" applyNumberFormat="1" applyFont="1" applyFill="1" applyBorder="1" applyAlignment="1">
      <alignment horizontal="right" vertical="center"/>
    </xf>
    <xf numFmtId="41" fontId="30" fillId="4" borderId="56" xfId="0" applyNumberFormat="1" applyFont="1" applyFill="1" applyBorder="1" applyAlignment="1">
      <alignment vertical="center"/>
    </xf>
    <xf numFmtId="41" fontId="30" fillId="4" borderId="38" xfId="0" applyNumberFormat="1" applyFont="1" applyFill="1" applyBorder="1" applyAlignment="1">
      <alignment vertical="center"/>
    </xf>
    <xf numFmtId="41" fontId="30" fillId="4" borderId="53" xfId="0" applyNumberFormat="1" applyFont="1" applyFill="1" applyBorder="1" applyAlignment="1">
      <alignment vertical="center"/>
    </xf>
    <xf numFmtId="41" fontId="30" fillId="4" borderId="58" xfId="0" applyNumberFormat="1" applyFont="1" applyFill="1" applyBorder="1" applyAlignment="1">
      <alignment vertical="center"/>
    </xf>
    <xf numFmtId="41" fontId="30" fillId="4" borderId="56" xfId="9" applyFont="1" applyFill="1" applyBorder="1">
      <alignment vertical="center"/>
    </xf>
    <xf numFmtId="41" fontId="30" fillId="4" borderId="38" xfId="9" applyFont="1" applyFill="1" applyBorder="1">
      <alignment vertical="center"/>
    </xf>
    <xf numFmtId="41" fontId="30" fillId="4" borderId="53" xfId="9" applyFont="1" applyFill="1" applyBorder="1" applyAlignment="1">
      <alignment horizontal="right" vertical="center"/>
    </xf>
    <xf numFmtId="41" fontId="30" fillId="4" borderId="38" xfId="9" applyFont="1" applyFill="1" applyBorder="1" applyAlignment="1">
      <alignment horizontal="right" vertical="center"/>
    </xf>
    <xf numFmtId="41" fontId="30" fillId="4" borderId="58" xfId="9" applyFont="1" applyFill="1" applyBorder="1" applyAlignment="1">
      <alignment horizontal="right" vertical="center"/>
    </xf>
    <xf numFmtId="41" fontId="30" fillId="0" borderId="56" xfId="9" applyFont="1" applyFill="1" applyBorder="1">
      <alignment vertical="center"/>
    </xf>
    <xf numFmtId="41" fontId="30" fillId="0" borderId="38" xfId="9" applyFont="1" applyFill="1" applyBorder="1">
      <alignment vertical="center"/>
    </xf>
    <xf numFmtId="41" fontId="30" fillId="0" borderId="53" xfId="9" applyFont="1" applyFill="1" applyBorder="1" applyAlignment="1">
      <alignment horizontal="right" vertical="center"/>
    </xf>
    <xf numFmtId="41" fontId="30" fillId="0" borderId="38" xfId="9" applyFont="1" applyFill="1" applyBorder="1" applyAlignment="1">
      <alignment horizontal="right" vertical="center"/>
    </xf>
    <xf numFmtId="41" fontId="30" fillId="0" borderId="58" xfId="9" applyFont="1" applyFill="1" applyBorder="1" applyAlignment="1">
      <alignment horizontal="right" vertical="center"/>
    </xf>
    <xf numFmtId="41" fontId="30" fillId="4" borderId="12" xfId="9" applyFont="1" applyFill="1" applyBorder="1" applyAlignment="1">
      <alignment horizontal="right" vertical="center"/>
    </xf>
    <xf numFmtId="0" fontId="30" fillId="4" borderId="56" xfId="0" applyFont="1" applyFill="1" applyBorder="1" applyAlignment="1">
      <alignment vertical="center"/>
    </xf>
    <xf numFmtId="0" fontId="30" fillId="4" borderId="38" xfId="0" applyFont="1" applyFill="1" applyBorder="1" applyAlignment="1">
      <alignment vertical="center"/>
    </xf>
    <xf numFmtId="0" fontId="30" fillId="4" borderId="53" xfId="0" applyFont="1" applyFill="1" applyBorder="1" applyAlignment="1">
      <alignment vertical="center"/>
    </xf>
    <xf numFmtId="0" fontId="30" fillId="4" borderId="58" xfId="0" applyFont="1" applyFill="1" applyBorder="1" applyAlignment="1">
      <alignment vertical="center"/>
    </xf>
    <xf numFmtId="41" fontId="30" fillId="0" borderId="56" xfId="0" applyNumberFormat="1" applyFont="1" applyBorder="1" applyAlignment="1">
      <alignment horizontal="right" vertical="center"/>
    </xf>
    <xf numFmtId="41" fontId="30" fillId="0" borderId="38" xfId="0" applyNumberFormat="1" applyFont="1" applyBorder="1" applyAlignment="1">
      <alignment horizontal="right" vertical="center"/>
    </xf>
    <xf numFmtId="41" fontId="30" fillId="0" borderId="53" xfId="0" applyNumberFormat="1" applyFont="1" applyBorder="1" applyAlignment="1">
      <alignment horizontal="right" vertical="center"/>
    </xf>
    <xf numFmtId="41" fontId="30" fillId="0" borderId="53" xfId="0" applyNumberFormat="1" applyFont="1" applyBorder="1" applyAlignment="1">
      <alignment vertical="center"/>
    </xf>
    <xf numFmtId="41" fontId="30" fillId="0" borderId="38" xfId="0" applyNumberFormat="1" applyFont="1" applyBorder="1" applyAlignment="1">
      <alignment vertical="center"/>
    </xf>
    <xf numFmtId="41" fontId="30" fillId="0" borderId="58" xfId="0" applyNumberFormat="1" applyFont="1" applyBorder="1" applyAlignment="1">
      <alignment vertical="center"/>
    </xf>
    <xf numFmtId="41" fontId="30" fillId="0" borderId="55" xfId="0" applyNumberFormat="1" applyFont="1" applyBorder="1" applyAlignment="1">
      <alignment vertical="center"/>
    </xf>
    <xf numFmtId="41" fontId="30" fillId="0" borderId="56" xfId="0" applyNumberFormat="1" applyFont="1" applyBorder="1" applyAlignment="1">
      <alignment vertical="center"/>
    </xf>
    <xf numFmtId="41" fontId="30" fillId="0" borderId="57" xfId="0" applyNumberFormat="1" applyFont="1" applyBorder="1" applyAlignment="1">
      <alignment horizontal="right" vertical="center"/>
    </xf>
    <xf numFmtId="41" fontId="30" fillId="0" borderId="55" xfId="0" applyNumberFormat="1" applyFont="1" applyBorder="1" applyAlignment="1">
      <alignment horizontal="right" vertical="center"/>
    </xf>
    <xf numFmtId="41" fontId="30" fillId="0" borderId="10" xfId="0" applyNumberFormat="1" applyFont="1" applyBorder="1" applyAlignment="1">
      <alignment horizontal="right" vertical="center"/>
    </xf>
    <xf numFmtId="41" fontId="30" fillId="4" borderId="44" xfId="0" applyNumberFormat="1" applyFont="1" applyFill="1" applyBorder="1" applyAlignment="1">
      <alignment horizontal="right" vertical="center"/>
    </xf>
    <xf numFmtId="0" fontId="30" fillId="0" borderId="67" xfId="0" applyFont="1" applyBorder="1" applyAlignment="1">
      <alignment horizontal="left" vertical="center"/>
    </xf>
    <xf numFmtId="41" fontId="30" fillId="0" borderId="68" xfId="0" applyNumberFormat="1" applyFont="1" applyBorder="1" applyAlignment="1">
      <alignment horizontal="right" vertical="center"/>
    </xf>
    <xf numFmtId="41" fontId="30" fillId="0" borderId="69" xfId="0" applyNumberFormat="1" applyFont="1" applyBorder="1" applyAlignment="1">
      <alignment horizontal="right" vertical="center"/>
    </xf>
    <xf numFmtId="41" fontId="30" fillId="0" borderId="70" xfId="0" applyNumberFormat="1" applyFont="1" applyBorder="1" applyAlignment="1">
      <alignment horizontal="right" vertical="center"/>
    </xf>
    <xf numFmtId="41" fontId="30" fillId="0" borderId="71" xfId="0" applyNumberFormat="1" applyFont="1" applyBorder="1" applyAlignment="1">
      <alignment horizontal="right" vertical="center"/>
    </xf>
    <xf numFmtId="41" fontId="30" fillId="0" borderId="72" xfId="0" applyNumberFormat="1" applyFont="1" applyBorder="1" applyAlignment="1">
      <alignment horizontal="right" vertical="center"/>
    </xf>
    <xf numFmtId="41" fontId="30" fillId="0" borderId="72" xfId="0" applyNumberFormat="1" applyFont="1" applyBorder="1" applyAlignment="1">
      <alignment vertical="center"/>
    </xf>
    <xf numFmtId="41" fontId="30" fillId="0" borderId="73" xfId="0" applyNumberFormat="1" applyFont="1" applyBorder="1" applyAlignment="1">
      <alignment vertical="center"/>
    </xf>
    <xf numFmtId="41" fontId="30" fillId="0" borderId="0" xfId="9" applyFont="1">
      <alignment vertical="center"/>
    </xf>
    <xf numFmtId="41" fontId="30" fillId="0" borderId="54" xfId="0" applyNumberFormat="1" applyFont="1" applyBorder="1" applyAlignment="1">
      <alignment vertical="center"/>
    </xf>
    <xf numFmtId="41" fontId="30" fillId="0" borderId="54" xfId="0" applyNumberFormat="1" applyFont="1" applyBorder="1" applyAlignment="1">
      <alignment horizontal="right" vertical="center"/>
    </xf>
    <xf numFmtId="41" fontId="30" fillId="4" borderId="40" xfId="0" applyNumberFormat="1" applyFont="1" applyFill="1" applyBorder="1" applyAlignment="1">
      <alignment horizontal="right" vertical="center"/>
    </xf>
    <xf numFmtId="41" fontId="30" fillId="4" borderId="53" xfId="0" applyNumberFormat="1" applyFont="1" applyFill="1" applyBorder="1" applyAlignment="1">
      <alignment horizontal="right" vertical="center"/>
    </xf>
    <xf numFmtId="41" fontId="30" fillId="4" borderId="37" xfId="0" applyNumberFormat="1" applyFont="1" applyFill="1" applyBorder="1" applyAlignment="1">
      <alignment horizontal="right" vertical="center"/>
    </xf>
    <xf numFmtId="41" fontId="30" fillId="4" borderId="36" xfId="0" applyNumberFormat="1" applyFont="1" applyFill="1" applyBorder="1" applyAlignment="1">
      <alignment vertical="center"/>
    </xf>
    <xf numFmtId="41" fontId="30" fillId="4" borderId="35" xfId="0" applyNumberFormat="1" applyFont="1" applyFill="1" applyBorder="1" applyAlignment="1">
      <alignment vertical="center"/>
    </xf>
    <xf numFmtId="41" fontId="30" fillId="0" borderId="40" xfId="0" applyNumberFormat="1" applyFont="1" applyBorder="1" applyAlignment="1">
      <alignment horizontal="right" vertical="center"/>
    </xf>
    <xf numFmtId="41" fontId="30" fillId="0" borderId="37" xfId="0" applyNumberFormat="1" applyFont="1" applyBorder="1" applyAlignment="1">
      <alignment horizontal="right" vertical="center"/>
    </xf>
    <xf numFmtId="41" fontId="30" fillId="0" borderId="36" xfId="0" applyNumberFormat="1" applyFont="1" applyBorder="1" applyAlignment="1">
      <alignment vertical="center"/>
    </xf>
    <xf numFmtId="41" fontId="30" fillId="0" borderId="35" xfId="0" applyNumberFormat="1" applyFont="1" applyBorder="1" applyAlignment="1">
      <alignment vertical="center"/>
    </xf>
    <xf numFmtId="41" fontId="30" fillId="4" borderId="36" xfId="0" applyNumberFormat="1" applyFont="1" applyFill="1" applyBorder="1" applyAlignment="1">
      <alignment horizontal="right" vertical="center"/>
    </xf>
    <xf numFmtId="41" fontId="30" fillId="4" borderId="35" xfId="0" applyNumberFormat="1" applyFont="1" applyFill="1" applyBorder="1" applyAlignment="1">
      <alignment horizontal="right" vertical="center"/>
    </xf>
    <xf numFmtId="41" fontId="30" fillId="0" borderId="44" xfId="0" applyNumberFormat="1" applyFont="1" applyBorder="1" applyAlignment="1">
      <alignment vertical="center"/>
    </xf>
    <xf numFmtId="41" fontId="30" fillId="4" borderId="74" xfId="0" applyNumberFormat="1" applyFont="1" applyFill="1" applyBorder="1" applyAlignment="1">
      <alignment vertical="center"/>
    </xf>
    <xf numFmtId="41" fontId="30" fillId="0" borderId="44" xfId="0" applyNumberFormat="1" applyFont="1" applyBorder="1" applyAlignment="1">
      <alignment horizontal="right" vertical="center"/>
    </xf>
    <xf numFmtId="41" fontId="30" fillId="0" borderId="39" xfId="0" applyNumberFormat="1" applyFont="1" applyBorder="1" applyAlignment="1">
      <alignment horizontal="right" vertical="center"/>
    </xf>
    <xf numFmtId="41" fontId="30" fillId="0" borderId="42" xfId="0" applyNumberFormat="1" applyFont="1" applyBorder="1" applyAlignment="1">
      <alignment horizontal="right" vertical="center"/>
    </xf>
    <xf numFmtId="41" fontId="30" fillId="0" borderId="52" xfId="0" applyNumberFormat="1" applyFont="1" applyBorder="1" applyAlignment="1">
      <alignment horizontal="right" vertical="center"/>
    </xf>
    <xf numFmtId="41" fontId="30" fillId="0" borderId="42" xfId="0" applyNumberFormat="1" applyFont="1" applyBorder="1" applyAlignment="1">
      <alignment vertical="center"/>
    </xf>
    <xf numFmtId="41" fontId="30" fillId="0" borderId="41" xfId="0" applyNumberFormat="1" applyFont="1" applyBorder="1" applyAlignment="1">
      <alignment vertical="center"/>
    </xf>
    <xf numFmtId="0" fontId="28" fillId="0" borderId="0" xfId="11" applyFont="1"/>
    <xf numFmtId="179" fontId="29" fillId="5" borderId="25" xfId="0" applyNumberFormat="1" applyFont="1" applyFill="1" applyBorder="1" applyAlignment="1">
      <alignment horizontal="center" vertical="center" wrapText="1"/>
    </xf>
    <xf numFmtId="179" fontId="30" fillId="5" borderId="19" xfId="0" applyNumberFormat="1" applyFont="1" applyFill="1" applyBorder="1" applyAlignment="1">
      <alignment horizontal="center" vertical="center" wrapText="1"/>
    </xf>
    <xf numFmtId="179" fontId="30" fillId="4" borderId="12" xfId="0" applyNumberFormat="1" applyFont="1" applyFill="1" applyBorder="1" applyAlignment="1">
      <alignment horizontal="right" vertical="center"/>
    </xf>
    <xf numFmtId="179" fontId="30" fillId="0" borderId="12" xfId="0" applyNumberFormat="1" applyFont="1" applyBorder="1" applyAlignment="1">
      <alignment horizontal="right" vertical="center"/>
    </xf>
    <xf numFmtId="179" fontId="30" fillId="4" borderId="27" xfId="0" applyNumberFormat="1" applyFont="1" applyFill="1" applyBorder="1" applyAlignment="1">
      <alignment horizontal="right" vertical="center"/>
    </xf>
    <xf numFmtId="41" fontId="30" fillId="4" borderId="27" xfId="0" applyNumberFormat="1" applyFont="1" applyFill="1" applyBorder="1" applyAlignment="1">
      <alignment horizontal="right" vertical="center"/>
    </xf>
    <xf numFmtId="41" fontId="30" fillId="4" borderId="26" xfId="0" applyNumberFormat="1" applyFont="1" applyFill="1" applyBorder="1" applyAlignment="1">
      <alignment horizontal="right" vertical="center"/>
    </xf>
    <xf numFmtId="41" fontId="30" fillId="0" borderId="10" xfId="9" applyFont="1" applyBorder="1" applyAlignment="1">
      <alignment horizontal="right" vertical="center"/>
    </xf>
    <xf numFmtId="179" fontId="30" fillId="0" borderId="9" xfId="9" applyNumberFormat="1" applyFont="1" applyBorder="1" applyAlignment="1">
      <alignment horizontal="right" vertical="center"/>
    </xf>
    <xf numFmtId="41" fontId="30" fillId="0" borderId="8" xfId="9" applyFont="1" applyBorder="1" applyAlignment="1">
      <alignment horizontal="right" vertical="center"/>
    </xf>
    <xf numFmtId="41" fontId="30" fillId="0" borderId="7" xfId="9" applyFont="1" applyBorder="1" applyAlignment="1">
      <alignment horizontal="right" vertical="center"/>
    </xf>
    <xf numFmtId="179" fontId="30" fillId="0" borderId="0" xfId="0" applyNumberFormat="1" applyFont="1" applyAlignment="1">
      <alignment horizontal="right" vertical="center"/>
    </xf>
    <xf numFmtId="179" fontId="31" fillId="0" borderId="0" xfId="0" applyNumberFormat="1" applyFont="1" applyAlignment="1">
      <alignment vertical="center"/>
    </xf>
    <xf numFmtId="0" fontId="30" fillId="4" borderId="31" xfId="0" applyFont="1" applyFill="1" applyBorder="1" applyAlignment="1">
      <alignment vertical="center"/>
    </xf>
    <xf numFmtId="41" fontId="30" fillId="4" borderId="13" xfId="0" applyNumberFormat="1" applyFont="1" applyFill="1" applyBorder="1" applyAlignment="1">
      <alignment horizontal="right" vertical="center"/>
    </xf>
    <xf numFmtId="0" fontId="30" fillId="4" borderId="75" xfId="0" applyFont="1" applyFill="1" applyBorder="1" applyAlignment="1">
      <alignment horizontal="left" vertical="center"/>
    </xf>
    <xf numFmtId="41" fontId="30" fillId="0" borderId="13" xfId="0" applyNumberFormat="1" applyFont="1" applyBorder="1" applyAlignment="1">
      <alignment vertical="center"/>
    </xf>
    <xf numFmtId="0" fontId="30" fillId="0" borderId="75" xfId="0" applyFont="1" applyBorder="1" applyAlignment="1">
      <alignment horizontal="left" vertical="center"/>
    </xf>
    <xf numFmtId="0" fontId="30" fillId="0" borderId="75" xfId="0" applyFont="1" applyBorder="1" applyAlignment="1">
      <alignment vertical="center"/>
    </xf>
    <xf numFmtId="41" fontId="30" fillId="0" borderId="76" xfId="9" applyFont="1" applyBorder="1" applyAlignment="1">
      <alignment horizontal="right" vertical="center"/>
    </xf>
    <xf numFmtId="0" fontId="30" fillId="0" borderId="29" xfId="0" applyFont="1" applyBorder="1" applyAlignment="1">
      <alignment horizontal="left" vertical="center"/>
    </xf>
    <xf numFmtId="41" fontId="30" fillId="0" borderId="0" xfId="9" applyFont="1" applyBorder="1" applyAlignment="1">
      <alignment horizontal="right" vertical="center"/>
    </xf>
    <xf numFmtId="0" fontId="30" fillId="5" borderId="11" xfId="0" applyFont="1" applyFill="1" applyBorder="1" applyAlignment="1">
      <alignment horizontal="center" vertical="center" wrapText="1"/>
    </xf>
    <xf numFmtId="0" fontId="30" fillId="5" borderId="10" xfId="0" applyFont="1" applyFill="1" applyBorder="1" applyAlignment="1">
      <alignment horizontal="center" vertical="center" wrapText="1"/>
    </xf>
    <xf numFmtId="0" fontId="30" fillId="4" borderId="31" xfId="0" applyFont="1" applyFill="1" applyBorder="1" applyAlignment="1">
      <alignment horizontal="left" vertical="center"/>
    </xf>
    <xf numFmtId="41" fontId="30" fillId="4" borderId="51" xfId="0" applyNumberFormat="1" applyFont="1" applyFill="1" applyBorder="1" applyAlignment="1">
      <alignment horizontal="right" vertical="center"/>
    </xf>
    <xf numFmtId="41" fontId="30" fillId="4" borderId="50" xfId="0" applyNumberFormat="1" applyFont="1" applyFill="1" applyBorder="1" applyAlignment="1">
      <alignment horizontal="right" vertical="center"/>
    </xf>
    <xf numFmtId="41" fontId="30" fillId="4" borderId="50" xfId="0" applyNumberFormat="1" applyFont="1" applyFill="1" applyBorder="1" applyAlignment="1">
      <alignment vertical="center"/>
    </xf>
    <xf numFmtId="41" fontId="30" fillId="4" borderId="49" xfId="0" applyNumberFormat="1" applyFont="1" applyFill="1" applyBorder="1" applyAlignment="1">
      <alignment vertical="center"/>
    </xf>
    <xf numFmtId="0" fontId="30" fillId="6" borderId="0" xfId="0" applyFont="1" applyFill="1" applyAlignment="1">
      <alignment horizontal="left" vertical="center"/>
    </xf>
    <xf numFmtId="0" fontId="30" fillId="6" borderId="0" xfId="0" applyFont="1" applyFill="1" applyAlignment="1">
      <alignment vertical="center"/>
    </xf>
    <xf numFmtId="41" fontId="30" fillId="8" borderId="12" xfId="0" applyNumberFormat="1" applyFont="1" applyFill="1" applyBorder="1" applyAlignment="1">
      <alignment horizontal="right" vertical="center"/>
    </xf>
    <xf numFmtId="41" fontId="30" fillId="8" borderId="11" xfId="0" applyNumberFormat="1" applyFont="1" applyFill="1" applyBorder="1" applyAlignment="1">
      <alignment horizontal="right" vertical="center"/>
    </xf>
    <xf numFmtId="41" fontId="30" fillId="8" borderId="10" xfId="0" applyNumberFormat="1" applyFont="1" applyFill="1" applyBorder="1" applyAlignment="1">
      <alignment horizontal="right" vertical="center"/>
    </xf>
    <xf numFmtId="41" fontId="30" fillId="6" borderId="12" xfId="0" applyNumberFormat="1" applyFont="1" applyFill="1" applyBorder="1" applyAlignment="1">
      <alignment horizontal="right" vertical="center"/>
    </xf>
    <xf numFmtId="41" fontId="30" fillId="6" borderId="11" xfId="0" applyNumberFormat="1" applyFont="1" applyFill="1" applyBorder="1" applyAlignment="1">
      <alignment horizontal="right" vertical="center"/>
    </xf>
    <xf numFmtId="41" fontId="30" fillId="6" borderId="10" xfId="0" applyNumberFormat="1" applyFont="1" applyFill="1" applyBorder="1" applyAlignment="1">
      <alignment horizontal="right" vertical="center"/>
    </xf>
    <xf numFmtId="0" fontId="30" fillId="0" borderId="0" xfId="0" quotePrefix="1" applyFont="1" applyAlignment="1">
      <alignment horizontal="distributed" vertical="center"/>
    </xf>
    <xf numFmtId="0" fontId="30" fillId="4" borderId="0" xfId="0" quotePrefix="1" applyFont="1" applyFill="1" applyAlignment="1">
      <alignment horizontal="distributed" vertical="center"/>
    </xf>
    <xf numFmtId="0" fontId="30" fillId="0" borderId="0" xfId="0" quotePrefix="1" applyFont="1" applyAlignment="1">
      <alignment horizontal="center" vertical="center"/>
    </xf>
    <xf numFmtId="0" fontId="30" fillId="0" borderId="20" xfId="0" applyFont="1" applyBorder="1" applyAlignment="1">
      <alignment horizontal="center" vertical="center"/>
    </xf>
    <xf numFmtId="0" fontId="29" fillId="5" borderId="48" xfId="0" applyFont="1" applyFill="1" applyBorder="1" applyAlignment="1">
      <alignment horizontal="center" vertical="center" wrapText="1"/>
    </xf>
    <xf numFmtId="0" fontId="29" fillId="5" borderId="20" xfId="0" applyFont="1" applyFill="1" applyBorder="1" applyAlignment="1">
      <alignment horizontal="center" vertical="center" wrapText="1"/>
    </xf>
    <xf numFmtId="0" fontId="29" fillId="5" borderId="34" xfId="0" applyFont="1" applyFill="1" applyBorder="1" applyAlignment="1">
      <alignment horizontal="center" vertical="center" wrapText="1"/>
    </xf>
    <xf numFmtId="0" fontId="30" fillId="5" borderId="46" xfId="0" applyFont="1" applyFill="1" applyBorder="1" applyAlignment="1">
      <alignment horizontal="center" vertical="center" wrapText="1"/>
    </xf>
    <xf numFmtId="0" fontId="30" fillId="5" borderId="14" xfId="0" applyFont="1" applyFill="1" applyBorder="1" applyAlignment="1">
      <alignment horizontal="center" vertical="center" wrapText="1"/>
    </xf>
    <xf numFmtId="0" fontId="30" fillId="5" borderId="33" xfId="0" applyFont="1" applyFill="1" applyBorder="1" applyAlignment="1">
      <alignment horizontal="center" vertical="center" wrapText="1"/>
    </xf>
    <xf numFmtId="41" fontId="30" fillId="4" borderId="44" xfId="0" applyNumberFormat="1" applyFont="1" applyFill="1" applyBorder="1" applyAlignment="1">
      <alignment vertical="center"/>
    </xf>
    <xf numFmtId="41" fontId="30" fillId="6" borderId="40" xfId="0" applyNumberFormat="1" applyFont="1" applyFill="1" applyBorder="1" applyAlignment="1">
      <alignment horizontal="right" vertical="center"/>
    </xf>
    <xf numFmtId="41" fontId="30" fillId="6" borderId="38" xfId="0" applyNumberFormat="1" applyFont="1" applyFill="1" applyBorder="1" applyAlignment="1">
      <alignment horizontal="right" vertical="center"/>
    </xf>
    <xf numFmtId="41" fontId="30" fillId="6" borderId="37" xfId="0" applyNumberFormat="1" applyFont="1" applyFill="1" applyBorder="1" applyAlignment="1">
      <alignment horizontal="right" vertical="center"/>
    </xf>
    <xf numFmtId="41" fontId="30" fillId="6" borderId="44" xfId="0" applyNumberFormat="1" applyFont="1" applyFill="1" applyBorder="1" applyAlignment="1">
      <alignment horizontal="right" vertical="center"/>
    </xf>
    <xf numFmtId="41" fontId="30" fillId="6" borderId="38" xfId="0" applyNumberFormat="1" applyFont="1" applyFill="1" applyBorder="1" applyAlignment="1">
      <alignment vertical="center"/>
    </xf>
    <xf numFmtId="0" fontId="30" fillId="0" borderId="6" xfId="0" quotePrefix="1" applyFont="1" applyBorder="1" applyAlignment="1">
      <alignment horizontal="center" vertical="center"/>
    </xf>
    <xf numFmtId="41" fontId="30" fillId="0" borderId="43" xfId="0" applyNumberFormat="1" applyFont="1" applyBorder="1" applyAlignment="1">
      <alignment horizontal="right" vertical="center"/>
    </xf>
    <xf numFmtId="0" fontId="30" fillId="0" borderId="0" xfId="0" applyFont="1" applyAlignment="1">
      <alignment horizontal="center" vertical="center"/>
    </xf>
    <xf numFmtId="41" fontId="30" fillId="6" borderId="11" xfId="0" applyNumberFormat="1" applyFont="1" applyFill="1" applyBorder="1" applyAlignment="1">
      <alignment vertical="center"/>
    </xf>
    <xf numFmtId="41" fontId="30" fillId="0" borderId="20" xfId="0" applyNumberFormat="1" applyFont="1" applyBorder="1" applyAlignment="1">
      <alignment horizontal="center" vertical="center"/>
    </xf>
    <xf numFmtId="0" fontId="30" fillId="0" borderId="20" xfId="0" applyFont="1" applyBorder="1" applyAlignment="1">
      <alignment horizontal="left" vertical="center"/>
    </xf>
    <xf numFmtId="41" fontId="30" fillId="0" borderId="20" xfId="0" applyNumberFormat="1" applyFont="1" applyBorder="1" applyAlignment="1">
      <alignment horizontal="left" vertical="center"/>
    </xf>
    <xf numFmtId="41" fontId="30" fillId="0" borderId="7" xfId="0" applyNumberFormat="1" applyFont="1" applyBorder="1" applyAlignment="1">
      <alignment horizontal="right" vertical="center"/>
    </xf>
    <xf numFmtId="41" fontId="31" fillId="0" borderId="0" xfId="0" applyNumberFormat="1" applyFont="1" applyAlignment="1">
      <alignment vertical="center"/>
    </xf>
    <xf numFmtId="41" fontId="30" fillId="6" borderId="10" xfId="0" applyNumberFormat="1" applyFont="1" applyFill="1" applyBorder="1" applyAlignment="1">
      <alignment vertical="center"/>
    </xf>
    <xf numFmtId="0" fontId="30" fillId="7" borderId="0" xfId="0" applyFont="1" applyFill="1" applyAlignment="1">
      <alignment vertical="center"/>
    </xf>
    <xf numFmtId="41" fontId="30" fillId="7" borderId="12" xfId="0" applyNumberFormat="1" applyFont="1" applyFill="1" applyBorder="1" applyAlignment="1">
      <alignment horizontal="right" vertical="center"/>
    </xf>
    <xf numFmtId="41" fontId="30" fillId="7" borderId="11" xfId="0" applyNumberFormat="1" applyFont="1" applyFill="1" applyBorder="1" applyAlignment="1">
      <alignment horizontal="right" vertical="center"/>
    </xf>
    <xf numFmtId="41" fontId="30" fillId="7" borderId="11" xfId="0" applyNumberFormat="1" applyFont="1" applyFill="1" applyBorder="1" applyAlignment="1">
      <alignment vertical="center"/>
    </xf>
    <xf numFmtId="41" fontId="30" fillId="7" borderId="10" xfId="0" applyNumberFormat="1" applyFont="1" applyFill="1" applyBorder="1" applyAlignment="1">
      <alignment vertical="center"/>
    </xf>
    <xf numFmtId="49" fontId="30" fillId="0" borderId="20" xfId="0" applyNumberFormat="1" applyFont="1" applyBorder="1" applyAlignment="1">
      <alignment horizontal="center" vertical="center"/>
    </xf>
    <xf numFmtId="0" fontId="31" fillId="0" borderId="0" xfId="0" applyFont="1" applyAlignment="1">
      <alignment horizontal="left" vertical="center"/>
    </xf>
    <xf numFmtId="0" fontId="31" fillId="0" borderId="0" xfId="0" applyFont="1" applyAlignment="1">
      <alignment horizontal="center" vertical="center"/>
    </xf>
    <xf numFmtId="41" fontId="31" fillId="0" borderId="0" xfId="0" applyNumberFormat="1" applyFont="1" applyAlignment="1">
      <alignment horizontal="right" vertical="center"/>
    </xf>
    <xf numFmtId="41" fontId="30" fillId="4" borderId="12" xfId="0" applyNumberFormat="1" applyFont="1" applyFill="1" applyBorder="1" applyAlignment="1">
      <alignment vertical="center"/>
    </xf>
    <xf numFmtId="41" fontId="30" fillId="0" borderId="28" xfId="0" applyNumberFormat="1" applyFont="1" applyBorder="1" applyAlignment="1">
      <alignment horizontal="right" vertical="center"/>
    </xf>
    <xf numFmtId="41" fontId="30" fillId="0" borderId="27" xfId="0" applyNumberFormat="1" applyFont="1" applyBorder="1" applyAlignment="1">
      <alignment horizontal="right" vertical="center"/>
    </xf>
    <xf numFmtId="41" fontId="30" fillId="0" borderId="27" xfId="0" applyNumberFormat="1" applyFont="1" applyBorder="1" applyAlignment="1">
      <alignment vertical="center"/>
    </xf>
    <xf numFmtId="41" fontId="30" fillId="0" borderId="26" xfId="0" applyNumberFormat="1" applyFont="1" applyBorder="1" applyAlignment="1">
      <alignment vertical="center"/>
    </xf>
    <xf numFmtId="41" fontId="30" fillId="4" borderId="28" xfId="0" applyNumberFormat="1" applyFont="1" applyFill="1" applyBorder="1" applyAlignment="1">
      <alignment horizontal="right" vertical="center"/>
    </xf>
    <xf numFmtId="41" fontId="30" fillId="0" borderId="26" xfId="0" applyNumberFormat="1" applyFont="1" applyBorder="1" applyAlignment="1">
      <alignment horizontal="right" vertical="center"/>
    </xf>
    <xf numFmtId="0" fontId="29" fillId="5" borderId="24" xfId="0" applyFont="1" applyFill="1" applyBorder="1" applyAlignment="1">
      <alignment horizontal="center" vertical="center" wrapText="1"/>
    </xf>
    <xf numFmtId="0" fontId="30" fillId="5" borderId="18" xfId="0" applyFont="1" applyFill="1" applyBorder="1" applyAlignment="1">
      <alignment horizontal="center" vertical="center" wrapText="1"/>
    </xf>
    <xf numFmtId="41" fontId="30" fillId="0" borderId="13" xfId="0" applyNumberFormat="1" applyFont="1" applyBorder="1" applyAlignment="1">
      <alignment horizontal="right" vertical="center"/>
    </xf>
    <xf numFmtId="0" fontId="33" fillId="0" borderId="0" xfId="0" applyFont="1" applyAlignment="1">
      <alignment vertical="center"/>
    </xf>
    <xf numFmtId="0" fontId="34" fillId="0" borderId="0" xfId="0" applyFont="1" applyAlignment="1">
      <alignment vertical="center"/>
    </xf>
    <xf numFmtId="0" fontId="0" fillId="13" borderId="65" xfId="0" applyFill="1" applyBorder="1"/>
    <xf numFmtId="3" fontId="24" fillId="0" borderId="65" xfId="0" applyNumberFormat="1" applyFont="1" applyBorder="1" applyAlignment="1">
      <alignment horizontal="right"/>
    </xf>
    <xf numFmtId="4" fontId="24" fillId="0" borderId="65" xfId="0" applyNumberFormat="1" applyFont="1" applyBorder="1" applyAlignment="1">
      <alignment horizontal="right"/>
    </xf>
    <xf numFmtId="0" fontId="30" fillId="4" borderId="31" xfId="0" applyFont="1" applyFill="1" applyBorder="1" applyAlignment="1">
      <alignment horizontal="left" vertical="center"/>
    </xf>
    <xf numFmtId="0" fontId="30" fillId="4" borderId="32" xfId="0" applyFont="1" applyFill="1" applyBorder="1" applyAlignment="1">
      <alignment horizontal="left" vertical="center"/>
    </xf>
    <xf numFmtId="0" fontId="29" fillId="5" borderId="20" xfId="0" applyFont="1" applyFill="1" applyBorder="1" applyAlignment="1">
      <alignment horizontal="center" vertical="center"/>
    </xf>
    <xf numFmtId="0" fontId="29" fillId="5" borderId="14" xfId="0" applyFont="1" applyFill="1" applyBorder="1" applyAlignment="1">
      <alignment horizontal="center" vertical="center"/>
    </xf>
    <xf numFmtId="0" fontId="30" fillId="0" borderId="6" xfId="0" applyFont="1" applyBorder="1" applyAlignment="1">
      <alignment horizontal="left" vertical="center" wrapText="1"/>
    </xf>
    <xf numFmtId="0" fontId="30" fillId="0" borderId="30" xfId="0" applyFont="1" applyBorder="1" applyAlignment="1">
      <alignment horizontal="left" vertical="center" wrapText="1"/>
    </xf>
    <xf numFmtId="0" fontId="29" fillId="5" borderId="21" xfId="0" applyFont="1" applyFill="1" applyBorder="1" applyAlignment="1">
      <alignment horizontal="center" vertical="center"/>
    </xf>
    <xf numFmtId="0" fontId="29" fillId="5" borderId="15" xfId="0" applyFont="1" applyFill="1" applyBorder="1" applyAlignment="1">
      <alignment horizontal="center" vertical="center"/>
    </xf>
    <xf numFmtId="0" fontId="29" fillId="5" borderId="34" xfId="0" applyFont="1" applyFill="1" applyBorder="1" applyAlignment="1">
      <alignment horizontal="center" vertical="center"/>
    </xf>
    <xf numFmtId="0" fontId="29" fillId="5" borderId="33" xfId="0" applyFont="1" applyFill="1" applyBorder="1" applyAlignment="1">
      <alignment horizontal="center" vertical="center"/>
    </xf>
    <xf numFmtId="0" fontId="30" fillId="4" borderId="31" xfId="0" applyFont="1" applyFill="1" applyBorder="1" applyAlignment="1">
      <alignment horizontal="left" vertical="center" wrapText="1"/>
    </xf>
    <xf numFmtId="0" fontId="30" fillId="4" borderId="32" xfId="0" applyFont="1" applyFill="1" applyBorder="1" applyAlignment="1">
      <alignment horizontal="left" vertical="center" wrapText="1"/>
    </xf>
    <xf numFmtId="0" fontId="30" fillId="0" borderId="29" xfId="0" applyFont="1" applyBorder="1" applyAlignment="1">
      <alignment horizontal="left" vertical="center" wrapText="1"/>
    </xf>
    <xf numFmtId="0" fontId="10" fillId="12" borderId="65" xfId="10" applyFill="1" applyBorder="1">
      <alignment vertical="center"/>
    </xf>
    <xf numFmtId="0" fontId="10" fillId="13" borderId="65" xfId="10" applyFill="1" applyBorder="1" applyAlignment="1"/>
    <xf numFmtId="0" fontId="0" fillId="13" borderId="65" xfId="0" applyFill="1" applyBorder="1"/>
    <xf numFmtId="0" fontId="9" fillId="11" borderId="0" xfId="0" applyFont="1" applyFill="1" applyAlignment="1">
      <alignment horizontal="center" vertical="center"/>
    </xf>
    <xf numFmtId="0" fontId="13" fillId="0" borderId="0" xfId="0" applyFont="1" applyAlignment="1">
      <alignment horizontal="left" vertical="center" wrapText="1"/>
    </xf>
    <xf numFmtId="0" fontId="9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9" borderId="0" xfId="0" applyFill="1" applyAlignment="1">
      <alignment horizontal="center" vertical="center"/>
    </xf>
    <xf numFmtId="182" fontId="0" fillId="0" borderId="0" xfId="0" applyNumberFormat="1"/>
  </cellXfs>
  <cellStyles count="13">
    <cellStyle name="Body: normal cell" xfId="5" xr:uid="{00000000-0005-0000-0000-000000000000}"/>
    <cellStyle name="Font: Calibri, 9pt regular" xfId="1" xr:uid="{00000000-0005-0000-0000-000001000000}"/>
    <cellStyle name="Footnotes: top row" xfId="6" xr:uid="{00000000-0005-0000-0000-000002000000}"/>
    <cellStyle name="Header: bottom row" xfId="2" xr:uid="{00000000-0005-0000-0000-000003000000}"/>
    <cellStyle name="Header: top rows" xfId="8" xr:uid="{00000000-0005-0000-0000-000004000000}"/>
    <cellStyle name="Normal 2" xfId="7" xr:uid="{00000000-0005-0000-0000-000006000000}"/>
    <cellStyle name="Parent row" xfId="4" xr:uid="{00000000-0005-0000-0000-000007000000}"/>
    <cellStyle name="Table title" xfId="3" xr:uid="{00000000-0005-0000-0000-000009000000}"/>
    <cellStyle name="쉼표 [0]" xfId="9" builtinId="6"/>
    <cellStyle name="표준" xfId="0" builtinId="0"/>
    <cellStyle name="표준 2" xfId="10" xr:uid="{DE05B990-2924-4931-9EDF-3EEC26F286F8}"/>
    <cellStyle name="표준 4" xfId="12" xr:uid="{DAAD85BD-8C63-49E9-B5C2-89FAD72545EE}"/>
    <cellStyle name="하이퍼링크" xfId="1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igws/Documents/Dropbox/Energy%20Innovation/InputData_RevisionRequest/bldgs/BDEQ/BAU%20Distribued%20Electricity%20Quantiti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KNREC"/>
      <sheetName val="KOSIS"/>
      <sheetName val="MOTIE"/>
      <sheetName val="StartYear_Cal"/>
      <sheetName val="Calculations_residential"/>
      <sheetName val="Calculations_commercial"/>
      <sheetName val="Calculations"/>
      <sheetName val="BDEQ-BEOfDS-urban-residential"/>
      <sheetName val="BDEQ-BEOfDS-rural-residential"/>
      <sheetName val="BDEQ-BEOfDS-commercial"/>
      <sheetName val="BDEQ-BDESC-urban-residential"/>
      <sheetName val="BDEQ-BDESC-rural-residential"/>
      <sheetName val="BDEQ-BDESC-commerci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knrec.or.kr/biz/pds/statistic/view.do?no=390" TargetMode="External"/><Relationship Id="rId1" Type="http://schemas.openxmlformats.org/officeDocument/2006/relationships/hyperlink" Target="https://www.index.go.kr/unity/potal/main/EachDtlPageDetail.do?idx_cd=120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95FF6-49F8-4752-902B-BDC955084312}">
  <dimension ref="A1:F77"/>
  <sheetViews>
    <sheetView topLeftCell="A4" workbookViewId="0">
      <selection activeCell="D18" sqref="D18"/>
    </sheetView>
  </sheetViews>
  <sheetFormatPr defaultRowHeight="17"/>
  <cols>
    <col min="1" max="1" width="17.08203125" customWidth="1"/>
    <col min="2" max="2" width="51" customWidth="1"/>
    <col min="4" max="4" width="14.33203125" bestFit="1" customWidth="1"/>
    <col min="5" max="5" width="10.83203125" bestFit="1" customWidth="1"/>
  </cols>
  <sheetData>
    <row r="1" spans="1:6">
      <c r="A1" s="1" t="s">
        <v>151</v>
      </c>
    </row>
    <row r="2" spans="1:6">
      <c r="A2" s="1" t="s">
        <v>152</v>
      </c>
    </row>
    <row r="4" spans="1:6">
      <c r="A4" s="1" t="s">
        <v>10</v>
      </c>
      <c r="B4" s="3" t="s">
        <v>147</v>
      </c>
      <c r="F4" s="47"/>
    </row>
    <row r="5" spans="1:6">
      <c r="B5" t="s">
        <v>148</v>
      </c>
    </row>
    <row r="6" spans="1:6">
      <c r="B6" s="69">
        <v>2025</v>
      </c>
    </row>
    <row r="7" spans="1:6">
      <c r="B7" s="52" t="s">
        <v>210</v>
      </c>
    </row>
    <row r="8" spans="1:6">
      <c r="B8" s="179" t="s">
        <v>224</v>
      </c>
    </row>
    <row r="10" spans="1:6">
      <c r="B10" s="3" t="s">
        <v>149</v>
      </c>
    </row>
    <row r="11" spans="1:6">
      <c r="B11" s="48" t="s">
        <v>206</v>
      </c>
    </row>
    <row r="12" spans="1:6">
      <c r="B12" s="69" t="s">
        <v>209</v>
      </c>
    </row>
    <row r="13" spans="1:6">
      <c r="B13" s="2" t="s">
        <v>153</v>
      </c>
      <c r="C13" s="71">
        <v>92.1</v>
      </c>
      <c r="D13" s="5" t="s">
        <v>154</v>
      </c>
    </row>
    <row r="14" spans="1:6">
      <c r="B14" s="70" t="s">
        <v>208</v>
      </c>
    </row>
    <row r="15" spans="1:6">
      <c r="B15" s="2" t="s">
        <v>155</v>
      </c>
    </row>
    <row r="18" spans="1:2">
      <c r="A18" s="1" t="s">
        <v>9</v>
      </c>
    </row>
    <row r="19" spans="1:2">
      <c r="A19" t="s">
        <v>159</v>
      </c>
    </row>
    <row r="20" spans="1:2">
      <c r="A20" t="s">
        <v>160</v>
      </c>
    </row>
    <row r="21" spans="1:2" ht="17.5" thickBot="1">
      <c r="A21" t="s">
        <v>161</v>
      </c>
    </row>
    <row r="22" spans="1:2" ht="17.5" thickBot="1">
      <c r="A22" s="60">
        <v>2023</v>
      </c>
    </row>
    <row r="23" spans="1:2">
      <c r="A23" s="1"/>
    </row>
    <row r="24" spans="1:2">
      <c r="A24" t="s">
        <v>162</v>
      </c>
      <c r="B24" s="48"/>
    </row>
    <row r="25" spans="1:2">
      <c r="A25" t="s">
        <v>163</v>
      </c>
      <c r="B25" s="48"/>
    </row>
    <row r="26" spans="1:2">
      <c r="B26" s="48"/>
    </row>
    <row r="27" spans="1:2">
      <c r="A27" s="48" t="s">
        <v>204</v>
      </c>
      <c r="B27" s="48"/>
    </row>
    <row r="28" spans="1:2">
      <c r="A28" s="48" t="s">
        <v>203</v>
      </c>
      <c r="B28" s="48"/>
    </row>
    <row r="29" spans="1:2">
      <c r="A29" s="48" t="s">
        <v>202</v>
      </c>
      <c r="B29" s="48"/>
    </row>
    <row r="31" spans="1:2">
      <c r="A31" s="48" t="s">
        <v>205</v>
      </c>
    </row>
    <row r="32" spans="1:2">
      <c r="A32" s="48" t="s">
        <v>156</v>
      </c>
    </row>
    <row r="35" spans="1:6">
      <c r="A35" t="s">
        <v>150</v>
      </c>
      <c r="F35" s="50"/>
    </row>
    <row r="36" spans="1:6">
      <c r="B36" s="2">
        <v>11630</v>
      </c>
    </row>
    <row r="45" spans="1:6">
      <c r="B45" s="2"/>
    </row>
    <row r="46" spans="1:6">
      <c r="B46" s="2"/>
    </row>
    <row r="47" spans="1:6">
      <c r="B47" s="47"/>
    </row>
    <row r="77" spans="1:2">
      <c r="A77" s="48"/>
      <c r="B77" s="51"/>
    </row>
  </sheetData>
  <phoneticPr fontId="8" type="noConversion"/>
  <hyperlinks>
    <hyperlink ref="B14" r:id="rId1" xr:uid="{169219C5-28DB-4A92-9CAA-68D8D7F49BEC}"/>
    <hyperlink ref="B8" r:id="rId2" xr:uid="{8CC065BE-2050-4338-8E7F-EC7CFB32C91E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1CA25-AEBA-4E14-BF02-109840382943}">
  <dimension ref="A1:AE702"/>
  <sheetViews>
    <sheetView topLeftCell="A402" zoomScale="75" zoomScaleNormal="75" workbookViewId="0">
      <selection sqref="A1:XFD702"/>
    </sheetView>
  </sheetViews>
  <sheetFormatPr defaultRowHeight="17"/>
  <cols>
    <col min="1" max="1" width="6.58203125" customWidth="1"/>
    <col min="2" max="2" width="11.58203125" customWidth="1"/>
    <col min="3" max="3" width="4.08203125" customWidth="1"/>
    <col min="4" max="4" width="26.58203125" customWidth="1"/>
    <col min="5" max="22" width="11.58203125" customWidth="1"/>
    <col min="23" max="23" width="4.08203125" customWidth="1"/>
    <col min="24" max="24" width="26.58203125" customWidth="1"/>
    <col min="25" max="26" width="11.58203125" customWidth="1"/>
  </cols>
  <sheetData>
    <row r="1" spans="3:24" s="6" customFormat="1" ht="25.5">
      <c r="C1" s="263" t="s">
        <v>130</v>
      </c>
      <c r="D1" s="20"/>
    </row>
    <row r="2" spans="3:24" s="6" customFormat="1" ht="15.75" customHeight="1">
      <c r="G2" s="6" t="s">
        <v>129</v>
      </c>
    </row>
    <row r="3" spans="3:24" s="6" customFormat="1" ht="15.75" customHeight="1">
      <c r="C3" s="19" t="s">
        <v>128</v>
      </c>
      <c r="D3" s="26"/>
      <c r="G3" s="6" t="s">
        <v>127</v>
      </c>
    </row>
    <row r="4" spans="3:24" s="6" customFormat="1" ht="15.75" customHeight="1" thickBot="1"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25"/>
    </row>
    <row r="5" spans="3:24" s="6" customFormat="1" ht="15.75" customHeight="1">
      <c r="C5" s="269" t="s">
        <v>61</v>
      </c>
      <c r="D5" s="269"/>
      <c r="E5" s="72" t="s">
        <v>79</v>
      </c>
      <c r="F5" s="73" t="s">
        <v>78</v>
      </c>
      <c r="G5" s="73" t="s">
        <v>77</v>
      </c>
      <c r="H5" s="73" t="s">
        <v>76</v>
      </c>
      <c r="I5" s="73" t="s">
        <v>75</v>
      </c>
      <c r="J5" s="73" t="s">
        <v>74</v>
      </c>
      <c r="K5" s="73" t="s">
        <v>73</v>
      </c>
      <c r="L5" s="73" t="s">
        <v>72</v>
      </c>
      <c r="M5" s="73" t="s">
        <v>71</v>
      </c>
      <c r="N5" s="73" t="s">
        <v>70</v>
      </c>
      <c r="O5" s="73" t="s">
        <v>69</v>
      </c>
      <c r="P5" s="73" t="s">
        <v>68</v>
      </c>
      <c r="Q5" s="73" t="s">
        <v>67</v>
      </c>
      <c r="R5" s="73" t="s">
        <v>66</v>
      </c>
      <c r="S5" s="73" t="s">
        <v>65</v>
      </c>
      <c r="T5" s="73" t="s">
        <v>64</v>
      </c>
      <c r="U5" s="73" t="s">
        <v>63</v>
      </c>
      <c r="V5" s="74" t="s">
        <v>62</v>
      </c>
      <c r="W5" s="273" t="s">
        <v>61</v>
      </c>
      <c r="X5" s="269"/>
    </row>
    <row r="6" spans="3:24" s="6" customFormat="1" ht="15.75" customHeight="1">
      <c r="C6" s="270"/>
      <c r="D6" s="270"/>
      <c r="E6" s="75" t="s">
        <v>22</v>
      </c>
      <c r="F6" s="76" t="s">
        <v>60</v>
      </c>
      <c r="G6" s="76" t="s">
        <v>59</v>
      </c>
      <c r="H6" s="76" t="s">
        <v>58</v>
      </c>
      <c r="I6" s="76" t="s">
        <v>57</v>
      </c>
      <c r="J6" s="76" t="s">
        <v>56</v>
      </c>
      <c r="K6" s="76" t="s">
        <v>55</v>
      </c>
      <c r="L6" s="76" t="s">
        <v>54</v>
      </c>
      <c r="M6" s="76" t="s">
        <v>53</v>
      </c>
      <c r="N6" s="76" t="s">
        <v>52</v>
      </c>
      <c r="O6" s="76" t="s">
        <v>51</v>
      </c>
      <c r="P6" s="76" t="s">
        <v>50</v>
      </c>
      <c r="Q6" s="76" t="s">
        <v>49</v>
      </c>
      <c r="R6" s="76" t="s">
        <v>48</v>
      </c>
      <c r="S6" s="76" t="s">
        <v>47</v>
      </c>
      <c r="T6" s="76" t="s">
        <v>46</v>
      </c>
      <c r="U6" s="76" t="s">
        <v>45</v>
      </c>
      <c r="V6" s="77" t="s">
        <v>44</v>
      </c>
      <c r="W6" s="274"/>
      <c r="X6" s="270"/>
    </row>
    <row r="7" spans="3:24" s="12" customFormat="1" ht="15.75" customHeight="1">
      <c r="C7" s="78" t="s">
        <v>211</v>
      </c>
      <c r="D7" s="79"/>
      <c r="E7" s="80">
        <v>24403.277350400003</v>
      </c>
      <c r="F7" s="81">
        <v>456.21026560000001</v>
      </c>
      <c r="G7" s="81">
        <v>552.13379199999997</v>
      </c>
      <c r="H7" s="81">
        <v>595.15950720000001</v>
      </c>
      <c r="I7" s="81">
        <v>518.149632</v>
      </c>
      <c r="J7" s="81">
        <v>498.38627200000002</v>
      </c>
      <c r="K7" s="81">
        <v>471.257856</v>
      </c>
      <c r="L7" s="81">
        <v>251.4726464</v>
      </c>
      <c r="M7" s="81">
        <v>94.530624000000003</v>
      </c>
      <c r="N7" s="81">
        <v>2062.6930431999999</v>
      </c>
      <c r="O7" s="81">
        <v>2265.5564416000002</v>
      </c>
      <c r="P7" s="81">
        <v>1264.446496</v>
      </c>
      <c r="Q7" s="82">
        <v>2046.135104</v>
      </c>
      <c r="R7" s="82">
        <v>1198.2748160000001</v>
      </c>
      <c r="S7" s="82">
        <v>3722.185152</v>
      </c>
      <c r="T7" s="82">
        <v>4213.4538688000002</v>
      </c>
      <c r="U7" s="82">
        <v>3940.5843776000002</v>
      </c>
      <c r="V7" s="83">
        <v>252.64745600000001</v>
      </c>
      <c r="W7" s="78" t="s">
        <v>211</v>
      </c>
      <c r="X7" s="79"/>
    </row>
    <row r="8" spans="3:24" s="12" customFormat="1" ht="15.75" customHeight="1">
      <c r="C8" s="78" t="s">
        <v>212</v>
      </c>
      <c r="D8" s="78"/>
      <c r="E8" s="80">
        <v>680278.51799999853</v>
      </c>
      <c r="F8" s="81">
        <v>16770.301999999901</v>
      </c>
      <c r="G8" s="81">
        <v>17699.63</v>
      </c>
      <c r="H8" s="81">
        <v>23073.593999999899</v>
      </c>
      <c r="I8" s="81">
        <v>17024.12</v>
      </c>
      <c r="J8" s="81">
        <v>15114.08</v>
      </c>
      <c r="K8" s="81">
        <v>14904.11</v>
      </c>
      <c r="L8" s="81">
        <v>7996.058</v>
      </c>
      <c r="M8" s="81">
        <v>2411.25</v>
      </c>
      <c r="N8" s="81">
        <v>65019.258000000002</v>
      </c>
      <c r="O8" s="81">
        <v>70073.661999999997</v>
      </c>
      <c r="P8" s="81">
        <v>33526.659999999902</v>
      </c>
      <c r="Q8" s="82">
        <v>58445.71</v>
      </c>
      <c r="R8" s="82">
        <v>32784.229999999901</v>
      </c>
      <c r="S8" s="82">
        <v>89756.379999999903</v>
      </c>
      <c r="T8" s="82">
        <v>100677.06600000001</v>
      </c>
      <c r="U8" s="82">
        <v>106326.917999999</v>
      </c>
      <c r="V8" s="83">
        <v>8675.49</v>
      </c>
      <c r="W8" s="78" t="s">
        <v>212</v>
      </c>
      <c r="X8" s="78"/>
    </row>
    <row r="9" spans="3:24" s="6" customFormat="1" ht="15.75" customHeight="1">
      <c r="C9" s="84"/>
      <c r="D9" s="84"/>
      <c r="E9" s="85"/>
      <c r="F9" s="86"/>
      <c r="G9" s="86"/>
      <c r="H9" s="86"/>
      <c r="I9" s="86"/>
      <c r="J9" s="86"/>
      <c r="K9" s="86"/>
      <c r="L9" s="86"/>
      <c r="M9" s="86"/>
      <c r="N9" s="86"/>
      <c r="O9" s="86"/>
      <c r="P9" s="86"/>
      <c r="Q9" s="87"/>
      <c r="R9" s="87"/>
      <c r="S9" s="87"/>
      <c r="T9" s="87"/>
      <c r="U9" s="87"/>
      <c r="V9" s="88"/>
      <c r="W9" s="84"/>
      <c r="X9" s="84"/>
    </row>
    <row r="10" spans="3:24" s="6" customFormat="1" ht="15.75" customHeight="1">
      <c r="C10" s="78" t="s">
        <v>126</v>
      </c>
      <c r="D10" s="78"/>
      <c r="E10" s="80"/>
      <c r="F10" s="82"/>
      <c r="G10" s="82"/>
      <c r="H10" s="82"/>
      <c r="I10" s="82"/>
      <c r="J10" s="82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9"/>
      <c r="W10" s="78" t="s">
        <v>126</v>
      </c>
      <c r="X10" s="78"/>
    </row>
    <row r="11" spans="3:24" s="12" customFormat="1" ht="15.75" customHeight="1">
      <c r="C11" s="84"/>
      <c r="D11" s="90" t="s">
        <v>213</v>
      </c>
      <c r="E11" s="85">
        <v>28574.799999999992</v>
      </c>
      <c r="F11" s="86">
        <v>367.2</v>
      </c>
      <c r="G11" s="86">
        <v>142</v>
      </c>
      <c r="H11" s="86">
        <v>138.38999999999999</v>
      </c>
      <c r="I11" s="86">
        <v>880</v>
      </c>
      <c r="J11" s="86">
        <v>634.08000000000004</v>
      </c>
      <c r="K11" s="86">
        <v>258.8</v>
      </c>
      <c r="L11" s="86">
        <v>48</v>
      </c>
      <c r="M11" s="86">
        <v>0</v>
      </c>
      <c r="N11" s="86">
        <v>629.79</v>
      </c>
      <c r="O11" s="86">
        <v>94.6</v>
      </c>
      <c r="P11" s="91">
        <v>2056.2399999999998</v>
      </c>
      <c r="Q11" s="92">
        <v>2711.38</v>
      </c>
      <c r="R11" s="87">
        <v>907.32999999999902</v>
      </c>
      <c r="S11" s="87">
        <v>7838.3399999999901</v>
      </c>
      <c r="T11" s="87">
        <v>3599.31</v>
      </c>
      <c r="U11" s="87">
        <v>8229.34</v>
      </c>
      <c r="V11" s="88">
        <v>40</v>
      </c>
      <c r="W11" s="84"/>
      <c r="X11" s="90" t="s">
        <v>213</v>
      </c>
    </row>
    <row r="12" spans="3:24" s="6" customFormat="1" ht="15.75" customHeight="1">
      <c r="C12" s="84"/>
      <c r="D12" s="90" t="s">
        <v>214</v>
      </c>
      <c r="E12" s="85">
        <v>23336.209999999995</v>
      </c>
      <c r="F12" s="86">
        <v>0</v>
      </c>
      <c r="G12" s="86">
        <v>0</v>
      </c>
      <c r="H12" s="86">
        <v>29.86</v>
      </c>
      <c r="I12" s="86">
        <v>203.43</v>
      </c>
      <c r="J12" s="86">
        <v>252.16</v>
      </c>
      <c r="K12" s="86">
        <v>20</v>
      </c>
      <c r="L12" s="86">
        <v>13.6</v>
      </c>
      <c r="M12" s="86">
        <v>20.7</v>
      </c>
      <c r="N12" s="86">
        <v>1547.81</v>
      </c>
      <c r="O12" s="86">
        <v>549</v>
      </c>
      <c r="P12" s="91">
        <v>360.86</v>
      </c>
      <c r="Q12" s="92">
        <v>3526.94</v>
      </c>
      <c r="R12" s="87">
        <v>1759.04</v>
      </c>
      <c r="S12" s="87">
        <v>6069.38</v>
      </c>
      <c r="T12" s="87">
        <v>4808.63</v>
      </c>
      <c r="U12" s="87">
        <v>4107.5999999999904</v>
      </c>
      <c r="V12" s="88">
        <v>67.2</v>
      </c>
      <c r="W12" s="84"/>
      <c r="X12" s="90" t="s">
        <v>214</v>
      </c>
    </row>
    <row r="13" spans="3:24" s="6" customFormat="1" ht="15.75" customHeight="1">
      <c r="C13" s="84"/>
      <c r="D13" s="90" t="s">
        <v>215</v>
      </c>
      <c r="E13" s="85">
        <v>28379.439999999984</v>
      </c>
      <c r="F13" s="86">
        <v>6</v>
      </c>
      <c r="G13" s="86">
        <v>12</v>
      </c>
      <c r="H13" s="86">
        <v>13.6</v>
      </c>
      <c r="I13" s="86">
        <v>402.84</v>
      </c>
      <c r="J13" s="86">
        <v>783.6</v>
      </c>
      <c r="K13" s="86">
        <v>414</v>
      </c>
      <c r="L13" s="86">
        <v>6</v>
      </c>
      <c r="M13" s="86">
        <v>0</v>
      </c>
      <c r="N13" s="86">
        <v>2176.1099999999901</v>
      </c>
      <c r="O13" s="86">
        <v>1137.73</v>
      </c>
      <c r="P13" s="91">
        <v>1317.04</v>
      </c>
      <c r="Q13" s="92">
        <v>788.28</v>
      </c>
      <c r="R13" s="87">
        <v>1423.44</v>
      </c>
      <c r="S13" s="87">
        <v>8689.1999999999898</v>
      </c>
      <c r="T13" s="87">
        <v>5930.51</v>
      </c>
      <c r="U13" s="87">
        <v>5249</v>
      </c>
      <c r="V13" s="88">
        <v>30.09</v>
      </c>
      <c r="W13" s="84"/>
      <c r="X13" s="90" t="s">
        <v>215</v>
      </c>
    </row>
    <row r="14" spans="3:24" s="6" customFormat="1" ht="15.75" customHeight="1">
      <c r="C14" s="84"/>
      <c r="D14" s="84"/>
      <c r="E14" s="85"/>
      <c r="F14" s="86"/>
      <c r="G14" s="86"/>
      <c r="H14" s="86"/>
      <c r="I14" s="86"/>
      <c r="J14" s="86"/>
      <c r="K14" s="86"/>
      <c r="L14" s="86"/>
      <c r="M14" s="86"/>
      <c r="N14" s="86"/>
      <c r="O14" s="86"/>
      <c r="P14" s="86"/>
      <c r="Q14" s="87"/>
      <c r="R14" s="87"/>
      <c r="S14" s="87"/>
      <c r="T14" s="87"/>
      <c r="U14" s="87"/>
      <c r="V14" s="88"/>
      <c r="W14" s="84"/>
      <c r="X14" s="84"/>
    </row>
    <row r="15" spans="3:24" s="12" customFormat="1" ht="15.75" customHeight="1">
      <c r="C15" s="78" t="s">
        <v>216</v>
      </c>
      <c r="D15" s="79"/>
      <c r="E15" s="80">
        <v>680278.51799999957</v>
      </c>
      <c r="F15" s="81">
        <v>16770.301999999989</v>
      </c>
      <c r="G15" s="81">
        <v>17699.62999999999</v>
      </c>
      <c r="H15" s="81">
        <v>23073.593999999986</v>
      </c>
      <c r="I15" s="81">
        <v>17024.12</v>
      </c>
      <c r="J15" s="81">
        <v>15114.079999999971</v>
      </c>
      <c r="K15" s="81">
        <v>14904.109999999997</v>
      </c>
      <c r="L15" s="81">
        <v>7996.0579999999909</v>
      </c>
      <c r="M15" s="81">
        <v>2411.2499999999991</v>
      </c>
      <c r="N15" s="81">
        <v>65019.257999999892</v>
      </c>
      <c r="O15" s="81">
        <v>70073.661999999997</v>
      </c>
      <c r="P15" s="81">
        <v>33526.659999999989</v>
      </c>
      <c r="Q15" s="81">
        <v>58445.709999999897</v>
      </c>
      <c r="R15" s="81">
        <v>32784.229999999996</v>
      </c>
      <c r="S15" s="81">
        <v>89756.37999999999</v>
      </c>
      <c r="T15" s="81">
        <v>100677.06599999999</v>
      </c>
      <c r="U15" s="81">
        <v>106326.91799999992</v>
      </c>
      <c r="V15" s="83">
        <v>8675.4899999999889</v>
      </c>
      <c r="W15" s="78" t="s">
        <v>216</v>
      </c>
      <c r="X15" s="79"/>
    </row>
    <row r="16" spans="3:24" s="12" customFormat="1" ht="15.75" customHeight="1">
      <c r="C16" s="93"/>
      <c r="D16" s="94" t="s">
        <v>42</v>
      </c>
      <c r="E16" s="85">
        <v>314565.0919999996</v>
      </c>
      <c r="F16" s="86">
        <v>1453.45999999999</v>
      </c>
      <c r="G16" s="86">
        <v>6601.66</v>
      </c>
      <c r="H16" s="86">
        <v>8246.8499999999894</v>
      </c>
      <c r="I16" s="86">
        <v>4319.25</v>
      </c>
      <c r="J16" s="86">
        <v>6265.51</v>
      </c>
      <c r="K16" s="86">
        <v>2056.81</v>
      </c>
      <c r="L16" s="86">
        <v>3681.2799999999902</v>
      </c>
      <c r="M16" s="86">
        <v>436.539999999999</v>
      </c>
      <c r="N16" s="86">
        <v>25531.861999999899</v>
      </c>
      <c r="O16" s="86">
        <v>43751.47</v>
      </c>
      <c r="P16" s="86">
        <v>6409.0999999999904</v>
      </c>
      <c r="Q16" s="87">
        <v>21475.7399999999</v>
      </c>
      <c r="R16" s="87">
        <v>16421.75</v>
      </c>
      <c r="S16" s="87">
        <v>61849.84</v>
      </c>
      <c r="T16" s="87">
        <v>34834.49</v>
      </c>
      <c r="U16" s="87">
        <v>69884.019999999902</v>
      </c>
      <c r="V16" s="88">
        <v>1345.45999999999</v>
      </c>
      <c r="W16" s="93"/>
      <c r="X16" s="94" t="s">
        <v>42</v>
      </c>
    </row>
    <row r="17" spans="3:24" s="12" customFormat="1" ht="15.75" customHeight="1">
      <c r="C17" s="84"/>
      <c r="D17" s="94" t="s">
        <v>41</v>
      </c>
      <c r="E17" s="85">
        <v>94376.209999999977</v>
      </c>
      <c r="F17" s="86">
        <v>4623.3620000000001</v>
      </c>
      <c r="G17" s="86">
        <v>2368.0099999999902</v>
      </c>
      <c r="H17" s="86">
        <v>6959.98</v>
      </c>
      <c r="I17" s="86">
        <v>4929.92</v>
      </c>
      <c r="J17" s="86">
        <v>2780.8599999999901</v>
      </c>
      <c r="K17" s="86">
        <v>6362.73</v>
      </c>
      <c r="L17" s="86">
        <v>1983.46</v>
      </c>
      <c r="M17" s="86">
        <v>1147.5</v>
      </c>
      <c r="N17" s="86">
        <v>9309.5</v>
      </c>
      <c r="O17" s="86">
        <v>5874.55</v>
      </c>
      <c r="P17" s="86">
        <v>7149.43</v>
      </c>
      <c r="Q17" s="87">
        <v>8320.83</v>
      </c>
      <c r="R17" s="87">
        <v>4546.62</v>
      </c>
      <c r="S17" s="87">
        <v>8324.31</v>
      </c>
      <c r="T17" s="87">
        <v>9547.69</v>
      </c>
      <c r="U17" s="87">
        <v>7586.8980000000001</v>
      </c>
      <c r="V17" s="88">
        <v>2560.56</v>
      </c>
      <c r="W17" s="84"/>
      <c r="X17" s="94" t="s">
        <v>41</v>
      </c>
    </row>
    <row r="18" spans="3:24" s="12" customFormat="1" ht="15.75" customHeight="1">
      <c r="C18" s="84"/>
      <c r="D18" s="94" t="s">
        <v>40</v>
      </c>
      <c r="E18" s="85">
        <v>28461.989999999991</v>
      </c>
      <c r="F18" s="86">
        <v>4269.26</v>
      </c>
      <c r="G18" s="86">
        <v>674.02</v>
      </c>
      <c r="H18" s="86">
        <v>1907.97</v>
      </c>
      <c r="I18" s="86">
        <v>1460.9</v>
      </c>
      <c r="J18" s="86">
        <v>1002.31999999999</v>
      </c>
      <c r="K18" s="86">
        <v>371.969999999999</v>
      </c>
      <c r="L18" s="86">
        <v>704.9</v>
      </c>
      <c r="M18" s="95">
        <v>180.19</v>
      </c>
      <c r="N18" s="86">
        <v>5568.47</v>
      </c>
      <c r="O18" s="86">
        <v>463.06</v>
      </c>
      <c r="P18" s="86">
        <v>1071.44</v>
      </c>
      <c r="Q18" s="87">
        <v>3221.44</v>
      </c>
      <c r="R18" s="87">
        <v>1497.77</v>
      </c>
      <c r="S18" s="87">
        <v>1003.28</v>
      </c>
      <c r="T18" s="87">
        <v>2470.0100000000002</v>
      </c>
      <c r="U18" s="87">
        <v>2489.71</v>
      </c>
      <c r="V18" s="88">
        <v>105.28</v>
      </c>
      <c r="W18" s="84"/>
      <c r="X18" s="94" t="s">
        <v>40</v>
      </c>
    </row>
    <row r="19" spans="3:24" s="12" customFormat="1" ht="15.75" customHeight="1">
      <c r="C19" s="84"/>
      <c r="D19" s="94" t="s">
        <v>39</v>
      </c>
      <c r="E19" s="85">
        <v>125722.09800000001</v>
      </c>
      <c r="F19" s="86">
        <v>3128.3</v>
      </c>
      <c r="G19" s="86">
        <v>6681.69</v>
      </c>
      <c r="H19" s="86">
        <v>3660.8240000000001</v>
      </c>
      <c r="I19" s="86">
        <v>4155.9399999999996</v>
      </c>
      <c r="J19" s="86">
        <v>2548.9699999999998</v>
      </c>
      <c r="K19" s="86">
        <v>4277.83</v>
      </c>
      <c r="L19" s="86">
        <v>244.94800000000001</v>
      </c>
      <c r="M19" s="86">
        <v>61.2</v>
      </c>
      <c r="N19" s="86">
        <v>7320.3559999999998</v>
      </c>
      <c r="O19" s="86">
        <v>8606.93</v>
      </c>
      <c r="P19" s="86">
        <v>3232.32</v>
      </c>
      <c r="Q19" s="87">
        <v>10650.48</v>
      </c>
      <c r="R19" s="87">
        <v>4419.82</v>
      </c>
      <c r="S19" s="87">
        <v>9023.81</v>
      </c>
      <c r="T19" s="87">
        <v>41170.32</v>
      </c>
      <c r="U19" s="87">
        <v>13477.99</v>
      </c>
      <c r="V19" s="88">
        <v>3060.37</v>
      </c>
      <c r="W19" s="84"/>
      <c r="X19" s="94" t="s">
        <v>39</v>
      </c>
    </row>
    <row r="20" spans="3:24" s="12" customFormat="1" ht="15.75" customHeight="1">
      <c r="C20" s="84"/>
      <c r="D20" s="94" t="s">
        <v>38</v>
      </c>
      <c r="E20" s="85">
        <v>34175.35</v>
      </c>
      <c r="F20" s="86">
        <v>35.64</v>
      </c>
      <c r="G20" s="86">
        <v>262.51</v>
      </c>
      <c r="H20" s="86">
        <v>800</v>
      </c>
      <c r="I20" s="86">
        <v>401.36</v>
      </c>
      <c r="J20" s="86">
        <v>393.02</v>
      </c>
      <c r="K20" s="86">
        <v>483.65</v>
      </c>
      <c r="L20" s="86">
        <v>529.83000000000004</v>
      </c>
      <c r="M20" s="86">
        <v>410.72</v>
      </c>
      <c r="N20" s="86">
        <v>4332.88</v>
      </c>
      <c r="O20" s="86">
        <v>2006.44</v>
      </c>
      <c r="P20" s="86">
        <v>9758.73</v>
      </c>
      <c r="Q20" s="87">
        <v>6968.59</v>
      </c>
      <c r="R20" s="87">
        <v>3517.66</v>
      </c>
      <c r="S20" s="87">
        <v>269.76</v>
      </c>
      <c r="T20" s="87">
        <v>1069.1199999999999</v>
      </c>
      <c r="U20" s="87">
        <v>2801.25</v>
      </c>
      <c r="V20" s="88">
        <v>134.19</v>
      </c>
      <c r="W20" s="84"/>
      <c r="X20" s="94" t="s">
        <v>38</v>
      </c>
    </row>
    <row r="21" spans="3:24" s="12" customFormat="1" ht="15.75" customHeight="1">
      <c r="C21" s="84"/>
      <c r="D21" s="94" t="s">
        <v>37</v>
      </c>
      <c r="E21" s="85">
        <v>36473.631999999991</v>
      </c>
      <c r="F21" s="86">
        <v>1714.14</v>
      </c>
      <c r="G21" s="86">
        <v>195.84</v>
      </c>
      <c r="H21" s="86">
        <v>246.69</v>
      </c>
      <c r="I21" s="86">
        <v>862.87</v>
      </c>
      <c r="J21" s="86">
        <v>858.12</v>
      </c>
      <c r="K21" s="86">
        <v>974.64</v>
      </c>
      <c r="L21" s="86">
        <v>497.14</v>
      </c>
      <c r="M21" s="86">
        <v>154.5</v>
      </c>
      <c r="N21" s="86">
        <v>5846.45</v>
      </c>
      <c r="O21" s="86">
        <v>5900.9319999999998</v>
      </c>
      <c r="P21" s="86">
        <v>3509.48</v>
      </c>
      <c r="Q21" s="87">
        <v>2408.21</v>
      </c>
      <c r="R21" s="87">
        <v>1136.05</v>
      </c>
      <c r="S21" s="87">
        <v>3942.32</v>
      </c>
      <c r="T21" s="87">
        <v>2742.0299999999902</v>
      </c>
      <c r="U21" s="87">
        <v>4487.3900000000003</v>
      </c>
      <c r="V21" s="88">
        <v>996.83</v>
      </c>
      <c r="W21" s="84"/>
      <c r="X21" s="94" t="s">
        <v>37</v>
      </c>
    </row>
    <row r="22" spans="3:24" s="12" customFormat="1" ht="15.75" customHeight="1">
      <c r="C22" s="84"/>
      <c r="D22" s="94" t="s">
        <v>35</v>
      </c>
      <c r="E22" s="85">
        <v>46504.145999999993</v>
      </c>
      <c r="F22" s="86">
        <v>1546.14</v>
      </c>
      <c r="G22" s="86">
        <v>915.9</v>
      </c>
      <c r="H22" s="86">
        <v>1251.28</v>
      </c>
      <c r="I22" s="86">
        <v>893.88</v>
      </c>
      <c r="J22" s="86">
        <v>1265.27999999999</v>
      </c>
      <c r="K22" s="86">
        <v>376.48</v>
      </c>
      <c r="L22" s="86">
        <v>354.5</v>
      </c>
      <c r="M22" s="86">
        <v>20.6</v>
      </c>
      <c r="N22" s="86">
        <v>7109.74</v>
      </c>
      <c r="O22" s="86">
        <v>3470.28</v>
      </c>
      <c r="P22" s="86">
        <v>2396.16</v>
      </c>
      <c r="Q22" s="87">
        <v>5400.42</v>
      </c>
      <c r="R22" s="87">
        <v>1244.56</v>
      </c>
      <c r="S22" s="87">
        <v>5343.06</v>
      </c>
      <c r="T22" s="87">
        <v>8843.4060000000009</v>
      </c>
      <c r="U22" s="87">
        <v>5599.66</v>
      </c>
      <c r="V22" s="88">
        <v>472.8</v>
      </c>
      <c r="W22" s="84"/>
      <c r="X22" s="94" t="s">
        <v>35</v>
      </c>
    </row>
    <row r="23" spans="3:24" s="12" customFormat="1" ht="15.75" customHeight="1">
      <c r="C23" s="84"/>
      <c r="D23" s="84"/>
      <c r="E23" s="85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7"/>
      <c r="R23" s="87"/>
      <c r="S23" s="87"/>
      <c r="T23" s="87"/>
      <c r="U23" s="87"/>
      <c r="V23" s="88"/>
      <c r="W23" s="84"/>
      <c r="X23" s="84"/>
    </row>
    <row r="24" spans="3:24" s="12" customFormat="1" ht="15.75" customHeight="1">
      <c r="C24" s="78" t="s">
        <v>217</v>
      </c>
      <c r="D24" s="78"/>
      <c r="E24" s="80">
        <v>680278.51799999981</v>
      </c>
      <c r="F24" s="81">
        <v>16770.302</v>
      </c>
      <c r="G24" s="81">
        <v>17699.63</v>
      </c>
      <c r="H24" s="81">
        <v>23073.59399999999</v>
      </c>
      <c r="I24" s="81">
        <v>17024.12</v>
      </c>
      <c r="J24" s="81">
        <v>15114.079999999991</v>
      </c>
      <c r="K24" s="81">
        <v>14904.109999999999</v>
      </c>
      <c r="L24" s="81">
        <v>7996.058</v>
      </c>
      <c r="M24" s="81">
        <v>2411.25</v>
      </c>
      <c r="N24" s="81">
        <v>65019.257999999994</v>
      </c>
      <c r="O24" s="81">
        <v>70073.661999999997</v>
      </c>
      <c r="P24" s="81">
        <v>33526.660000000003</v>
      </c>
      <c r="Q24" s="81">
        <v>58445.71</v>
      </c>
      <c r="R24" s="81">
        <v>32784.230000000003</v>
      </c>
      <c r="S24" s="81">
        <v>89756.38</v>
      </c>
      <c r="T24" s="81">
        <v>100677.06599999998</v>
      </c>
      <c r="U24" s="81">
        <v>106326.9179999999</v>
      </c>
      <c r="V24" s="83">
        <v>8675.49</v>
      </c>
      <c r="W24" s="78" t="s">
        <v>217</v>
      </c>
      <c r="X24" s="78"/>
    </row>
    <row r="25" spans="3:24" s="12" customFormat="1" ht="15.75" customHeight="1">
      <c r="C25" s="84"/>
      <c r="D25" s="84" t="s">
        <v>125</v>
      </c>
      <c r="E25" s="85">
        <v>164864.82599999991</v>
      </c>
      <c r="F25" s="86">
        <v>1142.5</v>
      </c>
      <c r="G25" s="86">
        <v>2332.62</v>
      </c>
      <c r="H25" s="86">
        <v>1184.664</v>
      </c>
      <c r="I25" s="86">
        <v>2108.17</v>
      </c>
      <c r="J25" s="86">
        <v>4653.95</v>
      </c>
      <c r="K25" s="86">
        <v>786.03</v>
      </c>
      <c r="L25" s="86">
        <v>2603.9699999999998</v>
      </c>
      <c r="M25" s="86">
        <v>81.96</v>
      </c>
      <c r="N25" s="86">
        <v>11176.172</v>
      </c>
      <c r="O25" s="86">
        <v>11608.17</v>
      </c>
      <c r="P25" s="86">
        <v>1713.59</v>
      </c>
      <c r="Q25" s="87">
        <v>11059.5</v>
      </c>
      <c r="R25" s="87">
        <v>10921.84</v>
      </c>
      <c r="S25" s="87">
        <v>46776.85</v>
      </c>
      <c r="T25" s="87">
        <v>16067.98</v>
      </c>
      <c r="U25" s="87">
        <v>40273.909999999902</v>
      </c>
      <c r="V25" s="88">
        <v>372.95</v>
      </c>
      <c r="W25" s="84"/>
      <c r="X25" s="84" t="s">
        <v>125</v>
      </c>
    </row>
    <row r="26" spans="3:24" s="12" customFormat="1" ht="15.75" customHeight="1">
      <c r="C26" s="84"/>
      <c r="D26" s="84" t="s">
        <v>124</v>
      </c>
      <c r="E26" s="85">
        <v>270103.78600000002</v>
      </c>
      <c r="F26" s="86">
        <v>5031.8620000000001</v>
      </c>
      <c r="G26" s="86">
        <v>7025.12</v>
      </c>
      <c r="H26" s="86">
        <v>10540.8</v>
      </c>
      <c r="I26" s="86">
        <v>9574.65</v>
      </c>
      <c r="J26" s="86">
        <v>3086.8</v>
      </c>
      <c r="K26" s="86">
        <v>2294.8200000000002</v>
      </c>
      <c r="L26" s="86">
        <v>1880.538</v>
      </c>
      <c r="M26" s="86">
        <v>630.91999999999996</v>
      </c>
      <c r="N26" s="86">
        <v>21503.82</v>
      </c>
      <c r="O26" s="86">
        <v>41032.101999999999</v>
      </c>
      <c r="P26" s="86">
        <v>3964.35</v>
      </c>
      <c r="Q26" s="87">
        <v>22338.75</v>
      </c>
      <c r="R26" s="87">
        <v>7919.37</v>
      </c>
      <c r="S26" s="87">
        <v>26160.6</v>
      </c>
      <c r="T26" s="87">
        <v>64165.266000000003</v>
      </c>
      <c r="U26" s="87">
        <v>40528.728000000003</v>
      </c>
      <c r="V26" s="88">
        <v>2425.29</v>
      </c>
      <c r="W26" s="84"/>
      <c r="X26" s="84" t="s">
        <v>124</v>
      </c>
    </row>
    <row r="27" spans="3:24" s="12" customFormat="1" ht="15.75" customHeight="1">
      <c r="C27" s="84"/>
      <c r="D27" s="84" t="s">
        <v>123</v>
      </c>
      <c r="E27" s="85">
        <v>166642.41600000003</v>
      </c>
      <c r="F27" s="86">
        <v>9893.94</v>
      </c>
      <c r="G27" s="86">
        <v>6932.65</v>
      </c>
      <c r="H27" s="86">
        <v>6232.37</v>
      </c>
      <c r="I27" s="86">
        <v>5341.3</v>
      </c>
      <c r="J27" s="86">
        <v>5192.51</v>
      </c>
      <c r="K27" s="86">
        <v>9178.4599999999991</v>
      </c>
      <c r="L27" s="86">
        <v>3511.55</v>
      </c>
      <c r="M27" s="86">
        <v>1698.37</v>
      </c>
      <c r="N27" s="86">
        <v>22678.306</v>
      </c>
      <c r="O27" s="86">
        <v>13904.19</v>
      </c>
      <c r="P27" s="86">
        <v>15615.22</v>
      </c>
      <c r="Q27" s="87">
        <v>16942.82</v>
      </c>
      <c r="R27" s="87">
        <v>9217.2199999999993</v>
      </c>
      <c r="S27" s="87">
        <v>10115.17</v>
      </c>
      <c r="T27" s="87">
        <v>10937.14</v>
      </c>
      <c r="U27" s="87">
        <v>13895.35</v>
      </c>
      <c r="V27" s="88">
        <v>5355.85</v>
      </c>
      <c r="W27" s="84"/>
      <c r="X27" s="84" t="s">
        <v>123</v>
      </c>
    </row>
    <row r="28" spans="3:24" s="12" customFormat="1" ht="15.75" customHeight="1">
      <c r="C28" s="84"/>
      <c r="D28" s="84" t="s">
        <v>122</v>
      </c>
      <c r="E28" s="85">
        <v>55408.94999999999</v>
      </c>
      <c r="F28" s="86">
        <v>702</v>
      </c>
      <c r="G28" s="86">
        <v>1409.24</v>
      </c>
      <c r="H28" s="86">
        <v>3864.04</v>
      </c>
      <c r="I28" s="86">
        <v>0</v>
      </c>
      <c r="J28" s="86">
        <v>2180.8199999999902</v>
      </c>
      <c r="K28" s="86">
        <v>1339.8</v>
      </c>
      <c r="L28" s="86">
        <v>0</v>
      </c>
      <c r="M28" s="86">
        <v>0</v>
      </c>
      <c r="N28" s="86">
        <v>7960.96</v>
      </c>
      <c r="O28" s="86">
        <v>2229.1999999999998</v>
      </c>
      <c r="P28" s="86">
        <v>7344.7</v>
      </c>
      <c r="Q28" s="87">
        <v>6892.64</v>
      </c>
      <c r="R28" s="87">
        <v>3669.2</v>
      </c>
      <c r="S28" s="87">
        <v>4224.96</v>
      </c>
      <c r="T28" s="87">
        <v>5730.04</v>
      </c>
      <c r="U28" s="87">
        <v>7339.95</v>
      </c>
      <c r="V28" s="88">
        <v>521.4</v>
      </c>
      <c r="W28" s="84"/>
      <c r="X28" s="84" t="s">
        <v>122</v>
      </c>
    </row>
    <row r="29" spans="3:24" s="12" customFormat="1" ht="15.75" customHeight="1">
      <c r="C29" s="84"/>
      <c r="D29" s="84" t="s">
        <v>121</v>
      </c>
      <c r="E29" s="85">
        <v>19787.539999999979</v>
      </c>
      <c r="F29" s="86">
        <v>0</v>
      </c>
      <c r="G29" s="86">
        <v>0</v>
      </c>
      <c r="H29" s="86">
        <v>1251.71999999999</v>
      </c>
      <c r="I29" s="86">
        <v>0</v>
      </c>
      <c r="J29" s="86">
        <v>0</v>
      </c>
      <c r="K29" s="86">
        <v>1305</v>
      </c>
      <c r="L29" s="86">
        <v>0</v>
      </c>
      <c r="M29" s="86">
        <v>0</v>
      </c>
      <c r="N29" s="86">
        <v>0</v>
      </c>
      <c r="O29" s="86">
        <v>1300</v>
      </c>
      <c r="P29" s="86">
        <v>4888.8</v>
      </c>
      <c r="Q29" s="87">
        <v>1212</v>
      </c>
      <c r="R29" s="87">
        <v>1056.5999999999999</v>
      </c>
      <c r="S29" s="87">
        <v>2478.8000000000002</v>
      </c>
      <c r="T29" s="87">
        <v>2005.6399999999901</v>
      </c>
      <c r="U29" s="87">
        <v>4288.9799999999996</v>
      </c>
      <c r="V29" s="88">
        <v>0</v>
      </c>
      <c r="W29" s="84"/>
      <c r="X29" s="84" t="s">
        <v>121</v>
      </c>
    </row>
    <row r="30" spans="3:24" s="12" customFormat="1" ht="15.75" customHeight="1">
      <c r="C30" s="84"/>
      <c r="D30" s="84" t="s">
        <v>120</v>
      </c>
      <c r="E30" s="85">
        <v>3471</v>
      </c>
      <c r="F30" s="86">
        <v>0</v>
      </c>
      <c r="G30" s="86">
        <v>0</v>
      </c>
      <c r="H30" s="86">
        <v>0</v>
      </c>
      <c r="I30" s="86">
        <v>0</v>
      </c>
      <c r="J30" s="86">
        <v>0</v>
      </c>
      <c r="K30" s="86">
        <v>0</v>
      </c>
      <c r="L30" s="86">
        <v>0</v>
      </c>
      <c r="M30" s="86">
        <v>0</v>
      </c>
      <c r="N30" s="86">
        <v>1700</v>
      </c>
      <c r="O30" s="86">
        <v>0</v>
      </c>
      <c r="P30" s="86">
        <v>0</v>
      </c>
      <c r="Q30" s="87">
        <v>0</v>
      </c>
      <c r="R30" s="87">
        <v>0</v>
      </c>
      <c r="S30" s="87">
        <v>0</v>
      </c>
      <c r="T30" s="87">
        <v>1771</v>
      </c>
      <c r="U30" s="87">
        <v>0</v>
      </c>
      <c r="V30" s="88">
        <v>0</v>
      </c>
      <c r="W30" s="84"/>
      <c r="X30" s="84" t="s">
        <v>120</v>
      </c>
    </row>
    <row r="31" spans="3:24" s="12" customFormat="1" ht="15.75" customHeight="1">
      <c r="C31" s="84"/>
      <c r="D31" s="84" t="s">
        <v>119</v>
      </c>
      <c r="E31" s="85">
        <v>0</v>
      </c>
      <c r="F31" s="86">
        <v>0</v>
      </c>
      <c r="G31" s="86">
        <v>0</v>
      </c>
      <c r="H31" s="86">
        <v>0</v>
      </c>
      <c r="I31" s="86">
        <v>0</v>
      </c>
      <c r="J31" s="86">
        <v>0</v>
      </c>
      <c r="K31" s="86">
        <v>0</v>
      </c>
      <c r="L31" s="86">
        <v>0</v>
      </c>
      <c r="M31" s="86">
        <v>0</v>
      </c>
      <c r="N31" s="86">
        <v>0</v>
      </c>
      <c r="O31" s="86">
        <v>0</v>
      </c>
      <c r="P31" s="86">
        <v>0</v>
      </c>
      <c r="Q31" s="87">
        <v>0</v>
      </c>
      <c r="R31" s="87">
        <v>0</v>
      </c>
      <c r="S31" s="87">
        <v>0</v>
      </c>
      <c r="T31" s="87">
        <v>0</v>
      </c>
      <c r="U31" s="87">
        <v>0</v>
      </c>
      <c r="V31" s="88">
        <v>0</v>
      </c>
      <c r="W31" s="84"/>
      <c r="X31" s="84" t="s">
        <v>119</v>
      </c>
    </row>
    <row r="32" spans="3:24" s="12" customFormat="1" ht="15.75" customHeight="1" thickBot="1">
      <c r="C32" s="96"/>
      <c r="D32" s="96" t="s">
        <v>118</v>
      </c>
      <c r="E32" s="97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100">
        <v>0</v>
      </c>
      <c r="W32" s="96"/>
      <c r="X32" s="96" t="s">
        <v>118</v>
      </c>
    </row>
    <row r="33" spans="3:31" s="6" customFormat="1" ht="15.75" customHeight="1">
      <c r="C33" s="84"/>
      <c r="D33" s="84"/>
      <c r="E33" s="101"/>
      <c r="F33" s="101"/>
      <c r="G33" s="101"/>
      <c r="H33" s="101"/>
      <c r="I33" s="101"/>
      <c r="J33" s="101"/>
      <c r="K33" s="101"/>
      <c r="L33" s="101"/>
      <c r="M33" s="101"/>
      <c r="N33" s="101"/>
      <c r="O33" s="101"/>
      <c r="P33" s="101"/>
      <c r="Q33" s="102"/>
      <c r="R33" s="102"/>
      <c r="S33" s="102"/>
      <c r="T33" s="102"/>
      <c r="U33" s="102"/>
      <c r="V33" s="102"/>
      <c r="W33" s="84"/>
      <c r="X33" s="84"/>
    </row>
    <row r="34" spans="3:31" s="6" customFormat="1" ht="15.75" customHeight="1">
      <c r="C34" s="103" t="s">
        <v>218</v>
      </c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</row>
    <row r="37" spans="3:31" s="6" customFormat="1" ht="21">
      <c r="C37" s="19" t="s">
        <v>117</v>
      </c>
      <c r="D37" s="26"/>
    </row>
    <row r="38" spans="3:31" s="6" customFormat="1" ht="15.75" customHeight="1" thickBot="1"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X38" s="29"/>
    </row>
    <row r="39" spans="3:31" s="6" customFormat="1" ht="15.75" customHeight="1">
      <c r="C39" s="269" t="s">
        <v>61</v>
      </c>
      <c r="D39" s="269"/>
      <c r="E39" s="104" t="s">
        <v>79</v>
      </c>
      <c r="F39" s="105" t="s">
        <v>78</v>
      </c>
      <c r="G39" s="106" t="s">
        <v>77</v>
      </c>
      <c r="H39" s="106" t="s">
        <v>76</v>
      </c>
      <c r="I39" s="107" t="s">
        <v>75</v>
      </c>
      <c r="J39" s="73" t="s">
        <v>74</v>
      </c>
      <c r="K39" s="73" t="s">
        <v>73</v>
      </c>
      <c r="L39" s="73" t="s">
        <v>72</v>
      </c>
      <c r="M39" s="73" t="s">
        <v>71</v>
      </c>
      <c r="N39" s="73" t="s">
        <v>70</v>
      </c>
      <c r="O39" s="73" t="s">
        <v>69</v>
      </c>
      <c r="P39" s="73" t="s">
        <v>68</v>
      </c>
      <c r="Q39" s="73" t="s">
        <v>67</v>
      </c>
      <c r="R39" s="73" t="s">
        <v>66</v>
      </c>
      <c r="S39" s="73" t="s">
        <v>65</v>
      </c>
      <c r="T39" s="73" t="s">
        <v>64</v>
      </c>
      <c r="U39" s="73" t="s">
        <v>63</v>
      </c>
      <c r="V39" s="74" t="s">
        <v>62</v>
      </c>
      <c r="W39" s="269" t="s">
        <v>61</v>
      </c>
      <c r="X39" s="269"/>
      <c r="AA39"/>
      <c r="AB39"/>
      <c r="AC39"/>
      <c r="AD39"/>
      <c r="AE39"/>
    </row>
    <row r="40" spans="3:31" s="6" customFormat="1" ht="15.75" customHeight="1">
      <c r="C40" s="270"/>
      <c r="D40" s="270"/>
      <c r="E40" s="108" t="s">
        <v>22</v>
      </c>
      <c r="F40" s="109" t="s">
        <v>60</v>
      </c>
      <c r="G40" s="110" t="s">
        <v>59</v>
      </c>
      <c r="H40" s="110" t="s">
        <v>58</v>
      </c>
      <c r="I40" s="110" t="s">
        <v>57</v>
      </c>
      <c r="J40" s="111" t="s">
        <v>56</v>
      </c>
      <c r="K40" s="76" t="s">
        <v>55</v>
      </c>
      <c r="L40" s="76" t="s">
        <v>54</v>
      </c>
      <c r="M40" s="76" t="s">
        <v>53</v>
      </c>
      <c r="N40" s="76" t="s">
        <v>52</v>
      </c>
      <c r="O40" s="76" t="s">
        <v>51</v>
      </c>
      <c r="P40" s="76" t="s">
        <v>50</v>
      </c>
      <c r="Q40" s="76" t="s">
        <v>49</v>
      </c>
      <c r="R40" s="76" t="s">
        <v>48</v>
      </c>
      <c r="S40" s="76" t="s">
        <v>47</v>
      </c>
      <c r="T40" s="76" t="s">
        <v>46</v>
      </c>
      <c r="U40" s="76" t="s">
        <v>45</v>
      </c>
      <c r="V40" s="77" t="s">
        <v>44</v>
      </c>
      <c r="W40" s="270"/>
      <c r="X40" s="270"/>
    </row>
    <row r="41" spans="3:31" s="12" customFormat="1" ht="15.75" customHeight="1">
      <c r="C41" s="78" t="s">
        <v>211</v>
      </c>
      <c r="D41" s="79"/>
      <c r="E41" s="80">
        <v>7148551.084584184</v>
      </c>
      <c r="F41" s="112">
        <v>61635.373552677796</v>
      </c>
      <c r="G41" s="113">
        <v>79954.9361991193</v>
      </c>
      <c r="H41" s="113">
        <v>107835.938704514</v>
      </c>
      <c r="I41" s="113">
        <v>59178.005399233502</v>
      </c>
      <c r="J41" s="114">
        <v>87720.595457231597</v>
      </c>
      <c r="K41" s="81">
        <v>30845.1760994244</v>
      </c>
      <c r="L41" s="81">
        <v>39994.992794406702</v>
      </c>
      <c r="M41" s="81">
        <v>27034.728100731299</v>
      </c>
      <c r="N41" s="81">
        <v>510383.71495287499</v>
      </c>
      <c r="O41" s="81">
        <v>497530.601047576</v>
      </c>
      <c r="P41" s="81">
        <v>406481.65617039002</v>
      </c>
      <c r="Q41" s="82">
        <v>856386.99290744402</v>
      </c>
      <c r="R41" s="82">
        <v>1233798.8483488399</v>
      </c>
      <c r="S41" s="82">
        <v>1516180.9238980201</v>
      </c>
      <c r="T41" s="115">
        <v>940721.47478580195</v>
      </c>
      <c r="U41" s="116">
        <v>528770.92117729096</v>
      </c>
      <c r="V41" s="83">
        <v>164096.204988607</v>
      </c>
      <c r="W41" s="78" t="s">
        <v>211</v>
      </c>
      <c r="X41" s="79"/>
    </row>
    <row r="42" spans="3:31" s="12" customFormat="1" ht="15.75" customHeight="1">
      <c r="C42" s="78" t="s">
        <v>219</v>
      </c>
      <c r="D42" s="79"/>
      <c r="E42" s="80">
        <v>33236446.904099975</v>
      </c>
      <c r="F42" s="112">
        <v>272764.79797075002</v>
      </c>
      <c r="G42" s="113">
        <v>366023.57086734998</v>
      </c>
      <c r="H42" s="113">
        <v>497335.99561132101</v>
      </c>
      <c r="I42" s="113">
        <v>267781.801729823</v>
      </c>
      <c r="J42" s="117">
        <v>404724.24631915998</v>
      </c>
      <c r="K42" s="112">
        <v>138596.75495657799</v>
      </c>
      <c r="L42" s="113">
        <v>182853.39312967099</v>
      </c>
      <c r="M42" s="113">
        <v>123816.920360084</v>
      </c>
      <c r="N42" s="114">
        <v>2346125.9169167299</v>
      </c>
      <c r="O42" s="112">
        <v>2315785.1699655899</v>
      </c>
      <c r="P42" s="114">
        <v>1882952.68551555</v>
      </c>
      <c r="Q42" s="118">
        <v>3991277.01305279</v>
      </c>
      <c r="R42" s="119">
        <v>5764752.6555538699</v>
      </c>
      <c r="S42" s="119">
        <v>7086350.4672445497</v>
      </c>
      <c r="T42" s="120">
        <v>4385932.4814510504</v>
      </c>
      <c r="U42" s="120">
        <v>2446554.6506813099</v>
      </c>
      <c r="V42" s="121">
        <v>762818.38277379703</v>
      </c>
      <c r="W42" s="78" t="s">
        <v>219</v>
      </c>
      <c r="X42" s="79"/>
    </row>
    <row r="43" spans="3:31" s="12" customFormat="1" ht="15.75" customHeight="1">
      <c r="C43" s="78" t="s">
        <v>220</v>
      </c>
      <c r="D43" s="78"/>
      <c r="E43" s="80">
        <v>28033335.661770001</v>
      </c>
      <c r="F43" s="122">
        <v>247791.03211999999</v>
      </c>
      <c r="G43" s="123">
        <v>317737.20275</v>
      </c>
      <c r="H43" s="123">
        <v>420079.71275000001</v>
      </c>
      <c r="I43" s="123">
        <v>252181.12675</v>
      </c>
      <c r="J43" s="123">
        <v>364205.07874999999</v>
      </c>
      <c r="K43" s="124">
        <v>131386.92175000001</v>
      </c>
      <c r="L43" s="125">
        <v>165314.91675</v>
      </c>
      <c r="M43" s="125">
        <v>107164.295</v>
      </c>
      <c r="N43" s="125">
        <v>2130345.1597500001</v>
      </c>
      <c r="O43" s="124">
        <v>1978971.12075</v>
      </c>
      <c r="P43" s="125">
        <v>1636352.16735</v>
      </c>
      <c r="Q43" s="124">
        <v>3498746.8557500001</v>
      </c>
      <c r="R43" s="125">
        <v>4607106.5207500001</v>
      </c>
      <c r="S43" s="125">
        <v>5903322.3900499996</v>
      </c>
      <c r="T43" s="124">
        <v>3561772.9507499998</v>
      </c>
      <c r="U43" s="124">
        <v>2056528.97325</v>
      </c>
      <c r="V43" s="126">
        <v>654329.23675000004</v>
      </c>
      <c r="W43" s="78" t="s">
        <v>220</v>
      </c>
      <c r="X43" s="78"/>
    </row>
    <row r="44" spans="3:31" s="6" customFormat="1" ht="15.75" customHeight="1">
      <c r="C44" s="84"/>
      <c r="D44" s="84"/>
      <c r="E44" s="85"/>
      <c r="F44" s="127"/>
      <c r="G44" s="128"/>
      <c r="H44" s="128"/>
      <c r="I44" s="128"/>
      <c r="J44" s="128"/>
      <c r="K44" s="129"/>
      <c r="L44" s="130"/>
      <c r="M44" s="130"/>
      <c r="N44" s="130"/>
      <c r="O44" s="129"/>
      <c r="P44" s="130"/>
      <c r="Q44" s="129"/>
      <c r="R44" s="130"/>
      <c r="S44" s="130"/>
      <c r="T44" s="129"/>
      <c r="U44" s="129"/>
      <c r="V44" s="131"/>
      <c r="W44" s="84"/>
      <c r="X44" s="84"/>
    </row>
    <row r="45" spans="3:31" s="6" customFormat="1" ht="15.75" customHeight="1">
      <c r="C45" s="78" t="s">
        <v>43</v>
      </c>
      <c r="D45" s="78"/>
      <c r="E45" s="132"/>
      <c r="F45" s="133"/>
      <c r="G45" s="134"/>
      <c r="H45" s="134"/>
      <c r="I45" s="134"/>
      <c r="J45" s="134"/>
      <c r="K45" s="135"/>
      <c r="L45" s="134"/>
      <c r="M45" s="134"/>
      <c r="N45" s="134"/>
      <c r="O45" s="135"/>
      <c r="P45" s="134"/>
      <c r="Q45" s="135"/>
      <c r="R45" s="134"/>
      <c r="S45" s="134"/>
      <c r="T45" s="135"/>
      <c r="U45" s="135"/>
      <c r="V45" s="136"/>
      <c r="W45" s="78" t="s">
        <v>43</v>
      </c>
      <c r="X45" s="78"/>
    </row>
    <row r="46" spans="3:31" s="12" customFormat="1" ht="15.75" customHeight="1">
      <c r="C46" s="84"/>
      <c r="D46" s="90" t="s">
        <v>213</v>
      </c>
      <c r="E46" s="85">
        <v>3682247.3578999983</v>
      </c>
      <c r="F46" s="137">
        <v>8432.277</v>
      </c>
      <c r="G46" s="138">
        <v>47609.33</v>
      </c>
      <c r="H46" s="138">
        <v>57422.364999999998</v>
      </c>
      <c r="I46" s="138">
        <v>35463.214999999997</v>
      </c>
      <c r="J46" s="138">
        <v>44091.415000000001</v>
      </c>
      <c r="K46" s="139">
        <v>19804.758000000002</v>
      </c>
      <c r="L46" s="138">
        <v>31078.54</v>
      </c>
      <c r="M46" s="138">
        <v>12200.82</v>
      </c>
      <c r="N46" s="138">
        <v>305093.36699999898</v>
      </c>
      <c r="O46" s="139">
        <v>187345.58199999999</v>
      </c>
      <c r="P46" s="138">
        <v>210103.1856</v>
      </c>
      <c r="Q46" s="140">
        <v>646135.98600000003</v>
      </c>
      <c r="R46" s="141">
        <v>371977.48099999898</v>
      </c>
      <c r="S46" s="141">
        <v>918908.45129999996</v>
      </c>
      <c r="T46" s="140">
        <v>501460.14500000002</v>
      </c>
      <c r="U46" s="140">
        <v>256645.72</v>
      </c>
      <c r="V46" s="142">
        <v>28474.720000000001</v>
      </c>
      <c r="W46" s="84"/>
      <c r="X46" s="90" t="s">
        <v>213</v>
      </c>
    </row>
    <row r="47" spans="3:31" s="6" customFormat="1" ht="15.75" customHeight="1">
      <c r="C47" s="84"/>
      <c r="D47" s="90" t="s">
        <v>214</v>
      </c>
      <c r="E47" s="85">
        <v>3278244.1143699996</v>
      </c>
      <c r="F47" s="137">
        <v>33924.091370000002</v>
      </c>
      <c r="G47" s="138">
        <v>47868.105000000003</v>
      </c>
      <c r="H47" s="138">
        <v>49939.309000000001</v>
      </c>
      <c r="I47" s="138">
        <v>25663.46</v>
      </c>
      <c r="J47" s="138">
        <v>41627.137000000002</v>
      </c>
      <c r="K47" s="139">
        <v>13056.055</v>
      </c>
      <c r="L47" s="138">
        <v>15627.735000000001</v>
      </c>
      <c r="M47" s="138">
        <v>13175.245000000001</v>
      </c>
      <c r="N47" s="138">
        <v>280214.35800000001</v>
      </c>
      <c r="O47" s="139">
        <v>202616.32500000001</v>
      </c>
      <c r="P47" s="138">
        <v>199704.894</v>
      </c>
      <c r="Q47" s="140">
        <v>288832.315</v>
      </c>
      <c r="R47" s="141">
        <v>555682.01500000001</v>
      </c>
      <c r="S47" s="141">
        <v>696193.07</v>
      </c>
      <c r="T47" s="140">
        <v>498536.88</v>
      </c>
      <c r="U47" s="140">
        <v>251006.22</v>
      </c>
      <c r="V47" s="142">
        <v>64576.9</v>
      </c>
      <c r="W47" s="84"/>
      <c r="X47" s="90" t="s">
        <v>214</v>
      </c>
    </row>
    <row r="48" spans="3:31" s="6" customFormat="1" ht="15.75" customHeight="1">
      <c r="C48" s="84"/>
      <c r="D48" s="90" t="s">
        <v>215</v>
      </c>
      <c r="E48" s="85">
        <v>3915086.9605</v>
      </c>
      <c r="F48" s="137">
        <v>19025.895</v>
      </c>
      <c r="G48" s="138">
        <v>44420.934999999998</v>
      </c>
      <c r="H48" s="138">
        <v>69210.145000000004</v>
      </c>
      <c r="I48" s="138">
        <v>26157.82</v>
      </c>
      <c r="J48" s="138">
        <v>34574.18</v>
      </c>
      <c r="K48" s="139">
        <v>20156.43</v>
      </c>
      <c r="L48" s="138">
        <v>23303.75</v>
      </c>
      <c r="M48" s="138">
        <v>9592.7999999999993</v>
      </c>
      <c r="N48" s="138">
        <v>257818.3</v>
      </c>
      <c r="O48" s="139">
        <v>288856.85200000001</v>
      </c>
      <c r="P48" s="138">
        <v>210556.73499999999</v>
      </c>
      <c r="Q48" s="140">
        <v>382875.179</v>
      </c>
      <c r="R48" s="141">
        <v>796183.7</v>
      </c>
      <c r="S48" s="141">
        <v>678055.01899999997</v>
      </c>
      <c r="T48" s="140">
        <v>653969.13500000001</v>
      </c>
      <c r="U48" s="140">
        <v>288873.4155</v>
      </c>
      <c r="V48" s="142">
        <v>111456.67</v>
      </c>
      <c r="W48" s="84"/>
      <c r="X48" s="90" t="s">
        <v>215</v>
      </c>
    </row>
    <row r="49" spans="3:24" s="6" customFormat="1" ht="15.75" customHeight="1">
      <c r="C49" s="84"/>
      <c r="D49" s="84"/>
      <c r="E49" s="85"/>
      <c r="F49" s="137"/>
      <c r="G49" s="138"/>
      <c r="H49" s="138"/>
      <c r="I49" s="138"/>
      <c r="J49" s="138"/>
      <c r="K49" s="139"/>
      <c r="L49" s="138"/>
      <c r="M49" s="138"/>
      <c r="N49" s="138"/>
      <c r="O49" s="139"/>
      <c r="P49" s="138"/>
      <c r="Q49" s="140"/>
      <c r="R49" s="141"/>
      <c r="S49" s="141"/>
      <c r="T49" s="143"/>
      <c r="U49" s="144"/>
      <c r="V49" s="142"/>
      <c r="W49" s="84"/>
      <c r="X49" s="84"/>
    </row>
    <row r="50" spans="3:24" s="12" customFormat="1" ht="15.75" customHeight="1">
      <c r="C50" s="78" t="s">
        <v>221</v>
      </c>
      <c r="D50" s="79"/>
      <c r="E50" s="80">
        <v>28033335.661770947</v>
      </c>
      <c r="F50" s="112">
        <v>247791.03211999999</v>
      </c>
      <c r="G50" s="112">
        <v>317737.20275</v>
      </c>
      <c r="H50" s="112">
        <v>420079.71275000001</v>
      </c>
      <c r="I50" s="112">
        <v>252181.12675</v>
      </c>
      <c r="J50" s="112">
        <v>364205.07875000004</v>
      </c>
      <c r="K50" s="112">
        <v>131386.92174999989</v>
      </c>
      <c r="L50" s="112">
        <v>165314.91675</v>
      </c>
      <c r="M50" s="112">
        <v>107164.295</v>
      </c>
      <c r="N50" s="112">
        <v>2130345.1597500001</v>
      </c>
      <c r="O50" s="112">
        <v>1978971.1207500002</v>
      </c>
      <c r="P50" s="112">
        <v>1636352.1673499998</v>
      </c>
      <c r="Q50" s="112">
        <v>3498746.8557500001</v>
      </c>
      <c r="R50" s="112">
        <v>4607106.5207500011</v>
      </c>
      <c r="S50" s="112">
        <v>5903322.3900500005</v>
      </c>
      <c r="T50" s="112">
        <v>3561772.9507499998</v>
      </c>
      <c r="U50" s="112">
        <v>2056528.97325</v>
      </c>
      <c r="V50" s="121">
        <v>654329.23674999992</v>
      </c>
      <c r="W50" s="78" t="s">
        <v>221</v>
      </c>
      <c r="X50" s="79"/>
    </row>
    <row r="51" spans="3:24" s="12" customFormat="1" ht="15.75" customHeight="1">
      <c r="C51" s="93"/>
      <c r="D51" s="94" t="s">
        <v>42</v>
      </c>
      <c r="E51" s="85">
        <v>2246406.5204000003</v>
      </c>
      <c r="F51" s="137">
        <v>110062.448</v>
      </c>
      <c r="G51" s="138">
        <v>47142.976999999999</v>
      </c>
      <c r="H51" s="138">
        <v>40820.296999999999</v>
      </c>
      <c r="I51" s="138">
        <v>48673.550999999999</v>
      </c>
      <c r="J51" s="145">
        <v>45468.571000000004</v>
      </c>
      <c r="K51" s="137">
        <v>35865.765999999901</v>
      </c>
      <c r="L51" s="138">
        <v>38299.974999999999</v>
      </c>
      <c r="M51" s="146">
        <v>15417.825000000001</v>
      </c>
      <c r="N51" s="86">
        <v>352374.25099999999</v>
      </c>
      <c r="O51" s="86">
        <v>148765.85200000001</v>
      </c>
      <c r="P51" s="86">
        <v>174295.94560000001</v>
      </c>
      <c r="Q51" s="144">
        <v>217048.277</v>
      </c>
      <c r="R51" s="143">
        <v>212708.31</v>
      </c>
      <c r="S51" s="87">
        <v>244733.1263</v>
      </c>
      <c r="T51" s="87">
        <v>211606.95800000001</v>
      </c>
      <c r="U51" s="144">
        <v>249320.90049999999</v>
      </c>
      <c r="V51" s="142">
        <v>53801.49</v>
      </c>
      <c r="W51" s="93"/>
      <c r="X51" s="94" t="s">
        <v>42</v>
      </c>
    </row>
    <row r="52" spans="3:24" s="12" customFormat="1" ht="15.75" customHeight="1">
      <c r="C52" s="84"/>
      <c r="D52" s="94" t="s">
        <v>41</v>
      </c>
      <c r="E52" s="85">
        <v>580829.82436999807</v>
      </c>
      <c r="F52" s="137">
        <v>37589.376120000001</v>
      </c>
      <c r="G52" s="138">
        <v>18929.046750000001</v>
      </c>
      <c r="H52" s="138">
        <v>24841.365750000001</v>
      </c>
      <c r="I52" s="138">
        <v>36815.229749999999</v>
      </c>
      <c r="J52" s="145">
        <v>10900.72975</v>
      </c>
      <c r="K52" s="137">
        <v>23255.00675</v>
      </c>
      <c r="L52" s="138">
        <v>10013.661749999999</v>
      </c>
      <c r="M52" s="146">
        <v>7428.2849999999999</v>
      </c>
      <c r="N52" s="86">
        <v>81131.938750000001</v>
      </c>
      <c r="O52" s="86">
        <v>40327.587749999999</v>
      </c>
      <c r="P52" s="86">
        <v>37683.405749999998</v>
      </c>
      <c r="Q52" s="87">
        <v>38766.579749999997</v>
      </c>
      <c r="R52" s="87">
        <v>40398.296750000001</v>
      </c>
      <c r="S52" s="87">
        <v>45882.750749999999</v>
      </c>
      <c r="T52" s="87">
        <v>46855.757749999997</v>
      </c>
      <c r="U52" s="144">
        <v>62748.552750000003</v>
      </c>
      <c r="V52" s="142">
        <v>17147.50275</v>
      </c>
      <c r="W52" s="84"/>
      <c r="X52" s="94" t="s">
        <v>41</v>
      </c>
    </row>
    <row r="53" spans="3:24" s="12" customFormat="1" ht="15.75" customHeight="1">
      <c r="C53" s="84"/>
      <c r="D53" s="94" t="s">
        <v>40</v>
      </c>
      <c r="E53" s="85">
        <v>283519.77299999999</v>
      </c>
      <c r="F53" s="137">
        <v>20145.626</v>
      </c>
      <c r="G53" s="138">
        <v>17599.84</v>
      </c>
      <c r="H53" s="138">
        <v>17217.89</v>
      </c>
      <c r="I53" s="138">
        <v>20560.093000000001</v>
      </c>
      <c r="J53" s="145">
        <v>7290.2119999999904</v>
      </c>
      <c r="K53" s="137">
        <v>7293.4359999999997</v>
      </c>
      <c r="L53" s="138">
        <v>5707.13</v>
      </c>
      <c r="M53" s="146">
        <v>6824.2449999999999</v>
      </c>
      <c r="N53" s="86">
        <v>77752.84</v>
      </c>
      <c r="O53" s="86">
        <v>8489.2829999999994</v>
      </c>
      <c r="P53" s="86">
        <v>13436.325000000001</v>
      </c>
      <c r="Q53" s="87">
        <v>15437.194</v>
      </c>
      <c r="R53" s="87">
        <v>10126.094999999999</v>
      </c>
      <c r="S53" s="87">
        <v>9767.98</v>
      </c>
      <c r="T53" s="87">
        <v>15361.138000000001</v>
      </c>
      <c r="U53" s="144">
        <v>21854.612000000001</v>
      </c>
      <c r="V53" s="142">
        <v>8655.8340000000007</v>
      </c>
      <c r="W53" s="84"/>
      <c r="X53" s="94" t="s">
        <v>40</v>
      </c>
    </row>
    <row r="54" spans="3:24" s="12" customFormat="1" ht="15.75" customHeight="1">
      <c r="C54" s="84"/>
      <c r="D54" s="94" t="s">
        <v>39</v>
      </c>
      <c r="E54" s="85">
        <v>74849.450999999986</v>
      </c>
      <c r="F54" s="137">
        <v>2408.7060000000001</v>
      </c>
      <c r="G54" s="138">
        <v>1258.614</v>
      </c>
      <c r="H54" s="138">
        <v>1435.38</v>
      </c>
      <c r="I54" s="138">
        <v>1882.06</v>
      </c>
      <c r="J54" s="145">
        <v>1783.0050000000001</v>
      </c>
      <c r="K54" s="137">
        <v>479.02499999999998</v>
      </c>
      <c r="L54" s="146">
        <v>501.47</v>
      </c>
      <c r="M54" s="86">
        <v>1312.24</v>
      </c>
      <c r="N54" s="86">
        <v>9330.4570000000003</v>
      </c>
      <c r="O54" s="86">
        <v>3509.3249999999998</v>
      </c>
      <c r="P54" s="86">
        <v>11597.1</v>
      </c>
      <c r="Q54" s="87">
        <v>7882.3649999999998</v>
      </c>
      <c r="R54" s="87">
        <v>4171.4520000000002</v>
      </c>
      <c r="S54" s="87">
        <v>5919.4539999999997</v>
      </c>
      <c r="T54" s="87">
        <v>6386.5630000000001</v>
      </c>
      <c r="U54" s="87">
        <v>12603.305</v>
      </c>
      <c r="V54" s="88">
        <v>2388.9299999999998</v>
      </c>
      <c r="W54" s="84"/>
      <c r="X54" s="94" t="s">
        <v>39</v>
      </c>
    </row>
    <row r="55" spans="3:24" s="12" customFormat="1" ht="15.75" customHeight="1">
      <c r="C55" s="84"/>
      <c r="D55" s="94" t="s">
        <v>38</v>
      </c>
      <c r="E55" s="85">
        <v>153910.60799999986</v>
      </c>
      <c r="F55" s="137">
        <v>1227.7809999999999</v>
      </c>
      <c r="G55" s="138">
        <v>8288.2800000000007</v>
      </c>
      <c r="H55" s="138">
        <v>10317.06</v>
      </c>
      <c r="I55" s="138">
        <v>3926.65</v>
      </c>
      <c r="J55" s="145">
        <v>6588.87</v>
      </c>
      <c r="K55" s="137">
        <v>2815.25</v>
      </c>
      <c r="L55" s="146">
        <v>1198.8499999999999</v>
      </c>
      <c r="M55" s="86">
        <v>2335.0699999999902</v>
      </c>
      <c r="N55" s="86">
        <v>27288.7049999999</v>
      </c>
      <c r="O55" s="86">
        <v>4869.585</v>
      </c>
      <c r="P55" s="86">
        <v>21551.685000000001</v>
      </c>
      <c r="Q55" s="86">
        <v>12686.59</v>
      </c>
      <c r="R55" s="86">
        <v>5452.82</v>
      </c>
      <c r="S55" s="86">
        <v>11105.895</v>
      </c>
      <c r="T55" s="86">
        <v>19161.386999999999</v>
      </c>
      <c r="U55" s="86">
        <v>14145.02</v>
      </c>
      <c r="V55" s="147">
        <v>951.11</v>
      </c>
      <c r="W55" s="84"/>
      <c r="X55" s="94" t="s">
        <v>38</v>
      </c>
    </row>
    <row r="56" spans="3:24" s="12" customFormat="1" ht="15.75" customHeight="1">
      <c r="C56" s="84"/>
      <c r="D56" s="94" t="s">
        <v>37</v>
      </c>
      <c r="E56" s="85">
        <v>242488.359</v>
      </c>
      <c r="F56" s="137">
        <v>13646.814</v>
      </c>
      <c r="G56" s="138">
        <v>10352.780000000001</v>
      </c>
      <c r="H56" s="138">
        <v>3910.36</v>
      </c>
      <c r="I56" s="138">
        <v>8707.893</v>
      </c>
      <c r="J56" s="145">
        <v>8241.6</v>
      </c>
      <c r="K56" s="137">
        <v>5145.7380000000003</v>
      </c>
      <c r="L56" s="146">
        <v>3844.915</v>
      </c>
      <c r="M56" s="86">
        <v>1630.0450000000001</v>
      </c>
      <c r="N56" s="86">
        <v>40784.108999999997</v>
      </c>
      <c r="O56" s="86">
        <v>15733.566999999999</v>
      </c>
      <c r="P56" s="86">
        <v>13951.63</v>
      </c>
      <c r="Q56" s="87">
        <v>17237.18</v>
      </c>
      <c r="R56" s="86">
        <v>16860.275000000001</v>
      </c>
      <c r="S56" s="86">
        <v>29843.649000000001</v>
      </c>
      <c r="T56" s="86">
        <v>18161.875</v>
      </c>
      <c r="U56" s="86">
        <v>26496.989000000001</v>
      </c>
      <c r="V56" s="147">
        <v>7938.94</v>
      </c>
      <c r="W56" s="84"/>
      <c r="X56" s="94" t="s">
        <v>37</v>
      </c>
    </row>
    <row r="57" spans="3:24" s="12" customFormat="1" ht="15.75" customHeight="1">
      <c r="C57" s="84"/>
      <c r="D57" s="94" t="s">
        <v>36</v>
      </c>
      <c r="E57" s="85">
        <v>24186093.29600095</v>
      </c>
      <c r="F57" s="137">
        <v>44877.684999999998</v>
      </c>
      <c r="G57" s="138">
        <v>208897.16</v>
      </c>
      <c r="H57" s="138">
        <v>316463.57</v>
      </c>
      <c r="I57" s="138">
        <v>123175.85</v>
      </c>
      <c r="J57" s="145">
        <v>278234.66100000002</v>
      </c>
      <c r="K57" s="137">
        <v>53130.19</v>
      </c>
      <c r="L57" s="146">
        <v>102733.505</v>
      </c>
      <c r="M57" s="86">
        <v>70032.91</v>
      </c>
      <c r="N57" s="86">
        <v>1505981.375</v>
      </c>
      <c r="O57" s="86">
        <v>1744940.7050000001</v>
      </c>
      <c r="P57" s="86">
        <v>1339658.17</v>
      </c>
      <c r="Q57" s="87">
        <v>3157785.63</v>
      </c>
      <c r="R57" s="87">
        <v>4288675.0420000004</v>
      </c>
      <c r="S57" s="87">
        <v>5525916.25</v>
      </c>
      <c r="T57" s="87">
        <v>3216944.014</v>
      </c>
      <c r="U57" s="87">
        <v>1648862.3540000001</v>
      </c>
      <c r="V57" s="88">
        <v>559898.97499999998</v>
      </c>
      <c r="W57" s="84"/>
      <c r="X57" s="94" t="s">
        <v>36</v>
      </c>
    </row>
    <row r="58" spans="3:24" s="12" customFormat="1" ht="15.75" customHeight="1">
      <c r="C58" s="84"/>
      <c r="D58" s="94" t="s">
        <v>35</v>
      </c>
      <c r="E58" s="85">
        <v>265237.83</v>
      </c>
      <c r="F58" s="137">
        <v>17832.596000000001</v>
      </c>
      <c r="G58" s="138">
        <v>5268.5050000000001</v>
      </c>
      <c r="H58" s="138">
        <v>5073.79</v>
      </c>
      <c r="I58" s="138">
        <v>8439.7999999999993</v>
      </c>
      <c r="J58" s="145">
        <v>5697.43</v>
      </c>
      <c r="K58" s="137">
        <v>3402.5099999999902</v>
      </c>
      <c r="L58" s="146">
        <v>3015.41</v>
      </c>
      <c r="M58" s="86">
        <v>2183.6750000000002</v>
      </c>
      <c r="N58" s="86">
        <v>35701.483999999997</v>
      </c>
      <c r="O58" s="86">
        <v>12335.216</v>
      </c>
      <c r="P58" s="86">
        <v>24177.905999999999</v>
      </c>
      <c r="Q58" s="87">
        <v>31903.040000000001</v>
      </c>
      <c r="R58" s="87">
        <v>28714.23</v>
      </c>
      <c r="S58" s="87">
        <v>30153.285</v>
      </c>
      <c r="T58" s="87">
        <v>27295.258000000002</v>
      </c>
      <c r="U58" s="87">
        <v>20497.240000000002</v>
      </c>
      <c r="V58" s="88">
        <v>3546.4549999999999</v>
      </c>
      <c r="W58" s="84"/>
      <c r="X58" s="94" t="s">
        <v>35</v>
      </c>
    </row>
    <row r="59" spans="3:24" s="6" customFormat="1" ht="15.75" customHeight="1">
      <c r="C59" s="84"/>
      <c r="D59" s="84"/>
      <c r="E59" s="85"/>
      <c r="F59" s="137"/>
      <c r="G59" s="138"/>
      <c r="H59" s="138"/>
      <c r="I59" s="138"/>
      <c r="J59" s="145"/>
      <c r="K59" s="137"/>
      <c r="L59" s="146"/>
      <c r="M59" s="86"/>
      <c r="N59" s="86"/>
      <c r="O59" s="86"/>
      <c r="P59" s="86"/>
      <c r="Q59" s="87"/>
      <c r="R59" s="87"/>
      <c r="S59" s="87"/>
      <c r="T59" s="87"/>
      <c r="U59" s="87"/>
      <c r="V59" s="88"/>
      <c r="W59" s="84"/>
      <c r="X59" s="84"/>
    </row>
    <row r="60" spans="3:24" s="6" customFormat="1" ht="15.75" customHeight="1">
      <c r="C60" s="78" t="s">
        <v>222</v>
      </c>
      <c r="D60" s="78"/>
      <c r="E60" s="80">
        <v>28033335.661770001</v>
      </c>
      <c r="F60" s="113">
        <v>247791.03211999987</v>
      </c>
      <c r="G60" s="113">
        <v>317737.20275</v>
      </c>
      <c r="H60" s="113">
        <v>420079.71275000001</v>
      </c>
      <c r="I60" s="113">
        <v>252181.12675</v>
      </c>
      <c r="J60" s="113">
        <v>364205.07875000004</v>
      </c>
      <c r="K60" s="113">
        <v>131386.9217499998</v>
      </c>
      <c r="L60" s="113">
        <v>165314.91675000003</v>
      </c>
      <c r="M60" s="113">
        <v>107164.29500000001</v>
      </c>
      <c r="N60" s="113">
        <v>2130345.1597499996</v>
      </c>
      <c r="O60" s="113">
        <v>1978971.12075</v>
      </c>
      <c r="P60" s="113">
        <v>1636352.16735</v>
      </c>
      <c r="Q60" s="113">
        <v>3498746.8557500001</v>
      </c>
      <c r="R60" s="113">
        <v>4607106.5207500011</v>
      </c>
      <c r="S60" s="113">
        <v>5903322.3900500005</v>
      </c>
      <c r="T60" s="113">
        <v>3561772.9507499998</v>
      </c>
      <c r="U60" s="113">
        <v>2056528.97325</v>
      </c>
      <c r="V60" s="148">
        <v>654329.23674999992</v>
      </c>
      <c r="W60" s="78" t="s">
        <v>222</v>
      </c>
      <c r="X60" s="78"/>
    </row>
    <row r="61" spans="3:24" s="6" customFormat="1" ht="15.75" customHeight="1">
      <c r="C61" s="84"/>
      <c r="D61" s="84" t="s">
        <v>34</v>
      </c>
      <c r="E61" s="85">
        <v>41072.115999999995</v>
      </c>
      <c r="F61" s="137">
        <v>26978.973999999998</v>
      </c>
      <c r="G61" s="138">
        <v>691.52499999999998</v>
      </c>
      <c r="H61" s="138">
        <v>646.31600000000003</v>
      </c>
      <c r="I61" s="138">
        <v>994.15699999999902</v>
      </c>
      <c r="J61" s="145">
        <v>975.20600000000002</v>
      </c>
      <c r="K61" s="137">
        <v>2226.6750000000002</v>
      </c>
      <c r="L61" s="146">
        <v>252.79</v>
      </c>
      <c r="M61" s="86">
        <v>23.974999999999898</v>
      </c>
      <c r="N61" s="86">
        <v>4238.0590000000002</v>
      </c>
      <c r="O61" s="86">
        <v>137.98899999999901</v>
      </c>
      <c r="P61" s="86">
        <v>33.176000000000002</v>
      </c>
      <c r="Q61" s="87">
        <v>413.42899999999997</v>
      </c>
      <c r="R61" s="87">
        <v>1012.58</v>
      </c>
      <c r="S61" s="86">
        <v>554.07000000000005</v>
      </c>
      <c r="T61" s="86">
        <v>73.507000000000005</v>
      </c>
      <c r="U61" s="86">
        <v>1806.038</v>
      </c>
      <c r="V61" s="147">
        <v>13.649999999999901</v>
      </c>
      <c r="W61" s="84"/>
      <c r="X61" s="84" t="s">
        <v>34</v>
      </c>
    </row>
    <row r="62" spans="3:24" s="6" customFormat="1" ht="15.75" customHeight="1">
      <c r="C62" s="84"/>
      <c r="D62" s="84" t="s">
        <v>33</v>
      </c>
      <c r="E62" s="85">
        <v>1681679.1050000002</v>
      </c>
      <c r="F62" s="137">
        <v>57726.481</v>
      </c>
      <c r="G62" s="138">
        <v>42846.913999999997</v>
      </c>
      <c r="H62" s="138">
        <v>33271.226000000002</v>
      </c>
      <c r="I62" s="138">
        <v>37204.510999999999</v>
      </c>
      <c r="J62" s="145">
        <v>36873.71</v>
      </c>
      <c r="K62" s="137">
        <v>29838.901000000002</v>
      </c>
      <c r="L62" s="146">
        <v>32636.79</v>
      </c>
      <c r="M62" s="86">
        <v>11942.12</v>
      </c>
      <c r="N62" s="86">
        <v>271987.43400000001</v>
      </c>
      <c r="O62" s="86">
        <v>114144.802</v>
      </c>
      <c r="P62" s="86">
        <v>132821.64000000001</v>
      </c>
      <c r="Q62" s="87">
        <v>155977.81700000001</v>
      </c>
      <c r="R62" s="87">
        <v>152323.37100000001</v>
      </c>
      <c r="S62" s="87">
        <v>180782.046</v>
      </c>
      <c r="T62" s="87">
        <v>143894.89300000001</v>
      </c>
      <c r="U62" s="87">
        <v>203945.609</v>
      </c>
      <c r="V62" s="88">
        <v>43460.84</v>
      </c>
      <c r="W62" s="84"/>
      <c r="X62" s="84" t="s">
        <v>33</v>
      </c>
    </row>
    <row r="63" spans="3:24" s="6" customFormat="1" ht="15.75" customHeight="1">
      <c r="C63" s="84"/>
      <c r="D63" s="84" t="s">
        <v>32</v>
      </c>
      <c r="E63" s="85">
        <v>393440.57446999999</v>
      </c>
      <c r="F63" s="137">
        <v>15410.239869999999</v>
      </c>
      <c r="G63" s="138">
        <v>10418.5375</v>
      </c>
      <c r="H63" s="138">
        <v>6709.2815000000001</v>
      </c>
      <c r="I63" s="138">
        <v>10819.807500000001</v>
      </c>
      <c r="J63" s="145">
        <v>11428.746499999999</v>
      </c>
      <c r="K63" s="137">
        <v>6039.0924999999997</v>
      </c>
      <c r="L63" s="146">
        <v>6316.2325000000001</v>
      </c>
      <c r="M63" s="86">
        <v>3019.165</v>
      </c>
      <c r="N63" s="86">
        <v>67896.3315</v>
      </c>
      <c r="O63" s="86">
        <v>26168.3315</v>
      </c>
      <c r="P63" s="86">
        <v>24422.1181</v>
      </c>
      <c r="Q63" s="87">
        <v>31395.869500000001</v>
      </c>
      <c r="R63" s="87">
        <v>36618.423499999997</v>
      </c>
      <c r="S63" s="87">
        <v>43822.042500000003</v>
      </c>
      <c r="T63" s="87">
        <v>35666.122499999998</v>
      </c>
      <c r="U63" s="87">
        <v>39709.275999999998</v>
      </c>
      <c r="V63" s="88">
        <v>17580.9565</v>
      </c>
      <c r="W63" s="84"/>
      <c r="X63" s="84" t="s">
        <v>32</v>
      </c>
    </row>
    <row r="64" spans="3:24" s="6" customFormat="1" ht="15.75" customHeight="1">
      <c r="C64" s="84"/>
      <c r="D64" s="84" t="s">
        <v>31</v>
      </c>
      <c r="E64" s="85">
        <v>1483023.8572999998</v>
      </c>
      <c r="F64" s="137">
        <v>41352.411249999997</v>
      </c>
      <c r="G64" s="138">
        <v>28208.08625</v>
      </c>
      <c r="H64" s="138">
        <v>29805.095249999998</v>
      </c>
      <c r="I64" s="138">
        <v>27885.096249999999</v>
      </c>
      <c r="J64" s="145">
        <v>29799.092250000002</v>
      </c>
      <c r="K64" s="137">
        <v>21111.70925</v>
      </c>
      <c r="L64" s="146">
        <v>12235.60425</v>
      </c>
      <c r="M64" s="86">
        <v>10541.375</v>
      </c>
      <c r="N64" s="86">
        <v>178310.56525000001</v>
      </c>
      <c r="O64" s="86">
        <v>86504.799249999996</v>
      </c>
      <c r="P64" s="86">
        <v>138275.38325000001</v>
      </c>
      <c r="Q64" s="87">
        <v>167196.52625</v>
      </c>
      <c r="R64" s="87">
        <v>222323.96225000001</v>
      </c>
      <c r="S64" s="87">
        <v>162977.94055</v>
      </c>
      <c r="T64" s="87">
        <v>180050.55924999999</v>
      </c>
      <c r="U64" s="87">
        <v>129332.98125</v>
      </c>
      <c r="V64" s="88">
        <v>17112.670249999999</v>
      </c>
      <c r="W64" s="84"/>
      <c r="X64" s="84" t="s">
        <v>31</v>
      </c>
    </row>
    <row r="65" spans="3:24" s="6" customFormat="1" ht="15.75" customHeight="1">
      <c r="C65" s="84"/>
      <c r="D65" s="84" t="s">
        <v>30</v>
      </c>
      <c r="E65" s="85">
        <v>8404617.2019999996</v>
      </c>
      <c r="F65" s="137">
        <v>31112.799999999999</v>
      </c>
      <c r="G65" s="138">
        <v>40425.095000000001</v>
      </c>
      <c r="H65" s="138">
        <v>101303.315</v>
      </c>
      <c r="I65" s="138">
        <v>40636.33</v>
      </c>
      <c r="J65" s="145">
        <v>63696.784</v>
      </c>
      <c r="K65" s="137">
        <v>20601.7389999999</v>
      </c>
      <c r="L65" s="146">
        <v>27592.560000000001</v>
      </c>
      <c r="M65" s="86">
        <v>18255.494999999999</v>
      </c>
      <c r="N65" s="86">
        <v>629697.19400000002</v>
      </c>
      <c r="O65" s="86">
        <v>523095.27</v>
      </c>
      <c r="P65" s="86">
        <v>566301.79</v>
      </c>
      <c r="Q65" s="87">
        <v>1163943.105</v>
      </c>
      <c r="R65" s="87">
        <v>2106066.1239999998</v>
      </c>
      <c r="S65" s="87">
        <v>1210143.351</v>
      </c>
      <c r="T65" s="87">
        <v>1258447.8799999999</v>
      </c>
      <c r="U65" s="87">
        <v>523566.315</v>
      </c>
      <c r="V65" s="88">
        <v>79732.054999999993</v>
      </c>
      <c r="W65" s="84"/>
      <c r="X65" s="84" t="s">
        <v>30</v>
      </c>
    </row>
    <row r="66" spans="3:24" s="6" customFormat="1" ht="15.75" customHeight="1">
      <c r="C66" s="84"/>
      <c r="D66" s="84" t="s">
        <v>29</v>
      </c>
      <c r="E66" s="85">
        <v>5719401.4299999997</v>
      </c>
      <c r="F66" s="137">
        <v>40610.735999999997</v>
      </c>
      <c r="G66" s="138">
        <v>75382.235000000001</v>
      </c>
      <c r="H66" s="138">
        <v>105265.414</v>
      </c>
      <c r="I66" s="138">
        <v>56155.15</v>
      </c>
      <c r="J66" s="145">
        <v>131123.55900000001</v>
      </c>
      <c r="K66" s="137">
        <v>21019.5249999999</v>
      </c>
      <c r="L66" s="146">
        <v>35966.26</v>
      </c>
      <c r="M66" s="86">
        <v>26451.845000000001</v>
      </c>
      <c r="N66" s="86">
        <v>476993.96100000001</v>
      </c>
      <c r="O66" s="86">
        <v>308077.86099999998</v>
      </c>
      <c r="P66" s="86">
        <v>308718.36499999999</v>
      </c>
      <c r="Q66" s="87">
        <v>567409.22900000005</v>
      </c>
      <c r="R66" s="87">
        <v>966311.16</v>
      </c>
      <c r="S66" s="87">
        <v>1147732.4550000001</v>
      </c>
      <c r="T66" s="87">
        <v>796594.35100000002</v>
      </c>
      <c r="U66" s="87">
        <v>451299.14899999998</v>
      </c>
      <c r="V66" s="88">
        <v>204290.17499999999</v>
      </c>
      <c r="W66" s="84"/>
      <c r="X66" s="84" t="s">
        <v>29</v>
      </c>
    </row>
    <row r="67" spans="3:24" s="6" customFormat="1" ht="15.75" customHeight="1">
      <c r="C67" s="84"/>
      <c r="D67" s="84" t="s">
        <v>28</v>
      </c>
      <c r="E67" s="85">
        <v>5264527.0889999997</v>
      </c>
      <c r="F67" s="137">
        <v>14880.969999999899</v>
      </c>
      <c r="G67" s="138">
        <v>38407.555</v>
      </c>
      <c r="H67" s="138">
        <v>79363.264999999999</v>
      </c>
      <c r="I67" s="138">
        <v>29786.615000000002</v>
      </c>
      <c r="J67" s="146">
        <v>50305.171000000002</v>
      </c>
      <c r="K67" s="86">
        <v>13717.39</v>
      </c>
      <c r="L67" s="86">
        <v>16835.349999999999</v>
      </c>
      <c r="M67" s="86">
        <v>9593.33</v>
      </c>
      <c r="N67" s="86">
        <v>296907.815</v>
      </c>
      <c r="O67" s="86">
        <v>585096.30500000005</v>
      </c>
      <c r="P67" s="86">
        <v>239629.05</v>
      </c>
      <c r="Q67" s="87">
        <v>485631.5</v>
      </c>
      <c r="R67" s="87">
        <v>644880.43000000005</v>
      </c>
      <c r="S67" s="87">
        <v>1282624.585</v>
      </c>
      <c r="T67" s="87">
        <v>811050.71799999999</v>
      </c>
      <c r="U67" s="87">
        <v>434911.5</v>
      </c>
      <c r="V67" s="88">
        <v>230905.54</v>
      </c>
      <c r="W67" s="84"/>
      <c r="X67" s="84" t="s">
        <v>28</v>
      </c>
    </row>
    <row r="68" spans="3:24" s="6" customFormat="1" ht="15.75" customHeight="1">
      <c r="C68" s="84"/>
      <c r="D68" s="84" t="s">
        <v>27</v>
      </c>
      <c r="E68" s="85">
        <v>2872232.3029999994</v>
      </c>
      <c r="F68" s="137">
        <v>19718.419999999998</v>
      </c>
      <c r="G68" s="138">
        <v>55357.254999999997</v>
      </c>
      <c r="H68" s="138">
        <v>57743.8</v>
      </c>
      <c r="I68" s="138">
        <v>48699.46</v>
      </c>
      <c r="J68" s="146">
        <v>34478.81</v>
      </c>
      <c r="K68" s="86">
        <v>16831.89</v>
      </c>
      <c r="L68" s="86">
        <v>28333.73</v>
      </c>
      <c r="M68" s="86">
        <v>27336.99</v>
      </c>
      <c r="N68" s="86">
        <v>189129.46</v>
      </c>
      <c r="O68" s="86">
        <v>288130.00300000003</v>
      </c>
      <c r="P68" s="86">
        <v>226150.64499999999</v>
      </c>
      <c r="Q68" s="87">
        <v>417649.065</v>
      </c>
      <c r="R68" s="87">
        <v>111014.92</v>
      </c>
      <c r="S68" s="87">
        <v>768249.22</v>
      </c>
      <c r="T68" s="87">
        <v>303338.21999999997</v>
      </c>
      <c r="U68" s="87">
        <v>218837.065</v>
      </c>
      <c r="V68" s="88">
        <v>61233.35</v>
      </c>
      <c r="W68" s="84"/>
      <c r="X68" s="84" t="s">
        <v>27</v>
      </c>
    </row>
    <row r="69" spans="3:24" s="6" customFormat="1" ht="15.75" customHeight="1">
      <c r="C69" s="84"/>
      <c r="D69" s="84" t="s">
        <v>26</v>
      </c>
      <c r="E69" s="85">
        <v>290493.06999999995</v>
      </c>
      <c r="F69" s="137">
        <v>0</v>
      </c>
      <c r="G69" s="138">
        <v>15000</v>
      </c>
      <c r="H69" s="138">
        <v>5972</v>
      </c>
      <c r="I69" s="138">
        <v>0</v>
      </c>
      <c r="J69" s="146">
        <v>5524</v>
      </c>
      <c r="K69" s="86">
        <v>0</v>
      </c>
      <c r="L69" s="86">
        <v>5145.6000000000004</v>
      </c>
      <c r="M69" s="86">
        <v>0</v>
      </c>
      <c r="N69" s="86">
        <v>15184.34</v>
      </c>
      <c r="O69" s="86">
        <v>17026.759999999998</v>
      </c>
      <c r="P69" s="86">
        <v>0</v>
      </c>
      <c r="Q69" s="87">
        <v>55154.474999999999</v>
      </c>
      <c r="R69" s="87">
        <v>9968.4</v>
      </c>
      <c r="S69" s="87">
        <v>117211.755</v>
      </c>
      <c r="T69" s="87">
        <v>32656.7</v>
      </c>
      <c r="U69" s="87">
        <v>11649.04</v>
      </c>
      <c r="V69" s="88">
        <v>0</v>
      </c>
      <c r="W69" s="84"/>
      <c r="X69" s="84" t="s">
        <v>26</v>
      </c>
    </row>
    <row r="70" spans="3:24" s="6" customFormat="1" ht="15.75" customHeight="1">
      <c r="C70" s="84"/>
      <c r="D70" s="84" t="s">
        <v>25</v>
      </c>
      <c r="E70" s="85">
        <v>331259.83499999996</v>
      </c>
      <c r="F70" s="137">
        <v>0</v>
      </c>
      <c r="G70" s="138">
        <v>11000</v>
      </c>
      <c r="H70" s="138">
        <v>0</v>
      </c>
      <c r="I70" s="138">
        <v>0</v>
      </c>
      <c r="J70" s="146">
        <v>0</v>
      </c>
      <c r="K70" s="86">
        <v>0</v>
      </c>
      <c r="L70" s="86">
        <v>0</v>
      </c>
      <c r="M70" s="86">
        <v>0</v>
      </c>
      <c r="N70" s="86">
        <v>0</v>
      </c>
      <c r="O70" s="86">
        <v>30589</v>
      </c>
      <c r="P70" s="86">
        <v>0</v>
      </c>
      <c r="Q70" s="87">
        <v>27060.400000000001</v>
      </c>
      <c r="R70" s="87">
        <v>59600.160000000003</v>
      </c>
      <c r="S70" s="87">
        <v>203010.27499999999</v>
      </c>
      <c r="T70" s="87">
        <v>0</v>
      </c>
      <c r="U70" s="87">
        <v>0</v>
      </c>
      <c r="V70" s="88">
        <v>0</v>
      </c>
      <c r="W70" s="84"/>
      <c r="X70" s="84" t="s">
        <v>25</v>
      </c>
    </row>
    <row r="71" spans="3:24" s="6" customFormat="1" ht="15.75" customHeight="1" thickBot="1">
      <c r="C71" s="149"/>
      <c r="D71" s="149" t="s">
        <v>24</v>
      </c>
      <c r="E71" s="150">
        <v>1551589.08</v>
      </c>
      <c r="F71" s="151">
        <v>0</v>
      </c>
      <c r="G71" s="152">
        <v>0</v>
      </c>
      <c r="H71" s="152">
        <v>0</v>
      </c>
      <c r="I71" s="152">
        <v>0</v>
      </c>
      <c r="J71" s="153">
        <v>0</v>
      </c>
      <c r="K71" s="154">
        <v>0</v>
      </c>
      <c r="L71" s="154">
        <v>0</v>
      </c>
      <c r="M71" s="154">
        <v>0</v>
      </c>
      <c r="N71" s="154">
        <v>0</v>
      </c>
      <c r="O71" s="154">
        <v>0</v>
      </c>
      <c r="P71" s="154">
        <v>0</v>
      </c>
      <c r="Q71" s="155">
        <v>426915.44</v>
      </c>
      <c r="R71" s="155">
        <v>296986.99</v>
      </c>
      <c r="S71" s="155">
        <v>786214.65</v>
      </c>
      <c r="T71" s="155">
        <v>0</v>
      </c>
      <c r="U71" s="155">
        <v>41472</v>
      </c>
      <c r="V71" s="156">
        <v>0</v>
      </c>
      <c r="W71" s="149"/>
      <c r="X71" s="149" t="s">
        <v>24</v>
      </c>
    </row>
    <row r="72" spans="3:24" s="6" customFormat="1" ht="15.75" customHeight="1">
      <c r="C72" s="84"/>
      <c r="D72" s="84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2"/>
      <c r="R72" s="102"/>
      <c r="S72" s="102"/>
      <c r="T72" s="102"/>
      <c r="U72" s="102"/>
      <c r="V72" s="102"/>
      <c r="W72" s="84"/>
      <c r="X72" s="84"/>
    </row>
    <row r="73" spans="3:24" s="6" customFormat="1" ht="15.75" customHeight="1">
      <c r="C73" s="103" t="s">
        <v>223</v>
      </c>
      <c r="D73" s="93"/>
      <c r="E73" s="102"/>
      <c r="F73" s="93"/>
      <c r="G73" s="93"/>
      <c r="H73" s="93"/>
      <c r="I73" s="93"/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3"/>
      <c r="X73" s="93"/>
    </row>
    <row r="76" spans="3:24" s="6" customFormat="1" ht="21">
      <c r="C76" s="19" t="s">
        <v>116</v>
      </c>
      <c r="D76" s="26"/>
      <c r="N76" s="12"/>
      <c r="O76" s="12"/>
      <c r="P76" s="12"/>
    </row>
    <row r="77" spans="3:24" s="6" customFormat="1" ht="15.75" customHeight="1" thickBot="1"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7"/>
      <c r="O77" s="17"/>
      <c r="P77" s="17"/>
      <c r="Q77" s="16"/>
      <c r="R77" s="16"/>
      <c r="S77" s="16"/>
      <c r="T77" s="16"/>
      <c r="U77" s="16"/>
      <c r="X77" s="29"/>
    </row>
    <row r="78" spans="3:24" s="6" customFormat="1" ht="15.75" customHeight="1">
      <c r="C78" s="269" t="s">
        <v>61</v>
      </c>
      <c r="D78" s="269"/>
      <c r="E78" s="72" t="s">
        <v>79</v>
      </c>
      <c r="F78" s="73" t="s">
        <v>78</v>
      </c>
      <c r="G78" s="73" t="s">
        <v>77</v>
      </c>
      <c r="H78" s="73" t="s">
        <v>76</v>
      </c>
      <c r="I78" s="73" t="s">
        <v>75</v>
      </c>
      <c r="J78" s="73" t="s">
        <v>74</v>
      </c>
      <c r="K78" s="73" t="s">
        <v>73</v>
      </c>
      <c r="L78" s="73" t="s">
        <v>72</v>
      </c>
      <c r="M78" s="73" t="s">
        <v>71</v>
      </c>
      <c r="N78" s="73" t="s">
        <v>70</v>
      </c>
      <c r="O78" s="73" t="s">
        <v>69</v>
      </c>
      <c r="P78" s="73" t="s">
        <v>68</v>
      </c>
      <c r="Q78" s="73" t="s">
        <v>67</v>
      </c>
      <c r="R78" s="73" t="s">
        <v>66</v>
      </c>
      <c r="S78" s="73" t="s">
        <v>65</v>
      </c>
      <c r="T78" s="73" t="s">
        <v>64</v>
      </c>
      <c r="U78" s="73" t="s">
        <v>63</v>
      </c>
      <c r="V78" s="74" t="s">
        <v>62</v>
      </c>
      <c r="W78" s="273" t="s">
        <v>61</v>
      </c>
      <c r="X78" s="269"/>
    </row>
    <row r="79" spans="3:24" s="6" customFormat="1" ht="15.75" customHeight="1">
      <c r="C79" s="270"/>
      <c r="D79" s="270"/>
      <c r="E79" s="75" t="s">
        <v>22</v>
      </c>
      <c r="F79" s="76" t="s">
        <v>60</v>
      </c>
      <c r="G79" s="76" t="s">
        <v>59</v>
      </c>
      <c r="H79" s="76" t="s">
        <v>58</v>
      </c>
      <c r="I79" s="76" t="s">
        <v>57</v>
      </c>
      <c r="J79" s="76" t="s">
        <v>56</v>
      </c>
      <c r="K79" s="76" t="s">
        <v>55</v>
      </c>
      <c r="L79" s="76" t="s">
        <v>54</v>
      </c>
      <c r="M79" s="76" t="s">
        <v>53</v>
      </c>
      <c r="N79" s="76" t="s">
        <v>52</v>
      </c>
      <c r="O79" s="76" t="s">
        <v>51</v>
      </c>
      <c r="P79" s="76" t="s">
        <v>50</v>
      </c>
      <c r="Q79" s="76" t="s">
        <v>49</v>
      </c>
      <c r="R79" s="76" t="s">
        <v>48</v>
      </c>
      <c r="S79" s="76" t="s">
        <v>47</v>
      </c>
      <c r="T79" s="76" t="s">
        <v>46</v>
      </c>
      <c r="U79" s="76" t="s">
        <v>45</v>
      </c>
      <c r="V79" s="77" t="s">
        <v>44</v>
      </c>
      <c r="W79" s="274"/>
      <c r="X79" s="270"/>
    </row>
    <row r="80" spans="3:24" s="12" customFormat="1" ht="15.75" customHeight="1">
      <c r="C80" s="78" t="s">
        <v>211</v>
      </c>
      <c r="D80" s="79"/>
      <c r="E80" s="80">
        <v>722687.41155402292</v>
      </c>
      <c r="F80" s="81">
        <v>42.111639032953597</v>
      </c>
      <c r="G80" s="81">
        <v>14.301136490307</v>
      </c>
      <c r="H80" s="81">
        <v>3520.2723861457898</v>
      </c>
      <c r="I80" s="81">
        <v>5263.5379326462698</v>
      </c>
      <c r="J80" s="81">
        <v>1.6073144669066199</v>
      </c>
      <c r="K80" s="81">
        <v>80.365723345331304</v>
      </c>
      <c r="L80" s="81">
        <v>3.8575547205759002</v>
      </c>
      <c r="M80" s="81">
        <v>0</v>
      </c>
      <c r="N80" s="81">
        <v>727.24938202954195</v>
      </c>
      <c r="O80" s="81">
        <v>204691.66319825299</v>
      </c>
      <c r="P80" s="81">
        <v>15.2694874356129</v>
      </c>
      <c r="Q80" s="82">
        <v>158.94936920780799</v>
      </c>
      <c r="R80" s="82">
        <v>30601.306213092699</v>
      </c>
      <c r="S80" s="82">
        <v>137208.24158006001</v>
      </c>
      <c r="T80" s="82">
        <v>198949.16695820901</v>
      </c>
      <c r="U80" s="82">
        <v>31365.350248604998</v>
      </c>
      <c r="V80" s="83">
        <v>110044.16143028199</v>
      </c>
      <c r="W80" s="78" t="s">
        <v>211</v>
      </c>
      <c r="X80" s="79"/>
    </row>
    <row r="81" spans="3:24" s="12" customFormat="1" ht="15.75" customHeight="1">
      <c r="C81" s="78" t="s">
        <v>219</v>
      </c>
      <c r="D81" s="79"/>
      <c r="E81" s="80">
        <v>3392164.9256286845</v>
      </c>
      <c r="F81" s="81">
        <v>183.893620231238</v>
      </c>
      <c r="G81" s="81">
        <v>62.8049628397685</v>
      </c>
      <c r="H81" s="81">
        <v>16525.344705754502</v>
      </c>
      <c r="I81" s="81">
        <v>24693.256022106001</v>
      </c>
      <c r="J81" s="81">
        <v>7.0188404668411604</v>
      </c>
      <c r="K81" s="81">
        <v>350.94202334205801</v>
      </c>
      <c r="L81" s="81">
        <v>16.845217120418699</v>
      </c>
      <c r="M81" s="81">
        <v>0</v>
      </c>
      <c r="N81" s="81">
        <v>3409.0953847228898</v>
      </c>
      <c r="O81" s="81">
        <v>960840.81942133303</v>
      </c>
      <c r="P81" s="81">
        <v>66.678984434990994</v>
      </c>
      <c r="Q81" s="82">
        <v>736.15017470658699</v>
      </c>
      <c r="R81" s="82">
        <v>143664.15001050101</v>
      </c>
      <c r="S81" s="82">
        <v>643958.35722352995</v>
      </c>
      <c r="T81" s="82">
        <v>933977.62877660105</v>
      </c>
      <c r="U81" s="82">
        <v>147145.11797644099</v>
      </c>
      <c r="V81" s="83">
        <v>516526.82228455303</v>
      </c>
      <c r="W81" s="78" t="s">
        <v>219</v>
      </c>
      <c r="X81" s="79"/>
    </row>
    <row r="82" spans="3:24" s="12" customFormat="1" ht="15.75" customHeight="1">
      <c r="C82" s="78" t="s">
        <v>220</v>
      </c>
      <c r="D82" s="78"/>
      <c r="E82" s="80">
        <v>2164719.5299999998</v>
      </c>
      <c r="F82" s="81">
        <v>104.8</v>
      </c>
      <c r="G82" s="81">
        <v>44.9</v>
      </c>
      <c r="H82" s="81">
        <v>11563.32</v>
      </c>
      <c r="I82" s="81">
        <v>49138</v>
      </c>
      <c r="J82" s="81">
        <v>4</v>
      </c>
      <c r="K82" s="81">
        <v>200</v>
      </c>
      <c r="L82" s="81">
        <v>1659.6</v>
      </c>
      <c r="M82" s="81">
        <v>0</v>
      </c>
      <c r="N82" s="81">
        <v>5310.61</v>
      </c>
      <c r="O82" s="81">
        <v>529131</v>
      </c>
      <c r="P82" s="81">
        <v>38</v>
      </c>
      <c r="Q82" s="82">
        <v>2094.6</v>
      </c>
      <c r="R82" s="82">
        <v>82530</v>
      </c>
      <c r="S82" s="82">
        <v>456481.8</v>
      </c>
      <c r="T82" s="82">
        <v>515775</v>
      </c>
      <c r="U82" s="82">
        <v>87020.9</v>
      </c>
      <c r="V82" s="83">
        <v>423623</v>
      </c>
      <c r="W82" s="78" t="s">
        <v>220</v>
      </c>
      <c r="X82" s="78"/>
    </row>
    <row r="83" spans="3:24" s="6" customFormat="1" ht="15.75" customHeight="1">
      <c r="C83" s="84"/>
      <c r="D83" s="84"/>
      <c r="E83" s="85"/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86"/>
      <c r="Q83" s="87"/>
      <c r="R83" s="87"/>
      <c r="S83" s="87"/>
      <c r="T83" s="87"/>
      <c r="U83" s="87"/>
      <c r="V83" s="88"/>
      <c r="W83" s="84"/>
      <c r="X83" s="84"/>
    </row>
    <row r="84" spans="3:24" s="6" customFormat="1" ht="15.75" customHeight="1">
      <c r="C84" s="78" t="s">
        <v>43</v>
      </c>
      <c r="D84" s="78"/>
      <c r="E84" s="80"/>
      <c r="F84" s="82"/>
      <c r="G84" s="82"/>
      <c r="H84" s="82"/>
      <c r="I84" s="82"/>
      <c r="J84" s="82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9"/>
      <c r="W84" s="78" t="s">
        <v>43</v>
      </c>
      <c r="X84" s="78"/>
    </row>
    <row r="85" spans="3:24" s="12" customFormat="1" ht="15.75" customHeight="1">
      <c r="C85" s="84"/>
      <c r="D85" s="90" t="s">
        <v>213</v>
      </c>
      <c r="E85" s="85">
        <v>219164</v>
      </c>
      <c r="F85" s="86">
        <v>0</v>
      </c>
      <c r="G85" s="86">
        <v>4</v>
      </c>
      <c r="H85" s="86">
        <v>0</v>
      </c>
      <c r="I85" s="86">
        <v>0</v>
      </c>
      <c r="J85" s="86">
        <v>0</v>
      </c>
      <c r="K85" s="86">
        <v>0</v>
      </c>
      <c r="L85" s="86">
        <v>0</v>
      </c>
      <c r="M85" s="86">
        <v>0</v>
      </c>
      <c r="N85" s="86">
        <v>0</v>
      </c>
      <c r="O85" s="86">
        <v>8480</v>
      </c>
      <c r="P85" s="86">
        <v>0</v>
      </c>
      <c r="Q85" s="87">
        <v>0</v>
      </c>
      <c r="R85" s="87">
        <v>0</v>
      </c>
      <c r="S85" s="87">
        <v>29400</v>
      </c>
      <c r="T85" s="87">
        <v>60200</v>
      </c>
      <c r="U85" s="87">
        <v>0</v>
      </c>
      <c r="V85" s="88">
        <v>121080</v>
      </c>
      <c r="W85" s="84"/>
      <c r="X85" s="90" t="s">
        <v>213</v>
      </c>
    </row>
    <row r="86" spans="3:24" s="6" customFormat="1" ht="15.75" customHeight="1">
      <c r="C86" s="84"/>
      <c r="D86" s="90" t="s">
        <v>214</v>
      </c>
      <c r="E86" s="85">
        <v>237595</v>
      </c>
      <c r="F86" s="86">
        <v>0</v>
      </c>
      <c r="G86" s="86">
        <v>0</v>
      </c>
      <c r="H86" s="86">
        <v>0</v>
      </c>
      <c r="I86" s="86">
        <v>3</v>
      </c>
      <c r="J86" s="86">
        <v>0</v>
      </c>
      <c r="K86" s="86">
        <v>0</v>
      </c>
      <c r="L86" s="86">
        <v>0</v>
      </c>
      <c r="M86" s="86">
        <v>0</v>
      </c>
      <c r="N86" s="86">
        <v>0</v>
      </c>
      <c r="O86" s="86">
        <v>68730</v>
      </c>
      <c r="P86" s="86">
        <v>0</v>
      </c>
      <c r="Q86" s="87">
        <v>40</v>
      </c>
      <c r="R86" s="87">
        <v>3</v>
      </c>
      <c r="S86" s="87">
        <v>79523</v>
      </c>
      <c r="T86" s="87">
        <v>47700</v>
      </c>
      <c r="U86" s="87">
        <v>40180</v>
      </c>
      <c r="V86" s="88">
        <v>1416</v>
      </c>
      <c r="W86" s="84"/>
      <c r="X86" s="90" t="s">
        <v>214</v>
      </c>
    </row>
    <row r="87" spans="3:24" s="6" customFormat="1" ht="15.75" customHeight="1">
      <c r="C87" s="84"/>
      <c r="D87" s="90" t="s">
        <v>215</v>
      </c>
      <c r="E87" s="85">
        <v>63729.11</v>
      </c>
      <c r="F87" s="86">
        <v>0.8</v>
      </c>
      <c r="G87" s="86">
        <v>0</v>
      </c>
      <c r="H87" s="86">
        <v>0</v>
      </c>
      <c r="I87" s="86">
        <v>40</v>
      </c>
      <c r="J87" s="86">
        <v>3</v>
      </c>
      <c r="K87" s="86">
        <v>0</v>
      </c>
      <c r="L87" s="86">
        <v>3</v>
      </c>
      <c r="M87" s="86">
        <v>0</v>
      </c>
      <c r="N87" s="86">
        <v>4.6100000000000003</v>
      </c>
      <c r="O87" s="86">
        <v>45620</v>
      </c>
      <c r="P87" s="86">
        <v>24</v>
      </c>
      <c r="Q87" s="87">
        <v>0</v>
      </c>
      <c r="R87" s="87">
        <v>3</v>
      </c>
      <c r="S87" s="87">
        <v>18012</v>
      </c>
      <c r="T87" s="87">
        <v>10.199999999999999</v>
      </c>
      <c r="U87" s="87">
        <v>0.5</v>
      </c>
      <c r="V87" s="88">
        <v>8</v>
      </c>
      <c r="W87" s="84"/>
      <c r="X87" s="90" t="s">
        <v>215</v>
      </c>
    </row>
    <row r="88" spans="3:24" s="6" customFormat="1" ht="15.75" customHeight="1">
      <c r="C88" s="84"/>
      <c r="D88" s="84"/>
      <c r="E88" s="85"/>
      <c r="F88" s="86"/>
      <c r="G88" s="86"/>
      <c r="H88" s="86"/>
      <c r="I88" s="86"/>
      <c r="J88" s="86"/>
      <c r="K88" s="86"/>
      <c r="L88" s="86"/>
      <c r="M88" s="86"/>
      <c r="N88" s="86"/>
      <c r="O88" s="86"/>
      <c r="P88" s="86"/>
      <c r="Q88" s="87"/>
      <c r="R88" s="87"/>
      <c r="S88" s="87"/>
      <c r="T88" s="87"/>
      <c r="U88" s="87"/>
      <c r="V88" s="88"/>
      <c r="W88" s="84"/>
      <c r="X88" s="84"/>
    </row>
    <row r="89" spans="3:24" s="12" customFormat="1" ht="15.75" customHeight="1">
      <c r="C89" s="78" t="s">
        <v>221</v>
      </c>
      <c r="D89" s="79"/>
      <c r="E89" s="80">
        <v>2164719.5299999998</v>
      </c>
      <c r="F89" s="81">
        <v>104.8</v>
      </c>
      <c r="G89" s="81">
        <v>44.900000000000006</v>
      </c>
      <c r="H89" s="81">
        <v>11563.32</v>
      </c>
      <c r="I89" s="81">
        <v>49138</v>
      </c>
      <c r="J89" s="81">
        <v>4</v>
      </c>
      <c r="K89" s="81">
        <v>200</v>
      </c>
      <c r="L89" s="81">
        <v>1659.6</v>
      </c>
      <c r="M89" s="81">
        <v>0</v>
      </c>
      <c r="N89" s="81">
        <v>5310.6100000000006</v>
      </c>
      <c r="O89" s="81">
        <v>529131</v>
      </c>
      <c r="P89" s="81">
        <v>38</v>
      </c>
      <c r="Q89" s="81">
        <v>2094.6</v>
      </c>
      <c r="R89" s="81">
        <v>82530</v>
      </c>
      <c r="S89" s="81">
        <v>456481.8</v>
      </c>
      <c r="T89" s="81">
        <v>515775</v>
      </c>
      <c r="U89" s="81">
        <v>87020.9</v>
      </c>
      <c r="V89" s="83">
        <v>423623</v>
      </c>
      <c r="W89" s="78" t="s">
        <v>221</v>
      </c>
      <c r="X89" s="79"/>
    </row>
    <row r="90" spans="3:24" s="12" customFormat="1" ht="15.75" customHeight="1">
      <c r="C90" s="93"/>
      <c r="D90" s="94" t="s">
        <v>42</v>
      </c>
      <c r="E90" s="85">
        <v>1170.4099999999999</v>
      </c>
      <c r="F90" s="86">
        <v>4.8</v>
      </c>
      <c r="G90" s="86">
        <v>4.8</v>
      </c>
      <c r="H90" s="86">
        <v>0</v>
      </c>
      <c r="I90" s="86">
        <v>3</v>
      </c>
      <c r="J90" s="86">
        <v>3</v>
      </c>
      <c r="K90" s="86">
        <v>0</v>
      </c>
      <c r="L90" s="86">
        <v>7.8</v>
      </c>
      <c r="M90" s="157">
        <v>0</v>
      </c>
      <c r="N90" s="86">
        <v>16.010000000000002</v>
      </c>
      <c r="O90" s="86">
        <v>27</v>
      </c>
      <c r="P90" s="86">
        <v>9</v>
      </c>
      <c r="Q90" s="86">
        <v>18.600000000000001</v>
      </c>
      <c r="R90" s="86">
        <v>15</v>
      </c>
      <c r="S90" s="87">
        <v>491.4</v>
      </c>
      <c r="T90" s="87">
        <v>19</v>
      </c>
      <c r="U90" s="87">
        <v>30</v>
      </c>
      <c r="V90" s="158">
        <v>521</v>
      </c>
      <c r="W90" s="93"/>
      <c r="X90" s="94" t="s">
        <v>42</v>
      </c>
    </row>
    <row r="91" spans="3:24" s="12" customFormat="1" ht="15.75" customHeight="1">
      <c r="C91" s="84"/>
      <c r="D91" s="94" t="s">
        <v>41</v>
      </c>
      <c r="E91" s="85">
        <v>4431.2199999999993</v>
      </c>
      <c r="F91" s="86">
        <v>0</v>
      </c>
      <c r="G91" s="86">
        <v>25.1</v>
      </c>
      <c r="H91" s="86">
        <v>6.32</v>
      </c>
      <c r="I91" s="86">
        <v>74</v>
      </c>
      <c r="J91" s="86">
        <v>0</v>
      </c>
      <c r="K91" s="86">
        <v>0</v>
      </c>
      <c r="L91" s="86">
        <v>0</v>
      </c>
      <c r="M91" s="157">
        <v>0</v>
      </c>
      <c r="N91" s="86">
        <v>10</v>
      </c>
      <c r="O91" s="86">
        <v>254</v>
      </c>
      <c r="P91" s="86">
        <v>24</v>
      </c>
      <c r="Q91" s="86">
        <v>30</v>
      </c>
      <c r="R91" s="87">
        <v>3007</v>
      </c>
      <c r="S91" s="87">
        <v>810.9</v>
      </c>
      <c r="T91" s="87">
        <v>26.4</v>
      </c>
      <c r="U91" s="87">
        <v>9.5</v>
      </c>
      <c r="V91" s="158">
        <v>154</v>
      </c>
      <c r="W91" s="84"/>
      <c r="X91" s="94" t="s">
        <v>41</v>
      </c>
    </row>
    <row r="92" spans="3:24" s="12" customFormat="1" ht="15.75" customHeight="1">
      <c r="C92" s="84"/>
      <c r="D92" s="94" t="s">
        <v>40</v>
      </c>
      <c r="E92" s="85">
        <v>61.8</v>
      </c>
      <c r="F92" s="86">
        <v>0</v>
      </c>
      <c r="G92" s="86">
        <v>3</v>
      </c>
      <c r="H92" s="86">
        <v>0</v>
      </c>
      <c r="I92" s="86">
        <v>0</v>
      </c>
      <c r="J92" s="86">
        <v>1</v>
      </c>
      <c r="K92" s="86">
        <v>0</v>
      </c>
      <c r="L92" s="86">
        <v>0.8</v>
      </c>
      <c r="M92" s="157">
        <v>0</v>
      </c>
      <c r="N92" s="86">
        <v>1</v>
      </c>
      <c r="O92" s="86">
        <v>1</v>
      </c>
      <c r="P92" s="86">
        <v>1</v>
      </c>
      <c r="Q92" s="86">
        <v>0</v>
      </c>
      <c r="R92" s="87">
        <v>1</v>
      </c>
      <c r="S92" s="87">
        <v>19</v>
      </c>
      <c r="T92" s="87">
        <v>34</v>
      </c>
      <c r="U92" s="86">
        <v>0</v>
      </c>
      <c r="V92" s="159">
        <v>0</v>
      </c>
      <c r="W92" s="84"/>
      <c r="X92" s="94" t="s">
        <v>40</v>
      </c>
    </row>
    <row r="93" spans="3:24" s="12" customFormat="1" ht="15.75" customHeight="1">
      <c r="C93" s="84"/>
      <c r="D93" s="94" t="s">
        <v>39</v>
      </c>
      <c r="E93" s="85">
        <v>60</v>
      </c>
      <c r="F93" s="86">
        <v>0</v>
      </c>
      <c r="G93" s="86">
        <v>0</v>
      </c>
      <c r="H93" s="86">
        <v>0</v>
      </c>
      <c r="I93" s="86">
        <v>0</v>
      </c>
      <c r="J93" s="86">
        <v>0</v>
      </c>
      <c r="K93" s="86">
        <v>0</v>
      </c>
      <c r="L93" s="86">
        <v>0</v>
      </c>
      <c r="M93" s="157">
        <v>0</v>
      </c>
      <c r="N93" s="86">
        <v>0</v>
      </c>
      <c r="O93" s="86">
        <v>0</v>
      </c>
      <c r="P93" s="86">
        <v>0</v>
      </c>
      <c r="Q93" s="86">
        <v>40</v>
      </c>
      <c r="R93" s="86">
        <v>0</v>
      </c>
      <c r="S93" s="87">
        <v>20</v>
      </c>
      <c r="T93" s="86">
        <v>0</v>
      </c>
      <c r="U93" s="86">
        <v>0</v>
      </c>
      <c r="V93" s="159">
        <v>0</v>
      </c>
      <c r="W93" s="84"/>
      <c r="X93" s="94" t="s">
        <v>39</v>
      </c>
    </row>
    <row r="94" spans="3:24" s="12" customFormat="1" ht="15.75" customHeight="1">
      <c r="C94" s="84"/>
      <c r="D94" s="94" t="s">
        <v>38</v>
      </c>
      <c r="E94" s="85">
        <v>412</v>
      </c>
      <c r="F94" s="86">
        <v>0</v>
      </c>
      <c r="G94" s="86">
        <v>0</v>
      </c>
      <c r="H94" s="86">
        <v>7</v>
      </c>
      <c r="I94" s="86">
        <v>20</v>
      </c>
      <c r="J94" s="86">
        <v>0</v>
      </c>
      <c r="K94" s="86">
        <v>0</v>
      </c>
      <c r="L94" s="86">
        <v>0</v>
      </c>
      <c r="M94" s="157">
        <v>0</v>
      </c>
      <c r="N94" s="86">
        <v>10</v>
      </c>
      <c r="O94" s="86">
        <v>91</v>
      </c>
      <c r="P94" s="86">
        <v>0</v>
      </c>
      <c r="Q94" s="86">
        <v>0</v>
      </c>
      <c r="R94" s="86">
        <v>0</v>
      </c>
      <c r="S94" s="86">
        <v>24</v>
      </c>
      <c r="T94" s="86">
        <v>238.6</v>
      </c>
      <c r="U94" s="86">
        <v>13.4</v>
      </c>
      <c r="V94" s="159">
        <v>8</v>
      </c>
      <c r="W94" s="84"/>
      <c r="X94" s="94" t="s">
        <v>38</v>
      </c>
    </row>
    <row r="95" spans="3:24" s="12" customFormat="1" ht="15.75" customHeight="1">
      <c r="C95" s="84"/>
      <c r="D95" s="94" t="s">
        <v>37</v>
      </c>
      <c r="E95" s="85">
        <v>87</v>
      </c>
      <c r="F95" s="86">
        <v>0</v>
      </c>
      <c r="G95" s="86">
        <v>0</v>
      </c>
      <c r="H95" s="86">
        <v>0</v>
      </c>
      <c r="I95" s="86">
        <v>1</v>
      </c>
      <c r="J95" s="86">
        <v>0</v>
      </c>
      <c r="K95" s="86">
        <v>0</v>
      </c>
      <c r="L95" s="86">
        <v>0</v>
      </c>
      <c r="M95" s="157">
        <v>0</v>
      </c>
      <c r="N95" s="86">
        <v>1</v>
      </c>
      <c r="O95" s="86">
        <v>19</v>
      </c>
      <c r="P95" s="86">
        <v>4</v>
      </c>
      <c r="Q95" s="86">
        <v>6</v>
      </c>
      <c r="R95" s="87">
        <v>4</v>
      </c>
      <c r="S95" s="86">
        <v>20</v>
      </c>
      <c r="T95" s="86">
        <v>2</v>
      </c>
      <c r="U95" s="86">
        <v>20</v>
      </c>
      <c r="V95" s="159">
        <v>10</v>
      </c>
      <c r="W95" s="84"/>
      <c r="X95" s="94" t="s">
        <v>37</v>
      </c>
    </row>
    <row r="96" spans="3:24" s="12" customFormat="1" ht="15.75" customHeight="1">
      <c r="C96" s="84"/>
      <c r="D96" s="94" t="s">
        <v>36</v>
      </c>
      <c r="E96" s="85">
        <v>2151064</v>
      </c>
      <c r="F96" s="86">
        <v>0</v>
      </c>
      <c r="G96" s="86">
        <v>12</v>
      </c>
      <c r="H96" s="86">
        <v>11550</v>
      </c>
      <c r="I96" s="86">
        <v>49000</v>
      </c>
      <c r="J96" s="86">
        <v>0</v>
      </c>
      <c r="K96" s="86">
        <v>0</v>
      </c>
      <c r="L96" s="86">
        <v>1650</v>
      </c>
      <c r="M96" s="157">
        <v>0</v>
      </c>
      <c r="N96" s="86">
        <v>5271</v>
      </c>
      <c r="O96" s="86">
        <v>527900</v>
      </c>
      <c r="P96" s="86">
        <v>0</v>
      </c>
      <c r="Q96" s="86">
        <v>2000</v>
      </c>
      <c r="R96" s="87">
        <v>79500</v>
      </c>
      <c r="S96" s="87">
        <v>454875</v>
      </c>
      <c r="T96" s="87">
        <v>515350</v>
      </c>
      <c r="U96" s="87">
        <v>86186</v>
      </c>
      <c r="V96" s="158">
        <v>417770</v>
      </c>
      <c r="W96" s="84"/>
      <c r="X96" s="94" t="s">
        <v>36</v>
      </c>
    </row>
    <row r="97" spans="3:24" s="12" customFormat="1" ht="15.75" customHeight="1">
      <c r="C97" s="84"/>
      <c r="D97" s="94" t="s">
        <v>35</v>
      </c>
      <c r="E97" s="85">
        <v>7433.1</v>
      </c>
      <c r="F97" s="86">
        <v>100</v>
      </c>
      <c r="G97" s="86">
        <v>0</v>
      </c>
      <c r="H97" s="86">
        <v>0</v>
      </c>
      <c r="I97" s="86">
        <v>40</v>
      </c>
      <c r="J97" s="86">
        <v>0</v>
      </c>
      <c r="K97" s="86">
        <v>200</v>
      </c>
      <c r="L97" s="86">
        <v>1</v>
      </c>
      <c r="M97" s="86">
        <v>0</v>
      </c>
      <c r="N97" s="86">
        <v>1.6</v>
      </c>
      <c r="O97" s="86">
        <v>839</v>
      </c>
      <c r="P97" s="86">
        <v>0</v>
      </c>
      <c r="Q97" s="86">
        <v>0</v>
      </c>
      <c r="R97" s="87">
        <v>3</v>
      </c>
      <c r="S97" s="87">
        <v>221.5</v>
      </c>
      <c r="T97" s="87">
        <v>105</v>
      </c>
      <c r="U97" s="87">
        <v>762</v>
      </c>
      <c r="V97" s="158">
        <v>5160</v>
      </c>
      <c r="W97" s="84"/>
      <c r="X97" s="94" t="s">
        <v>35</v>
      </c>
    </row>
    <row r="98" spans="3:24" s="12" customFormat="1" ht="15.75" customHeight="1">
      <c r="C98" s="84"/>
      <c r="D98" s="84"/>
      <c r="E98" s="85"/>
      <c r="F98" s="86"/>
      <c r="G98" s="86"/>
      <c r="H98" s="86"/>
      <c r="I98" s="86"/>
      <c r="J98" s="86"/>
      <c r="K98" s="86"/>
      <c r="L98" s="86"/>
      <c r="M98" s="93"/>
      <c r="N98" s="86"/>
      <c r="O98" s="86"/>
      <c r="P98" s="86"/>
      <c r="Q98" s="86"/>
      <c r="R98" s="87"/>
      <c r="S98" s="87"/>
      <c r="T98" s="87"/>
      <c r="U98" s="87"/>
      <c r="V98" s="158"/>
      <c r="W98" s="84"/>
      <c r="X98" s="84"/>
    </row>
    <row r="99" spans="3:24" s="12" customFormat="1" ht="15.75" customHeight="1">
      <c r="C99" s="78" t="s">
        <v>222</v>
      </c>
      <c r="D99" s="78"/>
      <c r="E99" s="80">
        <v>2164719.5299999998</v>
      </c>
      <c r="F99" s="81">
        <v>104.8</v>
      </c>
      <c r="G99" s="81">
        <v>44.9</v>
      </c>
      <c r="H99" s="81">
        <v>11563.32</v>
      </c>
      <c r="I99" s="81">
        <v>49138</v>
      </c>
      <c r="J99" s="81">
        <v>4</v>
      </c>
      <c r="K99" s="81">
        <v>200</v>
      </c>
      <c r="L99" s="81">
        <v>1659.6</v>
      </c>
      <c r="M99" s="81">
        <v>0</v>
      </c>
      <c r="N99" s="81">
        <v>5310.61</v>
      </c>
      <c r="O99" s="81">
        <v>529131</v>
      </c>
      <c r="P99" s="81">
        <v>38</v>
      </c>
      <c r="Q99" s="81">
        <v>2094.6</v>
      </c>
      <c r="R99" s="81">
        <v>82530</v>
      </c>
      <c r="S99" s="81">
        <v>456481.8</v>
      </c>
      <c r="T99" s="81">
        <v>515775</v>
      </c>
      <c r="U99" s="81">
        <v>87020.9</v>
      </c>
      <c r="V99" s="83">
        <v>423623</v>
      </c>
      <c r="W99" s="78" t="s">
        <v>222</v>
      </c>
      <c r="X99" s="78"/>
    </row>
    <row r="100" spans="3:24" s="12" customFormat="1" ht="15.75" customHeight="1">
      <c r="C100" s="84"/>
      <c r="D100" s="84" t="s">
        <v>34</v>
      </c>
      <c r="E100" s="85">
        <v>34.409999999999997</v>
      </c>
      <c r="F100" s="86">
        <v>1.8</v>
      </c>
      <c r="G100" s="86">
        <v>0</v>
      </c>
      <c r="H100" s="86">
        <v>1</v>
      </c>
      <c r="I100" s="86">
        <v>2</v>
      </c>
      <c r="J100" s="86">
        <v>1</v>
      </c>
      <c r="K100" s="86">
        <v>0</v>
      </c>
      <c r="L100" s="86">
        <v>1.8</v>
      </c>
      <c r="M100" s="86">
        <v>0</v>
      </c>
      <c r="N100" s="86">
        <v>4.01</v>
      </c>
      <c r="O100" s="86">
        <v>4</v>
      </c>
      <c r="P100" s="86">
        <v>1</v>
      </c>
      <c r="Q100" s="87">
        <v>1</v>
      </c>
      <c r="R100" s="87">
        <v>3</v>
      </c>
      <c r="S100" s="86">
        <v>3.5</v>
      </c>
      <c r="T100" s="86">
        <v>5.8</v>
      </c>
      <c r="U100" s="86">
        <v>2.5</v>
      </c>
      <c r="V100" s="147">
        <v>2</v>
      </c>
      <c r="W100" s="84"/>
      <c r="X100" s="84" t="s">
        <v>34</v>
      </c>
    </row>
    <row r="101" spans="3:24" s="12" customFormat="1" ht="15.75" customHeight="1">
      <c r="C101" s="84"/>
      <c r="D101" s="84" t="s">
        <v>33</v>
      </c>
      <c r="E101" s="85">
        <v>298.8</v>
      </c>
      <c r="F101" s="86">
        <v>3</v>
      </c>
      <c r="G101" s="86">
        <v>14.9</v>
      </c>
      <c r="H101" s="86">
        <v>0</v>
      </c>
      <c r="I101" s="86">
        <v>3</v>
      </c>
      <c r="J101" s="86">
        <v>3</v>
      </c>
      <c r="K101" s="86">
        <v>0</v>
      </c>
      <c r="L101" s="86">
        <v>7.8</v>
      </c>
      <c r="M101" s="86">
        <v>0</v>
      </c>
      <c r="N101" s="86">
        <v>15.6</v>
      </c>
      <c r="O101" s="86">
        <v>27</v>
      </c>
      <c r="P101" s="86">
        <v>9</v>
      </c>
      <c r="Q101" s="87">
        <v>23.6</v>
      </c>
      <c r="R101" s="87">
        <v>21</v>
      </c>
      <c r="S101" s="87">
        <v>66.900000000000006</v>
      </c>
      <c r="T101" s="87">
        <v>23.6</v>
      </c>
      <c r="U101" s="87">
        <v>41.4</v>
      </c>
      <c r="V101" s="88">
        <v>39</v>
      </c>
      <c r="W101" s="84"/>
      <c r="X101" s="84" t="s">
        <v>33</v>
      </c>
    </row>
    <row r="102" spans="3:24" s="12" customFormat="1" ht="15.75" customHeight="1">
      <c r="C102" s="84"/>
      <c r="D102" s="84" t="s">
        <v>32</v>
      </c>
      <c r="E102" s="85">
        <v>258.91999999999996</v>
      </c>
      <c r="F102" s="86">
        <v>0</v>
      </c>
      <c r="G102" s="86">
        <v>0</v>
      </c>
      <c r="H102" s="86">
        <v>12.32</v>
      </c>
      <c r="I102" s="86">
        <v>0</v>
      </c>
      <c r="J102" s="86">
        <v>0</v>
      </c>
      <c r="K102" s="86">
        <v>0</v>
      </c>
      <c r="L102" s="86">
        <v>0</v>
      </c>
      <c r="M102" s="86">
        <v>0</v>
      </c>
      <c r="N102" s="86">
        <v>20</v>
      </c>
      <c r="O102" s="86">
        <v>52</v>
      </c>
      <c r="P102" s="86">
        <v>4</v>
      </c>
      <c r="Q102" s="87">
        <v>10</v>
      </c>
      <c r="R102" s="87">
        <v>6</v>
      </c>
      <c r="S102" s="87">
        <v>42</v>
      </c>
      <c r="T102" s="87">
        <v>38.6</v>
      </c>
      <c r="U102" s="87">
        <v>27</v>
      </c>
      <c r="V102" s="88">
        <v>47</v>
      </c>
      <c r="W102" s="84"/>
      <c r="X102" s="84" t="s">
        <v>32</v>
      </c>
    </row>
    <row r="103" spans="3:24" s="12" customFormat="1" ht="15.75" customHeight="1">
      <c r="C103" s="84"/>
      <c r="D103" s="84" t="s">
        <v>31</v>
      </c>
      <c r="E103" s="85">
        <v>797.4</v>
      </c>
      <c r="F103" s="86">
        <v>0</v>
      </c>
      <c r="G103" s="86">
        <v>30</v>
      </c>
      <c r="H103" s="86">
        <v>0</v>
      </c>
      <c r="I103" s="86">
        <v>133</v>
      </c>
      <c r="J103" s="86">
        <v>0</v>
      </c>
      <c r="K103" s="86">
        <v>0</v>
      </c>
      <c r="L103" s="86">
        <v>0</v>
      </c>
      <c r="M103" s="86">
        <v>0</v>
      </c>
      <c r="N103" s="86">
        <v>21</v>
      </c>
      <c r="O103" s="86">
        <v>238</v>
      </c>
      <c r="P103" s="86">
        <v>24</v>
      </c>
      <c r="Q103" s="87">
        <v>60</v>
      </c>
      <c r="R103" s="87">
        <v>0</v>
      </c>
      <c r="S103" s="87">
        <v>174.4</v>
      </c>
      <c r="T103" s="87">
        <v>32</v>
      </c>
      <c r="U103" s="87">
        <v>20</v>
      </c>
      <c r="V103" s="88">
        <v>65</v>
      </c>
      <c r="W103" s="84"/>
      <c r="X103" s="84" t="s">
        <v>31</v>
      </c>
    </row>
    <row r="104" spans="3:24" s="12" customFormat="1" ht="15.75" customHeight="1">
      <c r="C104" s="84"/>
      <c r="D104" s="84" t="s">
        <v>30</v>
      </c>
      <c r="E104" s="85">
        <v>760</v>
      </c>
      <c r="F104" s="86">
        <v>100</v>
      </c>
      <c r="G104" s="86">
        <v>0</v>
      </c>
      <c r="H104" s="86">
        <v>0</v>
      </c>
      <c r="I104" s="86">
        <v>0</v>
      </c>
      <c r="J104" s="86">
        <v>0</v>
      </c>
      <c r="K104" s="86">
        <v>200</v>
      </c>
      <c r="L104" s="86">
        <v>0</v>
      </c>
      <c r="M104" s="86">
        <v>0</v>
      </c>
      <c r="N104" s="86">
        <v>0</v>
      </c>
      <c r="O104" s="86">
        <v>160</v>
      </c>
      <c r="P104" s="86">
        <v>0</v>
      </c>
      <c r="Q104" s="87">
        <v>0</v>
      </c>
      <c r="R104" s="87">
        <v>0</v>
      </c>
      <c r="S104" s="87">
        <v>0</v>
      </c>
      <c r="T104" s="87">
        <v>100</v>
      </c>
      <c r="U104" s="87">
        <v>0</v>
      </c>
      <c r="V104" s="88">
        <v>200</v>
      </c>
      <c r="W104" s="84"/>
      <c r="X104" s="84" t="s">
        <v>30</v>
      </c>
    </row>
    <row r="105" spans="3:24" s="12" customFormat="1" ht="15.75" customHeight="1">
      <c r="C105" s="84"/>
      <c r="D105" s="84" t="s">
        <v>29</v>
      </c>
      <c r="E105" s="85">
        <v>1295</v>
      </c>
      <c r="F105" s="86">
        <v>0</v>
      </c>
      <c r="G105" s="86">
        <v>0</v>
      </c>
      <c r="H105" s="86">
        <v>0</v>
      </c>
      <c r="I105" s="86">
        <v>0</v>
      </c>
      <c r="J105" s="86">
        <v>0</v>
      </c>
      <c r="K105" s="86">
        <v>0</v>
      </c>
      <c r="L105" s="86">
        <v>0</v>
      </c>
      <c r="M105" s="86">
        <v>0</v>
      </c>
      <c r="N105" s="86">
        <v>0</v>
      </c>
      <c r="O105" s="86">
        <v>0</v>
      </c>
      <c r="P105" s="86">
        <v>0</v>
      </c>
      <c r="Q105" s="87">
        <v>0</v>
      </c>
      <c r="R105" s="87">
        <v>0</v>
      </c>
      <c r="S105" s="87">
        <v>570</v>
      </c>
      <c r="T105" s="87">
        <v>225</v>
      </c>
      <c r="U105" s="87">
        <v>0</v>
      </c>
      <c r="V105" s="88">
        <v>500</v>
      </c>
      <c r="W105" s="84"/>
      <c r="X105" s="84" t="s">
        <v>29</v>
      </c>
    </row>
    <row r="106" spans="3:24" s="12" customFormat="1" ht="15.75" customHeight="1">
      <c r="C106" s="84"/>
      <c r="D106" s="84" t="s">
        <v>28</v>
      </c>
      <c r="E106" s="85">
        <v>4410</v>
      </c>
      <c r="F106" s="86">
        <v>0</v>
      </c>
      <c r="G106" s="86">
        <v>0</v>
      </c>
      <c r="H106" s="86">
        <v>0</v>
      </c>
      <c r="I106" s="86">
        <v>0</v>
      </c>
      <c r="J106" s="86">
        <v>0</v>
      </c>
      <c r="K106" s="86">
        <v>0</v>
      </c>
      <c r="L106" s="86">
        <v>0</v>
      </c>
      <c r="M106" s="86">
        <v>0</v>
      </c>
      <c r="N106" s="86">
        <v>0</v>
      </c>
      <c r="O106" s="86">
        <v>750</v>
      </c>
      <c r="P106" s="86">
        <v>0</v>
      </c>
      <c r="Q106" s="87">
        <v>0</v>
      </c>
      <c r="R106" s="87">
        <v>0</v>
      </c>
      <c r="S106" s="87">
        <v>750</v>
      </c>
      <c r="T106" s="87">
        <v>0</v>
      </c>
      <c r="U106" s="87">
        <v>1500</v>
      </c>
      <c r="V106" s="88">
        <v>1410</v>
      </c>
      <c r="W106" s="84"/>
      <c r="X106" s="84" t="s">
        <v>28</v>
      </c>
    </row>
    <row r="107" spans="3:24" s="12" customFormat="1" ht="15.75" customHeight="1">
      <c r="C107" s="84"/>
      <c r="D107" s="84" t="s">
        <v>27</v>
      </c>
      <c r="E107" s="85">
        <v>153410</v>
      </c>
      <c r="F107" s="86">
        <v>0</v>
      </c>
      <c r="G107" s="86">
        <v>0</v>
      </c>
      <c r="H107" s="86">
        <v>0</v>
      </c>
      <c r="I107" s="86">
        <v>3000</v>
      </c>
      <c r="J107" s="86">
        <v>0</v>
      </c>
      <c r="K107" s="86">
        <v>0</v>
      </c>
      <c r="L107" s="86">
        <v>1650</v>
      </c>
      <c r="M107" s="86">
        <v>0</v>
      </c>
      <c r="N107" s="86">
        <v>5250</v>
      </c>
      <c r="O107" s="86">
        <v>48500</v>
      </c>
      <c r="P107" s="86">
        <v>0</v>
      </c>
      <c r="Q107" s="87">
        <v>2000</v>
      </c>
      <c r="R107" s="87">
        <v>14600</v>
      </c>
      <c r="S107" s="87">
        <v>23550</v>
      </c>
      <c r="T107" s="87">
        <v>9200</v>
      </c>
      <c r="U107" s="87">
        <v>5080</v>
      </c>
      <c r="V107" s="88">
        <v>40580</v>
      </c>
      <c r="W107" s="84"/>
      <c r="X107" s="84" t="s">
        <v>27</v>
      </c>
    </row>
    <row r="108" spans="3:24" s="12" customFormat="1" ht="15.75" customHeight="1">
      <c r="C108" s="84"/>
      <c r="D108" s="84" t="s">
        <v>26</v>
      </c>
      <c r="E108" s="85">
        <v>62100</v>
      </c>
      <c r="F108" s="86">
        <v>0</v>
      </c>
      <c r="G108" s="86">
        <v>0</v>
      </c>
      <c r="H108" s="86">
        <v>0</v>
      </c>
      <c r="I108" s="86">
        <v>0</v>
      </c>
      <c r="J108" s="86">
        <v>0</v>
      </c>
      <c r="K108" s="86">
        <v>0</v>
      </c>
      <c r="L108" s="86">
        <v>0</v>
      </c>
      <c r="M108" s="86">
        <v>0</v>
      </c>
      <c r="N108" s="86">
        <v>0</v>
      </c>
      <c r="O108" s="86">
        <v>5100</v>
      </c>
      <c r="P108" s="86">
        <v>0</v>
      </c>
      <c r="Q108" s="87">
        <v>0</v>
      </c>
      <c r="R108" s="87">
        <v>7900</v>
      </c>
      <c r="S108" s="87">
        <v>17000</v>
      </c>
      <c r="T108" s="87">
        <v>14100</v>
      </c>
      <c r="U108" s="87">
        <v>10000</v>
      </c>
      <c r="V108" s="88">
        <v>8000</v>
      </c>
      <c r="W108" s="84"/>
      <c r="X108" s="84" t="s">
        <v>26</v>
      </c>
    </row>
    <row r="109" spans="3:24" s="12" customFormat="1" ht="15.75" customHeight="1">
      <c r="C109" s="84"/>
      <c r="D109" s="84" t="s">
        <v>25</v>
      </c>
      <c r="E109" s="85">
        <v>703625</v>
      </c>
      <c r="F109" s="86">
        <v>0</v>
      </c>
      <c r="G109" s="86">
        <v>0</v>
      </c>
      <c r="H109" s="86">
        <v>11550</v>
      </c>
      <c r="I109" s="86">
        <v>0</v>
      </c>
      <c r="J109" s="86">
        <v>0</v>
      </c>
      <c r="K109" s="86">
        <v>0</v>
      </c>
      <c r="L109" s="86">
        <v>0</v>
      </c>
      <c r="M109" s="86">
        <v>0</v>
      </c>
      <c r="N109" s="86">
        <v>0</v>
      </c>
      <c r="O109" s="86">
        <v>193800</v>
      </c>
      <c r="P109" s="86">
        <v>0</v>
      </c>
      <c r="Q109" s="87">
        <v>0</v>
      </c>
      <c r="R109" s="87">
        <v>0</v>
      </c>
      <c r="S109" s="87">
        <v>225425</v>
      </c>
      <c r="T109" s="87">
        <v>94800</v>
      </c>
      <c r="U109" s="87">
        <v>70350</v>
      </c>
      <c r="V109" s="88">
        <v>107700</v>
      </c>
      <c r="W109" s="84"/>
      <c r="X109" s="84" t="s">
        <v>25</v>
      </c>
    </row>
    <row r="110" spans="3:24" s="12" customFormat="1" ht="15.75" customHeight="1" thickBot="1">
      <c r="C110" s="96"/>
      <c r="D110" s="96" t="s">
        <v>24</v>
      </c>
      <c r="E110" s="97">
        <v>1237730</v>
      </c>
      <c r="F110" s="98">
        <v>0</v>
      </c>
      <c r="G110" s="98">
        <v>0</v>
      </c>
      <c r="H110" s="98">
        <v>0</v>
      </c>
      <c r="I110" s="98">
        <v>46000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280500</v>
      </c>
      <c r="P110" s="98">
        <v>0</v>
      </c>
      <c r="Q110" s="99">
        <v>0</v>
      </c>
      <c r="R110" s="99">
        <v>60000</v>
      </c>
      <c r="S110" s="99">
        <v>188900</v>
      </c>
      <c r="T110" s="99">
        <v>397250</v>
      </c>
      <c r="U110" s="99">
        <v>0</v>
      </c>
      <c r="V110" s="100">
        <v>265080</v>
      </c>
      <c r="W110" s="96"/>
      <c r="X110" s="96" t="s">
        <v>24</v>
      </c>
    </row>
    <row r="111" spans="3:24" s="6" customFormat="1" ht="15.75" customHeight="1">
      <c r="C111" s="84"/>
      <c r="D111" s="84"/>
      <c r="E111" s="101"/>
      <c r="F111" s="101"/>
      <c r="G111" s="101"/>
      <c r="H111" s="101"/>
      <c r="I111" s="101"/>
      <c r="J111" s="101"/>
      <c r="K111" s="101"/>
      <c r="L111" s="101"/>
      <c r="M111" s="101"/>
      <c r="N111" s="101"/>
      <c r="O111" s="101"/>
      <c r="P111" s="101"/>
      <c r="Q111" s="102"/>
      <c r="R111" s="102"/>
      <c r="S111" s="102"/>
      <c r="T111" s="102"/>
      <c r="U111" s="102"/>
      <c r="V111" s="102"/>
      <c r="W111" s="84"/>
      <c r="X111" s="84"/>
    </row>
    <row r="112" spans="3:24" s="7" customFormat="1" ht="15.75" customHeight="1">
      <c r="C112" s="103" t="s">
        <v>223</v>
      </c>
      <c r="D112" s="103"/>
      <c r="E112" s="103"/>
      <c r="F112" s="103"/>
      <c r="G112" s="103"/>
      <c r="H112" s="103"/>
      <c r="I112" s="103"/>
      <c r="J112" s="103"/>
      <c r="K112" s="103"/>
      <c r="L112" s="103"/>
      <c r="M112" s="103"/>
      <c r="N112" s="103"/>
      <c r="O112" s="103"/>
      <c r="P112" s="103"/>
      <c r="Q112" s="103"/>
      <c r="R112" s="103"/>
      <c r="S112" s="103"/>
      <c r="T112" s="103"/>
      <c r="U112" s="103"/>
      <c r="V112" s="103"/>
      <c r="W112" s="103"/>
      <c r="X112" s="103"/>
    </row>
    <row r="115" spans="3:24" s="6" customFormat="1" ht="21">
      <c r="C115" s="19" t="s">
        <v>115</v>
      </c>
      <c r="D115" s="26"/>
      <c r="E115" s="10"/>
      <c r="F115" s="10"/>
    </row>
    <row r="116" spans="3:24" s="6" customFormat="1" ht="17.5" thickBot="1"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X116" s="29"/>
    </row>
    <row r="117" spans="3:24" s="6" customFormat="1" ht="33" customHeight="1">
      <c r="C117" s="269" t="s">
        <v>61</v>
      </c>
      <c r="D117" s="269"/>
      <c r="E117" s="72" t="s">
        <v>79</v>
      </c>
      <c r="F117" s="73" t="s">
        <v>78</v>
      </c>
      <c r="G117" s="73" t="s">
        <v>77</v>
      </c>
      <c r="H117" s="73" t="s">
        <v>76</v>
      </c>
      <c r="I117" s="73" t="s">
        <v>75</v>
      </c>
      <c r="J117" s="73" t="s">
        <v>74</v>
      </c>
      <c r="K117" s="73" t="s">
        <v>73</v>
      </c>
      <c r="L117" s="73" t="s">
        <v>72</v>
      </c>
      <c r="M117" s="73" t="s">
        <v>71</v>
      </c>
      <c r="N117" s="73" t="s">
        <v>70</v>
      </c>
      <c r="O117" s="73" t="s">
        <v>69</v>
      </c>
      <c r="P117" s="73" t="s">
        <v>68</v>
      </c>
      <c r="Q117" s="73" t="s">
        <v>67</v>
      </c>
      <c r="R117" s="73" t="s">
        <v>66</v>
      </c>
      <c r="S117" s="73" t="s">
        <v>65</v>
      </c>
      <c r="T117" s="73" t="s">
        <v>64</v>
      </c>
      <c r="U117" s="73" t="s">
        <v>63</v>
      </c>
      <c r="V117" s="74" t="s">
        <v>62</v>
      </c>
      <c r="W117" s="273" t="s">
        <v>61</v>
      </c>
      <c r="X117" s="269"/>
    </row>
    <row r="118" spans="3:24" s="6" customFormat="1" ht="49.5" customHeight="1">
      <c r="C118" s="270"/>
      <c r="D118" s="270"/>
      <c r="E118" s="75" t="s">
        <v>22</v>
      </c>
      <c r="F118" s="76" t="s">
        <v>60</v>
      </c>
      <c r="G118" s="76" t="s">
        <v>59</v>
      </c>
      <c r="H118" s="76" t="s">
        <v>58</v>
      </c>
      <c r="I118" s="76" t="s">
        <v>57</v>
      </c>
      <c r="J118" s="76" t="s">
        <v>56</v>
      </c>
      <c r="K118" s="76" t="s">
        <v>55</v>
      </c>
      <c r="L118" s="76" t="s">
        <v>54</v>
      </c>
      <c r="M118" s="76" t="s">
        <v>53</v>
      </c>
      <c r="N118" s="76" t="s">
        <v>52</v>
      </c>
      <c r="O118" s="76" t="s">
        <v>51</v>
      </c>
      <c r="P118" s="76" t="s">
        <v>50</v>
      </c>
      <c r="Q118" s="76" t="s">
        <v>49</v>
      </c>
      <c r="R118" s="76" t="s">
        <v>48</v>
      </c>
      <c r="S118" s="76" t="s">
        <v>47</v>
      </c>
      <c r="T118" s="76" t="s">
        <v>46</v>
      </c>
      <c r="U118" s="76" t="s">
        <v>45</v>
      </c>
      <c r="V118" s="77" t="s">
        <v>44</v>
      </c>
      <c r="W118" s="274"/>
      <c r="X118" s="270"/>
    </row>
    <row r="119" spans="3:24" s="12" customFormat="1">
      <c r="C119" s="78" t="s">
        <v>211</v>
      </c>
      <c r="D119" s="79"/>
      <c r="E119" s="80">
        <f>SUM(F119:V119)</f>
        <v>791963.28784755699</v>
      </c>
      <c r="F119" s="81">
        <v>71.113883999999999</v>
      </c>
      <c r="G119" s="81">
        <v>28.661595999999999</v>
      </c>
      <c r="H119" s="81">
        <v>2989.1245160160001</v>
      </c>
      <c r="I119" s="81">
        <v>2873.6912700609901</v>
      </c>
      <c r="J119" s="81">
        <v>1071.0580096799999</v>
      </c>
      <c r="K119" s="81">
        <v>49.662084999999998</v>
      </c>
      <c r="L119" s="81">
        <v>220.883774964</v>
      </c>
      <c r="M119" s="81">
        <v>0</v>
      </c>
      <c r="N119" s="81">
        <v>158382.71771504299</v>
      </c>
      <c r="O119" s="81">
        <v>201573.68497284301</v>
      </c>
      <c r="P119" s="81">
        <v>213455.58953655499</v>
      </c>
      <c r="Q119" s="82">
        <v>11619.718199012999</v>
      </c>
      <c r="R119" s="82">
        <v>53863.180678677003</v>
      </c>
      <c r="S119" s="82">
        <v>17024.843105948999</v>
      </c>
      <c r="T119" s="82">
        <v>64705.719495680998</v>
      </c>
      <c r="U119" s="82">
        <v>63419.445623783999</v>
      </c>
      <c r="V119" s="83">
        <v>614.19338429099901</v>
      </c>
      <c r="W119" s="78" t="s">
        <v>211</v>
      </c>
      <c r="X119" s="79"/>
    </row>
    <row r="120" spans="3:24" s="12" customFormat="1">
      <c r="C120" s="78" t="s">
        <v>219</v>
      </c>
      <c r="D120" s="79"/>
      <c r="E120" s="80">
        <f>SUM(F120:V120)</f>
        <v>3718015.4115660009</v>
      </c>
      <c r="F120" s="81">
        <v>333.86799999999999</v>
      </c>
      <c r="G120" s="81">
        <v>127.41999999999901</v>
      </c>
      <c r="H120" s="81">
        <v>14033.448431999999</v>
      </c>
      <c r="I120" s="81">
        <v>13476.6358969999</v>
      </c>
      <c r="J120" s="81">
        <v>5028.4413599999998</v>
      </c>
      <c r="K120" s="81">
        <v>216.86500000000001</v>
      </c>
      <c r="L120" s="81">
        <v>1037.0130280000001</v>
      </c>
      <c r="M120" s="81">
        <v>0</v>
      </c>
      <c r="N120" s="81">
        <v>743504.957911</v>
      </c>
      <c r="O120" s="81">
        <v>946355.32851100003</v>
      </c>
      <c r="P120" s="81">
        <v>1002138.918012</v>
      </c>
      <c r="Q120" s="82">
        <v>54552.667601000001</v>
      </c>
      <c r="R120" s="82">
        <v>252878.78252899999</v>
      </c>
      <c r="S120" s="82">
        <v>79928.840872999994</v>
      </c>
      <c r="T120" s="82">
        <v>303782.72063699999</v>
      </c>
      <c r="U120" s="82">
        <v>297743.87616799999</v>
      </c>
      <c r="V120" s="83">
        <v>2875.6276069999999</v>
      </c>
      <c r="W120" s="78" t="s">
        <v>219</v>
      </c>
      <c r="X120" s="79"/>
    </row>
    <row r="121" spans="3:24" s="12" customFormat="1">
      <c r="C121" s="78" t="s">
        <v>220</v>
      </c>
      <c r="D121" s="78"/>
      <c r="E121" s="80">
        <v>1816585.4</v>
      </c>
      <c r="F121" s="81">
        <v>300</v>
      </c>
      <c r="G121" s="81">
        <v>120</v>
      </c>
      <c r="H121" s="81">
        <v>4060</v>
      </c>
      <c r="I121" s="81">
        <v>12919</v>
      </c>
      <c r="J121" s="81">
        <v>1830</v>
      </c>
      <c r="K121" s="81">
        <v>100</v>
      </c>
      <c r="L121" s="81">
        <v>300</v>
      </c>
      <c r="M121" s="81">
        <v>2310</v>
      </c>
      <c r="N121" s="81">
        <v>276619</v>
      </c>
      <c r="O121" s="81">
        <v>523595</v>
      </c>
      <c r="P121" s="81">
        <v>519007</v>
      </c>
      <c r="Q121" s="82">
        <v>32333</v>
      </c>
      <c r="R121" s="82">
        <v>80037</v>
      </c>
      <c r="S121" s="82">
        <v>37225</v>
      </c>
      <c r="T121" s="82">
        <v>179455</v>
      </c>
      <c r="U121" s="82">
        <v>145469</v>
      </c>
      <c r="V121" s="83">
        <v>906.4</v>
      </c>
      <c r="W121" s="78" t="s">
        <v>220</v>
      </c>
      <c r="X121" s="78"/>
    </row>
    <row r="122" spans="3:24" s="6" customFormat="1">
      <c r="C122" s="84"/>
      <c r="D122" s="84"/>
      <c r="E122" s="85"/>
      <c r="F122" s="86"/>
      <c r="G122" s="86"/>
      <c r="H122" s="86"/>
      <c r="I122" s="86"/>
      <c r="J122" s="86"/>
      <c r="K122" s="86"/>
      <c r="L122" s="86"/>
      <c r="M122" s="86"/>
      <c r="N122" s="86"/>
      <c r="O122" s="86"/>
      <c r="P122" s="86"/>
      <c r="Q122" s="87"/>
      <c r="R122" s="87"/>
      <c r="S122" s="87"/>
      <c r="T122" s="87"/>
      <c r="U122" s="87"/>
      <c r="V122" s="88"/>
      <c r="W122" s="84"/>
      <c r="X122" s="84"/>
    </row>
    <row r="123" spans="3:24" s="6" customFormat="1">
      <c r="C123" s="78" t="s">
        <v>43</v>
      </c>
      <c r="D123" s="78"/>
      <c r="E123" s="80"/>
      <c r="F123" s="82"/>
      <c r="G123" s="82"/>
      <c r="H123" s="82"/>
      <c r="I123" s="82"/>
      <c r="J123" s="82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9"/>
      <c r="W123" s="78" t="s">
        <v>43</v>
      </c>
      <c r="X123" s="78"/>
    </row>
    <row r="124" spans="3:24" s="12" customFormat="1">
      <c r="C124" s="84"/>
      <c r="D124" s="90" t="s">
        <v>213</v>
      </c>
      <c r="E124" s="85">
        <v>5130</v>
      </c>
      <c r="F124" s="86">
        <v>0</v>
      </c>
      <c r="G124" s="86">
        <v>0</v>
      </c>
      <c r="H124" s="86">
        <v>0</v>
      </c>
      <c r="I124" s="86">
        <v>0</v>
      </c>
      <c r="J124" s="86">
        <v>0</v>
      </c>
      <c r="K124" s="86">
        <v>0</v>
      </c>
      <c r="L124" s="86">
        <v>0</v>
      </c>
      <c r="M124" s="86">
        <v>0</v>
      </c>
      <c r="N124" s="86">
        <v>0</v>
      </c>
      <c r="O124" s="86">
        <v>5000</v>
      </c>
      <c r="P124" s="86">
        <v>0</v>
      </c>
      <c r="Q124" s="87">
        <v>0</v>
      </c>
      <c r="R124" s="87">
        <v>0</v>
      </c>
      <c r="S124" s="87">
        <v>130</v>
      </c>
      <c r="T124" s="87">
        <v>0</v>
      </c>
      <c r="U124" s="87">
        <v>0</v>
      </c>
      <c r="V124" s="88">
        <v>0</v>
      </c>
      <c r="W124" s="84"/>
      <c r="X124" s="90" t="s">
        <v>213</v>
      </c>
    </row>
    <row r="125" spans="3:24" s="12" customFormat="1">
      <c r="C125" s="84"/>
      <c r="D125" s="90" t="s">
        <v>214</v>
      </c>
      <c r="E125" s="85">
        <v>216</v>
      </c>
      <c r="F125" s="86">
        <v>0</v>
      </c>
      <c r="G125" s="86">
        <v>0</v>
      </c>
      <c r="H125" s="86">
        <v>0</v>
      </c>
      <c r="I125" s="86">
        <v>0</v>
      </c>
      <c r="J125" s="86">
        <v>0</v>
      </c>
      <c r="K125" s="86">
        <v>0</v>
      </c>
      <c r="L125" s="86">
        <v>0</v>
      </c>
      <c r="M125" s="86">
        <v>0</v>
      </c>
      <c r="N125" s="86">
        <v>0</v>
      </c>
      <c r="O125" s="86">
        <v>0</v>
      </c>
      <c r="P125" s="86">
        <v>0</v>
      </c>
      <c r="Q125" s="87">
        <v>80</v>
      </c>
      <c r="R125" s="87">
        <v>0</v>
      </c>
      <c r="S125" s="87">
        <v>136</v>
      </c>
      <c r="T125" s="87">
        <v>0</v>
      </c>
      <c r="U125" s="87">
        <v>0</v>
      </c>
      <c r="V125" s="88">
        <v>0</v>
      </c>
      <c r="W125" s="84"/>
      <c r="X125" s="90" t="s">
        <v>214</v>
      </c>
    </row>
    <row r="126" spans="3:24" s="12" customFormat="1">
      <c r="C126" s="84"/>
      <c r="D126" s="90" t="s">
        <v>215</v>
      </c>
      <c r="E126" s="85">
        <v>18221</v>
      </c>
      <c r="F126" s="86">
        <v>0</v>
      </c>
      <c r="G126" s="86">
        <v>55</v>
      </c>
      <c r="H126" s="86">
        <v>0</v>
      </c>
      <c r="I126" s="86">
        <v>0</v>
      </c>
      <c r="J126" s="86">
        <v>0</v>
      </c>
      <c r="K126" s="86">
        <v>0</v>
      </c>
      <c r="L126" s="86">
        <v>0</v>
      </c>
      <c r="M126" s="86">
        <v>0</v>
      </c>
      <c r="N126" s="86">
        <v>0</v>
      </c>
      <c r="O126" s="86">
        <v>80</v>
      </c>
      <c r="P126" s="86">
        <v>5000</v>
      </c>
      <c r="Q126" s="87">
        <v>7586</v>
      </c>
      <c r="R126" s="87">
        <v>0</v>
      </c>
      <c r="S126" s="87">
        <v>500</v>
      </c>
      <c r="T126" s="87">
        <v>0</v>
      </c>
      <c r="U126" s="87">
        <v>5000</v>
      </c>
      <c r="V126" s="88">
        <v>0</v>
      </c>
      <c r="W126" s="84"/>
      <c r="X126" s="90" t="s">
        <v>215</v>
      </c>
    </row>
    <row r="127" spans="3:24" s="6" customFormat="1">
      <c r="C127" s="84"/>
      <c r="D127" s="84"/>
      <c r="E127" s="85"/>
      <c r="F127" s="86"/>
      <c r="G127" s="86"/>
      <c r="H127" s="86"/>
      <c r="I127" s="86"/>
      <c r="J127" s="86"/>
      <c r="K127" s="86"/>
      <c r="L127" s="86"/>
      <c r="M127" s="86"/>
      <c r="N127" s="86"/>
      <c r="O127" s="86"/>
      <c r="P127" s="86"/>
      <c r="Q127" s="87"/>
      <c r="R127" s="87"/>
      <c r="S127" s="87"/>
      <c r="T127" s="87"/>
      <c r="U127" s="87"/>
      <c r="V127" s="88"/>
      <c r="W127" s="84"/>
      <c r="X127" s="84"/>
    </row>
    <row r="128" spans="3:24" s="12" customFormat="1">
      <c r="C128" s="78" t="s">
        <v>221</v>
      </c>
      <c r="D128" s="79"/>
      <c r="E128" s="80">
        <v>1816585.4</v>
      </c>
      <c r="F128" s="81">
        <v>300</v>
      </c>
      <c r="G128" s="81">
        <v>120</v>
      </c>
      <c r="H128" s="81">
        <v>4060</v>
      </c>
      <c r="I128" s="81">
        <v>12919</v>
      </c>
      <c r="J128" s="81">
        <v>1830</v>
      </c>
      <c r="K128" s="81">
        <v>100</v>
      </c>
      <c r="L128" s="81">
        <v>300</v>
      </c>
      <c r="M128" s="81">
        <v>2310</v>
      </c>
      <c r="N128" s="81">
        <v>276619</v>
      </c>
      <c r="O128" s="81">
        <v>523595</v>
      </c>
      <c r="P128" s="81">
        <v>519007</v>
      </c>
      <c r="Q128" s="81">
        <v>32333</v>
      </c>
      <c r="R128" s="81">
        <v>80037</v>
      </c>
      <c r="S128" s="81">
        <v>37225</v>
      </c>
      <c r="T128" s="81">
        <v>179455</v>
      </c>
      <c r="U128" s="81">
        <v>145469</v>
      </c>
      <c r="V128" s="83">
        <v>906.4</v>
      </c>
      <c r="W128" s="78" t="s">
        <v>221</v>
      </c>
      <c r="X128" s="79"/>
    </row>
    <row r="129" spans="3:24" s="12" customFormat="1">
      <c r="C129" s="93"/>
      <c r="D129" s="94" t="s">
        <v>42</v>
      </c>
      <c r="E129" s="85">
        <v>0</v>
      </c>
      <c r="F129" s="86">
        <v>0</v>
      </c>
      <c r="G129" s="86">
        <v>0</v>
      </c>
      <c r="H129" s="86">
        <v>0</v>
      </c>
      <c r="I129" s="86">
        <v>0</v>
      </c>
      <c r="J129" s="86">
        <v>0</v>
      </c>
      <c r="K129" s="86">
        <v>0</v>
      </c>
      <c r="L129" s="86">
        <v>0</v>
      </c>
      <c r="M129" s="86">
        <v>0</v>
      </c>
      <c r="N129" s="86">
        <v>0</v>
      </c>
      <c r="O129" s="86">
        <v>0</v>
      </c>
      <c r="P129" s="86">
        <v>0</v>
      </c>
      <c r="Q129" s="87">
        <v>0</v>
      </c>
      <c r="R129" s="87">
        <v>0</v>
      </c>
      <c r="S129" s="87">
        <v>0</v>
      </c>
      <c r="T129" s="87">
        <v>0</v>
      </c>
      <c r="U129" s="87">
        <v>0</v>
      </c>
      <c r="V129" s="88">
        <v>0</v>
      </c>
      <c r="W129" s="93"/>
      <c r="X129" s="94" t="s">
        <v>42</v>
      </c>
    </row>
    <row r="130" spans="3:24" s="12" customFormat="1">
      <c r="C130" s="84"/>
      <c r="D130" s="94" t="s">
        <v>41</v>
      </c>
      <c r="E130" s="85">
        <v>1079</v>
      </c>
      <c r="F130" s="86">
        <v>0</v>
      </c>
      <c r="G130" s="86">
        <v>110</v>
      </c>
      <c r="H130" s="86">
        <v>0</v>
      </c>
      <c r="I130" s="86">
        <v>320</v>
      </c>
      <c r="J130" s="86">
        <v>0</v>
      </c>
      <c r="K130" s="86">
        <v>100</v>
      </c>
      <c r="L130" s="86">
        <v>0</v>
      </c>
      <c r="M130" s="86">
        <v>0</v>
      </c>
      <c r="N130" s="86">
        <v>510</v>
      </c>
      <c r="O130" s="86">
        <v>0</v>
      </c>
      <c r="P130" s="86">
        <v>3</v>
      </c>
      <c r="Q130" s="87">
        <v>36</v>
      </c>
      <c r="R130" s="87">
        <v>0</v>
      </c>
      <c r="S130" s="87">
        <v>0</v>
      </c>
      <c r="T130" s="87">
        <v>0</v>
      </c>
      <c r="U130" s="87">
        <v>0</v>
      </c>
      <c r="V130" s="88">
        <v>0</v>
      </c>
      <c r="W130" s="84"/>
      <c r="X130" s="94" t="s">
        <v>41</v>
      </c>
    </row>
    <row r="131" spans="3:24" s="12" customFormat="1">
      <c r="C131" s="84"/>
      <c r="D131" s="94" t="s">
        <v>40</v>
      </c>
      <c r="E131" s="85">
        <v>0</v>
      </c>
      <c r="F131" s="86">
        <v>0</v>
      </c>
      <c r="G131" s="86">
        <v>0</v>
      </c>
      <c r="H131" s="86">
        <v>0</v>
      </c>
      <c r="I131" s="86">
        <v>0</v>
      </c>
      <c r="J131" s="86">
        <v>0</v>
      </c>
      <c r="K131" s="86">
        <v>0</v>
      </c>
      <c r="L131" s="86">
        <v>0</v>
      </c>
      <c r="M131" s="86">
        <v>0</v>
      </c>
      <c r="N131" s="86">
        <v>0</v>
      </c>
      <c r="O131" s="86">
        <v>0</v>
      </c>
      <c r="P131" s="86">
        <v>0</v>
      </c>
      <c r="Q131" s="87">
        <v>0</v>
      </c>
      <c r="R131" s="87">
        <v>0</v>
      </c>
      <c r="S131" s="87">
        <v>0</v>
      </c>
      <c r="T131" s="87">
        <v>0</v>
      </c>
      <c r="U131" s="87">
        <v>0</v>
      </c>
      <c r="V131" s="88">
        <v>0</v>
      </c>
      <c r="W131" s="84"/>
      <c r="X131" s="94" t="s">
        <v>40</v>
      </c>
    </row>
    <row r="132" spans="3:24" s="12" customFormat="1" ht="33" customHeight="1">
      <c r="C132" s="84"/>
      <c r="D132" s="94" t="s">
        <v>39</v>
      </c>
      <c r="E132" s="85">
        <v>0</v>
      </c>
      <c r="F132" s="86">
        <v>0</v>
      </c>
      <c r="G132" s="86">
        <v>0</v>
      </c>
      <c r="H132" s="86">
        <v>0</v>
      </c>
      <c r="I132" s="86">
        <v>0</v>
      </c>
      <c r="J132" s="86">
        <v>0</v>
      </c>
      <c r="K132" s="86">
        <v>0</v>
      </c>
      <c r="L132" s="86">
        <v>0</v>
      </c>
      <c r="M132" s="86">
        <v>0</v>
      </c>
      <c r="N132" s="86">
        <v>0</v>
      </c>
      <c r="O132" s="86">
        <v>0</v>
      </c>
      <c r="P132" s="86">
        <v>0</v>
      </c>
      <c r="Q132" s="87">
        <v>0</v>
      </c>
      <c r="R132" s="87">
        <v>0</v>
      </c>
      <c r="S132" s="87">
        <v>0</v>
      </c>
      <c r="T132" s="87">
        <v>0</v>
      </c>
      <c r="U132" s="87">
        <v>0</v>
      </c>
      <c r="V132" s="88">
        <v>0</v>
      </c>
      <c r="W132" s="84"/>
      <c r="X132" s="94" t="s">
        <v>39</v>
      </c>
    </row>
    <row r="133" spans="3:24" s="12" customFormat="1">
      <c r="C133" s="84"/>
      <c r="D133" s="94" t="s">
        <v>38</v>
      </c>
      <c r="E133" s="85">
        <v>0</v>
      </c>
      <c r="F133" s="86">
        <v>0</v>
      </c>
      <c r="G133" s="86">
        <v>0</v>
      </c>
      <c r="H133" s="86">
        <v>0</v>
      </c>
      <c r="I133" s="86">
        <v>0</v>
      </c>
      <c r="J133" s="86">
        <v>0</v>
      </c>
      <c r="K133" s="86">
        <v>0</v>
      </c>
      <c r="L133" s="86">
        <v>0</v>
      </c>
      <c r="M133" s="86">
        <v>0</v>
      </c>
      <c r="N133" s="86">
        <v>0</v>
      </c>
      <c r="O133" s="86">
        <v>0</v>
      </c>
      <c r="P133" s="86">
        <v>0</v>
      </c>
      <c r="Q133" s="86">
        <v>0</v>
      </c>
      <c r="R133" s="86">
        <v>0</v>
      </c>
      <c r="S133" s="86">
        <v>0</v>
      </c>
      <c r="T133" s="86">
        <v>0</v>
      </c>
      <c r="U133" s="86">
        <v>0</v>
      </c>
      <c r="V133" s="147">
        <v>0</v>
      </c>
      <c r="W133" s="84"/>
      <c r="X133" s="94" t="s">
        <v>38</v>
      </c>
    </row>
    <row r="134" spans="3:24" s="12" customFormat="1">
      <c r="C134" s="84"/>
      <c r="D134" s="94" t="s">
        <v>37</v>
      </c>
      <c r="E134" s="85">
        <v>0</v>
      </c>
      <c r="F134" s="86">
        <v>0</v>
      </c>
      <c r="G134" s="86">
        <v>0</v>
      </c>
      <c r="H134" s="86">
        <v>0</v>
      </c>
      <c r="I134" s="86">
        <v>0</v>
      </c>
      <c r="J134" s="86">
        <v>0</v>
      </c>
      <c r="K134" s="86">
        <v>0</v>
      </c>
      <c r="L134" s="86">
        <v>0</v>
      </c>
      <c r="M134" s="86">
        <v>0</v>
      </c>
      <c r="N134" s="86">
        <v>0</v>
      </c>
      <c r="O134" s="86">
        <v>0</v>
      </c>
      <c r="P134" s="86">
        <v>0</v>
      </c>
      <c r="Q134" s="87">
        <v>0</v>
      </c>
      <c r="R134" s="86">
        <v>0</v>
      </c>
      <c r="S134" s="86">
        <v>0</v>
      </c>
      <c r="T134" s="86">
        <v>0</v>
      </c>
      <c r="U134" s="86">
        <v>0</v>
      </c>
      <c r="V134" s="147">
        <v>0</v>
      </c>
      <c r="W134" s="84"/>
      <c r="X134" s="94" t="s">
        <v>37</v>
      </c>
    </row>
    <row r="135" spans="3:24" s="12" customFormat="1" ht="33" customHeight="1">
      <c r="C135" s="84"/>
      <c r="D135" s="94" t="s">
        <v>36</v>
      </c>
      <c r="E135" s="85">
        <v>1815416.4</v>
      </c>
      <c r="F135" s="86">
        <v>300</v>
      </c>
      <c r="G135" s="86">
        <v>10</v>
      </c>
      <c r="H135" s="86">
        <v>4060</v>
      </c>
      <c r="I135" s="86">
        <v>12599</v>
      </c>
      <c r="J135" s="86">
        <v>1830</v>
      </c>
      <c r="K135" s="86">
        <v>0</v>
      </c>
      <c r="L135" s="86">
        <v>300</v>
      </c>
      <c r="M135" s="86">
        <v>2310</v>
      </c>
      <c r="N135" s="86">
        <v>276109</v>
      </c>
      <c r="O135" s="86">
        <v>523595</v>
      </c>
      <c r="P135" s="86">
        <v>519004</v>
      </c>
      <c r="Q135" s="87">
        <v>32297</v>
      </c>
      <c r="R135" s="87">
        <v>80037</v>
      </c>
      <c r="S135" s="87">
        <v>37225</v>
      </c>
      <c r="T135" s="87">
        <v>179455</v>
      </c>
      <c r="U135" s="87">
        <v>145469</v>
      </c>
      <c r="V135" s="88">
        <v>816.4</v>
      </c>
      <c r="W135" s="84"/>
      <c r="X135" s="94" t="s">
        <v>36</v>
      </c>
    </row>
    <row r="136" spans="3:24" s="12" customFormat="1">
      <c r="C136" s="84"/>
      <c r="D136" s="94" t="s">
        <v>35</v>
      </c>
      <c r="E136" s="85">
        <v>90</v>
      </c>
      <c r="F136" s="86">
        <v>0</v>
      </c>
      <c r="G136" s="86">
        <v>0</v>
      </c>
      <c r="H136" s="86">
        <v>0</v>
      </c>
      <c r="I136" s="86">
        <v>0</v>
      </c>
      <c r="J136" s="86">
        <v>0</v>
      </c>
      <c r="K136" s="86">
        <v>0</v>
      </c>
      <c r="L136" s="86">
        <v>0</v>
      </c>
      <c r="M136" s="86">
        <v>0</v>
      </c>
      <c r="N136" s="86">
        <v>0</v>
      </c>
      <c r="O136" s="86">
        <v>0</v>
      </c>
      <c r="P136" s="86">
        <v>0</v>
      </c>
      <c r="Q136" s="87">
        <v>0</v>
      </c>
      <c r="R136" s="87">
        <v>0</v>
      </c>
      <c r="S136" s="87">
        <v>0</v>
      </c>
      <c r="T136" s="87">
        <v>0</v>
      </c>
      <c r="U136" s="87">
        <v>0</v>
      </c>
      <c r="V136" s="88">
        <v>90</v>
      </c>
      <c r="W136" s="84"/>
      <c r="X136" s="94" t="s">
        <v>35</v>
      </c>
    </row>
    <row r="137" spans="3:24" s="12" customFormat="1">
      <c r="C137" s="84"/>
      <c r="D137" s="84"/>
      <c r="E137" s="85"/>
      <c r="F137" s="86"/>
      <c r="G137" s="86"/>
      <c r="H137" s="86"/>
      <c r="I137" s="86"/>
      <c r="J137" s="86"/>
      <c r="K137" s="86"/>
      <c r="L137" s="86"/>
      <c r="M137" s="86"/>
      <c r="N137" s="86"/>
      <c r="O137" s="86"/>
      <c r="P137" s="86"/>
      <c r="Q137" s="87"/>
      <c r="R137" s="87"/>
      <c r="S137" s="87"/>
      <c r="T137" s="87"/>
      <c r="U137" s="87"/>
      <c r="V137" s="88"/>
      <c r="W137" s="84"/>
      <c r="X137" s="84"/>
    </row>
    <row r="138" spans="3:24" s="12" customFormat="1">
      <c r="C138" s="78" t="s">
        <v>222</v>
      </c>
      <c r="D138" s="78"/>
      <c r="E138" s="80">
        <v>1816585.4</v>
      </c>
      <c r="F138" s="81">
        <v>300</v>
      </c>
      <c r="G138" s="81">
        <v>120</v>
      </c>
      <c r="H138" s="81">
        <v>4060</v>
      </c>
      <c r="I138" s="81">
        <v>12919</v>
      </c>
      <c r="J138" s="81">
        <v>1830</v>
      </c>
      <c r="K138" s="81">
        <v>100</v>
      </c>
      <c r="L138" s="81">
        <v>300</v>
      </c>
      <c r="M138" s="81">
        <v>2310</v>
      </c>
      <c r="N138" s="81">
        <v>276619</v>
      </c>
      <c r="O138" s="81">
        <v>523595</v>
      </c>
      <c r="P138" s="81">
        <v>519007</v>
      </c>
      <c r="Q138" s="81">
        <v>32333</v>
      </c>
      <c r="R138" s="81">
        <v>80037</v>
      </c>
      <c r="S138" s="81">
        <v>37225</v>
      </c>
      <c r="T138" s="81">
        <v>179455</v>
      </c>
      <c r="U138" s="81">
        <v>145469</v>
      </c>
      <c r="V138" s="83">
        <v>906.4</v>
      </c>
      <c r="W138" s="78" t="s">
        <v>222</v>
      </c>
      <c r="X138" s="78"/>
    </row>
    <row r="139" spans="3:24" s="12" customFormat="1">
      <c r="C139" s="84"/>
      <c r="D139" s="84" t="s">
        <v>34</v>
      </c>
      <c r="E139" s="85">
        <v>0</v>
      </c>
      <c r="F139" s="86">
        <v>0</v>
      </c>
      <c r="G139" s="86">
        <v>0</v>
      </c>
      <c r="H139" s="86">
        <v>0</v>
      </c>
      <c r="I139" s="86">
        <v>0</v>
      </c>
      <c r="J139" s="86">
        <v>0</v>
      </c>
      <c r="K139" s="86">
        <v>0</v>
      </c>
      <c r="L139" s="86">
        <v>0</v>
      </c>
      <c r="M139" s="86">
        <v>0</v>
      </c>
      <c r="N139" s="86">
        <v>0</v>
      </c>
      <c r="O139" s="86">
        <v>0</v>
      </c>
      <c r="P139" s="86">
        <v>0</v>
      </c>
      <c r="Q139" s="87">
        <v>0</v>
      </c>
      <c r="R139" s="87">
        <v>0</v>
      </c>
      <c r="S139" s="86">
        <v>0</v>
      </c>
      <c r="T139" s="86">
        <v>0</v>
      </c>
      <c r="U139" s="86">
        <v>0</v>
      </c>
      <c r="V139" s="147">
        <v>0</v>
      </c>
      <c r="W139" s="84"/>
      <c r="X139" s="84" t="s">
        <v>34</v>
      </c>
    </row>
    <row r="140" spans="3:24" s="12" customFormat="1">
      <c r="C140" s="84"/>
      <c r="D140" s="84" t="s">
        <v>33</v>
      </c>
      <c r="E140" s="85">
        <v>3</v>
      </c>
      <c r="F140" s="86">
        <v>0</v>
      </c>
      <c r="G140" s="86">
        <v>0</v>
      </c>
      <c r="H140" s="86">
        <v>0</v>
      </c>
      <c r="I140" s="86">
        <v>0</v>
      </c>
      <c r="J140" s="86">
        <v>0</v>
      </c>
      <c r="K140" s="86">
        <v>0</v>
      </c>
      <c r="L140" s="86">
        <v>0</v>
      </c>
      <c r="M140" s="86">
        <v>0</v>
      </c>
      <c r="N140" s="86">
        <v>0</v>
      </c>
      <c r="O140" s="86">
        <v>0</v>
      </c>
      <c r="P140" s="86">
        <v>3</v>
      </c>
      <c r="Q140" s="87">
        <v>0</v>
      </c>
      <c r="R140" s="87">
        <v>0</v>
      </c>
      <c r="S140" s="87">
        <v>0</v>
      </c>
      <c r="T140" s="87">
        <v>0</v>
      </c>
      <c r="U140" s="87">
        <v>0</v>
      </c>
      <c r="V140" s="88">
        <v>0</v>
      </c>
      <c r="W140" s="84"/>
      <c r="X140" s="84" t="s">
        <v>33</v>
      </c>
    </row>
    <row r="141" spans="3:24" s="12" customFormat="1">
      <c r="C141" s="84"/>
      <c r="D141" s="84" t="s">
        <v>32</v>
      </c>
      <c r="E141" s="85">
        <v>10</v>
      </c>
      <c r="F141" s="86">
        <v>0</v>
      </c>
      <c r="G141" s="86">
        <v>10</v>
      </c>
      <c r="H141" s="86">
        <v>0</v>
      </c>
      <c r="I141" s="86">
        <v>0</v>
      </c>
      <c r="J141" s="86">
        <v>0</v>
      </c>
      <c r="K141" s="86">
        <v>0</v>
      </c>
      <c r="L141" s="86">
        <v>0</v>
      </c>
      <c r="M141" s="86">
        <v>0</v>
      </c>
      <c r="N141" s="86">
        <v>0</v>
      </c>
      <c r="O141" s="86">
        <v>0</v>
      </c>
      <c r="P141" s="86">
        <v>0</v>
      </c>
      <c r="Q141" s="87">
        <v>0</v>
      </c>
      <c r="R141" s="87">
        <v>0</v>
      </c>
      <c r="S141" s="87">
        <v>0</v>
      </c>
      <c r="T141" s="87">
        <v>0</v>
      </c>
      <c r="U141" s="87">
        <v>0</v>
      </c>
      <c r="V141" s="88">
        <v>0</v>
      </c>
      <c r="W141" s="84"/>
      <c r="X141" s="84" t="s">
        <v>32</v>
      </c>
    </row>
    <row r="142" spans="3:24" s="12" customFormat="1">
      <c r="C142" s="84"/>
      <c r="D142" s="84" t="s">
        <v>31</v>
      </c>
      <c r="E142" s="85">
        <v>453.4</v>
      </c>
      <c r="F142" s="86">
        <v>0</v>
      </c>
      <c r="G142" s="86">
        <v>0</v>
      </c>
      <c r="H142" s="86">
        <v>0</v>
      </c>
      <c r="I142" s="86">
        <v>0</v>
      </c>
      <c r="J142" s="86">
        <v>0</v>
      </c>
      <c r="K142" s="86">
        <v>0</v>
      </c>
      <c r="L142" s="86">
        <v>0</v>
      </c>
      <c r="M142" s="86">
        <v>0</v>
      </c>
      <c r="N142" s="86">
        <v>45</v>
      </c>
      <c r="O142" s="86">
        <v>0</v>
      </c>
      <c r="P142" s="86">
        <v>0</v>
      </c>
      <c r="Q142" s="87">
        <v>36</v>
      </c>
      <c r="R142" s="87">
        <v>50</v>
      </c>
      <c r="S142" s="87">
        <v>148</v>
      </c>
      <c r="T142" s="87">
        <v>25</v>
      </c>
      <c r="U142" s="87">
        <v>80</v>
      </c>
      <c r="V142" s="88">
        <v>69.400000000000006</v>
      </c>
      <c r="W142" s="84"/>
      <c r="X142" s="84" t="s">
        <v>31</v>
      </c>
    </row>
    <row r="143" spans="3:24" s="12" customFormat="1">
      <c r="C143" s="84"/>
      <c r="D143" s="84" t="s">
        <v>30</v>
      </c>
      <c r="E143" s="85">
        <v>1674</v>
      </c>
      <c r="F143" s="86">
        <v>0</v>
      </c>
      <c r="G143" s="86">
        <v>110</v>
      </c>
      <c r="H143" s="86">
        <v>0</v>
      </c>
      <c r="I143" s="86">
        <v>0</v>
      </c>
      <c r="J143" s="86">
        <v>0</v>
      </c>
      <c r="K143" s="86">
        <v>100</v>
      </c>
      <c r="L143" s="86">
        <v>0</v>
      </c>
      <c r="M143" s="86">
        <v>0</v>
      </c>
      <c r="N143" s="86">
        <v>234</v>
      </c>
      <c r="O143" s="86">
        <v>178</v>
      </c>
      <c r="P143" s="86">
        <v>0</v>
      </c>
      <c r="Q143" s="87">
        <v>0</v>
      </c>
      <c r="R143" s="87">
        <v>234</v>
      </c>
      <c r="S143" s="87">
        <v>504</v>
      </c>
      <c r="T143" s="87">
        <v>65</v>
      </c>
      <c r="U143" s="87">
        <v>99</v>
      </c>
      <c r="V143" s="88">
        <v>150</v>
      </c>
      <c r="W143" s="84"/>
      <c r="X143" s="84" t="s">
        <v>30</v>
      </c>
    </row>
    <row r="144" spans="3:24" s="12" customFormat="1">
      <c r="C144" s="84"/>
      <c r="D144" s="84" t="s">
        <v>29</v>
      </c>
      <c r="E144" s="85">
        <v>17206</v>
      </c>
      <c r="F144" s="86">
        <v>300</v>
      </c>
      <c r="G144" s="86">
        <v>0</v>
      </c>
      <c r="H144" s="86">
        <v>500</v>
      </c>
      <c r="I144" s="86">
        <v>320</v>
      </c>
      <c r="J144" s="86">
        <v>270</v>
      </c>
      <c r="K144" s="86">
        <v>0</v>
      </c>
      <c r="L144" s="86">
        <v>300</v>
      </c>
      <c r="M144" s="86">
        <v>0</v>
      </c>
      <c r="N144" s="86">
        <v>1840</v>
      </c>
      <c r="O144" s="86">
        <v>2865</v>
      </c>
      <c r="P144" s="86">
        <v>1140</v>
      </c>
      <c r="Q144" s="87">
        <v>1615</v>
      </c>
      <c r="R144" s="87">
        <v>2263</v>
      </c>
      <c r="S144" s="87">
        <v>1587</v>
      </c>
      <c r="T144" s="87">
        <v>2359</v>
      </c>
      <c r="U144" s="87">
        <v>1160</v>
      </c>
      <c r="V144" s="88">
        <v>687</v>
      </c>
      <c r="W144" s="84"/>
      <c r="X144" s="84" t="s">
        <v>29</v>
      </c>
    </row>
    <row r="145" spans="3:24" s="12" customFormat="1">
      <c r="C145" s="84"/>
      <c r="D145" s="84" t="s">
        <v>28</v>
      </c>
      <c r="E145" s="85">
        <v>23536</v>
      </c>
      <c r="F145" s="86">
        <v>0</v>
      </c>
      <c r="G145" s="86">
        <v>0</v>
      </c>
      <c r="H145" s="86">
        <v>560</v>
      </c>
      <c r="I145" s="86">
        <v>0</v>
      </c>
      <c r="J145" s="86">
        <v>1560</v>
      </c>
      <c r="K145" s="86">
        <v>0</v>
      </c>
      <c r="L145" s="86">
        <v>0</v>
      </c>
      <c r="M145" s="86">
        <v>0</v>
      </c>
      <c r="N145" s="86">
        <v>0</v>
      </c>
      <c r="O145" s="86">
        <v>1530</v>
      </c>
      <c r="P145" s="86">
        <v>2300</v>
      </c>
      <c r="Q145" s="87">
        <v>556</v>
      </c>
      <c r="R145" s="87">
        <v>6010</v>
      </c>
      <c r="S145" s="87">
        <v>3000</v>
      </c>
      <c r="T145" s="87">
        <v>4990</v>
      </c>
      <c r="U145" s="87">
        <v>3030</v>
      </c>
      <c r="V145" s="88">
        <v>0</v>
      </c>
      <c r="W145" s="84"/>
      <c r="X145" s="84" t="s">
        <v>28</v>
      </c>
    </row>
    <row r="146" spans="3:24" s="12" customFormat="1">
      <c r="C146" s="84"/>
      <c r="D146" s="84" t="s">
        <v>27</v>
      </c>
      <c r="E146" s="85">
        <v>173723</v>
      </c>
      <c r="F146" s="86">
        <v>0</v>
      </c>
      <c r="G146" s="86">
        <v>0</v>
      </c>
      <c r="H146" s="86">
        <v>3000</v>
      </c>
      <c r="I146" s="86">
        <v>12599</v>
      </c>
      <c r="J146" s="86">
        <v>0</v>
      </c>
      <c r="K146" s="86">
        <v>0</v>
      </c>
      <c r="L146" s="86">
        <v>0</v>
      </c>
      <c r="M146" s="86">
        <v>2310</v>
      </c>
      <c r="N146" s="86">
        <v>14400</v>
      </c>
      <c r="O146" s="86">
        <v>18742</v>
      </c>
      <c r="P146" s="86">
        <v>13564</v>
      </c>
      <c r="Q146" s="87">
        <v>30126</v>
      </c>
      <c r="R146" s="87">
        <v>14380</v>
      </c>
      <c r="S146" s="87">
        <v>9486</v>
      </c>
      <c r="T146" s="87">
        <v>32016</v>
      </c>
      <c r="U146" s="87">
        <v>23100</v>
      </c>
      <c r="V146" s="88">
        <v>0</v>
      </c>
      <c r="W146" s="84"/>
      <c r="X146" s="84" t="s">
        <v>27</v>
      </c>
    </row>
    <row r="147" spans="3:24" s="12" customFormat="1">
      <c r="C147" s="84"/>
      <c r="D147" s="84" t="s">
        <v>26</v>
      </c>
      <c r="E147" s="85">
        <v>0</v>
      </c>
      <c r="F147" s="86">
        <v>0</v>
      </c>
      <c r="G147" s="86">
        <v>0</v>
      </c>
      <c r="H147" s="86">
        <v>0</v>
      </c>
      <c r="I147" s="86">
        <v>0</v>
      </c>
      <c r="J147" s="86">
        <v>0</v>
      </c>
      <c r="K147" s="86">
        <v>0</v>
      </c>
      <c r="L147" s="86">
        <v>0</v>
      </c>
      <c r="M147" s="86">
        <v>0</v>
      </c>
      <c r="N147" s="86">
        <v>0</v>
      </c>
      <c r="O147" s="86">
        <v>0</v>
      </c>
      <c r="P147" s="86">
        <v>0</v>
      </c>
      <c r="Q147" s="87">
        <v>0</v>
      </c>
      <c r="R147" s="87">
        <v>0</v>
      </c>
      <c r="S147" s="87">
        <v>0</v>
      </c>
      <c r="T147" s="87">
        <v>0</v>
      </c>
      <c r="U147" s="87">
        <v>0</v>
      </c>
      <c r="V147" s="88">
        <v>0</v>
      </c>
      <c r="W147" s="84"/>
      <c r="X147" s="84" t="s">
        <v>26</v>
      </c>
    </row>
    <row r="148" spans="3:24" s="12" customFormat="1">
      <c r="C148" s="84"/>
      <c r="D148" s="84" t="s">
        <v>25</v>
      </c>
      <c r="E148" s="85">
        <v>30000</v>
      </c>
      <c r="F148" s="86">
        <v>0</v>
      </c>
      <c r="G148" s="86">
        <v>0</v>
      </c>
      <c r="H148" s="86">
        <v>0</v>
      </c>
      <c r="I148" s="86">
        <v>0</v>
      </c>
      <c r="J148" s="86">
        <v>0</v>
      </c>
      <c r="K148" s="86">
        <v>0</v>
      </c>
      <c r="L148" s="86">
        <v>0</v>
      </c>
      <c r="M148" s="86">
        <v>0</v>
      </c>
      <c r="N148" s="86">
        <v>0</v>
      </c>
      <c r="O148" s="86">
        <v>0</v>
      </c>
      <c r="P148" s="86">
        <v>12000</v>
      </c>
      <c r="Q148" s="87">
        <v>0</v>
      </c>
      <c r="R148" s="87">
        <v>0</v>
      </c>
      <c r="S148" s="87">
        <v>0</v>
      </c>
      <c r="T148" s="87">
        <v>0</v>
      </c>
      <c r="U148" s="87">
        <v>18000</v>
      </c>
      <c r="V148" s="88">
        <v>0</v>
      </c>
      <c r="W148" s="84"/>
      <c r="X148" s="84" t="s">
        <v>25</v>
      </c>
    </row>
    <row r="149" spans="3:24" s="12" customFormat="1" ht="17.5" thickBot="1">
      <c r="C149" s="96"/>
      <c r="D149" s="96" t="s">
        <v>24</v>
      </c>
      <c r="E149" s="97">
        <v>1569980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260100</v>
      </c>
      <c r="O149" s="98">
        <v>500280</v>
      </c>
      <c r="P149" s="98">
        <v>490000</v>
      </c>
      <c r="Q149" s="99">
        <v>0</v>
      </c>
      <c r="R149" s="99">
        <v>57100</v>
      </c>
      <c r="S149" s="99">
        <v>22500</v>
      </c>
      <c r="T149" s="99">
        <v>140000</v>
      </c>
      <c r="U149" s="99">
        <v>100000</v>
      </c>
      <c r="V149" s="100">
        <v>0</v>
      </c>
      <c r="W149" s="96"/>
      <c r="X149" s="96" t="s">
        <v>24</v>
      </c>
    </row>
    <row r="150" spans="3:24" s="6" customFormat="1">
      <c r="C150" s="84"/>
      <c r="D150" s="84"/>
      <c r="E150" s="101"/>
      <c r="F150" s="101"/>
      <c r="G150" s="101"/>
      <c r="H150" s="101"/>
      <c r="I150" s="101"/>
      <c r="J150" s="101"/>
      <c r="K150" s="101"/>
      <c r="L150" s="101"/>
      <c r="M150" s="101"/>
      <c r="N150" s="101"/>
      <c r="O150" s="101"/>
      <c r="P150" s="101"/>
      <c r="Q150" s="102"/>
      <c r="R150" s="102"/>
      <c r="S150" s="102"/>
      <c r="T150" s="102"/>
      <c r="U150" s="102"/>
      <c r="V150" s="102"/>
      <c r="W150" s="84"/>
      <c r="X150" s="84"/>
    </row>
    <row r="151" spans="3:24" s="7" customFormat="1" ht="16">
      <c r="C151" s="103" t="s">
        <v>223</v>
      </c>
      <c r="D151" s="103"/>
      <c r="E151" s="103"/>
      <c r="F151" s="103"/>
      <c r="G151" s="103"/>
      <c r="H151" s="103"/>
      <c r="I151" s="103"/>
      <c r="J151" s="103"/>
      <c r="K151" s="103"/>
      <c r="L151" s="103"/>
      <c r="M151" s="103"/>
      <c r="N151" s="103"/>
      <c r="O151" s="103"/>
      <c r="P151" s="103"/>
      <c r="Q151" s="103"/>
      <c r="R151" s="103"/>
      <c r="S151" s="103"/>
      <c r="T151" s="103"/>
      <c r="U151" s="103"/>
      <c r="V151" s="103"/>
      <c r="W151" s="103"/>
      <c r="X151" s="103"/>
    </row>
    <row r="154" spans="3:24" s="6" customFormat="1" ht="21">
      <c r="C154" s="19" t="s">
        <v>114</v>
      </c>
      <c r="D154" s="26"/>
    </row>
    <row r="155" spans="3:24" s="6" customFormat="1" ht="15.75" customHeight="1" thickBot="1"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X155" s="29"/>
    </row>
    <row r="156" spans="3:24" s="6" customFormat="1" ht="15.75" customHeight="1">
      <c r="C156" s="269" t="s">
        <v>61</v>
      </c>
      <c r="D156" s="269"/>
      <c r="E156" s="72" t="s">
        <v>79</v>
      </c>
      <c r="F156" s="73" t="s">
        <v>78</v>
      </c>
      <c r="G156" s="73" t="s">
        <v>77</v>
      </c>
      <c r="H156" s="73" t="s">
        <v>76</v>
      </c>
      <c r="I156" s="73" t="s">
        <v>75</v>
      </c>
      <c r="J156" s="73" t="s">
        <v>74</v>
      </c>
      <c r="K156" s="73" t="s">
        <v>73</v>
      </c>
      <c r="L156" s="73" t="s">
        <v>72</v>
      </c>
      <c r="M156" s="73" t="s">
        <v>71</v>
      </c>
      <c r="N156" s="73" t="s">
        <v>70</v>
      </c>
      <c r="O156" s="73" t="s">
        <v>69</v>
      </c>
      <c r="P156" s="73" t="s">
        <v>68</v>
      </c>
      <c r="Q156" s="73" t="s">
        <v>67</v>
      </c>
      <c r="R156" s="73" t="s">
        <v>66</v>
      </c>
      <c r="S156" s="73" t="s">
        <v>65</v>
      </c>
      <c r="T156" s="73" t="s">
        <v>64</v>
      </c>
      <c r="U156" s="73" t="s">
        <v>63</v>
      </c>
      <c r="V156" s="74" t="s">
        <v>62</v>
      </c>
      <c r="W156" s="273" t="s">
        <v>61</v>
      </c>
      <c r="X156" s="269"/>
    </row>
    <row r="157" spans="3:24" s="6" customFormat="1" ht="15.75" customHeight="1">
      <c r="C157" s="270"/>
      <c r="D157" s="270"/>
      <c r="E157" s="75" t="s">
        <v>22</v>
      </c>
      <c r="F157" s="76" t="s">
        <v>60</v>
      </c>
      <c r="G157" s="76" t="s">
        <v>59</v>
      </c>
      <c r="H157" s="76" t="s">
        <v>58</v>
      </c>
      <c r="I157" s="76" t="s">
        <v>57</v>
      </c>
      <c r="J157" s="76" t="s">
        <v>56</v>
      </c>
      <c r="K157" s="76" t="s">
        <v>55</v>
      </c>
      <c r="L157" s="76" t="s">
        <v>54</v>
      </c>
      <c r="M157" s="76" t="s">
        <v>53</v>
      </c>
      <c r="N157" s="76" t="s">
        <v>52</v>
      </c>
      <c r="O157" s="76" t="s">
        <v>51</v>
      </c>
      <c r="P157" s="76" t="s">
        <v>50</v>
      </c>
      <c r="Q157" s="76" t="s">
        <v>49</v>
      </c>
      <c r="R157" s="76" t="s">
        <v>48</v>
      </c>
      <c r="S157" s="76" t="s">
        <v>47</v>
      </c>
      <c r="T157" s="76" t="s">
        <v>46</v>
      </c>
      <c r="U157" s="76" t="s">
        <v>45</v>
      </c>
      <c r="V157" s="77" t="s">
        <v>44</v>
      </c>
      <c r="W157" s="274"/>
      <c r="X157" s="270"/>
    </row>
    <row r="158" spans="3:24" s="12" customFormat="1" ht="15.75" customHeight="1">
      <c r="C158" s="78" t="s">
        <v>211</v>
      </c>
      <c r="D158" s="79"/>
      <c r="E158" s="160">
        <v>93201.667366979993</v>
      </c>
      <c r="F158" s="113">
        <v>0</v>
      </c>
      <c r="G158" s="113">
        <v>0</v>
      </c>
      <c r="H158" s="113">
        <v>0</v>
      </c>
      <c r="I158" s="113">
        <v>0</v>
      </c>
      <c r="J158" s="113">
        <v>0</v>
      </c>
      <c r="K158" s="113">
        <v>0</v>
      </c>
      <c r="L158" s="113">
        <v>0</v>
      </c>
      <c r="M158" s="113">
        <v>0</v>
      </c>
      <c r="N158" s="161">
        <v>93194.714135339993</v>
      </c>
      <c r="O158" s="113">
        <v>0</v>
      </c>
      <c r="P158" s="162">
        <v>0</v>
      </c>
      <c r="Q158" s="163">
        <v>0</v>
      </c>
      <c r="R158" s="163">
        <v>0</v>
      </c>
      <c r="S158" s="163">
        <v>6.0600629999999898</v>
      </c>
      <c r="T158" s="163">
        <v>0</v>
      </c>
      <c r="U158" s="163">
        <v>0</v>
      </c>
      <c r="V158" s="164">
        <v>0.89316863999999996</v>
      </c>
      <c r="W158" s="78" t="s">
        <v>211</v>
      </c>
      <c r="X158" s="79"/>
    </row>
    <row r="159" spans="3:24" s="12" customFormat="1" ht="15.75" customHeight="1">
      <c r="C159" s="78" t="s">
        <v>219</v>
      </c>
      <c r="D159" s="79"/>
      <c r="E159" s="160">
        <v>437566.51345999999</v>
      </c>
      <c r="F159" s="113">
        <v>0</v>
      </c>
      <c r="G159" s="113">
        <v>0</v>
      </c>
      <c r="H159" s="113">
        <v>0</v>
      </c>
      <c r="I159" s="113">
        <v>0</v>
      </c>
      <c r="J159" s="113">
        <v>0</v>
      </c>
      <c r="K159" s="113">
        <v>0</v>
      </c>
      <c r="L159" s="113">
        <v>0</v>
      </c>
      <c r="M159" s="113">
        <v>0</v>
      </c>
      <c r="N159" s="161">
        <v>437533.86917999998</v>
      </c>
      <c r="O159" s="113">
        <v>0</v>
      </c>
      <c r="P159" s="162">
        <v>0</v>
      </c>
      <c r="Q159" s="163">
        <v>0</v>
      </c>
      <c r="R159" s="163">
        <v>0</v>
      </c>
      <c r="S159" s="163">
        <v>28.451000000000001</v>
      </c>
      <c r="T159" s="163">
        <v>0</v>
      </c>
      <c r="U159" s="163">
        <v>0</v>
      </c>
      <c r="V159" s="164">
        <v>4.1932799999999997</v>
      </c>
      <c r="W159" s="78" t="s">
        <v>219</v>
      </c>
      <c r="X159" s="79"/>
    </row>
    <row r="160" spans="3:24" s="12" customFormat="1" ht="15.75" customHeight="1">
      <c r="C160" s="78" t="s">
        <v>220</v>
      </c>
      <c r="D160" s="78"/>
      <c r="E160" s="160">
        <v>255580</v>
      </c>
      <c r="F160" s="113">
        <v>0</v>
      </c>
      <c r="G160" s="113">
        <v>0</v>
      </c>
      <c r="H160" s="113">
        <v>0</v>
      </c>
      <c r="I160" s="113">
        <v>0</v>
      </c>
      <c r="J160" s="113">
        <v>0</v>
      </c>
      <c r="K160" s="113">
        <v>0</v>
      </c>
      <c r="L160" s="113">
        <v>0</v>
      </c>
      <c r="M160" s="113">
        <v>0</v>
      </c>
      <c r="N160" s="161">
        <v>254000</v>
      </c>
      <c r="O160" s="113">
        <v>0</v>
      </c>
      <c r="P160" s="162">
        <v>0</v>
      </c>
      <c r="Q160" s="163">
        <v>0</v>
      </c>
      <c r="R160" s="163">
        <v>0</v>
      </c>
      <c r="S160" s="163">
        <v>1080</v>
      </c>
      <c r="T160" s="163">
        <v>0</v>
      </c>
      <c r="U160" s="163">
        <v>0</v>
      </c>
      <c r="V160" s="164">
        <v>500</v>
      </c>
      <c r="W160" s="78" t="s">
        <v>220</v>
      </c>
      <c r="X160" s="78"/>
    </row>
    <row r="161" spans="3:24" s="12" customFormat="1" ht="15.75" customHeight="1">
      <c r="C161" s="84"/>
      <c r="D161" s="84"/>
      <c r="E161" s="165"/>
      <c r="F161" s="138"/>
      <c r="G161" s="138"/>
      <c r="H161" s="138"/>
      <c r="I161" s="138"/>
      <c r="J161" s="138"/>
      <c r="K161" s="138"/>
      <c r="L161" s="138"/>
      <c r="M161" s="138"/>
      <c r="N161" s="139"/>
      <c r="O161" s="138"/>
      <c r="P161" s="166"/>
      <c r="Q161" s="167"/>
      <c r="R161" s="167"/>
      <c r="S161" s="167"/>
      <c r="T161" s="167"/>
      <c r="U161" s="167"/>
      <c r="V161" s="168"/>
      <c r="W161" s="84"/>
      <c r="X161" s="84"/>
    </row>
    <row r="162" spans="3:24" s="6" customFormat="1" ht="15.75" customHeight="1">
      <c r="C162" s="78" t="s">
        <v>43</v>
      </c>
      <c r="D162" s="78"/>
      <c r="E162" s="160"/>
      <c r="F162" s="119"/>
      <c r="G162" s="119"/>
      <c r="H162" s="119"/>
      <c r="I162" s="119"/>
      <c r="J162" s="119"/>
      <c r="K162" s="119"/>
      <c r="L162" s="119"/>
      <c r="M162" s="119"/>
      <c r="N162" s="161"/>
      <c r="O162" s="113"/>
      <c r="P162" s="162"/>
      <c r="Q162" s="169"/>
      <c r="R162" s="169"/>
      <c r="S162" s="169"/>
      <c r="T162" s="169"/>
      <c r="U162" s="169"/>
      <c r="V162" s="170"/>
      <c r="W162" s="78" t="s">
        <v>43</v>
      </c>
      <c r="X162" s="78"/>
    </row>
    <row r="163" spans="3:24" s="12" customFormat="1" ht="15.75" customHeight="1">
      <c r="C163" s="84"/>
      <c r="D163" s="90" t="s">
        <v>213</v>
      </c>
      <c r="E163" s="165">
        <v>0</v>
      </c>
      <c r="F163" s="139">
        <v>0</v>
      </c>
      <c r="G163" s="139">
        <v>0</v>
      </c>
      <c r="H163" s="139">
        <v>0</v>
      </c>
      <c r="I163" s="139">
        <v>0</v>
      </c>
      <c r="J163" s="139">
        <v>0</v>
      </c>
      <c r="K163" s="139">
        <v>0</v>
      </c>
      <c r="L163" s="139">
        <v>0</v>
      </c>
      <c r="M163" s="139">
        <v>0</v>
      </c>
      <c r="N163" s="139">
        <v>0</v>
      </c>
      <c r="O163" s="139">
        <v>0</v>
      </c>
      <c r="P163" s="138">
        <v>0</v>
      </c>
      <c r="Q163" s="141">
        <v>0</v>
      </c>
      <c r="R163" s="141">
        <v>0</v>
      </c>
      <c r="S163" s="141">
        <v>0</v>
      </c>
      <c r="T163" s="141">
        <v>0</v>
      </c>
      <c r="U163" s="141">
        <v>0</v>
      </c>
      <c r="V163" s="171">
        <v>0</v>
      </c>
      <c r="W163" s="84"/>
      <c r="X163" s="90" t="s">
        <v>213</v>
      </c>
    </row>
    <row r="164" spans="3:24" s="12" customFormat="1" ht="15.75" customHeight="1">
      <c r="C164" s="84"/>
      <c r="D164" s="90" t="s">
        <v>214</v>
      </c>
      <c r="E164" s="165">
        <v>0</v>
      </c>
      <c r="F164" s="139">
        <v>0</v>
      </c>
      <c r="G164" s="139">
        <v>0</v>
      </c>
      <c r="H164" s="139">
        <v>0</v>
      </c>
      <c r="I164" s="139">
        <v>0</v>
      </c>
      <c r="J164" s="139">
        <v>0</v>
      </c>
      <c r="K164" s="139">
        <v>0</v>
      </c>
      <c r="L164" s="139">
        <v>0</v>
      </c>
      <c r="M164" s="139">
        <v>0</v>
      </c>
      <c r="N164" s="139">
        <v>0</v>
      </c>
      <c r="O164" s="139">
        <v>0</v>
      </c>
      <c r="P164" s="138">
        <v>0</v>
      </c>
      <c r="Q164" s="141">
        <v>0</v>
      </c>
      <c r="R164" s="141">
        <v>0</v>
      </c>
      <c r="S164" s="141">
        <v>0</v>
      </c>
      <c r="T164" s="141">
        <v>0</v>
      </c>
      <c r="U164" s="141">
        <v>0</v>
      </c>
      <c r="V164" s="171">
        <v>0</v>
      </c>
      <c r="W164" s="84"/>
      <c r="X164" s="90" t="s">
        <v>214</v>
      </c>
    </row>
    <row r="165" spans="3:24" s="12" customFormat="1" ht="15.75" customHeight="1">
      <c r="C165" s="84"/>
      <c r="D165" s="90" t="s">
        <v>215</v>
      </c>
      <c r="E165" s="165">
        <v>80</v>
      </c>
      <c r="F165" s="139">
        <v>0</v>
      </c>
      <c r="G165" s="139">
        <v>0</v>
      </c>
      <c r="H165" s="139">
        <v>0</v>
      </c>
      <c r="I165" s="139">
        <v>0</v>
      </c>
      <c r="J165" s="139">
        <v>0</v>
      </c>
      <c r="K165" s="139">
        <v>0</v>
      </c>
      <c r="L165" s="139">
        <v>0</v>
      </c>
      <c r="M165" s="139">
        <v>0</v>
      </c>
      <c r="N165" s="139">
        <v>0</v>
      </c>
      <c r="O165" s="139">
        <v>0</v>
      </c>
      <c r="P165" s="138">
        <v>0</v>
      </c>
      <c r="Q165" s="141">
        <v>0</v>
      </c>
      <c r="R165" s="141">
        <v>0</v>
      </c>
      <c r="S165" s="141">
        <v>80</v>
      </c>
      <c r="T165" s="141">
        <v>0</v>
      </c>
      <c r="U165" s="141">
        <v>0</v>
      </c>
      <c r="V165" s="171">
        <v>0</v>
      </c>
      <c r="W165" s="84"/>
      <c r="X165" s="90" t="s">
        <v>215</v>
      </c>
    </row>
    <row r="166" spans="3:24" s="12" customFormat="1" ht="15.75" customHeight="1">
      <c r="C166" s="84"/>
      <c r="D166" s="84"/>
      <c r="E166" s="165"/>
      <c r="F166" s="138"/>
      <c r="G166" s="138"/>
      <c r="H166" s="138"/>
      <c r="I166" s="138"/>
      <c r="J166" s="138"/>
      <c r="K166" s="138"/>
      <c r="L166" s="138"/>
      <c r="M166" s="138"/>
      <c r="N166" s="139"/>
      <c r="O166" s="138"/>
      <c r="P166" s="166"/>
      <c r="Q166" s="167"/>
      <c r="R166" s="167"/>
      <c r="S166" s="167"/>
      <c r="T166" s="167"/>
      <c r="U166" s="167"/>
      <c r="V166" s="168"/>
      <c r="W166" s="84"/>
      <c r="X166" s="84"/>
    </row>
    <row r="167" spans="3:24" s="12" customFormat="1" ht="15.75" customHeight="1">
      <c r="C167" s="78" t="s">
        <v>221</v>
      </c>
      <c r="D167" s="79"/>
      <c r="E167" s="160">
        <v>255580</v>
      </c>
      <c r="F167" s="113">
        <v>0</v>
      </c>
      <c r="G167" s="113">
        <v>0</v>
      </c>
      <c r="H167" s="113">
        <v>0</v>
      </c>
      <c r="I167" s="113">
        <v>0</v>
      </c>
      <c r="J167" s="113">
        <v>0</v>
      </c>
      <c r="K167" s="113">
        <v>0</v>
      </c>
      <c r="L167" s="113">
        <v>0</v>
      </c>
      <c r="M167" s="113">
        <v>0</v>
      </c>
      <c r="N167" s="119">
        <v>254000</v>
      </c>
      <c r="O167" s="113">
        <v>0</v>
      </c>
      <c r="P167" s="113">
        <v>0</v>
      </c>
      <c r="Q167" s="119">
        <v>0</v>
      </c>
      <c r="R167" s="119">
        <v>0</v>
      </c>
      <c r="S167" s="119">
        <v>1080</v>
      </c>
      <c r="T167" s="119">
        <v>0</v>
      </c>
      <c r="U167" s="119">
        <v>0</v>
      </c>
      <c r="V167" s="172">
        <v>500</v>
      </c>
      <c r="W167" s="78" t="s">
        <v>221</v>
      </c>
      <c r="X167" s="79"/>
    </row>
    <row r="168" spans="3:24" s="12" customFormat="1" ht="15.75" customHeight="1">
      <c r="C168" s="93"/>
      <c r="D168" s="94" t="s">
        <v>42</v>
      </c>
      <c r="E168" s="165">
        <v>0</v>
      </c>
      <c r="F168" s="138">
        <v>0</v>
      </c>
      <c r="G168" s="138">
        <v>0</v>
      </c>
      <c r="H168" s="138">
        <v>0</v>
      </c>
      <c r="I168" s="138">
        <v>0</v>
      </c>
      <c r="J168" s="138">
        <v>0</v>
      </c>
      <c r="K168" s="138">
        <v>0</v>
      </c>
      <c r="L168" s="138">
        <v>0</v>
      </c>
      <c r="M168" s="138">
        <v>0</v>
      </c>
      <c r="N168" s="139">
        <v>0</v>
      </c>
      <c r="O168" s="138">
        <v>0</v>
      </c>
      <c r="P168" s="138">
        <v>0</v>
      </c>
      <c r="Q168" s="141">
        <v>0</v>
      </c>
      <c r="R168" s="141">
        <v>0</v>
      </c>
      <c r="S168" s="141">
        <v>0</v>
      </c>
      <c r="T168" s="141">
        <v>0</v>
      </c>
      <c r="U168" s="141">
        <v>0</v>
      </c>
      <c r="V168" s="171">
        <v>0</v>
      </c>
      <c r="W168" s="93"/>
      <c r="X168" s="94" t="s">
        <v>42</v>
      </c>
    </row>
    <row r="169" spans="3:24" s="12" customFormat="1" ht="15.75" customHeight="1">
      <c r="C169" s="84"/>
      <c r="D169" s="94" t="s">
        <v>41</v>
      </c>
      <c r="E169" s="165">
        <v>0</v>
      </c>
      <c r="F169" s="138">
        <v>0</v>
      </c>
      <c r="G169" s="138">
        <v>0</v>
      </c>
      <c r="H169" s="138">
        <v>0</v>
      </c>
      <c r="I169" s="138">
        <v>0</v>
      </c>
      <c r="J169" s="138">
        <v>0</v>
      </c>
      <c r="K169" s="138">
        <v>0</v>
      </c>
      <c r="L169" s="138">
        <v>0</v>
      </c>
      <c r="M169" s="138">
        <v>0</v>
      </c>
      <c r="N169" s="139">
        <v>0</v>
      </c>
      <c r="O169" s="138">
        <v>0</v>
      </c>
      <c r="P169" s="138">
        <v>0</v>
      </c>
      <c r="Q169" s="141">
        <v>0</v>
      </c>
      <c r="R169" s="141">
        <v>0</v>
      </c>
      <c r="S169" s="141">
        <v>0</v>
      </c>
      <c r="T169" s="141">
        <v>0</v>
      </c>
      <c r="U169" s="141">
        <v>0</v>
      </c>
      <c r="V169" s="171">
        <v>0</v>
      </c>
      <c r="W169" s="84"/>
      <c r="X169" s="94" t="s">
        <v>41</v>
      </c>
    </row>
    <row r="170" spans="3:24" s="12" customFormat="1" ht="15.75" customHeight="1">
      <c r="C170" s="84"/>
      <c r="D170" s="94" t="s">
        <v>40</v>
      </c>
      <c r="E170" s="165">
        <v>0</v>
      </c>
      <c r="F170" s="138">
        <v>0</v>
      </c>
      <c r="G170" s="138">
        <v>0</v>
      </c>
      <c r="H170" s="138">
        <v>0</v>
      </c>
      <c r="I170" s="138">
        <v>0</v>
      </c>
      <c r="J170" s="138">
        <v>0</v>
      </c>
      <c r="K170" s="138">
        <v>0</v>
      </c>
      <c r="L170" s="138">
        <v>0</v>
      </c>
      <c r="M170" s="138">
        <v>0</v>
      </c>
      <c r="N170" s="139">
        <v>0</v>
      </c>
      <c r="O170" s="138">
        <v>0</v>
      </c>
      <c r="P170" s="138">
        <v>0</v>
      </c>
      <c r="Q170" s="141">
        <v>0</v>
      </c>
      <c r="R170" s="141">
        <v>0</v>
      </c>
      <c r="S170" s="141">
        <v>0</v>
      </c>
      <c r="T170" s="141">
        <v>0</v>
      </c>
      <c r="U170" s="141">
        <v>0</v>
      </c>
      <c r="V170" s="171">
        <v>0</v>
      </c>
      <c r="W170" s="84"/>
      <c r="X170" s="94" t="s">
        <v>40</v>
      </c>
    </row>
    <row r="171" spans="3:24" s="12" customFormat="1" ht="15.75" customHeight="1">
      <c r="C171" s="84"/>
      <c r="D171" s="94" t="s">
        <v>39</v>
      </c>
      <c r="E171" s="165">
        <v>0</v>
      </c>
      <c r="F171" s="138">
        <v>0</v>
      </c>
      <c r="G171" s="138">
        <v>0</v>
      </c>
      <c r="H171" s="138">
        <v>0</v>
      </c>
      <c r="I171" s="138">
        <v>0</v>
      </c>
      <c r="J171" s="138">
        <v>0</v>
      </c>
      <c r="K171" s="138">
        <v>0</v>
      </c>
      <c r="L171" s="138">
        <v>0</v>
      </c>
      <c r="M171" s="138">
        <v>0</v>
      </c>
      <c r="N171" s="139">
        <v>0</v>
      </c>
      <c r="O171" s="138">
        <v>0</v>
      </c>
      <c r="P171" s="138">
        <v>0</v>
      </c>
      <c r="Q171" s="141">
        <v>0</v>
      </c>
      <c r="R171" s="141">
        <v>0</v>
      </c>
      <c r="S171" s="141">
        <v>0</v>
      </c>
      <c r="T171" s="141">
        <v>0</v>
      </c>
      <c r="U171" s="141">
        <v>0</v>
      </c>
      <c r="V171" s="171">
        <v>0</v>
      </c>
      <c r="W171" s="84"/>
      <c r="X171" s="94" t="s">
        <v>39</v>
      </c>
    </row>
    <row r="172" spans="3:24" s="12" customFormat="1" ht="15.75" customHeight="1">
      <c r="C172" s="84"/>
      <c r="D172" s="94" t="s">
        <v>38</v>
      </c>
      <c r="E172" s="165">
        <v>0</v>
      </c>
      <c r="F172" s="138">
        <v>0</v>
      </c>
      <c r="G172" s="138">
        <v>0</v>
      </c>
      <c r="H172" s="138">
        <v>0</v>
      </c>
      <c r="I172" s="138">
        <v>0</v>
      </c>
      <c r="J172" s="138">
        <v>0</v>
      </c>
      <c r="K172" s="138">
        <v>0</v>
      </c>
      <c r="L172" s="138">
        <v>0</v>
      </c>
      <c r="M172" s="138">
        <v>0</v>
      </c>
      <c r="N172" s="139">
        <v>0</v>
      </c>
      <c r="O172" s="138">
        <v>0</v>
      </c>
      <c r="P172" s="138">
        <v>0</v>
      </c>
      <c r="Q172" s="138">
        <v>0</v>
      </c>
      <c r="R172" s="138">
        <v>0</v>
      </c>
      <c r="S172" s="138">
        <v>0</v>
      </c>
      <c r="T172" s="138">
        <v>0</v>
      </c>
      <c r="U172" s="138">
        <v>0</v>
      </c>
      <c r="V172" s="173">
        <v>0</v>
      </c>
      <c r="W172" s="84"/>
      <c r="X172" s="94" t="s">
        <v>38</v>
      </c>
    </row>
    <row r="173" spans="3:24" s="12" customFormat="1" ht="15.75" customHeight="1">
      <c r="C173" s="84"/>
      <c r="D173" s="94" t="s">
        <v>37</v>
      </c>
      <c r="E173" s="165">
        <v>0</v>
      </c>
      <c r="F173" s="138">
        <v>0</v>
      </c>
      <c r="G173" s="138">
        <v>0</v>
      </c>
      <c r="H173" s="138">
        <v>0</v>
      </c>
      <c r="I173" s="138">
        <v>0</v>
      </c>
      <c r="J173" s="138">
        <v>0</v>
      </c>
      <c r="K173" s="138">
        <v>0</v>
      </c>
      <c r="L173" s="138">
        <v>0</v>
      </c>
      <c r="M173" s="138">
        <v>0</v>
      </c>
      <c r="N173" s="139">
        <v>0</v>
      </c>
      <c r="O173" s="138">
        <v>0</v>
      </c>
      <c r="P173" s="138">
        <v>0</v>
      </c>
      <c r="Q173" s="141">
        <v>0</v>
      </c>
      <c r="R173" s="138">
        <v>0</v>
      </c>
      <c r="S173" s="138">
        <v>0</v>
      </c>
      <c r="T173" s="138">
        <v>0</v>
      </c>
      <c r="U173" s="138">
        <v>0</v>
      </c>
      <c r="V173" s="173">
        <v>0</v>
      </c>
      <c r="W173" s="84"/>
      <c r="X173" s="94" t="s">
        <v>37</v>
      </c>
    </row>
    <row r="174" spans="3:24" s="12" customFormat="1" ht="15.75" customHeight="1">
      <c r="C174" s="84"/>
      <c r="D174" s="94" t="s">
        <v>36</v>
      </c>
      <c r="E174" s="165">
        <v>255580</v>
      </c>
      <c r="F174" s="138">
        <v>0</v>
      </c>
      <c r="G174" s="138">
        <v>0</v>
      </c>
      <c r="H174" s="138">
        <v>0</v>
      </c>
      <c r="I174" s="138">
        <v>0</v>
      </c>
      <c r="J174" s="138">
        <v>0</v>
      </c>
      <c r="K174" s="138">
        <v>0</v>
      </c>
      <c r="L174" s="138">
        <v>0</v>
      </c>
      <c r="M174" s="138">
        <v>0</v>
      </c>
      <c r="N174" s="139">
        <v>254000</v>
      </c>
      <c r="O174" s="138">
        <v>0</v>
      </c>
      <c r="P174" s="138">
        <v>0</v>
      </c>
      <c r="Q174" s="141">
        <v>0</v>
      </c>
      <c r="R174" s="141">
        <v>0</v>
      </c>
      <c r="S174" s="141">
        <v>1080</v>
      </c>
      <c r="T174" s="141">
        <v>0</v>
      </c>
      <c r="U174" s="141">
        <v>0</v>
      </c>
      <c r="V174" s="171">
        <v>500</v>
      </c>
      <c r="W174" s="84"/>
      <c r="X174" s="94" t="s">
        <v>36</v>
      </c>
    </row>
    <row r="175" spans="3:24" s="12" customFormat="1" ht="15.75" customHeight="1">
      <c r="C175" s="84"/>
      <c r="D175" s="94" t="s">
        <v>35</v>
      </c>
      <c r="E175" s="165">
        <v>0</v>
      </c>
      <c r="F175" s="138">
        <v>0</v>
      </c>
      <c r="G175" s="138">
        <v>0</v>
      </c>
      <c r="H175" s="138">
        <v>0</v>
      </c>
      <c r="I175" s="138">
        <v>0</v>
      </c>
      <c r="J175" s="138">
        <v>0</v>
      </c>
      <c r="K175" s="138">
        <v>0</v>
      </c>
      <c r="L175" s="138">
        <v>0</v>
      </c>
      <c r="M175" s="138">
        <v>0</v>
      </c>
      <c r="N175" s="139">
        <v>0</v>
      </c>
      <c r="O175" s="138">
        <v>0</v>
      </c>
      <c r="P175" s="138">
        <v>0</v>
      </c>
      <c r="Q175" s="141">
        <v>0</v>
      </c>
      <c r="R175" s="141">
        <v>0</v>
      </c>
      <c r="S175" s="141">
        <v>0</v>
      </c>
      <c r="T175" s="141">
        <v>0</v>
      </c>
      <c r="U175" s="141">
        <v>0</v>
      </c>
      <c r="V175" s="171">
        <v>0</v>
      </c>
      <c r="W175" s="84"/>
      <c r="X175" s="94" t="s">
        <v>35</v>
      </c>
    </row>
    <row r="176" spans="3:24" s="12" customFormat="1" ht="15.75" customHeight="1">
      <c r="C176" s="84"/>
      <c r="D176" s="84"/>
      <c r="E176" s="165"/>
      <c r="F176" s="138"/>
      <c r="G176" s="138"/>
      <c r="H176" s="138"/>
      <c r="I176" s="138"/>
      <c r="J176" s="138"/>
      <c r="K176" s="138"/>
      <c r="L176" s="138"/>
      <c r="M176" s="138"/>
      <c r="N176" s="139"/>
      <c r="O176" s="138"/>
      <c r="P176" s="138"/>
      <c r="Q176" s="141"/>
      <c r="R176" s="141"/>
      <c r="S176" s="141"/>
      <c r="T176" s="141"/>
      <c r="U176" s="141"/>
      <c r="V176" s="171"/>
      <c r="W176" s="84"/>
      <c r="X176" s="84"/>
    </row>
    <row r="177" spans="3:24" s="6" customFormat="1" ht="15.75" customHeight="1">
      <c r="C177" s="78" t="s">
        <v>222</v>
      </c>
      <c r="D177" s="78"/>
      <c r="E177" s="160">
        <v>255580</v>
      </c>
      <c r="F177" s="113">
        <v>0</v>
      </c>
      <c r="G177" s="113">
        <v>0</v>
      </c>
      <c r="H177" s="113">
        <v>0</v>
      </c>
      <c r="I177" s="113">
        <v>0</v>
      </c>
      <c r="J177" s="113">
        <v>0</v>
      </c>
      <c r="K177" s="113">
        <v>0</v>
      </c>
      <c r="L177" s="113">
        <v>0</v>
      </c>
      <c r="M177" s="113">
        <v>0</v>
      </c>
      <c r="N177" s="119">
        <v>254000</v>
      </c>
      <c r="O177" s="113">
        <v>0</v>
      </c>
      <c r="P177" s="113">
        <v>0</v>
      </c>
      <c r="Q177" s="119">
        <v>0</v>
      </c>
      <c r="R177" s="119">
        <v>0</v>
      </c>
      <c r="S177" s="119">
        <v>1080</v>
      </c>
      <c r="T177" s="119">
        <v>0</v>
      </c>
      <c r="U177" s="119">
        <v>0</v>
      </c>
      <c r="V177" s="119">
        <v>500</v>
      </c>
      <c r="W177" s="78" t="s">
        <v>222</v>
      </c>
      <c r="X177" s="78"/>
    </row>
    <row r="178" spans="3:24" s="6" customFormat="1" ht="15.75" customHeight="1">
      <c r="C178" s="84"/>
      <c r="D178" s="84" t="s">
        <v>34</v>
      </c>
      <c r="E178" s="165">
        <v>0</v>
      </c>
      <c r="F178" s="138">
        <v>0</v>
      </c>
      <c r="G178" s="138">
        <v>0</v>
      </c>
      <c r="H178" s="138">
        <v>0</v>
      </c>
      <c r="I178" s="138">
        <v>0</v>
      </c>
      <c r="J178" s="138">
        <v>0</v>
      </c>
      <c r="K178" s="138">
        <v>0</v>
      </c>
      <c r="L178" s="138">
        <v>0</v>
      </c>
      <c r="M178" s="138">
        <v>0</v>
      </c>
      <c r="N178" s="139">
        <v>0</v>
      </c>
      <c r="O178" s="138">
        <v>0</v>
      </c>
      <c r="P178" s="138">
        <v>0</v>
      </c>
      <c r="Q178" s="141">
        <v>0</v>
      </c>
      <c r="R178" s="141">
        <v>0</v>
      </c>
      <c r="S178" s="138">
        <v>0</v>
      </c>
      <c r="T178" s="138">
        <v>0</v>
      </c>
      <c r="U178" s="138">
        <v>0</v>
      </c>
      <c r="V178" s="173">
        <v>0</v>
      </c>
      <c r="W178" s="84"/>
      <c r="X178" s="84" t="s">
        <v>34</v>
      </c>
    </row>
    <row r="179" spans="3:24" s="6" customFormat="1" ht="15.75" customHeight="1">
      <c r="C179" s="84"/>
      <c r="D179" s="84" t="s">
        <v>33</v>
      </c>
      <c r="E179" s="165">
        <v>0</v>
      </c>
      <c r="F179" s="138">
        <v>0</v>
      </c>
      <c r="G179" s="138">
        <v>0</v>
      </c>
      <c r="H179" s="138">
        <v>0</v>
      </c>
      <c r="I179" s="138">
        <v>0</v>
      </c>
      <c r="J179" s="138">
        <v>0</v>
      </c>
      <c r="K179" s="138">
        <v>0</v>
      </c>
      <c r="L179" s="138">
        <v>0</v>
      </c>
      <c r="M179" s="138">
        <v>0</v>
      </c>
      <c r="N179" s="139">
        <v>0</v>
      </c>
      <c r="O179" s="138">
        <v>0</v>
      </c>
      <c r="P179" s="138">
        <v>0</v>
      </c>
      <c r="Q179" s="141">
        <v>0</v>
      </c>
      <c r="R179" s="141">
        <v>0</v>
      </c>
      <c r="S179" s="141">
        <v>0</v>
      </c>
      <c r="T179" s="141">
        <v>0</v>
      </c>
      <c r="U179" s="141">
        <v>0</v>
      </c>
      <c r="V179" s="171">
        <v>0</v>
      </c>
      <c r="W179" s="84"/>
      <c r="X179" s="84" t="s">
        <v>33</v>
      </c>
    </row>
    <row r="180" spans="3:24" s="6" customFormat="1" ht="15.75" customHeight="1">
      <c r="C180" s="84"/>
      <c r="D180" s="84" t="s">
        <v>32</v>
      </c>
      <c r="E180" s="165">
        <v>0</v>
      </c>
      <c r="F180" s="138">
        <v>0</v>
      </c>
      <c r="G180" s="138">
        <v>0</v>
      </c>
      <c r="H180" s="138">
        <v>0</v>
      </c>
      <c r="I180" s="138">
        <v>0</v>
      </c>
      <c r="J180" s="138">
        <v>0</v>
      </c>
      <c r="K180" s="138">
        <v>0</v>
      </c>
      <c r="L180" s="138">
        <v>0</v>
      </c>
      <c r="M180" s="138">
        <v>0</v>
      </c>
      <c r="N180" s="139">
        <v>0</v>
      </c>
      <c r="O180" s="138">
        <v>0</v>
      </c>
      <c r="P180" s="138">
        <v>0</v>
      </c>
      <c r="Q180" s="141">
        <v>0</v>
      </c>
      <c r="R180" s="141">
        <v>0</v>
      </c>
      <c r="S180" s="141">
        <v>0</v>
      </c>
      <c r="T180" s="141">
        <v>0</v>
      </c>
      <c r="U180" s="141">
        <v>0</v>
      </c>
      <c r="V180" s="171">
        <v>0</v>
      </c>
      <c r="W180" s="84"/>
      <c r="X180" s="84" t="s">
        <v>32</v>
      </c>
    </row>
    <row r="181" spans="3:24" s="6" customFormat="1" ht="15.75" customHeight="1">
      <c r="C181" s="84"/>
      <c r="D181" s="84" t="s">
        <v>31</v>
      </c>
      <c r="E181" s="165">
        <v>0</v>
      </c>
      <c r="F181" s="138">
        <v>0</v>
      </c>
      <c r="G181" s="138">
        <v>0</v>
      </c>
      <c r="H181" s="138">
        <v>0</v>
      </c>
      <c r="I181" s="138">
        <v>0</v>
      </c>
      <c r="J181" s="138">
        <v>0</v>
      </c>
      <c r="K181" s="138">
        <v>0</v>
      </c>
      <c r="L181" s="138">
        <v>0</v>
      </c>
      <c r="M181" s="138">
        <v>0</v>
      </c>
      <c r="N181" s="139">
        <v>0</v>
      </c>
      <c r="O181" s="138">
        <v>0</v>
      </c>
      <c r="P181" s="138">
        <v>0</v>
      </c>
      <c r="Q181" s="141">
        <v>0</v>
      </c>
      <c r="R181" s="141">
        <v>0</v>
      </c>
      <c r="S181" s="141">
        <v>0</v>
      </c>
      <c r="T181" s="141">
        <v>0</v>
      </c>
      <c r="U181" s="141">
        <v>0</v>
      </c>
      <c r="V181" s="171">
        <v>0</v>
      </c>
      <c r="W181" s="84"/>
      <c r="X181" s="84" t="s">
        <v>31</v>
      </c>
    </row>
    <row r="182" spans="3:24" s="6" customFormat="1" ht="15.75" customHeight="1">
      <c r="C182" s="84"/>
      <c r="D182" s="84" t="s">
        <v>30</v>
      </c>
      <c r="E182" s="165">
        <v>80</v>
      </c>
      <c r="F182" s="138">
        <v>0</v>
      </c>
      <c r="G182" s="138">
        <v>0</v>
      </c>
      <c r="H182" s="138">
        <v>0</v>
      </c>
      <c r="I182" s="138">
        <v>0</v>
      </c>
      <c r="J182" s="138">
        <v>0</v>
      </c>
      <c r="K182" s="138">
        <v>0</v>
      </c>
      <c r="L182" s="138">
        <v>0</v>
      </c>
      <c r="M182" s="138">
        <v>0</v>
      </c>
      <c r="N182" s="139">
        <v>0</v>
      </c>
      <c r="O182" s="138">
        <v>0</v>
      </c>
      <c r="P182" s="138">
        <v>0</v>
      </c>
      <c r="Q182" s="141">
        <v>0</v>
      </c>
      <c r="R182" s="141">
        <v>0</v>
      </c>
      <c r="S182" s="141">
        <v>80</v>
      </c>
      <c r="T182" s="141">
        <v>0</v>
      </c>
      <c r="U182" s="141">
        <v>0</v>
      </c>
      <c r="V182" s="171">
        <v>0</v>
      </c>
      <c r="W182" s="84"/>
      <c r="X182" s="84" t="s">
        <v>30</v>
      </c>
    </row>
    <row r="183" spans="3:24" s="6" customFormat="1" ht="15.75" customHeight="1">
      <c r="C183" s="84"/>
      <c r="D183" s="84" t="s">
        <v>29</v>
      </c>
      <c r="E183" s="165">
        <v>500</v>
      </c>
      <c r="F183" s="138">
        <v>0</v>
      </c>
      <c r="G183" s="138">
        <v>0</v>
      </c>
      <c r="H183" s="138">
        <v>0</v>
      </c>
      <c r="I183" s="138">
        <v>0</v>
      </c>
      <c r="J183" s="138">
        <v>0</v>
      </c>
      <c r="K183" s="138">
        <v>0</v>
      </c>
      <c r="L183" s="138">
        <v>0</v>
      </c>
      <c r="M183" s="138">
        <v>0</v>
      </c>
      <c r="N183" s="139">
        <v>0</v>
      </c>
      <c r="O183" s="138">
        <v>0</v>
      </c>
      <c r="P183" s="138">
        <v>0</v>
      </c>
      <c r="Q183" s="141">
        <v>0</v>
      </c>
      <c r="R183" s="141">
        <v>0</v>
      </c>
      <c r="S183" s="141">
        <v>0</v>
      </c>
      <c r="T183" s="141">
        <v>0</v>
      </c>
      <c r="U183" s="141">
        <v>0</v>
      </c>
      <c r="V183" s="171">
        <v>500</v>
      </c>
      <c r="W183" s="84"/>
      <c r="X183" s="84" t="s">
        <v>29</v>
      </c>
    </row>
    <row r="184" spans="3:24" s="6" customFormat="1" ht="15.75" customHeight="1">
      <c r="C184" s="84"/>
      <c r="D184" s="84" t="s">
        <v>28</v>
      </c>
      <c r="E184" s="165">
        <v>1000</v>
      </c>
      <c r="F184" s="138">
        <v>0</v>
      </c>
      <c r="G184" s="138">
        <v>0</v>
      </c>
      <c r="H184" s="138">
        <v>0</v>
      </c>
      <c r="I184" s="138">
        <v>0</v>
      </c>
      <c r="J184" s="138">
        <v>0</v>
      </c>
      <c r="K184" s="138">
        <v>0</v>
      </c>
      <c r="L184" s="138">
        <v>0</v>
      </c>
      <c r="M184" s="138">
        <v>0</v>
      </c>
      <c r="N184" s="139">
        <v>0</v>
      </c>
      <c r="O184" s="138">
        <v>0</v>
      </c>
      <c r="P184" s="138">
        <v>0</v>
      </c>
      <c r="Q184" s="141">
        <v>0</v>
      </c>
      <c r="R184" s="141">
        <v>0</v>
      </c>
      <c r="S184" s="141">
        <v>1000</v>
      </c>
      <c r="T184" s="141">
        <v>0</v>
      </c>
      <c r="U184" s="141">
        <v>0</v>
      </c>
      <c r="V184" s="171">
        <v>0</v>
      </c>
      <c r="W184" s="84"/>
      <c r="X184" s="84" t="s">
        <v>28</v>
      </c>
    </row>
    <row r="185" spans="3:24" s="6" customFormat="1" ht="15.75" customHeight="1">
      <c r="C185" s="84"/>
      <c r="D185" s="84" t="s">
        <v>27</v>
      </c>
      <c r="E185" s="165">
        <v>0</v>
      </c>
      <c r="F185" s="138">
        <v>0</v>
      </c>
      <c r="G185" s="138">
        <v>0</v>
      </c>
      <c r="H185" s="138">
        <v>0</v>
      </c>
      <c r="I185" s="138">
        <v>0</v>
      </c>
      <c r="J185" s="138">
        <v>0</v>
      </c>
      <c r="K185" s="138">
        <v>0</v>
      </c>
      <c r="L185" s="138">
        <v>0</v>
      </c>
      <c r="M185" s="138">
        <v>0</v>
      </c>
      <c r="N185" s="139">
        <v>0</v>
      </c>
      <c r="O185" s="138">
        <v>0</v>
      </c>
      <c r="P185" s="138">
        <v>0</v>
      </c>
      <c r="Q185" s="141">
        <v>0</v>
      </c>
      <c r="R185" s="141">
        <v>0</v>
      </c>
      <c r="S185" s="141">
        <v>0</v>
      </c>
      <c r="T185" s="141">
        <v>0</v>
      </c>
      <c r="U185" s="141">
        <v>0</v>
      </c>
      <c r="V185" s="171">
        <v>0</v>
      </c>
      <c r="W185" s="84"/>
      <c r="X185" s="84" t="s">
        <v>27</v>
      </c>
    </row>
    <row r="186" spans="3:24" s="6" customFormat="1" ht="15.75" customHeight="1">
      <c r="C186" s="84"/>
      <c r="D186" s="84" t="s">
        <v>26</v>
      </c>
      <c r="E186" s="165">
        <v>0</v>
      </c>
      <c r="F186" s="138">
        <v>0</v>
      </c>
      <c r="G186" s="138">
        <v>0</v>
      </c>
      <c r="H186" s="138">
        <v>0</v>
      </c>
      <c r="I186" s="138">
        <v>0</v>
      </c>
      <c r="J186" s="138">
        <v>0</v>
      </c>
      <c r="K186" s="138">
        <v>0</v>
      </c>
      <c r="L186" s="138">
        <v>0</v>
      </c>
      <c r="M186" s="138">
        <v>0</v>
      </c>
      <c r="N186" s="139">
        <v>0</v>
      </c>
      <c r="O186" s="138">
        <v>0</v>
      </c>
      <c r="P186" s="138">
        <v>0</v>
      </c>
      <c r="Q186" s="141">
        <v>0</v>
      </c>
      <c r="R186" s="141">
        <v>0</v>
      </c>
      <c r="S186" s="141">
        <v>0</v>
      </c>
      <c r="T186" s="141">
        <v>0</v>
      </c>
      <c r="U186" s="141">
        <v>0</v>
      </c>
      <c r="V186" s="171">
        <v>0</v>
      </c>
      <c r="W186" s="84"/>
      <c r="X186" s="84" t="s">
        <v>26</v>
      </c>
    </row>
    <row r="187" spans="3:24" s="6" customFormat="1" ht="15.75" customHeight="1">
      <c r="C187" s="84"/>
      <c r="D187" s="84" t="s">
        <v>25</v>
      </c>
      <c r="E187" s="165">
        <v>0</v>
      </c>
      <c r="F187" s="138">
        <v>0</v>
      </c>
      <c r="G187" s="138">
        <v>0</v>
      </c>
      <c r="H187" s="138">
        <v>0</v>
      </c>
      <c r="I187" s="138">
        <v>0</v>
      </c>
      <c r="J187" s="138">
        <v>0</v>
      </c>
      <c r="K187" s="138">
        <v>0</v>
      </c>
      <c r="L187" s="138">
        <v>0</v>
      </c>
      <c r="M187" s="138">
        <v>0</v>
      </c>
      <c r="N187" s="139">
        <v>0</v>
      </c>
      <c r="O187" s="138">
        <v>0</v>
      </c>
      <c r="P187" s="138">
        <v>0</v>
      </c>
      <c r="Q187" s="141">
        <v>0</v>
      </c>
      <c r="R187" s="141">
        <v>0</v>
      </c>
      <c r="S187" s="141">
        <v>0</v>
      </c>
      <c r="T187" s="141">
        <v>0</v>
      </c>
      <c r="U187" s="141">
        <v>0</v>
      </c>
      <c r="V187" s="171">
        <v>0</v>
      </c>
      <c r="W187" s="84"/>
      <c r="X187" s="84" t="s">
        <v>25</v>
      </c>
    </row>
    <row r="188" spans="3:24" s="6" customFormat="1" ht="15.75" customHeight="1" thickBot="1">
      <c r="C188" s="96"/>
      <c r="D188" s="96" t="s">
        <v>24</v>
      </c>
      <c r="E188" s="174">
        <v>254000</v>
      </c>
      <c r="F188" s="175">
        <v>0</v>
      </c>
      <c r="G188" s="175">
        <v>0</v>
      </c>
      <c r="H188" s="175">
        <v>0</v>
      </c>
      <c r="I188" s="175">
        <v>0</v>
      </c>
      <c r="J188" s="175">
        <v>0</v>
      </c>
      <c r="K188" s="175">
        <v>0</v>
      </c>
      <c r="L188" s="175">
        <v>0</v>
      </c>
      <c r="M188" s="175">
        <v>0</v>
      </c>
      <c r="N188" s="176">
        <v>254000</v>
      </c>
      <c r="O188" s="175">
        <v>0</v>
      </c>
      <c r="P188" s="175">
        <v>0</v>
      </c>
      <c r="Q188" s="177">
        <v>0</v>
      </c>
      <c r="R188" s="177">
        <v>0</v>
      </c>
      <c r="S188" s="177">
        <v>0</v>
      </c>
      <c r="T188" s="177">
        <v>0</v>
      </c>
      <c r="U188" s="177">
        <v>0</v>
      </c>
      <c r="V188" s="178">
        <v>0</v>
      </c>
      <c r="W188" s="96"/>
      <c r="X188" s="96" t="s">
        <v>24</v>
      </c>
    </row>
    <row r="189" spans="3:24" s="6" customFormat="1" ht="15.75" customHeight="1">
      <c r="C189" s="84"/>
      <c r="D189" s="84"/>
      <c r="E189" s="101"/>
      <c r="F189" s="101"/>
      <c r="G189" s="101"/>
      <c r="H189" s="101"/>
      <c r="I189" s="101"/>
      <c r="J189" s="101"/>
      <c r="K189" s="101"/>
      <c r="L189" s="101"/>
      <c r="M189" s="101"/>
      <c r="N189" s="101"/>
      <c r="O189" s="101"/>
      <c r="P189" s="101"/>
      <c r="Q189" s="102"/>
      <c r="R189" s="102"/>
      <c r="S189" s="102"/>
      <c r="T189" s="102"/>
      <c r="U189" s="102"/>
      <c r="V189" s="102"/>
      <c r="W189" s="84"/>
      <c r="X189" s="84"/>
    </row>
    <row r="190" spans="3:24" s="7" customFormat="1" ht="15.75" customHeight="1">
      <c r="C190" s="103" t="s">
        <v>23</v>
      </c>
      <c r="D190" s="103"/>
      <c r="E190" s="103"/>
      <c r="F190" s="103"/>
      <c r="G190" s="103"/>
      <c r="H190" s="103"/>
      <c r="I190" s="103"/>
      <c r="J190" s="103"/>
      <c r="K190" s="103"/>
      <c r="L190" s="103"/>
      <c r="M190" s="103"/>
      <c r="N190" s="103"/>
      <c r="O190" s="103"/>
      <c r="P190" s="103"/>
      <c r="Q190" s="103"/>
      <c r="R190" s="103"/>
      <c r="S190" s="103"/>
      <c r="T190" s="103"/>
      <c r="U190" s="103"/>
      <c r="V190" s="103"/>
      <c r="W190" s="103"/>
      <c r="X190" s="103"/>
    </row>
    <row r="193" spans="3:24" s="6" customFormat="1" ht="21">
      <c r="C193" s="19" t="s">
        <v>113</v>
      </c>
      <c r="D193" s="26"/>
    </row>
    <row r="194" spans="3:24" s="6" customFormat="1" ht="15.75" customHeight="1" thickBot="1"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25"/>
    </row>
    <row r="195" spans="3:24" s="6" customFormat="1" ht="15.75" customHeight="1">
      <c r="C195" s="269" t="s">
        <v>61</v>
      </c>
      <c r="D195" s="269"/>
      <c r="E195" s="180" t="s">
        <v>79</v>
      </c>
      <c r="F195" s="73" t="s">
        <v>78</v>
      </c>
      <c r="G195" s="73" t="s">
        <v>77</v>
      </c>
      <c r="H195" s="73" t="s">
        <v>76</v>
      </c>
      <c r="I195" s="73" t="s">
        <v>75</v>
      </c>
      <c r="J195" s="73" t="s">
        <v>74</v>
      </c>
      <c r="K195" s="73" t="s">
        <v>73</v>
      </c>
      <c r="L195" s="73" t="s">
        <v>72</v>
      </c>
      <c r="M195" s="73" t="s">
        <v>71</v>
      </c>
      <c r="N195" s="73" t="s">
        <v>70</v>
      </c>
      <c r="O195" s="73" t="s">
        <v>69</v>
      </c>
      <c r="P195" s="73" t="s">
        <v>68</v>
      </c>
      <c r="Q195" s="73" t="s">
        <v>67</v>
      </c>
      <c r="R195" s="73" t="s">
        <v>66</v>
      </c>
      <c r="S195" s="73" t="s">
        <v>65</v>
      </c>
      <c r="T195" s="73" t="s">
        <v>64</v>
      </c>
      <c r="U195" s="73" t="s">
        <v>63</v>
      </c>
      <c r="V195" s="74" t="s">
        <v>62</v>
      </c>
      <c r="W195" s="273" t="s">
        <v>61</v>
      </c>
      <c r="X195" s="269"/>
    </row>
    <row r="196" spans="3:24" s="6" customFormat="1" ht="15.75" customHeight="1">
      <c r="C196" s="270"/>
      <c r="D196" s="270"/>
      <c r="E196" s="181" t="s">
        <v>22</v>
      </c>
      <c r="F196" s="76" t="s">
        <v>60</v>
      </c>
      <c r="G196" s="76" t="s">
        <v>59</v>
      </c>
      <c r="H196" s="76" t="s">
        <v>58</v>
      </c>
      <c r="I196" s="76" t="s">
        <v>57</v>
      </c>
      <c r="J196" s="76" t="s">
        <v>56</v>
      </c>
      <c r="K196" s="76" t="s">
        <v>55</v>
      </c>
      <c r="L196" s="76" t="s">
        <v>54</v>
      </c>
      <c r="M196" s="76" t="s">
        <v>53</v>
      </c>
      <c r="N196" s="76" t="s">
        <v>52</v>
      </c>
      <c r="O196" s="76" t="s">
        <v>51</v>
      </c>
      <c r="P196" s="76" t="s">
        <v>50</v>
      </c>
      <c r="Q196" s="76" t="s">
        <v>49</v>
      </c>
      <c r="R196" s="76" t="s">
        <v>48</v>
      </c>
      <c r="S196" s="76" t="s">
        <v>47</v>
      </c>
      <c r="T196" s="76" t="s">
        <v>46</v>
      </c>
      <c r="U196" s="76" t="s">
        <v>45</v>
      </c>
      <c r="V196" s="77" t="s">
        <v>44</v>
      </c>
      <c r="W196" s="274"/>
      <c r="X196" s="270"/>
    </row>
    <row r="197" spans="3:24" s="12" customFormat="1" ht="15.75" customHeight="1">
      <c r="C197" s="78" t="s">
        <v>211</v>
      </c>
      <c r="D197" s="79"/>
      <c r="E197" s="182">
        <v>280167.4825290874</v>
      </c>
      <c r="F197" s="81">
        <v>19621.140131999899</v>
      </c>
      <c r="G197" s="81">
        <v>3661.3771998719999</v>
      </c>
      <c r="H197" s="81">
        <v>10316.882158607999</v>
      </c>
      <c r="I197" s="81">
        <v>9926.3023465271999</v>
      </c>
      <c r="J197" s="81">
        <v>3890.75324112</v>
      </c>
      <c r="K197" s="81">
        <v>6878.8223231639904</v>
      </c>
      <c r="L197" s="81">
        <v>4751.3917690919998</v>
      </c>
      <c r="M197" s="81">
        <v>17056.450540212001</v>
      </c>
      <c r="N197" s="81">
        <v>60275.8060306634</v>
      </c>
      <c r="O197" s="81">
        <v>24333.8272621584</v>
      </c>
      <c r="P197" s="81">
        <v>14229.7779177996</v>
      </c>
      <c r="Q197" s="82">
        <v>24007.421102865599</v>
      </c>
      <c r="R197" s="82">
        <v>23774.6529932255</v>
      </c>
      <c r="S197" s="82">
        <v>19588.990608239899</v>
      </c>
      <c r="T197" s="82">
        <v>19895.924119439998</v>
      </c>
      <c r="U197" s="82">
        <v>16159.566894419901</v>
      </c>
      <c r="V197" s="83">
        <v>1798.39588968</v>
      </c>
      <c r="W197" s="78" t="s">
        <v>211</v>
      </c>
      <c r="X197" s="79"/>
    </row>
    <row r="198" spans="3:24" s="12" customFormat="1" ht="15.75" customHeight="1">
      <c r="C198" s="78" t="s">
        <v>225</v>
      </c>
      <c r="D198" s="78"/>
      <c r="E198" s="182">
        <v>1687322.1396666663</v>
      </c>
      <c r="F198" s="81">
        <v>117054.227</v>
      </c>
      <c r="G198" s="81">
        <v>23241.795999999998</v>
      </c>
      <c r="H198" s="81">
        <v>62370.135999999999</v>
      </c>
      <c r="I198" s="81">
        <v>63007.838000000003</v>
      </c>
      <c r="J198" s="81">
        <v>22320.421999999999</v>
      </c>
      <c r="K198" s="81">
        <v>42000.358999999997</v>
      </c>
      <c r="L198" s="81">
        <v>28320.083999999999</v>
      </c>
      <c r="M198" s="81">
        <v>105011.658</v>
      </c>
      <c r="N198" s="81">
        <v>362538.25349999999</v>
      </c>
      <c r="O198" s="81">
        <v>150399.45600000001</v>
      </c>
      <c r="P198" s="81">
        <v>85119.532500000001</v>
      </c>
      <c r="Q198" s="82">
        <v>144777.701</v>
      </c>
      <c r="R198" s="82">
        <v>145256.79800000001</v>
      </c>
      <c r="S198" s="82">
        <v>114634.051666666</v>
      </c>
      <c r="T198" s="82">
        <v>121175.664</v>
      </c>
      <c r="U198" s="82">
        <v>90103.407000000007</v>
      </c>
      <c r="V198" s="83">
        <v>9990.7559999999994</v>
      </c>
      <c r="W198" s="78" t="s">
        <v>225</v>
      </c>
      <c r="X198" s="78"/>
    </row>
    <row r="199" spans="3:24" s="6" customFormat="1" ht="15.75" customHeight="1">
      <c r="C199" s="84"/>
      <c r="D199" s="84"/>
      <c r="E199" s="183"/>
      <c r="F199" s="86"/>
      <c r="G199" s="86"/>
      <c r="H199" s="86"/>
      <c r="I199" s="86"/>
      <c r="J199" s="86"/>
      <c r="K199" s="86"/>
      <c r="L199" s="86"/>
      <c r="M199" s="86"/>
      <c r="N199" s="86"/>
      <c r="O199" s="86"/>
      <c r="P199" s="86"/>
      <c r="Q199" s="87"/>
      <c r="R199" s="87"/>
      <c r="S199" s="87"/>
      <c r="T199" s="87"/>
      <c r="U199" s="87"/>
      <c r="V199" s="88"/>
      <c r="W199" s="84"/>
      <c r="X199" s="84"/>
    </row>
    <row r="200" spans="3:24" s="6" customFormat="1" ht="15.75" customHeight="1">
      <c r="C200" s="78" t="s">
        <v>43</v>
      </c>
      <c r="D200" s="78"/>
      <c r="E200" s="182"/>
      <c r="F200" s="82"/>
      <c r="G200" s="82"/>
      <c r="H200" s="82"/>
      <c r="I200" s="82"/>
      <c r="J200" s="82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9"/>
      <c r="W200" s="78" t="s">
        <v>43</v>
      </c>
      <c r="X200" s="78"/>
    </row>
    <row r="201" spans="3:24" s="12" customFormat="1" ht="15.75" customHeight="1">
      <c r="C201" s="84"/>
      <c r="D201" s="90" t="s">
        <v>213</v>
      </c>
      <c r="E201" s="183">
        <v>87605.29</v>
      </c>
      <c r="F201" s="86">
        <v>1788</v>
      </c>
      <c r="G201" s="86">
        <v>2401.27</v>
      </c>
      <c r="H201" s="86">
        <v>2785.8199999999902</v>
      </c>
      <c r="I201" s="86">
        <v>5686.75</v>
      </c>
      <c r="J201" s="86">
        <v>17.5</v>
      </c>
      <c r="K201" s="86">
        <v>2137.64</v>
      </c>
      <c r="L201" s="86">
        <v>431.98</v>
      </c>
      <c r="M201" s="86">
        <v>10618.01</v>
      </c>
      <c r="N201" s="86">
        <v>18536.13</v>
      </c>
      <c r="O201" s="86">
        <v>12194.7</v>
      </c>
      <c r="P201" s="86">
        <v>4132.88</v>
      </c>
      <c r="Q201" s="87">
        <v>7892.1</v>
      </c>
      <c r="R201" s="87">
        <v>7484.36</v>
      </c>
      <c r="S201" s="87">
        <v>3841.82</v>
      </c>
      <c r="T201" s="87">
        <v>5797.05</v>
      </c>
      <c r="U201" s="87">
        <v>1544.28</v>
      </c>
      <c r="V201" s="88">
        <v>315</v>
      </c>
      <c r="W201" s="84"/>
      <c r="X201" s="90" t="s">
        <v>213</v>
      </c>
    </row>
    <row r="202" spans="3:24" s="6" customFormat="1" ht="15.75" customHeight="1">
      <c r="C202" s="84"/>
      <c r="D202" s="90" t="s">
        <v>214</v>
      </c>
      <c r="E202" s="183">
        <v>113256.65000000001</v>
      </c>
      <c r="F202" s="86">
        <v>9584.85</v>
      </c>
      <c r="G202" s="86">
        <v>2524.0700000000002</v>
      </c>
      <c r="H202" s="86">
        <v>4943.16</v>
      </c>
      <c r="I202" s="86">
        <v>7642.08</v>
      </c>
      <c r="J202" s="86">
        <v>393.82</v>
      </c>
      <c r="K202" s="86">
        <v>5284.42</v>
      </c>
      <c r="L202" s="86">
        <v>1985.53</v>
      </c>
      <c r="M202" s="86">
        <v>2154.14</v>
      </c>
      <c r="N202" s="86">
        <v>21891.61</v>
      </c>
      <c r="O202" s="86">
        <v>12496.64</v>
      </c>
      <c r="P202" s="86">
        <v>4465.58</v>
      </c>
      <c r="Q202" s="87">
        <v>11861.78</v>
      </c>
      <c r="R202" s="87">
        <v>11092.77</v>
      </c>
      <c r="S202" s="87">
        <v>1941.37</v>
      </c>
      <c r="T202" s="87">
        <v>10537.57</v>
      </c>
      <c r="U202" s="87">
        <v>4457.26</v>
      </c>
      <c r="V202" s="88">
        <v>0</v>
      </c>
      <c r="W202" s="84"/>
      <c r="X202" s="90" t="s">
        <v>214</v>
      </c>
    </row>
    <row r="203" spans="3:24" s="6" customFormat="1" ht="15.75" customHeight="1">
      <c r="C203" s="84"/>
      <c r="D203" s="90" t="s">
        <v>215</v>
      </c>
      <c r="E203" s="183">
        <v>79130.45199999999</v>
      </c>
      <c r="F203" s="86">
        <v>8195.68</v>
      </c>
      <c r="G203" s="86">
        <v>1410.38</v>
      </c>
      <c r="H203" s="86">
        <v>9776.56</v>
      </c>
      <c r="I203" s="86">
        <v>1065.57</v>
      </c>
      <c r="J203" s="86">
        <v>225.79</v>
      </c>
      <c r="K203" s="86">
        <v>4765.58</v>
      </c>
      <c r="L203" s="86">
        <v>1414.36</v>
      </c>
      <c r="M203" s="86">
        <v>2833.5299999999902</v>
      </c>
      <c r="N203" s="86">
        <v>15895.332</v>
      </c>
      <c r="O203" s="86">
        <v>8016.03</v>
      </c>
      <c r="P203" s="86">
        <v>4064.66</v>
      </c>
      <c r="Q203" s="87">
        <v>5626.35</v>
      </c>
      <c r="R203" s="87">
        <v>4814.84</v>
      </c>
      <c r="S203" s="87">
        <v>4467.6000000000004</v>
      </c>
      <c r="T203" s="87">
        <v>4403.8900000000003</v>
      </c>
      <c r="U203" s="87">
        <v>2154.2999999999902</v>
      </c>
      <c r="V203" s="88">
        <v>0</v>
      </c>
      <c r="W203" s="84"/>
      <c r="X203" s="90" t="s">
        <v>215</v>
      </c>
    </row>
    <row r="204" spans="3:24" s="6" customFormat="1" ht="15.75" customHeight="1">
      <c r="C204" s="84"/>
      <c r="D204" s="93"/>
      <c r="E204" s="183"/>
      <c r="F204" s="86"/>
      <c r="G204" s="86"/>
      <c r="H204" s="86"/>
      <c r="I204" s="86"/>
      <c r="J204" s="86"/>
      <c r="K204" s="86"/>
      <c r="L204" s="86"/>
      <c r="M204" s="86"/>
      <c r="N204" s="86"/>
      <c r="O204" s="86"/>
      <c r="P204" s="86"/>
      <c r="Q204" s="87"/>
      <c r="R204" s="87"/>
      <c r="S204" s="87"/>
      <c r="T204" s="87"/>
      <c r="U204" s="87"/>
      <c r="V204" s="88"/>
      <c r="W204" s="84"/>
      <c r="X204" s="93"/>
    </row>
    <row r="205" spans="3:24" s="12" customFormat="1" ht="15.75" customHeight="1">
      <c r="C205" s="78" t="s">
        <v>221</v>
      </c>
      <c r="D205" s="79"/>
      <c r="E205" s="184">
        <v>1687322.1396666667</v>
      </c>
      <c r="F205" s="185">
        <v>117054.227</v>
      </c>
      <c r="G205" s="185">
        <v>23241.796000000002</v>
      </c>
      <c r="H205" s="185">
        <v>62370.135999999911</v>
      </c>
      <c r="I205" s="185">
        <v>63007.838000000003</v>
      </c>
      <c r="J205" s="185">
        <v>22320.421999999999</v>
      </c>
      <c r="K205" s="185">
        <v>42000.358999999997</v>
      </c>
      <c r="L205" s="185">
        <v>28320.083999999999</v>
      </c>
      <c r="M205" s="185">
        <v>105011.65800000001</v>
      </c>
      <c r="N205" s="185">
        <v>362538.25349999993</v>
      </c>
      <c r="O205" s="185">
        <v>150399.45599999998</v>
      </c>
      <c r="P205" s="185">
        <v>85119.532500000001</v>
      </c>
      <c r="Q205" s="185">
        <v>144777.701</v>
      </c>
      <c r="R205" s="185">
        <v>145256.79800000001</v>
      </c>
      <c r="S205" s="185">
        <v>114634.05166666661</v>
      </c>
      <c r="T205" s="185">
        <v>121175.66400000002</v>
      </c>
      <c r="U205" s="185">
        <v>90103.407000000007</v>
      </c>
      <c r="V205" s="186">
        <v>9990.7560000000012</v>
      </c>
      <c r="W205" s="78" t="s">
        <v>216</v>
      </c>
      <c r="X205" s="79"/>
    </row>
    <row r="206" spans="3:24" s="12" customFormat="1" ht="15.75" customHeight="1">
      <c r="C206" s="93"/>
      <c r="D206" s="94" t="s">
        <v>42</v>
      </c>
      <c r="E206" s="183">
        <v>312526.15399999998</v>
      </c>
      <c r="F206" s="86">
        <v>6690.9</v>
      </c>
      <c r="G206" s="86">
        <v>948</v>
      </c>
      <c r="H206" s="86">
        <v>3736.72</v>
      </c>
      <c r="I206" s="86">
        <v>10434.858</v>
      </c>
      <c r="J206" s="86">
        <v>647.5</v>
      </c>
      <c r="K206" s="86">
        <v>1335.4</v>
      </c>
      <c r="L206" s="86">
        <v>400.5</v>
      </c>
      <c r="M206" s="86">
        <v>1924.8</v>
      </c>
      <c r="N206" s="86">
        <v>127250.601</v>
      </c>
      <c r="O206" s="86">
        <v>51396.207999999999</v>
      </c>
      <c r="P206" s="86">
        <v>13966.829</v>
      </c>
      <c r="Q206" s="87">
        <v>39741.438999999998</v>
      </c>
      <c r="R206" s="87">
        <v>13405.019</v>
      </c>
      <c r="S206" s="87">
        <v>8894.5</v>
      </c>
      <c r="T206" s="87">
        <v>23764.38</v>
      </c>
      <c r="U206" s="87">
        <v>7673.5</v>
      </c>
      <c r="V206" s="88">
        <v>315</v>
      </c>
      <c r="W206" s="93"/>
      <c r="X206" s="94" t="s">
        <v>42</v>
      </c>
    </row>
    <row r="207" spans="3:24" s="12" customFormat="1" ht="15.75" customHeight="1">
      <c r="C207" s="84"/>
      <c r="D207" s="94" t="s">
        <v>41</v>
      </c>
      <c r="E207" s="183">
        <v>727767.84549999982</v>
      </c>
      <c r="F207" s="86">
        <v>81309.764999999999</v>
      </c>
      <c r="G207" s="86">
        <v>14403.936</v>
      </c>
      <c r="H207" s="86">
        <v>36949.222999999998</v>
      </c>
      <c r="I207" s="86">
        <v>34691.311000000002</v>
      </c>
      <c r="J207" s="86">
        <v>10777.002</v>
      </c>
      <c r="K207" s="86">
        <v>28059.224999999999</v>
      </c>
      <c r="L207" s="86">
        <v>21258.217000000001</v>
      </c>
      <c r="M207" s="86">
        <v>46101.671999999999</v>
      </c>
      <c r="N207" s="86">
        <v>129901.08349999999</v>
      </c>
      <c r="O207" s="86">
        <v>58172.322999999997</v>
      </c>
      <c r="P207" s="86">
        <v>39239.559000000001</v>
      </c>
      <c r="Q207" s="87">
        <v>48973.337</v>
      </c>
      <c r="R207" s="87">
        <v>44706.932999999997</v>
      </c>
      <c r="S207" s="87">
        <v>36112.499000000003</v>
      </c>
      <c r="T207" s="87">
        <v>61076.531000000003</v>
      </c>
      <c r="U207" s="87">
        <v>34712.769</v>
      </c>
      <c r="V207" s="88">
        <v>1322.46</v>
      </c>
      <c r="W207" s="84"/>
      <c r="X207" s="94" t="s">
        <v>41</v>
      </c>
    </row>
    <row r="208" spans="3:24" s="12" customFormat="1" ht="15.75" customHeight="1">
      <c r="C208" s="84"/>
      <c r="D208" s="94" t="s">
        <v>40</v>
      </c>
      <c r="E208" s="183">
        <v>229544.36366666647</v>
      </c>
      <c r="F208" s="86">
        <v>8910.2019999999993</v>
      </c>
      <c r="G208" s="86">
        <v>2162.5700000000002</v>
      </c>
      <c r="H208" s="86">
        <v>12076.262999999901</v>
      </c>
      <c r="I208" s="86">
        <v>10569.239</v>
      </c>
      <c r="J208" s="86">
        <v>5112.92</v>
      </c>
      <c r="K208" s="86">
        <v>6252.2139999999999</v>
      </c>
      <c r="L208" s="86">
        <v>4666.9009999999998</v>
      </c>
      <c r="M208" s="86">
        <v>42735.29</v>
      </c>
      <c r="N208" s="86">
        <v>42233.841</v>
      </c>
      <c r="O208" s="86">
        <v>12715.012000000001</v>
      </c>
      <c r="P208" s="86">
        <v>12820.998</v>
      </c>
      <c r="Q208" s="87">
        <v>21836.241999999998</v>
      </c>
      <c r="R208" s="87">
        <v>15457.543</v>
      </c>
      <c r="S208" s="87">
        <v>13608.880666666601</v>
      </c>
      <c r="T208" s="87">
        <v>10288.338</v>
      </c>
      <c r="U208" s="87">
        <v>8097.91</v>
      </c>
      <c r="V208" s="88">
        <v>0</v>
      </c>
      <c r="W208" s="84"/>
      <c r="X208" s="94" t="s">
        <v>40</v>
      </c>
    </row>
    <row r="209" spans="3:24" s="12" customFormat="1" ht="15.75" customHeight="1">
      <c r="C209" s="84"/>
      <c r="D209" s="94" t="s">
        <v>39</v>
      </c>
      <c r="E209" s="183">
        <v>72449.180000000008</v>
      </c>
      <c r="F209" s="86">
        <v>5712.89</v>
      </c>
      <c r="G209" s="86">
        <v>465.52</v>
      </c>
      <c r="H209" s="86">
        <v>4208.0200000000004</v>
      </c>
      <c r="I209" s="86">
        <v>1990.4</v>
      </c>
      <c r="J209" s="86">
        <v>4260.2</v>
      </c>
      <c r="K209" s="86">
        <v>455</v>
      </c>
      <c r="L209" s="86">
        <v>1144.2460000000001</v>
      </c>
      <c r="M209" s="86">
        <v>2067.9259999999999</v>
      </c>
      <c r="N209" s="86">
        <v>16842.431</v>
      </c>
      <c r="O209" s="86">
        <v>5181.2939999999999</v>
      </c>
      <c r="P209" s="86">
        <v>4110.9399999999996</v>
      </c>
      <c r="Q209" s="87">
        <v>9211.8919999999998</v>
      </c>
      <c r="R209" s="87">
        <v>6541.5</v>
      </c>
      <c r="S209" s="87">
        <v>2539.83</v>
      </c>
      <c r="T209" s="87">
        <v>4707.4279999999999</v>
      </c>
      <c r="U209" s="87">
        <v>3009.663</v>
      </c>
      <c r="V209" s="88">
        <v>0</v>
      </c>
      <c r="W209" s="84"/>
      <c r="X209" s="94" t="s">
        <v>39</v>
      </c>
    </row>
    <row r="210" spans="3:24" s="12" customFormat="1" ht="15.75" customHeight="1">
      <c r="C210" s="84"/>
      <c r="D210" s="94" t="s">
        <v>38</v>
      </c>
      <c r="E210" s="183">
        <v>29152.254999999972</v>
      </c>
      <c r="F210" s="86">
        <v>1501.19999999999</v>
      </c>
      <c r="G210" s="86">
        <v>0</v>
      </c>
      <c r="H210" s="86">
        <v>1509.37</v>
      </c>
      <c r="I210" s="86">
        <v>204.06</v>
      </c>
      <c r="J210" s="86">
        <v>398.8</v>
      </c>
      <c r="K210" s="86">
        <v>281</v>
      </c>
      <c r="L210" s="86">
        <v>301.05</v>
      </c>
      <c r="M210" s="86">
        <v>0</v>
      </c>
      <c r="N210" s="86">
        <v>12958.254999999999</v>
      </c>
      <c r="O210" s="86">
        <v>3076.5699999999902</v>
      </c>
      <c r="P210" s="86">
        <v>1651.41</v>
      </c>
      <c r="Q210" s="87">
        <v>2048.0299999999902</v>
      </c>
      <c r="R210" s="87">
        <v>1969.56</v>
      </c>
      <c r="S210" s="87">
        <v>1500</v>
      </c>
      <c r="T210" s="87">
        <v>893.49</v>
      </c>
      <c r="U210" s="87">
        <v>859.46</v>
      </c>
      <c r="V210" s="88">
        <v>0</v>
      </c>
      <c r="W210" s="84"/>
      <c r="X210" s="94" t="s">
        <v>38</v>
      </c>
    </row>
    <row r="211" spans="3:24" s="12" customFormat="1" ht="15.75" customHeight="1">
      <c r="C211" s="84"/>
      <c r="D211" s="94" t="s">
        <v>37</v>
      </c>
      <c r="E211" s="183">
        <v>30303.299999999992</v>
      </c>
      <c r="F211" s="86">
        <v>1804</v>
      </c>
      <c r="G211" s="86">
        <v>3359</v>
      </c>
      <c r="H211" s="86">
        <v>0</v>
      </c>
      <c r="I211" s="86">
        <v>1708</v>
      </c>
      <c r="J211" s="86">
        <v>0</v>
      </c>
      <c r="K211" s="86">
        <v>936.04</v>
      </c>
      <c r="L211" s="86">
        <v>159</v>
      </c>
      <c r="M211" s="86">
        <v>0</v>
      </c>
      <c r="N211" s="86">
        <v>4697.41</v>
      </c>
      <c r="O211" s="86">
        <v>5062.7199999999903</v>
      </c>
      <c r="P211" s="86">
        <v>3330.5</v>
      </c>
      <c r="Q211" s="87">
        <v>1695.02</v>
      </c>
      <c r="R211" s="87">
        <v>2579.44</v>
      </c>
      <c r="S211" s="87">
        <v>1091.2</v>
      </c>
      <c r="T211" s="87">
        <v>2059.02</v>
      </c>
      <c r="U211" s="87">
        <v>1541.95</v>
      </c>
      <c r="V211" s="88">
        <v>280</v>
      </c>
      <c r="W211" s="84"/>
      <c r="X211" s="94" t="s">
        <v>37</v>
      </c>
    </row>
    <row r="212" spans="3:24" s="12" customFormat="1" ht="15.75" customHeight="1">
      <c r="C212" s="84"/>
      <c r="D212" s="94" t="s">
        <v>35</v>
      </c>
      <c r="E212" s="183">
        <v>285579.04149999993</v>
      </c>
      <c r="F212" s="86">
        <v>11125.27</v>
      </c>
      <c r="G212" s="86">
        <v>1902.77</v>
      </c>
      <c r="H212" s="86">
        <v>3890.54</v>
      </c>
      <c r="I212" s="86">
        <v>3409.97</v>
      </c>
      <c r="J212" s="86">
        <v>1124</v>
      </c>
      <c r="K212" s="86">
        <v>4681.4799999999996</v>
      </c>
      <c r="L212" s="86">
        <v>390.17</v>
      </c>
      <c r="M212" s="86">
        <v>12181.97</v>
      </c>
      <c r="N212" s="86">
        <v>28654.632000000001</v>
      </c>
      <c r="O212" s="86">
        <v>14795.329</v>
      </c>
      <c r="P212" s="86">
        <v>9999.2965000000004</v>
      </c>
      <c r="Q212" s="87">
        <v>21271.741000000002</v>
      </c>
      <c r="R212" s="87">
        <v>60596.803</v>
      </c>
      <c r="S212" s="87">
        <v>50887.142</v>
      </c>
      <c r="T212" s="87">
        <v>18386.476999999999</v>
      </c>
      <c r="U212" s="87">
        <v>34208.154999999999</v>
      </c>
      <c r="V212" s="88">
        <v>8073.2960000000003</v>
      </c>
      <c r="W212" s="84"/>
      <c r="X212" s="94" t="s">
        <v>35</v>
      </c>
    </row>
    <row r="213" spans="3:24" s="12" customFormat="1" ht="15.75" customHeight="1">
      <c r="C213" s="84"/>
      <c r="D213" s="84"/>
      <c r="E213" s="183"/>
      <c r="F213" s="86"/>
      <c r="G213" s="86"/>
      <c r="H213" s="86"/>
      <c r="I213" s="86"/>
      <c r="J213" s="86"/>
      <c r="K213" s="86"/>
      <c r="L213" s="86"/>
      <c r="M213" s="86"/>
      <c r="N213" s="86"/>
      <c r="O213" s="86"/>
      <c r="P213" s="86"/>
      <c r="Q213" s="87"/>
      <c r="R213" s="87"/>
      <c r="S213" s="87"/>
      <c r="T213" s="87"/>
      <c r="U213" s="87"/>
      <c r="V213" s="88"/>
      <c r="W213" s="84"/>
      <c r="X213" s="84"/>
    </row>
    <row r="214" spans="3:24" s="12" customFormat="1" ht="15.75" customHeight="1">
      <c r="C214" s="78" t="s">
        <v>222</v>
      </c>
      <c r="D214" s="78"/>
      <c r="E214" s="182">
        <v>1687322.1396666667</v>
      </c>
      <c r="F214" s="81">
        <v>117054.22700000001</v>
      </c>
      <c r="G214" s="81">
        <v>23241.796000000002</v>
      </c>
      <c r="H214" s="81">
        <v>62370.135999999999</v>
      </c>
      <c r="I214" s="81">
        <v>63007.837999999902</v>
      </c>
      <c r="J214" s="81">
        <v>22320.422000000002</v>
      </c>
      <c r="K214" s="81">
        <v>42000.358999999989</v>
      </c>
      <c r="L214" s="81">
        <v>28320.084000000003</v>
      </c>
      <c r="M214" s="81">
        <v>105011.658</v>
      </c>
      <c r="N214" s="81">
        <v>362538.25350000005</v>
      </c>
      <c r="O214" s="81">
        <v>150399.45599999998</v>
      </c>
      <c r="P214" s="81">
        <v>85119.532500000001</v>
      </c>
      <c r="Q214" s="81">
        <v>144777.701</v>
      </c>
      <c r="R214" s="81">
        <v>145256.79800000001</v>
      </c>
      <c r="S214" s="81">
        <v>114634.05166666658</v>
      </c>
      <c r="T214" s="81">
        <v>121175.664</v>
      </c>
      <c r="U214" s="81">
        <v>90103.407000000007</v>
      </c>
      <c r="V214" s="83">
        <v>9990.7560000000012</v>
      </c>
      <c r="W214" s="78" t="s">
        <v>222</v>
      </c>
      <c r="X214" s="78"/>
    </row>
    <row r="215" spans="3:24" s="12" customFormat="1" ht="15.75" customHeight="1">
      <c r="C215" s="84"/>
      <c r="D215" s="84" t="s">
        <v>111</v>
      </c>
      <c r="E215" s="183">
        <v>303998.18400000001</v>
      </c>
      <c r="F215" s="95">
        <v>485.9</v>
      </c>
      <c r="G215" s="95">
        <v>558</v>
      </c>
      <c r="H215" s="95">
        <v>3341.22</v>
      </c>
      <c r="I215" s="95">
        <v>10441.858</v>
      </c>
      <c r="J215" s="95">
        <v>227.5</v>
      </c>
      <c r="K215" s="95">
        <v>1443.9</v>
      </c>
      <c r="L215" s="95">
        <v>400.5</v>
      </c>
      <c r="M215" s="95">
        <v>2397.3000000000002</v>
      </c>
      <c r="N215" s="95">
        <v>124041.141</v>
      </c>
      <c r="O215" s="95">
        <v>53829.307999999997</v>
      </c>
      <c r="P215" s="95">
        <v>14177.019</v>
      </c>
      <c r="Q215" s="95">
        <v>41499.739000000001</v>
      </c>
      <c r="R215" s="95">
        <v>12687.519</v>
      </c>
      <c r="S215" s="95">
        <v>5520.4</v>
      </c>
      <c r="T215" s="95">
        <v>24846.38</v>
      </c>
      <c r="U215" s="95">
        <v>8100.5</v>
      </c>
      <c r="V215" s="187">
        <v>0</v>
      </c>
      <c r="W215" s="84"/>
      <c r="X215" s="84" t="s">
        <v>111</v>
      </c>
    </row>
    <row r="216" spans="3:24" s="12" customFormat="1" ht="15.75" customHeight="1">
      <c r="C216" s="84"/>
      <c r="D216" s="84" t="s">
        <v>110</v>
      </c>
      <c r="E216" s="183">
        <v>14392.974</v>
      </c>
      <c r="F216" s="95">
        <v>948.80100000000004</v>
      </c>
      <c r="G216" s="95">
        <v>385.41199999999998</v>
      </c>
      <c r="H216" s="95">
        <v>257</v>
      </c>
      <c r="I216" s="95">
        <v>804.673</v>
      </c>
      <c r="J216" s="95">
        <v>35.200000000000003</v>
      </c>
      <c r="K216" s="95">
        <v>122.5</v>
      </c>
      <c r="L216" s="95">
        <v>360.83</v>
      </c>
      <c r="M216" s="95">
        <v>0</v>
      </c>
      <c r="N216" s="95">
        <v>3637.9960000000001</v>
      </c>
      <c r="O216" s="95">
        <v>1577.79</v>
      </c>
      <c r="P216" s="95">
        <v>469.10599999999999</v>
      </c>
      <c r="Q216" s="95">
        <v>1926.2159999999999</v>
      </c>
      <c r="R216" s="95">
        <v>1100.4000000000001</v>
      </c>
      <c r="S216" s="95">
        <v>979.5</v>
      </c>
      <c r="T216" s="95">
        <v>931.22</v>
      </c>
      <c r="U216" s="95">
        <v>821.33</v>
      </c>
      <c r="V216" s="187">
        <v>35</v>
      </c>
      <c r="W216" s="84"/>
      <c r="X216" s="84" t="s">
        <v>110</v>
      </c>
    </row>
    <row r="217" spans="3:24" s="12" customFormat="1" ht="15.75" customHeight="1">
      <c r="C217" s="84"/>
      <c r="D217" s="84" t="s">
        <v>109</v>
      </c>
      <c r="E217" s="183">
        <v>66237.501999999993</v>
      </c>
      <c r="F217" s="95">
        <v>8177.009</v>
      </c>
      <c r="G217" s="95">
        <v>2074.5639999999999</v>
      </c>
      <c r="H217" s="95">
        <v>1517.73</v>
      </c>
      <c r="I217" s="95">
        <v>1773.48</v>
      </c>
      <c r="J217" s="95">
        <v>479</v>
      </c>
      <c r="K217" s="95">
        <v>1987.1779999999901</v>
      </c>
      <c r="L217" s="95">
        <v>447.6</v>
      </c>
      <c r="M217" s="95">
        <v>563.17499999999995</v>
      </c>
      <c r="N217" s="95">
        <v>16207.950500000001</v>
      </c>
      <c r="O217" s="95">
        <v>6679.5519999999997</v>
      </c>
      <c r="P217" s="95">
        <v>5055.9684999999999</v>
      </c>
      <c r="Q217" s="95">
        <v>5437.2960000000003</v>
      </c>
      <c r="R217" s="95">
        <v>3443.82</v>
      </c>
      <c r="S217" s="95">
        <v>2216.0549999999998</v>
      </c>
      <c r="T217" s="95">
        <v>6298.3980000000001</v>
      </c>
      <c r="U217" s="95">
        <v>3281.7260000000001</v>
      </c>
      <c r="V217" s="187">
        <v>597</v>
      </c>
      <c r="W217" s="84"/>
      <c r="X217" s="84" t="s">
        <v>109</v>
      </c>
    </row>
    <row r="218" spans="3:24" s="12" customFormat="1" ht="15.75" customHeight="1">
      <c r="C218" s="84"/>
      <c r="D218" s="84" t="s">
        <v>108</v>
      </c>
      <c r="E218" s="183">
        <v>326684.72966666659</v>
      </c>
      <c r="F218" s="95">
        <v>36826.993000000002</v>
      </c>
      <c r="G218" s="95">
        <v>5230.03</v>
      </c>
      <c r="H218" s="95">
        <v>6988.5829999999996</v>
      </c>
      <c r="I218" s="95">
        <v>6176.2020000000002</v>
      </c>
      <c r="J218" s="95">
        <v>8621.009</v>
      </c>
      <c r="K218" s="95">
        <v>9695.1810000000005</v>
      </c>
      <c r="L218" s="95">
        <v>5845.1710000000003</v>
      </c>
      <c r="M218" s="95">
        <v>7064.25</v>
      </c>
      <c r="N218" s="95">
        <v>76818.024000000005</v>
      </c>
      <c r="O218" s="95">
        <v>22299.317999999999</v>
      </c>
      <c r="P218" s="95">
        <v>20072.04</v>
      </c>
      <c r="Q218" s="95">
        <v>28788.072</v>
      </c>
      <c r="R218" s="95">
        <v>23527.356</v>
      </c>
      <c r="S218" s="95">
        <v>25372.4566666666</v>
      </c>
      <c r="T218" s="95">
        <v>21636.518</v>
      </c>
      <c r="U218" s="95">
        <v>17208.27</v>
      </c>
      <c r="V218" s="187">
        <v>4515.2560000000003</v>
      </c>
      <c r="W218" s="84"/>
      <c r="X218" s="84" t="s">
        <v>108</v>
      </c>
    </row>
    <row r="219" spans="3:24" s="12" customFormat="1" ht="15.75" customHeight="1">
      <c r="C219" s="84"/>
      <c r="D219" s="84" t="s">
        <v>28</v>
      </c>
      <c r="E219" s="183">
        <v>441935.08400000003</v>
      </c>
      <c r="F219" s="95">
        <v>35171.864000000001</v>
      </c>
      <c r="G219" s="95">
        <v>8370.3700000000008</v>
      </c>
      <c r="H219" s="95">
        <v>16388.849999999999</v>
      </c>
      <c r="I219" s="95">
        <v>15853.455</v>
      </c>
      <c r="J219" s="95">
        <v>5985.6729999999998</v>
      </c>
      <c r="K219" s="95">
        <v>15654.67</v>
      </c>
      <c r="L219" s="95">
        <v>11828.976000000001</v>
      </c>
      <c r="M219" s="95">
        <v>33584.019</v>
      </c>
      <c r="N219" s="95">
        <v>74824.922000000006</v>
      </c>
      <c r="O219" s="95">
        <v>28520.754000000001</v>
      </c>
      <c r="P219" s="95">
        <v>24653.764999999999</v>
      </c>
      <c r="Q219" s="95">
        <v>42909.908000000003</v>
      </c>
      <c r="R219" s="95">
        <v>38753.413</v>
      </c>
      <c r="S219" s="95">
        <v>31942.28</v>
      </c>
      <c r="T219" s="95">
        <v>28292.183000000001</v>
      </c>
      <c r="U219" s="95">
        <v>27996.482</v>
      </c>
      <c r="V219" s="187">
        <v>1203.5</v>
      </c>
      <c r="W219" s="84"/>
      <c r="X219" s="84" t="s">
        <v>28</v>
      </c>
    </row>
    <row r="220" spans="3:24" s="12" customFormat="1" ht="15.75" customHeight="1">
      <c r="C220" s="84"/>
      <c r="D220" s="84" t="s">
        <v>107</v>
      </c>
      <c r="E220" s="183">
        <v>419314.50799999997</v>
      </c>
      <c r="F220" s="95">
        <v>27524.66</v>
      </c>
      <c r="G220" s="95">
        <v>6623.42</v>
      </c>
      <c r="H220" s="95">
        <v>21417.672999999999</v>
      </c>
      <c r="I220" s="95">
        <v>12225.82</v>
      </c>
      <c r="J220" s="95">
        <v>6972.04</v>
      </c>
      <c r="K220" s="95">
        <v>9834</v>
      </c>
      <c r="L220" s="95">
        <v>9437.0069999999996</v>
      </c>
      <c r="M220" s="95">
        <v>38179.525999999998</v>
      </c>
      <c r="N220" s="95">
        <v>56108.7</v>
      </c>
      <c r="O220" s="95">
        <v>31006.594000000001</v>
      </c>
      <c r="P220" s="95">
        <v>20691.633999999998</v>
      </c>
      <c r="Q220" s="95">
        <v>16548.54</v>
      </c>
      <c r="R220" s="95">
        <v>59097.15</v>
      </c>
      <c r="S220" s="95">
        <v>37711.68</v>
      </c>
      <c r="T220" s="95">
        <v>32790.964999999997</v>
      </c>
      <c r="U220" s="95">
        <v>29505.098999999998</v>
      </c>
      <c r="V220" s="187">
        <v>3640</v>
      </c>
      <c r="W220" s="84"/>
      <c r="X220" s="84" t="s">
        <v>107</v>
      </c>
    </row>
    <row r="221" spans="3:24" s="12" customFormat="1" ht="15.75" customHeight="1" thickBot="1">
      <c r="C221" s="96"/>
      <c r="D221" s="96" t="s">
        <v>106</v>
      </c>
      <c r="E221" s="188">
        <v>114759.15799999991</v>
      </c>
      <c r="F221" s="189">
        <v>7919</v>
      </c>
      <c r="G221" s="189">
        <v>0</v>
      </c>
      <c r="H221" s="189">
        <v>12459.08</v>
      </c>
      <c r="I221" s="189">
        <v>15732.3499999999</v>
      </c>
      <c r="J221" s="189">
        <v>0</v>
      </c>
      <c r="K221" s="189">
        <v>3262.93</v>
      </c>
      <c r="L221" s="189">
        <v>0</v>
      </c>
      <c r="M221" s="189">
        <v>23223.387999999999</v>
      </c>
      <c r="N221" s="189">
        <v>10899.52</v>
      </c>
      <c r="O221" s="189">
        <v>6486.1399999999903</v>
      </c>
      <c r="P221" s="189">
        <v>0</v>
      </c>
      <c r="Q221" s="189">
        <v>7667.93</v>
      </c>
      <c r="R221" s="189">
        <v>6647.14</v>
      </c>
      <c r="S221" s="189">
        <v>10891.68</v>
      </c>
      <c r="T221" s="189">
        <v>6380</v>
      </c>
      <c r="U221" s="189">
        <v>3190</v>
      </c>
      <c r="V221" s="190">
        <v>0</v>
      </c>
      <c r="W221" s="96"/>
      <c r="X221" s="96" t="s">
        <v>106</v>
      </c>
    </row>
    <row r="222" spans="3:24" s="6" customFormat="1" ht="15.75" customHeight="1">
      <c r="C222" s="84"/>
      <c r="D222" s="84"/>
      <c r="E222" s="191"/>
      <c r="F222" s="101"/>
      <c r="G222" s="101"/>
      <c r="H222" s="101"/>
      <c r="I222" s="101"/>
      <c r="J222" s="101"/>
      <c r="K222" s="101"/>
      <c r="L222" s="101"/>
      <c r="M222" s="101"/>
      <c r="N222" s="101"/>
      <c r="O222" s="101"/>
      <c r="P222" s="101"/>
      <c r="Q222" s="102"/>
      <c r="R222" s="102"/>
      <c r="S222" s="102"/>
      <c r="T222" s="102"/>
      <c r="U222" s="102"/>
      <c r="V222" s="102"/>
      <c r="W222" s="84"/>
      <c r="X222" s="84"/>
    </row>
    <row r="223" spans="3:24" s="7" customFormat="1" ht="15.75" customHeight="1">
      <c r="C223" s="103" t="s">
        <v>226</v>
      </c>
      <c r="D223" s="103"/>
      <c r="E223" s="192"/>
      <c r="F223" s="103"/>
      <c r="G223" s="103"/>
      <c r="H223" s="103"/>
      <c r="I223" s="103"/>
      <c r="J223" s="103"/>
      <c r="K223" s="103"/>
      <c r="L223" s="103"/>
      <c r="M223" s="103"/>
      <c r="N223" s="103"/>
      <c r="O223" s="103"/>
      <c r="P223" s="103"/>
      <c r="Q223" s="103"/>
      <c r="R223" s="103"/>
      <c r="S223" s="103"/>
      <c r="T223" s="103"/>
      <c r="U223" s="103"/>
      <c r="V223" s="103"/>
      <c r="W223" s="103"/>
      <c r="X223" s="103"/>
    </row>
    <row r="224" spans="3:24" s="7" customFormat="1" ht="15.75" customHeight="1">
      <c r="C224" s="103" t="s">
        <v>105</v>
      </c>
      <c r="D224" s="103"/>
      <c r="E224" s="192"/>
      <c r="F224" s="103"/>
      <c r="G224" s="103"/>
      <c r="H224" s="103"/>
      <c r="I224" s="103"/>
      <c r="J224" s="103"/>
      <c r="K224" s="103"/>
      <c r="L224" s="103"/>
      <c r="M224" s="103"/>
      <c r="N224" s="103"/>
      <c r="O224" s="103"/>
      <c r="P224" s="103"/>
      <c r="Q224" s="103"/>
      <c r="R224" s="103"/>
      <c r="S224" s="103"/>
      <c r="T224" s="103"/>
      <c r="U224" s="103"/>
      <c r="V224" s="103"/>
      <c r="W224" s="103"/>
      <c r="X224" s="103"/>
    </row>
    <row r="227" spans="3:24" s="6" customFormat="1" ht="21">
      <c r="C227" s="19" t="s">
        <v>112</v>
      </c>
      <c r="D227" s="26"/>
    </row>
    <row r="228" spans="3:24" s="6" customFormat="1" ht="15.75" customHeight="1" thickBot="1"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25"/>
    </row>
    <row r="229" spans="3:24" s="6" customFormat="1" ht="15.75" customHeight="1">
      <c r="C229" s="269" t="s">
        <v>61</v>
      </c>
      <c r="D229" s="269"/>
      <c r="E229" s="72" t="s">
        <v>79</v>
      </c>
      <c r="F229" s="73" t="s">
        <v>78</v>
      </c>
      <c r="G229" s="73" t="s">
        <v>77</v>
      </c>
      <c r="H229" s="73" t="s">
        <v>76</v>
      </c>
      <c r="I229" s="73" t="s">
        <v>75</v>
      </c>
      <c r="J229" s="73" t="s">
        <v>74</v>
      </c>
      <c r="K229" s="73" t="s">
        <v>73</v>
      </c>
      <c r="L229" s="73" t="s">
        <v>72</v>
      </c>
      <c r="M229" s="73" t="s">
        <v>71</v>
      </c>
      <c r="N229" s="73" t="s">
        <v>70</v>
      </c>
      <c r="O229" s="73" t="s">
        <v>69</v>
      </c>
      <c r="P229" s="73" t="s">
        <v>68</v>
      </c>
      <c r="Q229" s="73" t="s">
        <v>67</v>
      </c>
      <c r="R229" s="73" t="s">
        <v>66</v>
      </c>
      <c r="S229" s="73" t="s">
        <v>65</v>
      </c>
      <c r="T229" s="73" t="s">
        <v>64</v>
      </c>
      <c r="U229" s="73" t="s">
        <v>63</v>
      </c>
      <c r="V229" s="74" t="s">
        <v>62</v>
      </c>
      <c r="W229" s="273" t="s">
        <v>61</v>
      </c>
      <c r="X229" s="269"/>
    </row>
    <row r="230" spans="3:24" s="6" customFormat="1" ht="15.75" customHeight="1">
      <c r="C230" s="270"/>
      <c r="D230" s="270"/>
      <c r="E230" s="75" t="s">
        <v>22</v>
      </c>
      <c r="F230" s="76" t="s">
        <v>60</v>
      </c>
      <c r="G230" s="76" t="s">
        <v>59</v>
      </c>
      <c r="H230" s="76" t="s">
        <v>58</v>
      </c>
      <c r="I230" s="76" t="s">
        <v>57</v>
      </c>
      <c r="J230" s="76" t="s">
        <v>56</v>
      </c>
      <c r="K230" s="76" t="s">
        <v>55</v>
      </c>
      <c r="L230" s="76" t="s">
        <v>54</v>
      </c>
      <c r="M230" s="76" t="s">
        <v>53</v>
      </c>
      <c r="N230" s="76" t="s">
        <v>52</v>
      </c>
      <c r="O230" s="76" t="s">
        <v>51</v>
      </c>
      <c r="P230" s="76" t="s">
        <v>50</v>
      </c>
      <c r="Q230" s="76" t="s">
        <v>49</v>
      </c>
      <c r="R230" s="76" t="s">
        <v>48</v>
      </c>
      <c r="S230" s="76" t="s">
        <v>47</v>
      </c>
      <c r="T230" s="76" t="s">
        <v>46</v>
      </c>
      <c r="U230" s="76" t="s">
        <v>45</v>
      </c>
      <c r="V230" s="77" t="s">
        <v>44</v>
      </c>
      <c r="W230" s="274"/>
      <c r="X230" s="270"/>
    </row>
    <row r="231" spans="3:24" s="12" customFormat="1" ht="15.75" customHeight="1">
      <c r="C231" s="78" t="s">
        <v>211</v>
      </c>
      <c r="D231" s="193"/>
      <c r="E231" s="80">
        <v>27546.339366328113</v>
      </c>
      <c r="F231" s="81">
        <v>17.969283102493002</v>
      </c>
      <c r="G231" s="81">
        <v>85.131188191172001</v>
      </c>
      <c r="H231" s="81">
        <v>0</v>
      </c>
      <c r="I231" s="81">
        <v>168.66634417029999</v>
      </c>
      <c r="J231" s="81">
        <v>0</v>
      </c>
      <c r="K231" s="81">
        <v>0</v>
      </c>
      <c r="L231" s="81">
        <v>17.2514676923076</v>
      </c>
      <c r="M231" s="81">
        <v>0</v>
      </c>
      <c r="N231" s="81">
        <v>96.560637270841397</v>
      </c>
      <c r="O231" s="81">
        <v>712.625441478619</v>
      </c>
      <c r="P231" s="81">
        <v>23.4444962349598</v>
      </c>
      <c r="Q231" s="82">
        <v>2103.2305611920101</v>
      </c>
      <c r="R231" s="82">
        <v>1033.13841857124</v>
      </c>
      <c r="S231" s="82">
        <v>15686.0140385838</v>
      </c>
      <c r="T231" s="82">
        <v>763.88468251216</v>
      </c>
      <c r="U231" s="82">
        <v>4848.7060801747602</v>
      </c>
      <c r="V231" s="83">
        <v>1989.7167271534499</v>
      </c>
      <c r="W231" s="78" t="s">
        <v>211</v>
      </c>
      <c r="X231" s="193"/>
    </row>
    <row r="232" spans="3:24" s="12" customFormat="1" ht="15.75" customHeight="1">
      <c r="C232" s="78" t="s">
        <v>225</v>
      </c>
      <c r="D232" s="78"/>
      <c r="E232" s="80">
        <v>480558.95600000001</v>
      </c>
      <c r="F232" s="81">
        <v>350</v>
      </c>
      <c r="G232" s="81">
        <v>1965.2</v>
      </c>
      <c r="H232" s="81">
        <v>0</v>
      </c>
      <c r="I232" s="81">
        <v>4760.8999999999996</v>
      </c>
      <c r="J232" s="81">
        <v>0</v>
      </c>
      <c r="K232" s="81">
        <v>0</v>
      </c>
      <c r="L232" s="81">
        <v>735</v>
      </c>
      <c r="M232" s="81">
        <v>0</v>
      </c>
      <c r="N232" s="81">
        <v>3334.63</v>
      </c>
      <c r="O232" s="81">
        <v>9632.7999999999993</v>
      </c>
      <c r="P232" s="81">
        <v>722.75</v>
      </c>
      <c r="Q232" s="82">
        <v>51151.847999999998</v>
      </c>
      <c r="R232" s="82">
        <v>31538.828000000001</v>
      </c>
      <c r="S232" s="82">
        <v>267991.25</v>
      </c>
      <c r="T232" s="82">
        <v>14348.35</v>
      </c>
      <c r="U232" s="82">
        <v>78451.899999999994</v>
      </c>
      <c r="V232" s="83">
        <v>15575.5</v>
      </c>
      <c r="W232" s="78" t="s">
        <v>225</v>
      </c>
      <c r="X232" s="78"/>
    </row>
    <row r="233" spans="3:24" s="6" customFormat="1" ht="15.75" customHeight="1">
      <c r="C233" s="84"/>
      <c r="D233" s="84"/>
      <c r="E233" s="85"/>
      <c r="F233" s="86"/>
      <c r="G233" s="86"/>
      <c r="H233" s="86"/>
      <c r="I233" s="86"/>
      <c r="J233" s="86"/>
      <c r="K233" s="86"/>
      <c r="L233" s="86"/>
      <c r="M233" s="86"/>
      <c r="N233" s="86"/>
      <c r="O233" s="86"/>
      <c r="P233" s="86"/>
      <c r="Q233" s="87"/>
      <c r="R233" s="87"/>
      <c r="S233" s="87"/>
      <c r="T233" s="87"/>
      <c r="U233" s="87"/>
      <c r="V233" s="88"/>
      <c r="W233" s="84"/>
      <c r="X233" s="84"/>
    </row>
    <row r="234" spans="3:24" s="12" customFormat="1" ht="15.75" customHeight="1">
      <c r="C234" s="78" t="s">
        <v>43</v>
      </c>
      <c r="D234" s="78"/>
      <c r="E234" s="80"/>
      <c r="F234" s="82"/>
      <c r="G234" s="82"/>
      <c r="H234" s="82"/>
      <c r="I234" s="82"/>
      <c r="J234" s="82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  <c r="V234" s="194"/>
      <c r="W234" s="195" t="s">
        <v>43</v>
      </c>
      <c r="X234" s="78"/>
    </row>
    <row r="235" spans="3:24" s="12" customFormat="1" ht="15.75" customHeight="1">
      <c r="C235" s="84"/>
      <c r="D235" s="90" t="s">
        <v>213</v>
      </c>
      <c r="E235" s="85">
        <v>42730.3</v>
      </c>
      <c r="F235" s="86">
        <v>0</v>
      </c>
      <c r="G235" s="86">
        <v>530.20000000000005</v>
      </c>
      <c r="H235" s="86">
        <v>0</v>
      </c>
      <c r="I235" s="86">
        <v>491.4</v>
      </c>
      <c r="J235" s="86">
        <v>0</v>
      </c>
      <c r="K235" s="86">
        <v>0</v>
      </c>
      <c r="L235" s="86">
        <v>0</v>
      </c>
      <c r="M235" s="86">
        <v>0</v>
      </c>
      <c r="N235" s="86">
        <v>0</v>
      </c>
      <c r="O235" s="86">
        <v>175</v>
      </c>
      <c r="P235" s="86">
        <v>350</v>
      </c>
      <c r="Q235" s="87">
        <v>5311.4</v>
      </c>
      <c r="R235" s="87">
        <v>5484.55</v>
      </c>
      <c r="S235" s="87">
        <v>21755</v>
      </c>
      <c r="T235" s="87">
        <v>1073.8499999999999</v>
      </c>
      <c r="U235" s="87">
        <v>6088.9</v>
      </c>
      <c r="V235" s="196">
        <v>1470</v>
      </c>
      <c r="W235" s="197"/>
      <c r="X235" s="90" t="s">
        <v>213</v>
      </c>
    </row>
    <row r="236" spans="3:24" s="12" customFormat="1" ht="15.75" customHeight="1">
      <c r="C236" s="84"/>
      <c r="D236" s="90" t="s">
        <v>214</v>
      </c>
      <c r="E236" s="85">
        <v>71159.929999999993</v>
      </c>
      <c r="F236" s="86">
        <v>0</v>
      </c>
      <c r="G236" s="86">
        <v>525</v>
      </c>
      <c r="H236" s="86">
        <v>0</v>
      </c>
      <c r="I236" s="86">
        <v>0</v>
      </c>
      <c r="J236" s="86">
        <v>0</v>
      </c>
      <c r="K236" s="86">
        <v>0</v>
      </c>
      <c r="L236" s="86">
        <v>735</v>
      </c>
      <c r="M236" s="86">
        <v>0</v>
      </c>
      <c r="N236" s="86">
        <v>2879.63</v>
      </c>
      <c r="O236" s="86">
        <v>715.05</v>
      </c>
      <c r="P236" s="86">
        <v>197.75</v>
      </c>
      <c r="Q236" s="87">
        <v>2984.5</v>
      </c>
      <c r="R236" s="87">
        <v>2494.9499999999998</v>
      </c>
      <c r="S236" s="87">
        <v>44201.35</v>
      </c>
      <c r="T236" s="87">
        <v>3101.7</v>
      </c>
      <c r="U236" s="87">
        <v>12535</v>
      </c>
      <c r="V236" s="196">
        <v>790</v>
      </c>
      <c r="W236" s="197"/>
      <c r="X236" s="90" t="s">
        <v>214</v>
      </c>
    </row>
    <row r="237" spans="3:24" s="12" customFormat="1" ht="15.75" customHeight="1">
      <c r="C237" s="84"/>
      <c r="D237" s="90" t="s">
        <v>215</v>
      </c>
      <c r="E237" s="85">
        <v>46401.5</v>
      </c>
      <c r="F237" s="86">
        <v>350</v>
      </c>
      <c r="G237" s="86">
        <v>0</v>
      </c>
      <c r="H237" s="86">
        <v>0</v>
      </c>
      <c r="I237" s="86">
        <v>0</v>
      </c>
      <c r="J237" s="86">
        <v>0</v>
      </c>
      <c r="K237" s="86">
        <v>0</v>
      </c>
      <c r="L237" s="86">
        <v>0</v>
      </c>
      <c r="M237" s="86">
        <v>0</v>
      </c>
      <c r="N237" s="86">
        <v>210</v>
      </c>
      <c r="O237" s="86">
        <v>980</v>
      </c>
      <c r="P237" s="86">
        <v>0</v>
      </c>
      <c r="Q237" s="87">
        <v>3851.5</v>
      </c>
      <c r="R237" s="87">
        <v>1586.5</v>
      </c>
      <c r="S237" s="87">
        <v>21913</v>
      </c>
      <c r="T237" s="87">
        <v>3185</v>
      </c>
      <c r="U237" s="87">
        <v>10780</v>
      </c>
      <c r="V237" s="196">
        <v>3545.5</v>
      </c>
      <c r="W237" s="197"/>
      <c r="X237" s="90" t="s">
        <v>215</v>
      </c>
    </row>
    <row r="238" spans="3:24" s="12" customFormat="1" ht="15.75" customHeight="1">
      <c r="C238" s="84"/>
      <c r="D238" s="93"/>
      <c r="E238" s="85"/>
      <c r="F238" s="86"/>
      <c r="G238" s="86"/>
      <c r="H238" s="86"/>
      <c r="I238" s="86"/>
      <c r="J238" s="86"/>
      <c r="K238" s="86"/>
      <c r="L238" s="86"/>
      <c r="M238" s="86"/>
      <c r="N238" s="86"/>
      <c r="O238" s="86"/>
      <c r="P238" s="86"/>
      <c r="Q238" s="87"/>
      <c r="R238" s="87"/>
      <c r="S238" s="87"/>
      <c r="T238" s="87"/>
      <c r="U238" s="87"/>
      <c r="V238" s="196"/>
      <c r="W238" s="197"/>
      <c r="X238" s="93"/>
    </row>
    <row r="239" spans="3:24" s="12" customFormat="1" ht="15.75" customHeight="1">
      <c r="C239" s="78" t="s">
        <v>221</v>
      </c>
      <c r="D239" s="79"/>
      <c r="E239" s="80">
        <v>480558.95600000001</v>
      </c>
      <c r="F239" s="81">
        <v>350</v>
      </c>
      <c r="G239" s="81">
        <v>1965.2</v>
      </c>
      <c r="H239" s="81">
        <v>0</v>
      </c>
      <c r="I239" s="81">
        <v>4760.8999999999996</v>
      </c>
      <c r="J239" s="81">
        <v>0</v>
      </c>
      <c r="K239" s="81">
        <v>0</v>
      </c>
      <c r="L239" s="81">
        <v>735</v>
      </c>
      <c r="M239" s="81">
        <v>0</v>
      </c>
      <c r="N239" s="81">
        <v>3334.63</v>
      </c>
      <c r="O239" s="81">
        <v>9632.7999999999993</v>
      </c>
      <c r="P239" s="81">
        <v>722.75</v>
      </c>
      <c r="Q239" s="81">
        <v>51151.847999999998</v>
      </c>
      <c r="R239" s="81">
        <v>31538.828000000001</v>
      </c>
      <c r="S239" s="81">
        <v>267991.25</v>
      </c>
      <c r="T239" s="81">
        <v>14348.349999999999</v>
      </c>
      <c r="U239" s="81">
        <v>78451.899999999994</v>
      </c>
      <c r="V239" s="194">
        <v>15575.5</v>
      </c>
      <c r="W239" s="78" t="s">
        <v>221</v>
      </c>
      <c r="X239" s="79"/>
    </row>
    <row r="240" spans="3:24" s="12" customFormat="1" ht="15.75" customHeight="1">
      <c r="C240" s="93"/>
      <c r="D240" s="94" t="s">
        <v>42</v>
      </c>
      <c r="E240" s="85">
        <v>0</v>
      </c>
      <c r="F240" s="86">
        <v>0</v>
      </c>
      <c r="G240" s="86">
        <v>0</v>
      </c>
      <c r="H240" s="86">
        <v>0</v>
      </c>
      <c r="I240" s="86">
        <v>0</v>
      </c>
      <c r="J240" s="86">
        <v>0</v>
      </c>
      <c r="K240" s="86">
        <v>0</v>
      </c>
      <c r="L240" s="86">
        <v>0</v>
      </c>
      <c r="M240" s="86">
        <v>0</v>
      </c>
      <c r="N240" s="86">
        <v>0</v>
      </c>
      <c r="O240" s="86">
        <v>0</v>
      </c>
      <c r="P240" s="86">
        <v>0</v>
      </c>
      <c r="Q240" s="87">
        <v>0</v>
      </c>
      <c r="R240" s="87">
        <v>0</v>
      </c>
      <c r="S240" s="87">
        <v>0</v>
      </c>
      <c r="T240" s="87">
        <v>0</v>
      </c>
      <c r="U240" s="87">
        <v>0</v>
      </c>
      <c r="V240" s="196">
        <v>0</v>
      </c>
      <c r="W240" s="198"/>
      <c r="X240" s="94" t="s">
        <v>42</v>
      </c>
    </row>
    <row r="241" spans="3:24" s="12" customFormat="1" ht="15.75" customHeight="1">
      <c r="C241" s="84"/>
      <c r="D241" s="94" t="s">
        <v>41</v>
      </c>
      <c r="E241" s="85">
        <v>3866.1499999999992</v>
      </c>
      <c r="F241" s="86">
        <v>350</v>
      </c>
      <c r="G241" s="86">
        <v>530.20000000000005</v>
      </c>
      <c r="H241" s="86">
        <v>0</v>
      </c>
      <c r="I241" s="86">
        <v>0</v>
      </c>
      <c r="J241" s="86">
        <v>0</v>
      </c>
      <c r="K241" s="86">
        <v>0</v>
      </c>
      <c r="L241" s="86">
        <v>0</v>
      </c>
      <c r="M241" s="86">
        <v>0</v>
      </c>
      <c r="N241" s="86">
        <v>569.45000000000005</v>
      </c>
      <c r="O241" s="86">
        <v>295.05</v>
      </c>
      <c r="P241" s="86">
        <v>197.75</v>
      </c>
      <c r="Q241" s="87">
        <v>312.39999999999998</v>
      </c>
      <c r="R241" s="87">
        <v>388.5</v>
      </c>
      <c r="S241" s="87">
        <v>294.349999999999</v>
      </c>
      <c r="T241" s="87">
        <v>853.55</v>
      </c>
      <c r="U241" s="87">
        <v>74.900000000000006</v>
      </c>
      <c r="V241" s="196">
        <v>0</v>
      </c>
      <c r="W241" s="197"/>
      <c r="X241" s="94" t="s">
        <v>41</v>
      </c>
    </row>
    <row r="242" spans="3:24" s="12" customFormat="1" ht="15.75" customHeight="1">
      <c r="C242" s="84"/>
      <c r="D242" s="94" t="s">
        <v>40</v>
      </c>
      <c r="E242" s="85">
        <v>210</v>
      </c>
      <c r="F242" s="86">
        <v>0</v>
      </c>
      <c r="G242" s="86">
        <v>0</v>
      </c>
      <c r="H242" s="86">
        <v>0</v>
      </c>
      <c r="I242" s="86">
        <v>0</v>
      </c>
      <c r="J242" s="86">
        <v>0</v>
      </c>
      <c r="K242" s="86">
        <v>0</v>
      </c>
      <c r="L242" s="86">
        <v>0</v>
      </c>
      <c r="M242" s="86">
        <v>0</v>
      </c>
      <c r="N242" s="86">
        <v>0</v>
      </c>
      <c r="O242" s="86">
        <v>0</v>
      </c>
      <c r="P242" s="86">
        <v>0</v>
      </c>
      <c r="Q242" s="87">
        <v>0</v>
      </c>
      <c r="R242" s="87">
        <v>0</v>
      </c>
      <c r="S242" s="87">
        <v>0</v>
      </c>
      <c r="T242" s="87">
        <v>0</v>
      </c>
      <c r="U242" s="87">
        <v>210</v>
      </c>
      <c r="V242" s="196">
        <v>0</v>
      </c>
      <c r="W242" s="197"/>
      <c r="X242" s="94" t="s">
        <v>40</v>
      </c>
    </row>
    <row r="243" spans="3:24" s="12" customFormat="1" ht="15.75" customHeight="1">
      <c r="C243" s="84"/>
      <c r="D243" s="94" t="s">
        <v>39</v>
      </c>
      <c r="E243" s="85">
        <v>0</v>
      </c>
      <c r="F243" s="86">
        <v>0</v>
      </c>
      <c r="G243" s="86">
        <v>0</v>
      </c>
      <c r="H243" s="86">
        <v>0</v>
      </c>
      <c r="I243" s="86">
        <v>0</v>
      </c>
      <c r="J243" s="86">
        <v>0</v>
      </c>
      <c r="K243" s="86">
        <v>0</v>
      </c>
      <c r="L243" s="86">
        <v>0</v>
      </c>
      <c r="M243" s="86">
        <v>0</v>
      </c>
      <c r="N243" s="86">
        <v>0</v>
      </c>
      <c r="O243" s="86">
        <v>0</v>
      </c>
      <c r="P243" s="86">
        <v>0</v>
      </c>
      <c r="Q243" s="87">
        <v>0</v>
      </c>
      <c r="R243" s="87">
        <v>0</v>
      </c>
      <c r="S243" s="87">
        <v>0</v>
      </c>
      <c r="T243" s="87">
        <v>0</v>
      </c>
      <c r="U243" s="87">
        <v>0</v>
      </c>
      <c r="V243" s="196">
        <v>0</v>
      </c>
      <c r="W243" s="197"/>
      <c r="X243" s="94" t="s">
        <v>39</v>
      </c>
    </row>
    <row r="244" spans="3:24" s="12" customFormat="1" ht="15.75" customHeight="1">
      <c r="C244" s="84"/>
      <c r="D244" s="94" t="s">
        <v>38</v>
      </c>
      <c r="E244" s="85">
        <v>2252</v>
      </c>
      <c r="F244" s="86">
        <v>0</v>
      </c>
      <c r="G244" s="86">
        <v>0</v>
      </c>
      <c r="H244" s="86">
        <v>0</v>
      </c>
      <c r="I244" s="86">
        <v>0</v>
      </c>
      <c r="J244" s="86">
        <v>0</v>
      </c>
      <c r="K244" s="86">
        <v>0</v>
      </c>
      <c r="L244" s="86">
        <v>0</v>
      </c>
      <c r="M244" s="86">
        <v>0</v>
      </c>
      <c r="N244" s="86">
        <v>0</v>
      </c>
      <c r="O244" s="86">
        <v>1750</v>
      </c>
      <c r="P244" s="86">
        <v>0</v>
      </c>
      <c r="Q244" s="87">
        <v>0</v>
      </c>
      <c r="R244" s="87">
        <v>0</v>
      </c>
      <c r="S244" s="87">
        <v>502</v>
      </c>
      <c r="T244" s="87">
        <v>0</v>
      </c>
      <c r="U244" s="87">
        <v>0</v>
      </c>
      <c r="V244" s="196">
        <v>0</v>
      </c>
      <c r="W244" s="197"/>
      <c r="X244" s="94" t="s">
        <v>38</v>
      </c>
    </row>
    <row r="245" spans="3:24" s="12" customFormat="1" ht="15.75" customHeight="1">
      <c r="C245" s="84"/>
      <c r="D245" s="94" t="s">
        <v>37</v>
      </c>
      <c r="E245" s="85">
        <v>0</v>
      </c>
      <c r="F245" s="86">
        <v>0</v>
      </c>
      <c r="G245" s="86">
        <v>0</v>
      </c>
      <c r="H245" s="86">
        <v>0</v>
      </c>
      <c r="I245" s="86">
        <v>0</v>
      </c>
      <c r="J245" s="86">
        <v>0</v>
      </c>
      <c r="K245" s="86">
        <v>0</v>
      </c>
      <c r="L245" s="86">
        <v>0</v>
      </c>
      <c r="M245" s="86">
        <v>0</v>
      </c>
      <c r="N245" s="86">
        <v>0</v>
      </c>
      <c r="O245" s="86">
        <v>0</v>
      </c>
      <c r="P245" s="86">
        <v>0</v>
      </c>
      <c r="Q245" s="87">
        <v>0</v>
      </c>
      <c r="R245" s="87">
        <v>0</v>
      </c>
      <c r="S245" s="87">
        <v>0</v>
      </c>
      <c r="T245" s="87">
        <v>0</v>
      </c>
      <c r="U245" s="87">
        <v>0</v>
      </c>
      <c r="V245" s="196">
        <v>0</v>
      </c>
      <c r="W245" s="197"/>
      <c r="X245" s="94" t="s">
        <v>37</v>
      </c>
    </row>
    <row r="246" spans="3:24" s="12" customFormat="1" ht="15.75" customHeight="1">
      <c r="C246" s="84"/>
      <c r="D246" s="94" t="s">
        <v>35</v>
      </c>
      <c r="E246" s="85">
        <v>474230.80600000004</v>
      </c>
      <c r="F246" s="86">
        <v>0</v>
      </c>
      <c r="G246" s="86">
        <v>1435</v>
      </c>
      <c r="H246" s="86">
        <v>0</v>
      </c>
      <c r="I246" s="86">
        <v>4760.8999999999996</v>
      </c>
      <c r="J246" s="86">
        <v>0</v>
      </c>
      <c r="K246" s="86">
        <v>0</v>
      </c>
      <c r="L246" s="86">
        <v>735</v>
      </c>
      <c r="M246" s="86">
        <v>0</v>
      </c>
      <c r="N246" s="86">
        <v>2765.18</v>
      </c>
      <c r="O246" s="86">
        <v>7587.75</v>
      </c>
      <c r="P246" s="86">
        <v>525</v>
      </c>
      <c r="Q246" s="87">
        <v>50839.447999999997</v>
      </c>
      <c r="R246" s="87">
        <v>31150.328000000001</v>
      </c>
      <c r="S246" s="87">
        <v>267194.90000000002</v>
      </c>
      <c r="T246" s="87">
        <v>13494.8</v>
      </c>
      <c r="U246" s="87">
        <v>78167</v>
      </c>
      <c r="V246" s="196">
        <v>15575.5</v>
      </c>
      <c r="W246" s="197"/>
      <c r="X246" s="94" t="s">
        <v>35</v>
      </c>
    </row>
    <row r="247" spans="3:24" s="6" customFormat="1" ht="15.75" customHeight="1">
      <c r="C247" s="84"/>
      <c r="D247" s="94"/>
      <c r="E247" s="85"/>
      <c r="F247" s="86"/>
      <c r="G247" s="86"/>
      <c r="H247" s="86"/>
      <c r="I247" s="86"/>
      <c r="J247" s="86"/>
      <c r="K247" s="86"/>
      <c r="L247" s="86"/>
      <c r="M247" s="86"/>
      <c r="N247" s="86"/>
      <c r="O247" s="86"/>
      <c r="P247" s="86"/>
      <c r="Q247" s="87"/>
      <c r="R247" s="87"/>
      <c r="S247" s="87"/>
      <c r="T247" s="87"/>
      <c r="U247" s="87"/>
      <c r="V247" s="196"/>
      <c r="W247" s="197"/>
      <c r="X247" s="94"/>
    </row>
    <row r="248" spans="3:24" s="12" customFormat="1" ht="15.75" customHeight="1">
      <c r="C248" s="78" t="s">
        <v>222</v>
      </c>
      <c r="D248" s="78"/>
      <c r="E248" s="80">
        <v>480558.95600000001</v>
      </c>
      <c r="F248" s="81">
        <v>350</v>
      </c>
      <c r="G248" s="81">
        <v>1965.2</v>
      </c>
      <c r="H248" s="81">
        <v>0</v>
      </c>
      <c r="I248" s="81">
        <v>4760.8999999999996</v>
      </c>
      <c r="J248" s="81">
        <v>0</v>
      </c>
      <c r="K248" s="81">
        <v>0</v>
      </c>
      <c r="L248" s="81">
        <v>735</v>
      </c>
      <c r="M248" s="81">
        <v>0</v>
      </c>
      <c r="N248" s="81">
        <v>3334.63</v>
      </c>
      <c r="O248" s="81">
        <v>9632.7999999999993</v>
      </c>
      <c r="P248" s="81">
        <v>722.75</v>
      </c>
      <c r="Q248" s="81">
        <v>51151.847999999998</v>
      </c>
      <c r="R248" s="81">
        <v>31538.828000000001</v>
      </c>
      <c r="S248" s="81">
        <v>267991.25</v>
      </c>
      <c r="T248" s="81">
        <v>14348.35</v>
      </c>
      <c r="U248" s="81">
        <v>78451.899999999994</v>
      </c>
      <c r="V248" s="194">
        <v>15575.5</v>
      </c>
      <c r="W248" s="195" t="s">
        <v>222</v>
      </c>
      <c r="X248" s="78"/>
    </row>
    <row r="249" spans="3:24" s="12" customFormat="1" ht="15.75" customHeight="1">
      <c r="C249" s="84"/>
      <c r="D249" s="84" t="s">
        <v>111</v>
      </c>
      <c r="E249" s="85">
        <v>0</v>
      </c>
      <c r="F249" s="86">
        <v>0</v>
      </c>
      <c r="G249" s="86">
        <v>0</v>
      </c>
      <c r="H249" s="86">
        <v>0</v>
      </c>
      <c r="I249" s="86">
        <v>0</v>
      </c>
      <c r="J249" s="86">
        <v>0</v>
      </c>
      <c r="K249" s="86">
        <v>0</v>
      </c>
      <c r="L249" s="86">
        <v>0</v>
      </c>
      <c r="M249" s="86">
        <v>0</v>
      </c>
      <c r="N249" s="86">
        <v>0</v>
      </c>
      <c r="O249" s="86">
        <v>0</v>
      </c>
      <c r="P249" s="86">
        <v>0</v>
      </c>
      <c r="Q249" s="87">
        <v>0</v>
      </c>
      <c r="R249" s="87">
        <v>0</v>
      </c>
      <c r="S249" s="87">
        <v>0</v>
      </c>
      <c r="T249" s="87">
        <v>0</v>
      </c>
      <c r="U249" s="87">
        <v>0</v>
      </c>
      <c r="V249" s="196">
        <v>0</v>
      </c>
      <c r="W249" s="197"/>
      <c r="X249" s="84" t="s">
        <v>111</v>
      </c>
    </row>
    <row r="250" spans="3:24" s="12" customFormat="1" ht="15.75" customHeight="1">
      <c r="C250" s="84"/>
      <c r="D250" s="84" t="s">
        <v>110</v>
      </c>
      <c r="E250" s="85">
        <v>1081.1879999999999</v>
      </c>
      <c r="F250" s="86">
        <v>0</v>
      </c>
      <c r="G250" s="86">
        <v>0</v>
      </c>
      <c r="H250" s="86">
        <v>0</v>
      </c>
      <c r="I250" s="86">
        <v>0</v>
      </c>
      <c r="J250" s="86">
        <v>0</v>
      </c>
      <c r="K250" s="86">
        <v>0</v>
      </c>
      <c r="L250" s="86">
        <v>0</v>
      </c>
      <c r="M250" s="86">
        <v>0</v>
      </c>
      <c r="N250" s="86">
        <v>99.399999999999906</v>
      </c>
      <c r="O250" s="86">
        <v>0</v>
      </c>
      <c r="P250" s="86">
        <v>0</v>
      </c>
      <c r="Q250" s="87">
        <v>87.647999999999996</v>
      </c>
      <c r="R250" s="87">
        <v>180.95</v>
      </c>
      <c r="S250" s="87">
        <v>228.04</v>
      </c>
      <c r="T250" s="87">
        <v>110.25</v>
      </c>
      <c r="U250" s="87">
        <v>74.900000000000006</v>
      </c>
      <c r="V250" s="196">
        <v>300</v>
      </c>
      <c r="W250" s="197"/>
      <c r="X250" s="84" t="s">
        <v>110</v>
      </c>
    </row>
    <row r="251" spans="3:24" s="12" customFormat="1" ht="15.75" customHeight="1">
      <c r="C251" s="84"/>
      <c r="D251" s="84" t="s">
        <v>109</v>
      </c>
      <c r="E251" s="85">
        <v>7171.85</v>
      </c>
      <c r="F251" s="86">
        <v>0</v>
      </c>
      <c r="G251" s="86">
        <v>0</v>
      </c>
      <c r="H251" s="86">
        <v>0</v>
      </c>
      <c r="I251" s="86">
        <v>0</v>
      </c>
      <c r="J251" s="86">
        <v>0</v>
      </c>
      <c r="K251" s="86">
        <v>0</v>
      </c>
      <c r="L251" s="86">
        <v>0</v>
      </c>
      <c r="M251" s="86">
        <v>0</v>
      </c>
      <c r="N251" s="86">
        <v>0</v>
      </c>
      <c r="O251" s="86">
        <v>1513</v>
      </c>
      <c r="P251" s="86">
        <v>372.75</v>
      </c>
      <c r="Q251" s="87">
        <v>659.5</v>
      </c>
      <c r="R251" s="87">
        <v>172</v>
      </c>
      <c r="S251" s="87">
        <v>1371.15</v>
      </c>
      <c r="T251" s="87">
        <v>764.45</v>
      </c>
      <c r="U251" s="87">
        <v>2319</v>
      </c>
      <c r="V251" s="196">
        <v>0</v>
      </c>
      <c r="W251" s="197"/>
      <c r="X251" s="84" t="s">
        <v>109</v>
      </c>
    </row>
    <row r="252" spans="3:24" s="12" customFormat="1" ht="15.75" customHeight="1">
      <c r="C252" s="84"/>
      <c r="D252" s="84" t="s">
        <v>108</v>
      </c>
      <c r="E252" s="85">
        <v>247133.08799999999</v>
      </c>
      <c r="F252" s="86">
        <v>350</v>
      </c>
      <c r="G252" s="86">
        <v>910</v>
      </c>
      <c r="H252" s="86">
        <v>0</v>
      </c>
      <c r="I252" s="86">
        <v>2484.1999999999998</v>
      </c>
      <c r="J252" s="86">
        <v>0</v>
      </c>
      <c r="K252" s="86">
        <v>0</v>
      </c>
      <c r="L252" s="86">
        <v>0</v>
      </c>
      <c r="M252" s="86">
        <v>0</v>
      </c>
      <c r="N252" s="86">
        <v>1697.85</v>
      </c>
      <c r="O252" s="86">
        <v>4092.8</v>
      </c>
      <c r="P252" s="86">
        <v>350</v>
      </c>
      <c r="Q252" s="87">
        <v>13887</v>
      </c>
      <c r="R252" s="87">
        <v>5582.8980000000001</v>
      </c>
      <c r="S252" s="87">
        <v>148496.49</v>
      </c>
      <c r="T252" s="87">
        <v>7192.85</v>
      </c>
      <c r="U252" s="87">
        <v>51878</v>
      </c>
      <c r="V252" s="196">
        <v>10211</v>
      </c>
      <c r="W252" s="197"/>
      <c r="X252" s="84" t="s">
        <v>108</v>
      </c>
    </row>
    <row r="253" spans="3:24" s="12" customFormat="1" ht="15.75" customHeight="1">
      <c r="C253" s="84"/>
      <c r="D253" s="84" t="s">
        <v>28</v>
      </c>
      <c r="E253" s="85">
        <v>143002.43</v>
      </c>
      <c r="F253" s="86">
        <v>0</v>
      </c>
      <c r="G253" s="86">
        <v>1055.2</v>
      </c>
      <c r="H253" s="86">
        <v>0</v>
      </c>
      <c r="I253" s="86">
        <v>2276.6999999999998</v>
      </c>
      <c r="J253" s="86">
        <v>0</v>
      </c>
      <c r="K253" s="86">
        <v>0</v>
      </c>
      <c r="L253" s="86">
        <v>735</v>
      </c>
      <c r="M253" s="86">
        <v>0</v>
      </c>
      <c r="N253" s="86">
        <v>1537.38</v>
      </c>
      <c r="O253" s="86">
        <v>0</v>
      </c>
      <c r="P253" s="86">
        <v>0</v>
      </c>
      <c r="Q253" s="87">
        <v>29118.7</v>
      </c>
      <c r="R253" s="87">
        <v>10572.58</v>
      </c>
      <c r="S253" s="87">
        <v>76366.570000000007</v>
      </c>
      <c r="T253" s="87">
        <v>5248.8</v>
      </c>
      <c r="U253" s="87">
        <v>12665</v>
      </c>
      <c r="V253" s="196">
        <v>3426.5</v>
      </c>
      <c r="W253" s="197"/>
      <c r="X253" s="84" t="s">
        <v>28</v>
      </c>
    </row>
    <row r="254" spans="3:24" s="12" customFormat="1" ht="15.75" customHeight="1">
      <c r="C254" s="84"/>
      <c r="D254" s="84" t="s">
        <v>107</v>
      </c>
      <c r="E254" s="85">
        <v>77025.399999999994</v>
      </c>
      <c r="F254" s="86">
        <v>0</v>
      </c>
      <c r="G254" s="86">
        <v>0</v>
      </c>
      <c r="H254" s="86">
        <v>0</v>
      </c>
      <c r="I254" s="86">
        <v>0</v>
      </c>
      <c r="J254" s="86">
        <v>0</v>
      </c>
      <c r="K254" s="86">
        <v>0</v>
      </c>
      <c r="L254" s="86">
        <v>0</v>
      </c>
      <c r="M254" s="86">
        <v>0</v>
      </c>
      <c r="N254" s="86">
        <v>0</v>
      </c>
      <c r="O254" s="86">
        <v>4027</v>
      </c>
      <c r="P254" s="86">
        <v>0</v>
      </c>
      <c r="Q254" s="87">
        <v>7399</v>
      </c>
      <c r="R254" s="87">
        <v>15030.4</v>
      </c>
      <c r="S254" s="87">
        <v>36384</v>
      </c>
      <c r="T254" s="87">
        <v>1032</v>
      </c>
      <c r="U254" s="87">
        <v>11515</v>
      </c>
      <c r="V254" s="196">
        <v>1638</v>
      </c>
      <c r="W254" s="197"/>
      <c r="X254" s="84" t="s">
        <v>107</v>
      </c>
    </row>
    <row r="255" spans="3:24" s="12" customFormat="1" ht="15.75" customHeight="1" thickBot="1">
      <c r="C255" s="96"/>
      <c r="D255" s="96" t="s">
        <v>106</v>
      </c>
      <c r="E255" s="189">
        <v>5145</v>
      </c>
      <c r="F255" s="189">
        <v>0</v>
      </c>
      <c r="G255" s="189">
        <v>0</v>
      </c>
      <c r="H255" s="189">
        <v>0</v>
      </c>
      <c r="I255" s="189">
        <v>0</v>
      </c>
      <c r="J255" s="189">
        <v>0</v>
      </c>
      <c r="K255" s="189">
        <v>0</v>
      </c>
      <c r="L255" s="189">
        <v>0</v>
      </c>
      <c r="M255" s="189">
        <v>0</v>
      </c>
      <c r="N255" s="189">
        <v>0</v>
      </c>
      <c r="O255" s="189">
        <v>0</v>
      </c>
      <c r="P255" s="189">
        <v>0</v>
      </c>
      <c r="Q255" s="189">
        <v>0</v>
      </c>
      <c r="R255" s="189">
        <v>0</v>
      </c>
      <c r="S255" s="189">
        <v>5145</v>
      </c>
      <c r="T255" s="189">
        <v>0</v>
      </c>
      <c r="U255" s="189">
        <v>0</v>
      </c>
      <c r="V255" s="199">
        <v>0</v>
      </c>
      <c r="W255" s="200"/>
      <c r="X255" s="96" t="s">
        <v>106</v>
      </c>
    </row>
    <row r="256" spans="3:24" s="6" customFormat="1" ht="15.75" customHeight="1">
      <c r="C256" s="84"/>
      <c r="D256" s="84"/>
      <c r="E256" s="201"/>
      <c r="F256" s="201"/>
      <c r="G256" s="201"/>
      <c r="H256" s="201"/>
      <c r="I256" s="201"/>
      <c r="J256" s="201"/>
      <c r="K256" s="201"/>
      <c r="L256" s="201"/>
      <c r="M256" s="201"/>
      <c r="N256" s="201"/>
      <c r="O256" s="201"/>
      <c r="P256" s="201"/>
      <c r="Q256" s="201"/>
      <c r="R256" s="201"/>
      <c r="S256" s="201"/>
      <c r="T256" s="201"/>
      <c r="U256" s="201"/>
      <c r="V256" s="201"/>
      <c r="W256" s="84"/>
      <c r="X256" s="84"/>
    </row>
    <row r="257" spans="1:24" s="6" customFormat="1" ht="15.75" customHeight="1">
      <c r="C257" s="103" t="s">
        <v>226</v>
      </c>
      <c r="D257" s="84"/>
      <c r="E257" s="101"/>
      <c r="F257" s="101"/>
      <c r="G257" s="101"/>
      <c r="H257" s="101"/>
      <c r="I257" s="101"/>
      <c r="J257" s="101"/>
      <c r="K257" s="101"/>
      <c r="L257" s="101"/>
      <c r="M257" s="101"/>
      <c r="N257" s="101"/>
      <c r="O257" s="101"/>
      <c r="P257" s="101"/>
      <c r="Q257" s="102"/>
      <c r="R257" s="102"/>
      <c r="S257" s="102"/>
      <c r="T257" s="102"/>
      <c r="U257" s="102"/>
      <c r="V257" s="102"/>
      <c r="W257" s="84"/>
      <c r="X257" s="84"/>
    </row>
    <row r="258" spans="1:24" s="6" customFormat="1" ht="15.75" customHeight="1">
      <c r="C258" s="103" t="s">
        <v>105</v>
      </c>
      <c r="D258" s="93"/>
      <c r="E258" s="93"/>
      <c r="F258" s="93"/>
      <c r="G258" s="93"/>
      <c r="H258" s="93"/>
      <c r="I258" s="93"/>
      <c r="J258" s="93"/>
      <c r="K258" s="93"/>
      <c r="L258" s="93"/>
      <c r="M258" s="93"/>
      <c r="N258" s="93"/>
      <c r="O258" s="93"/>
      <c r="P258" s="93"/>
      <c r="Q258" s="93"/>
      <c r="R258" s="93"/>
      <c r="S258" s="93"/>
      <c r="T258" s="93"/>
      <c r="U258" s="93"/>
      <c r="V258" s="93"/>
      <c r="W258" s="93"/>
      <c r="X258" s="93"/>
    </row>
    <row r="261" spans="1:24" s="6" customFormat="1" ht="21">
      <c r="A261" s="19" t="s">
        <v>104</v>
      </c>
      <c r="B261" s="26"/>
      <c r="C261" s="12"/>
    </row>
    <row r="262" spans="1:24" s="6" customFormat="1" ht="17.5" thickBot="1">
      <c r="A262" s="16"/>
      <c r="B262" s="16"/>
      <c r="C262" s="17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X262" s="29"/>
    </row>
    <row r="263" spans="1:24" s="6" customFormat="1" ht="33" customHeight="1">
      <c r="A263" s="269" t="s">
        <v>61</v>
      </c>
      <c r="B263" s="269"/>
      <c r="C263" s="269"/>
      <c r="D263" s="72" t="s">
        <v>79</v>
      </c>
      <c r="E263" s="73" t="s">
        <v>78</v>
      </c>
      <c r="F263" s="73" t="s">
        <v>77</v>
      </c>
      <c r="G263" s="73" t="s">
        <v>76</v>
      </c>
      <c r="H263" s="73" t="s">
        <v>75</v>
      </c>
      <c r="I263" s="73" t="s">
        <v>74</v>
      </c>
      <c r="J263" s="73" t="s">
        <v>73</v>
      </c>
      <c r="K263" s="73" t="s">
        <v>72</v>
      </c>
      <c r="L263" s="73" t="s">
        <v>71</v>
      </c>
      <c r="M263" s="73" t="s">
        <v>70</v>
      </c>
      <c r="N263" s="73" t="s">
        <v>69</v>
      </c>
      <c r="O263" s="73" t="s">
        <v>68</v>
      </c>
      <c r="P263" s="73" t="s">
        <v>67</v>
      </c>
      <c r="Q263" s="73" t="s">
        <v>66</v>
      </c>
      <c r="R263" s="73" t="s">
        <v>65</v>
      </c>
      <c r="S263" s="73" t="s">
        <v>64</v>
      </c>
      <c r="T263" s="73" t="s">
        <v>63</v>
      </c>
      <c r="U263" s="74" t="s">
        <v>62</v>
      </c>
      <c r="V263" s="273" t="s">
        <v>61</v>
      </c>
      <c r="W263" s="269"/>
      <c r="X263" s="269"/>
    </row>
    <row r="264" spans="1:24" s="6" customFormat="1">
      <c r="A264" s="270"/>
      <c r="B264" s="270"/>
      <c r="C264" s="270"/>
      <c r="D264" s="75" t="s">
        <v>22</v>
      </c>
      <c r="E264" s="76" t="s">
        <v>60</v>
      </c>
      <c r="F264" s="76" t="s">
        <v>59</v>
      </c>
      <c r="G264" s="76" t="s">
        <v>58</v>
      </c>
      <c r="H264" s="76" t="s">
        <v>57</v>
      </c>
      <c r="I264" s="76" t="s">
        <v>56</v>
      </c>
      <c r="J264" s="76" t="s">
        <v>55</v>
      </c>
      <c r="K264" s="76" t="s">
        <v>54</v>
      </c>
      <c r="L264" s="202" t="s">
        <v>53</v>
      </c>
      <c r="M264" s="76" t="s">
        <v>52</v>
      </c>
      <c r="N264" s="76" t="s">
        <v>51</v>
      </c>
      <c r="O264" s="76" t="s">
        <v>50</v>
      </c>
      <c r="P264" s="76" t="s">
        <v>49</v>
      </c>
      <c r="Q264" s="76" t="s">
        <v>48</v>
      </c>
      <c r="R264" s="76" t="s">
        <v>47</v>
      </c>
      <c r="S264" s="76" t="s">
        <v>46</v>
      </c>
      <c r="T264" s="76" t="s">
        <v>45</v>
      </c>
      <c r="U264" s="203" t="s">
        <v>44</v>
      </c>
      <c r="V264" s="274"/>
      <c r="W264" s="270"/>
      <c r="X264" s="270"/>
    </row>
    <row r="265" spans="1:24" s="12" customFormat="1">
      <c r="A265" s="204" t="s">
        <v>211</v>
      </c>
      <c r="B265" s="193"/>
      <c r="C265" s="193"/>
      <c r="D265" s="205">
        <v>118259.09178710757</v>
      </c>
      <c r="E265" s="206">
        <v>13732.311063949801</v>
      </c>
      <c r="F265" s="206">
        <v>7885.5649597513802</v>
      </c>
      <c r="G265" s="206">
        <v>6076.8022023798803</v>
      </c>
      <c r="H265" s="206">
        <v>9484.9913503899897</v>
      </c>
      <c r="I265" s="206">
        <v>1904.4261722543199</v>
      </c>
      <c r="J265" s="206">
        <v>4771.6201151819996</v>
      </c>
      <c r="K265" s="206">
        <v>6880.1365232372</v>
      </c>
      <c r="L265" s="206">
        <v>331.61010016</v>
      </c>
      <c r="M265" s="206">
        <v>24345.522478617699</v>
      </c>
      <c r="N265" s="206">
        <v>7425.2119717311698</v>
      </c>
      <c r="O265" s="206">
        <v>3773.75024784066</v>
      </c>
      <c r="P265" s="207">
        <v>3799.6547272569501</v>
      </c>
      <c r="Q265" s="207">
        <v>12951.159903689801</v>
      </c>
      <c r="R265" s="207">
        <v>594.56321501000002</v>
      </c>
      <c r="S265" s="207">
        <v>4893.0931110814499</v>
      </c>
      <c r="T265" s="207">
        <v>8443.7618498939992</v>
      </c>
      <c r="U265" s="208">
        <v>964.911794681277</v>
      </c>
      <c r="V265" s="204" t="s">
        <v>211</v>
      </c>
      <c r="W265" s="193"/>
      <c r="X265" s="193"/>
    </row>
    <row r="266" spans="1:24" s="12" customFormat="1">
      <c r="A266" s="78" t="s">
        <v>219</v>
      </c>
      <c r="B266" s="79"/>
      <c r="C266" s="79"/>
      <c r="D266" s="80">
        <v>160550.24353269671</v>
      </c>
      <c r="E266" s="81">
        <v>27068.52592</v>
      </c>
      <c r="F266" s="81">
        <v>9424.6904209999993</v>
      </c>
      <c r="G266" s="81">
        <v>609.70000000000005</v>
      </c>
      <c r="H266" s="81">
        <v>9139.0221000000001</v>
      </c>
      <c r="I266" s="81">
        <v>0</v>
      </c>
      <c r="J266" s="81">
        <v>0</v>
      </c>
      <c r="K266" s="81">
        <v>0</v>
      </c>
      <c r="L266" s="81">
        <v>0</v>
      </c>
      <c r="M266" s="81">
        <v>27481.39328</v>
      </c>
      <c r="N266" s="81">
        <v>13439.88753</v>
      </c>
      <c r="O266" s="81">
        <v>7340.2752559999999</v>
      </c>
      <c r="P266" s="82">
        <v>14576.51064</v>
      </c>
      <c r="Q266" s="82">
        <v>16526.715213696702</v>
      </c>
      <c r="R266" s="82">
        <v>1563.890296</v>
      </c>
      <c r="S266" s="82">
        <v>12703.345859999999</v>
      </c>
      <c r="T266" s="82">
        <v>17987.541448</v>
      </c>
      <c r="U266" s="83">
        <v>2688.7455679999998</v>
      </c>
      <c r="V266" s="78" t="s">
        <v>219</v>
      </c>
      <c r="W266" s="79"/>
      <c r="X266" s="79"/>
    </row>
    <row r="267" spans="1:24" s="12" customFormat="1">
      <c r="A267" s="78" t="s">
        <v>227</v>
      </c>
      <c r="B267" s="78"/>
      <c r="C267" s="79"/>
      <c r="D267" s="80"/>
      <c r="E267" s="81"/>
      <c r="F267" s="81"/>
      <c r="G267" s="81"/>
      <c r="H267" s="81"/>
      <c r="I267" s="81"/>
      <c r="J267" s="81"/>
      <c r="K267" s="81"/>
      <c r="L267" s="81"/>
      <c r="M267" s="81"/>
      <c r="N267" s="81"/>
      <c r="O267" s="81"/>
      <c r="P267" s="82"/>
      <c r="Q267" s="82"/>
      <c r="R267" s="82"/>
      <c r="S267" s="82"/>
      <c r="T267" s="82"/>
      <c r="U267" s="83"/>
      <c r="V267" s="78" t="s">
        <v>227</v>
      </c>
      <c r="W267" s="78"/>
      <c r="X267" s="79"/>
    </row>
    <row r="268" spans="1:24" s="12" customFormat="1">
      <c r="A268" s="209"/>
      <c r="B268" s="209" t="s">
        <v>85</v>
      </c>
      <c r="C268" s="210"/>
      <c r="D268" s="211">
        <v>69712</v>
      </c>
      <c r="E268" s="212">
        <v>8865</v>
      </c>
      <c r="F268" s="212">
        <v>4916</v>
      </c>
      <c r="G268" s="212">
        <v>1210</v>
      </c>
      <c r="H268" s="212">
        <v>2400</v>
      </c>
      <c r="I268" s="212">
        <v>20</v>
      </c>
      <c r="J268" s="212">
        <v>0</v>
      </c>
      <c r="K268" s="212">
        <v>0</v>
      </c>
      <c r="L268" s="212">
        <v>0</v>
      </c>
      <c r="M268" s="212">
        <v>18494</v>
      </c>
      <c r="N268" s="212">
        <v>2835</v>
      </c>
      <c r="O268" s="212">
        <v>3092</v>
      </c>
      <c r="P268" s="212">
        <v>7080</v>
      </c>
      <c r="Q268" s="212">
        <v>7949</v>
      </c>
      <c r="R268" s="212">
        <v>406</v>
      </c>
      <c r="S268" s="212">
        <v>3200</v>
      </c>
      <c r="T268" s="212">
        <v>5445</v>
      </c>
      <c r="U268" s="213">
        <v>3800</v>
      </c>
      <c r="V268" s="209"/>
      <c r="W268" s="209" t="s">
        <v>85</v>
      </c>
      <c r="X268" s="210"/>
    </row>
    <row r="269" spans="1:24" s="12" customFormat="1">
      <c r="A269" s="209"/>
      <c r="B269" s="209" t="s">
        <v>87</v>
      </c>
      <c r="C269" s="210"/>
      <c r="D269" s="214">
        <v>723.20559665999986</v>
      </c>
      <c r="E269" s="215">
        <v>83.98</v>
      </c>
      <c r="F269" s="215">
        <v>29.5</v>
      </c>
      <c r="G269" s="215">
        <v>31.5</v>
      </c>
      <c r="H269" s="215">
        <v>56.666600000000003</v>
      </c>
      <c r="I269" s="215">
        <v>41</v>
      </c>
      <c r="J269" s="215">
        <v>26.02</v>
      </c>
      <c r="K269" s="215">
        <v>95.82</v>
      </c>
      <c r="L269" s="215">
        <v>6</v>
      </c>
      <c r="M269" s="215">
        <v>151.95499666000001</v>
      </c>
      <c r="N269" s="215">
        <v>26.009999999999899</v>
      </c>
      <c r="O269" s="215">
        <v>25.85</v>
      </c>
      <c r="P269" s="215">
        <v>2.73</v>
      </c>
      <c r="Q269" s="215">
        <v>69</v>
      </c>
      <c r="R269" s="215">
        <v>3</v>
      </c>
      <c r="S269" s="215">
        <v>15.284000000000001</v>
      </c>
      <c r="T269" s="215">
        <v>56.16</v>
      </c>
      <c r="U269" s="216">
        <v>2.72999999999998</v>
      </c>
      <c r="V269" s="209"/>
      <c r="W269" s="209" t="s">
        <v>87</v>
      </c>
      <c r="X269" s="210"/>
    </row>
    <row r="270" spans="1:24" s="12" customFormat="1">
      <c r="A270" s="84"/>
      <c r="B270" s="84"/>
      <c r="C270" s="217"/>
      <c r="D270" s="85"/>
      <c r="E270" s="86"/>
      <c r="F270" s="86"/>
      <c r="G270" s="86"/>
      <c r="H270" s="86"/>
      <c r="I270" s="86"/>
      <c r="J270" s="86"/>
      <c r="K270" s="86"/>
      <c r="L270" s="86"/>
      <c r="M270" s="86"/>
      <c r="N270" s="86"/>
      <c r="O270" s="86"/>
      <c r="P270" s="87"/>
      <c r="Q270" s="87"/>
      <c r="R270" s="87"/>
      <c r="S270" s="87"/>
      <c r="T270" s="87"/>
      <c r="U270" s="88"/>
      <c r="V270" s="84"/>
      <c r="W270" s="84"/>
      <c r="X270" s="217"/>
    </row>
    <row r="271" spans="1:24" s="6" customFormat="1">
      <c r="A271" s="78" t="s">
        <v>86</v>
      </c>
      <c r="B271" s="78"/>
      <c r="C271" s="218"/>
      <c r="D271" s="80"/>
      <c r="E271" s="81"/>
      <c r="F271" s="81"/>
      <c r="G271" s="81"/>
      <c r="H271" s="81"/>
      <c r="I271" s="81"/>
      <c r="J271" s="81"/>
      <c r="K271" s="81"/>
      <c r="L271" s="81"/>
      <c r="M271" s="81"/>
      <c r="N271" s="81"/>
      <c r="O271" s="81"/>
      <c r="P271" s="82"/>
      <c r="Q271" s="82"/>
      <c r="R271" s="82"/>
      <c r="S271" s="82"/>
      <c r="T271" s="82"/>
      <c r="U271" s="83"/>
      <c r="V271" s="78" t="s">
        <v>86</v>
      </c>
      <c r="W271" s="78"/>
      <c r="X271" s="218"/>
    </row>
    <row r="272" spans="1:24" s="12" customFormat="1">
      <c r="A272" s="84" t="s">
        <v>85</v>
      </c>
      <c r="B272" s="93"/>
      <c r="C272" s="219" t="s">
        <v>228</v>
      </c>
      <c r="D272" s="85">
        <v>6316</v>
      </c>
      <c r="E272" s="86">
        <v>0</v>
      </c>
      <c r="F272" s="86">
        <v>800</v>
      </c>
      <c r="G272" s="86">
        <v>0</v>
      </c>
      <c r="H272" s="86">
        <v>0</v>
      </c>
      <c r="I272" s="86">
        <v>0</v>
      </c>
      <c r="J272" s="86">
        <v>0</v>
      </c>
      <c r="K272" s="86">
        <v>0</v>
      </c>
      <c r="L272" s="86">
        <v>0</v>
      </c>
      <c r="M272" s="86">
        <v>720</v>
      </c>
      <c r="N272" s="86">
        <v>500</v>
      </c>
      <c r="O272" s="86">
        <v>392</v>
      </c>
      <c r="P272" s="86">
        <v>840</v>
      </c>
      <c r="Q272" s="86">
        <v>999</v>
      </c>
      <c r="R272" s="86">
        <v>0</v>
      </c>
      <c r="S272" s="86">
        <v>0</v>
      </c>
      <c r="T272" s="86">
        <v>1165</v>
      </c>
      <c r="U272" s="88">
        <v>900</v>
      </c>
      <c r="V272" s="84" t="s">
        <v>85</v>
      </c>
      <c r="W272" s="93"/>
      <c r="X272" s="219" t="s">
        <v>228</v>
      </c>
    </row>
    <row r="273" spans="1:24" s="12" customFormat="1">
      <c r="A273" s="84"/>
      <c r="B273" s="84"/>
      <c r="C273" s="219" t="s">
        <v>229</v>
      </c>
      <c r="D273" s="85">
        <v>5281</v>
      </c>
      <c r="E273" s="86">
        <v>0</v>
      </c>
      <c r="F273" s="86">
        <v>600</v>
      </c>
      <c r="G273" s="86">
        <v>0</v>
      </c>
      <c r="H273" s="86">
        <v>0</v>
      </c>
      <c r="I273" s="86">
        <v>20</v>
      </c>
      <c r="J273" s="86">
        <v>0</v>
      </c>
      <c r="K273" s="86">
        <v>0</v>
      </c>
      <c r="L273" s="86">
        <v>0</v>
      </c>
      <c r="M273" s="86">
        <v>881</v>
      </c>
      <c r="N273" s="86">
        <v>0</v>
      </c>
      <c r="O273" s="86">
        <v>120</v>
      </c>
      <c r="P273" s="86">
        <v>1090</v>
      </c>
      <c r="Q273" s="86">
        <v>0</v>
      </c>
      <c r="R273" s="86">
        <v>0</v>
      </c>
      <c r="S273" s="86">
        <v>1750</v>
      </c>
      <c r="T273" s="86">
        <v>820</v>
      </c>
      <c r="U273" s="88">
        <v>0</v>
      </c>
      <c r="V273" s="84"/>
      <c r="W273" s="84"/>
      <c r="X273" s="219" t="s">
        <v>229</v>
      </c>
    </row>
    <row r="274" spans="1:24" s="12" customFormat="1">
      <c r="A274" s="84"/>
      <c r="B274" s="84"/>
      <c r="C274" s="219" t="s">
        <v>230</v>
      </c>
      <c r="D274" s="85">
        <v>1499</v>
      </c>
      <c r="E274" s="86">
        <v>0</v>
      </c>
      <c r="F274" s="86">
        <v>0</v>
      </c>
      <c r="G274" s="86">
        <v>0</v>
      </c>
      <c r="H274" s="86">
        <v>0</v>
      </c>
      <c r="I274" s="86">
        <v>0</v>
      </c>
      <c r="J274" s="86">
        <v>0</v>
      </c>
      <c r="K274" s="86">
        <v>0</v>
      </c>
      <c r="L274" s="86">
        <v>0</v>
      </c>
      <c r="M274" s="86">
        <v>499</v>
      </c>
      <c r="N274" s="86">
        <v>0</v>
      </c>
      <c r="O274" s="86">
        <v>0</v>
      </c>
      <c r="P274" s="87">
        <v>400</v>
      </c>
      <c r="Q274" s="87">
        <v>0</v>
      </c>
      <c r="R274" s="87">
        <v>0</v>
      </c>
      <c r="S274" s="87">
        <v>0</v>
      </c>
      <c r="T274" s="87">
        <v>600</v>
      </c>
      <c r="U274" s="88">
        <v>0</v>
      </c>
      <c r="V274" s="84"/>
      <c r="W274" s="84"/>
      <c r="X274" s="219" t="s">
        <v>230</v>
      </c>
    </row>
    <row r="275" spans="1:24" s="12" customFormat="1">
      <c r="A275" s="84"/>
      <c r="B275" s="93"/>
      <c r="C275" s="84"/>
      <c r="D275" s="85"/>
      <c r="E275" s="86"/>
      <c r="F275" s="86"/>
      <c r="G275" s="86"/>
      <c r="H275" s="86"/>
      <c r="I275" s="86"/>
      <c r="J275" s="86"/>
      <c r="K275" s="86"/>
      <c r="L275" s="86"/>
      <c r="M275" s="86"/>
      <c r="N275" s="86"/>
      <c r="O275" s="86"/>
      <c r="P275" s="87"/>
      <c r="Q275" s="87"/>
      <c r="R275" s="87"/>
      <c r="S275" s="87"/>
      <c r="T275" s="87"/>
      <c r="U275" s="88"/>
      <c r="V275" s="84"/>
      <c r="W275" s="93"/>
      <c r="X275" s="84"/>
    </row>
    <row r="276" spans="1:24" s="12" customFormat="1">
      <c r="A276" s="84" t="s">
        <v>87</v>
      </c>
      <c r="B276" s="93"/>
      <c r="C276" s="219" t="s">
        <v>228</v>
      </c>
      <c r="D276" s="85">
        <v>49</v>
      </c>
      <c r="E276" s="86">
        <v>0</v>
      </c>
      <c r="F276" s="86">
        <v>12</v>
      </c>
      <c r="G276" s="86">
        <v>0</v>
      </c>
      <c r="H276" s="86">
        <v>0</v>
      </c>
      <c r="I276" s="86">
        <v>6</v>
      </c>
      <c r="J276" s="86">
        <v>1.6</v>
      </c>
      <c r="K276" s="86">
        <v>0</v>
      </c>
      <c r="L276" s="86">
        <v>0</v>
      </c>
      <c r="M276" s="86">
        <v>18.5</v>
      </c>
      <c r="N276" s="86">
        <v>3.21</v>
      </c>
      <c r="O276" s="86">
        <v>5.76</v>
      </c>
      <c r="P276" s="86">
        <v>0.93</v>
      </c>
      <c r="Q276" s="86">
        <v>0</v>
      </c>
      <c r="R276" s="86">
        <v>0</v>
      </c>
      <c r="S276" s="86">
        <v>0</v>
      </c>
      <c r="T276" s="86">
        <v>0</v>
      </c>
      <c r="U276" s="88">
        <v>1</v>
      </c>
      <c r="V276" s="84" t="s">
        <v>87</v>
      </c>
      <c r="W276" s="93"/>
      <c r="X276" s="219" t="s">
        <v>228</v>
      </c>
    </row>
    <row r="277" spans="1:24" s="12" customFormat="1">
      <c r="A277" s="84"/>
      <c r="B277" s="84"/>
      <c r="C277" s="219" t="s">
        <v>229</v>
      </c>
      <c r="D277" s="85">
        <v>7</v>
      </c>
      <c r="E277" s="86">
        <v>7</v>
      </c>
      <c r="F277" s="86">
        <v>0</v>
      </c>
      <c r="G277" s="86">
        <v>0</v>
      </c>
      <c r="H277" s="86">
        <v>0</v>
      </c>
      <c r="I277" s="86">
        <v>0</v>
      </c>
      <c r="J277" s="86">
        <v>0</v>
      </c>
      <c r="K277" s="86">
        <v>0</v>
      </c>
      <c r="L277" s="86">
        <v>0</v>
      </c>
      <c r="M277" s="86">
        <v>0</v>
      </c>
      <c r="N277" s="86">
        <v>0</v>
      </c>
      <c r="O277" s="86">
        <v>0</v>
      </c>
      <c r="P277" s="86">
        <v>0</v>
      </c>
      <c r="Q277" s="86">
        <v>0</v>
      </c>
      <c r="R277" s="86">
        <v>0</v>
      </c>
      <c r="S277" s="86">
        <v>0</v>
      </c>
      <c r="T277" s="86">
        <v>0</v>
      </c>
      <c r="U277" s="88">
        <v>0</v>
      </c>
      <c r="V277" s="84"/>
      <c r="W277" s="84"/>
      <c r="X277" s="219" t="s">
        <v>229</v>
      </c>
    </row>
    <row r="278" spans="1:24" s="12" customFormat="1" ht="17.5" thickBot="1">
      <c r="A278" s="96"/>
      <c r="B278" s="96"/>
      <c r="C278" s="219" t="s">
        <v>230</v>
      </c>
      <c r="D278" s="85">
        <v>12.286</v>
      </c>
      <c r="E278" s="86">
        <v>0</v>
      </c>
      <c r="F278" s="86">
        <v>0</v>
      </c>
      <c r="G278" s="86">
        <v>0</v>
      </c>
      <c r="H278" s="86">
        <v>0</v>
      </c>
      <c r="I278" s="86">
        <v>0</v>
      </c>
      <c r="J278" s="86">
        <v>5</v>
      </c>
      <c r="K278" s="86">
        <v>0</v>
      </c>
      <c r="L278" s="86">
        <v>0</v>
      </c>
      <c r="M278" s="86">
        <v>5.8860000000000001</v>
      </c>
      <c r="N278" s="86">
        <v>1.4</v>
      </c>
      <c r="O278" s="86">
        <v>0</v>
      </c>
      <c r="P278" s="87">
        <v>0</v>
      </c>
      <c r="Q278" s="87">
        <v>0</v>
      </c>
      <c r="R278" s="87">
        <v>0</v>
      </c>
      <c r="S278" s="87">
        <v>0</v>
      </c>
      <c r="T278" s="87">
        <v>0</v>
      </c>
      <c r="U278" s="88">
        <v>0</v>
      </c>
      <c r="V278" s="96"/>
      <c r="W278" s="96"/>
      <c r="X278" s="219" t="s">
        <v>230</v>
      </c>
    </row>
    <row r="279" spans="1:24" s="6" customFormat="1">
      <c r="A279" s="220"/>
      <c r="B279" s="220"/>
      <c r="C279" s="220"/>
      <c r="D279" s="220"/>
      <c r="E279" s="220"/>
      <c r="F279" s="220"/>
      <c r="G279" s="220"/>
      <c r="H279" s="220"/>
      <c r="I279" s="220"/>
      <c r="J279" s="220"/>
      <c r="K279" s="220"/>
      <c r="L279" s="220"/>
      <c r="M279" s="220"/>
      <c r="N279" s="220"/>
      <c r="O279" s="220"/>
      <c r="P279" s="220"/>
      <c r="Q279" s="220"/>
      <c r="R279" s="220"/>
      <c r="S279" s="220"/>
      <c r="T279" s="220"/>
      <c r="U279" s="220"/>
      <c r="V279" s="220"/>
      <c r="W279" s="220"/>
      <c r="X279" s="220"/>
    </row>
    <row r="280" spans="1:24" s="7" customFormat="1" ht="16">
      <c r="A280" s="103" t="s">
        <v>231</v>
      </c>
      <c r="B280" s="103"/>
      <c r="C280" s="103"/>
      <c r="D280" s="103"/>
      <c r="E280" s="103"/>
      <c r="F280" s="103"/>
      <c r="G280" s="103"/>
      <c r="H280" s="103"/>
      <c r="I280" s="103"/>
      <c r="J280" s="103"/>
      <c r="K280" s="103"/>
      <c r="L280" s="103"/>
      <c r="M280" s="103"/>
      <c r="N280" s="103"/>
      <c r="O280" s="103"/>
      <c r="P280" s="103"/>
      <c r="Q280" s="103"/>
      <c r="R280" s="103"/>
      <c r="S280" s="103"/>
      <c r="T280" s="103"/>
      <c r="U280" s="103"/>
      <c r="V280" s="103"/>
      <c r="W280" s="103"/>
      <c r="X280" s="103"/>
    </row>
    <row r="281" spans="1:24" s="7" customFormat="1" ht="16">
      <c r="A281" s="103" t="s">
        <v>84</v>
      </c>
      <c r="B281" s="103"/>
      <c r="C281" s="103"/>
      <c r="D281" s="103"/>
      <c r="E281" s="103"/>
      <c r="F281" s="103"/>
      <c r="G281" s="103"/>
      <c r="H281" s="103"/>
      <c r="I281" s="103"/>
      <c r="J281" s="103"/>
      <c r="K281" s="103"/>
      <c r="L281" s="103"/>
      <c r="M281" s="103"/>
      <c r="N281" s="103"/>
      <c r="O281" s="103"/>
      <c r="P281" s="103"/>
      <c r="Q281" s="103"/>
      <c r="R281" s="103"/>
      <c r="S281" s="103"/>
      <c r="T281" s="103"/>
      <c r="U281" s="103"/>
      <c r="V281" s="103"/>
      <c r="W281" s="103"/>
      <c r="X281" s="103"/>
    </row>
    <row r="284" spans="1:24" s="6" customFormat="1" ht="21">
      <c r="A284" s="19" t="s">
        <v>103</v>
      </c>
      <c r="B284" s="26"/>
      <c r="C284" s="12"/>
      <c r="X284" s="12"/>
    </row>
    <row r="285" spans="1:24" s="6" customFormat="1" ht="17.5" thickBot="1">
      <c r="A285" s="16"/>
      <c r="B285" s="16"/>
      <c r="C285" s="17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27"/>
    </row>
    <row r="286" spans="1:24" s="6" customFormat="1" ht="33" customHeight="1">
      <c r="A286" s="269" t="s">
        <v>61</v>
      </c>
      <c r="B286" s="269"/>
      <c r="C286" s="269"/>
      <c r="D286" s="221" t="s">
        <v>79</v>
      </c>
      <c r="E286" s="106" t="s">
        <v>78</v>
      </c>
      <c r="F286" s="106" t="s">
        <v>77</v>
      </c>
      <c r="G286" s="106" t="s">
        <v>76</v>
      </c>
      <c r="H286" s="106" t="s">
        <v>75</v>
      </c>
      <c r="I286" s="106" t="s">
        <v>74</v>
      </c>
      <c r="J286" s="106" t="s">
        <v>73</v>
      </c>
      <c r="K286" s="106" t="s">
        <v>72</v>
      </c>
      <c r="L286" s="222" t="s">
        <v>71</v>
      </c>
      <c r="M286" s="106" t="s">
        <v>70</v>
      </c>
      <c r="N286" s="106" t="s">
        <v>69</v>
      </c>
      <c r="O286" s="106" t="s">
        <v>68</v>
      </c>
      <c r="P286" s="106" t="s">
        <v>67</v>
      </c>
      <c r="Q286" s="106" t="s">
        <v>66</v>
      </c>
      <c r="R286" s="106" t="s">
        <v>65</v>
      </c>
      <c r="S286" s="106" t="s">
        <v>64</v>
      </c>
      <c r="T286" s="106" t="s">
        <v>63</v>
      </c>
      <c r="U286" s="223" t="s">
        <v>62</v>
      </c>
      <c r="V286" s="273" t="s">
        <v>61</v>
      </c>
      <c r="W286" s="269"/>
      <c r="X286" s="269"/>
    </row>
    <row r="287" spans="1:24" s="6" customFormat="1">
      <c r="A287" s="270"/>
      <c r="B287" s="270"/>
      <c r="C287" s="270"/>
      <c r="D287" s="224" t="s">
        <v>22</v>
      </c>
      <c r="E287" s="110" t="s">
        <v>60</v>
      </c>
      <c r="F287" s="110" t="s">
        <v>59</v>
      </c>
      <c r="G287" s="110" t="s">
        <v>58</v>
      </c>
      <c r="H287" s="110" t="s">
        <v>57</v>
      </c>
      <c r="I287" s="110" t="s">
        <v>56</v>
      </c>
      <c r="J287" s="110" t="s">
        <v>55</v>
      </c>
      <c r="K287" s="110" t="s">
        <v>54</v>
      </c>
      <c r="L287" s="225" t="s">
        <v>53</v>
      </c>
      <c r="M287" s="110" t="s">
        <v>52</v>
      </c>
      <c r="N287" s="110" t="s">
        <v>51</v>
      </c>
      <c r="O287" s="110" t="s">
        <v>50</v>
      </c>
      <c r="P287" s="110" t="s">
        <v>49</v>
      </c>
      <c r="Q287" s="225" t="s">
        <v>48</v>
      </c>
      <c r="R287" s="110" t="s">
        <v>47</v>
      </c>
      <c r="S287" s="110" t="s">
        <v>46</v>
      </c>
      <c r="T287" s="110" t="s">
        <v>45</v>
      </c>
      <c r="U287" s="226" t="s">
        <v>44</v>
      </c>
      <c r="V287" s="274"/>
      <c r="W287" s="270"/>
      <c r="X287" s="270"/>
    </row>
    <row r="288" spans="1:24" s="12" customFormat="1">
      <c r="A288" s="78" t="s">
        <v>232</v>
      </c>
      <c r="B288" s="79"/>
      <c r="C288" s="79"/>
      <c r="D288" s="160">
        <v>60969.848406388832</v>
      </c>
      <c r="E288" s="113">
        <v>1353.4487095831601</v>
      </c>
      <c r="F288" s="113">
        <v>1493.1534470399999</v>
      </c>
      <c r="G288" s="113">
        <v>10818.0315232259</v>
      </c>
      <c r="H288" s="113">
        <v>42998.611303409998</v>
      </c>
      <c r="I288" s="113">
        <v>426.17791123199999</v>
      </c>
      <c r="J288" s="113">
        <v>2231.1036040517802</v>
      </c>
      <c r="K288" s="113">
        <v>0</v>
      </c>
      <c r="L288" s="162">
        <v>0</v>
      </c>
      <c r="M288" s="113">
        <v>0</v>
      </c>
      <c r="N288" s="113">
        <v>155.09914499999999</v>
      </c>
      <c r="O288" s="113">
        <v>87.924861288000002</v>
      </c>
      <c r="P288" s="119">
        <v>0</v>
      </c>
      <c r="Q288" s="119">
        <v>0</v>
      </c>
      <c r="R288" s="119">
        <v>1148.1810428639999</v>
      </c>
      <c r="S288" s="119">
        <v>0</v>
      </c>
      <c r="T288" s="119">
        <v>0</v>
      </c>
      <c r="U288" s="227">
        <v>258.11685869399997</v>
      </c>
      <c r="V288" s="78" t="s">
        <v>232</v>
      </c>
      <c r="W288" s="79"/>
      <c r="X288" s="79"/>
    </row>
    <row r="289" spans="1:24" s="12" customFormat="1">
      <c r="A289" s="78" t="s">
        <v>233</v>
      </c>
      <c r="B289" s="79"/>
      <c r="C289" s="79"/>
      <c r="D289" s="160">
        <v>218740.63925599999</v>
      </c>
      <c r="E289" s="113">
        <v>0</v>
      </c>
      <c r="F289" s="113">
        <v>7010.1100800000004</v>
      </c>
      <c r="G289" s="113">
        <v>0</v>
      </c>
      <c r="H289" s="113">
        <v>201871.41456999999</v>
      </c>
      <c r="I289" s="113">
        <v>2000.83526399999</v>
      </c>
      <c r="J289" s="113">
        <v>114.98399999999999</v>
      </c>
      <c r="K289" s="113">
        <v>0</v>
      </c>
      <c r="L289" s="162">
        <v>0</v>
      </c>
      <c r="M289" s="113">
        <v>0</v>
      </c>
      <c r="N289" s="113">
        <v>728.16499999999996</v>
      </c>
      <c r="O289" s="113">
        <v>412.792776</v>
      </c>
      <c r="P289" s="119">
        <v>0</v>
      </c>
      <c r="Q289" s="119">
        <v>0</v>
      </c>
      <c r="R289" s="119">
        <v>5390.5213279999998</v>
      </c>
      <c r="S289" s="119">
        <v>0</v>
      </c>
      <c r="T289" s="119">
        <v>0</v>
      </c>
      <c r="U289" s="227">
        <v>1211.8162379999901</v>
      </c>
      <c r="V289" s="78" t="s">
        <v>233</v>
      </c>
      <c r="W289" s="79"/>
      <c r="X289" s="79"/>
    </row>
    <row r="290" spans="1:24" s="6" customFormat="1">
      <c r="A290" s="78" t="s">
        <v>234</v>
      </c>
      <c r="B290" s="78"/>
      <c r="C290" s="79"/>
      <c r="D290" s="160"/>
      <c r="E290" s="113"/>
      <c r="F290" s="113"/>
      <c r="G290" s="113"/>
      <c r="H290" s="113"/>
      <c r="I290" s="113"/>
      <c r="J290" s="113"/>
      <c r="K290" s="113"/>
      <c r="L290" s="162"/>
      <c r="M290" s="113"/>
      <c r="N290" s="113"/>
      <c r="O290" s="113"/>
      <c r="P290" s="119"/>
      <c r="Q290" s="119"/>
      <c r="R290" s="119"/>
      <c r="S290" s="119"/>
      <c r="T290" s="119"/>
      <c r="U290" s="227"/>
      <c r="V290" s="78" t="s">
        <v>234</v>
      </c>
      <c r="W290" s="78"/>
      <c r="X290" s="79"/>
    </row>
    <row r="291" spans="1:24" s="12" customFormat="1">
      <c r="A291" s="209"/>
      <c r="B291" s="209" t="s">
        <v>85</v>
      </c>
      <c r="C291" s="210"/>
      <c r="D291" s="228">
        <v>66305</v>
      </c>
      <c r="E291" s="229">
        <v>0</v>
      </c>
      <c r="F291" s="229">
        <v>3174</v>
      </c>
      <c r="G291" s="229">
        <v>0</v>
      </c>
      <c r="H291" s="229">
        <v>50000</v>
      </c>
      <c r="I291" s="229">
        <v>2120</v>
      </c>
      <c r="J291" s="229">
        <v>95</v>
      </c>
      <c r="K291" s="229">
        <v>0</v>
      </c>
      <c r="L291" s="230">
        <v>0</v>
      </c>
      <c r="M291" s="229">
        <v>0</v>
      </c>
      <c r="N291" s="229">
        <v>980</v>
      </c>
      <c r="O291" s="229">
        <v>800</v>
      </c>
      <c r="P291" s="229">
        <v>0</v>
      </c>
      <c r="Q291" s="229">
        <v>1498</v>
      </c>
      <c r="R291" s="229">
        <v>2563</v>
      </c>
      <c r="S291" s="229">
        <v>2450</v>
      </c>
      <c r="T291" s="229">
        <v>1625</v>
      </c>
      <c r="U291" s="231">
        <v>1000</v>
      </c>
      <c r="V291" s="209"/>
      <c r="W291" s="209" t="s">
        <v>85</v>
      </c>
      <c r="X291" s="210"/>
    </row>
    <row r="292" spans="1:24" s="12" customFormat="1">
      <c r="A292" s="209"/>
      <c r="B292" s="209" t="s">
        <v>87</v>
      </c>
      <c r="C292" s="210"/>
      <c r="D292" s="228">
        <v>147</v>
      </c>
      <c r="E292" s="232">
        <v>6</v>
      </c>
      <c r="F292" s="232">
        <v>0</v>
      </c>
      <c r="G292" s="232">
        <v>126</v>
      </c>
      <c r="H292" s="232">
        <v>0</v>
      </c>
      <c r="I292" s="232">
        <v>0</v>
      </c>
      <c r="J292" s="229">
        <v>15</v>
      </c>
      <c r="K292" s="229">
        <v>0</v>
      </c>
      <c r="L292" s="230">
        <v>0</v>
      </c>
      <c r="M292" s="229">
        <v>0</v>
      </c>
      <c r="N292" s="229">
        <v>0</v>
      </c>
      <c r="O292" s="229">
        <v>0</v>
      </c>
      <c r="P292" s="229">
        <v>0</v>
      </c>
      <c r="Q292" s="229">
        <v>0</v>
      </c>
      <c r="R292" s="229">
        <v>0</v>
      </c>
      <c r="S292" s="229">
        <v>0</v>
      </c>
      <c r="T292" s="229">
        <v>0</v>
      </c>
      <c r="U292" s="231">
        <v>0</v>
      </c>
      <c r="V292" s="209"/>
      <c r="W292" s="209" t="s">
        <v>87</v>
      </c>
      <c r="X292" s="210"/>
    </row>
    <row r="293" spans="1:24" s="6" customFormat="1">
      <c r="A293" s="84"/>
      <c r="B293" s="84"/>
      <c r="C293" s="217"/>
      <c r="D293" s="165"/>
      <c r="E293" s="138"/>
      <c r="F293" s="138"/>
      <c r="G293" s="138"/>
      <c r="H293" s="138"/>
      <c r="I293" s="138"/>
      <c r="J293" s="138"/>
      <c r="K293" s="138"/>
      <c r="L293" s="166"/>
      <c r="M293" s="138"/>
      <c r="N293" s="138"/>
      <c r="O293" s="138"/>
      <c r="P293" s="141"/>
      <c r="Q293" s="141"/>
      <c r="R293" s="141"/>
      <c r="S293" s="141"/>
      <c r="T293" s="141"/>
      <c r="U293" s="171"/>
      <c r="V293" s="84"/>
      <c r="W293" s="84"/>
      <c r="X293" s="217"/>
    </row>
    <row r="294" spans="1:24" s="6" customFormat="1">
      <c r="A294" s="78" t="s">
        <v>86</v>
      </c>
      <c r="B294" s="78"/>
      <c r="C294" s="218"/>
      <c r="D294" s="160"/>
      <c r="E294" s="113"/>
      <c r="F294" s="113"/>
      <c r="G294" s="113"/>
      <c r="H294" s="113"/>
      <c r="I294" s="113"/>
      <c r="J294" s="113"/>
      <c r="K294" s="113"/>
      <c r="L294" s="162"/>
      <c r="M294" s="113"/>
      <c r="N294" s="113"/>
      <c r="O294" s="113"/>
      <c r="P294" s="119"/>
      <c r="Q294" s="119"/>
      <c r="R294" s="119"/>
      <c r="S294" s="119"/>
      <c r="T294" s="119"/>
      <c r="U294" s="227"/>
      <c r="V294" s="78" t="s">
        <v>86</v>
      </c>
      <c r="W294" s="78"/>
      <c r="X294" s="218"/>
    </row>
    <row r="295" spans="1:24" s="12" customFormat="1">
      <c r="A295" s="84" t="s">
        <v>85</v>
      </c>
      <c r="B295" s="93"/>
      <c r="C295" s="219" t="s">
        <v>228</v>
      </c>
      <c r="D295" s="165">
        <v>0</v>
      </c>
      <c r="E295" s="138">
        <v>0</v>
      </c>
      <c r="F295" s="138">
        <v>0</v>
      </c>
      <c r="G295" s="138">
        <v>0</v>
      </c>
      <c r="H295" s="138">
        <v>0</v>
      </c>
      <c r="I295" s="138">
        <v>0</v>
      </c>
      <c r="J295" s="138">
        <v>0</v>
      </c>
      <c r="K295" s="138">
        <v>0</v>
      </c>
      <c r="L295" s="138">
        <v>0</v>
      </c>
      <c r="M295" s="138">
        <v>0</v>
      </c>
      <c r="N295" s="138">
        <v>0</v>
      </c>
      <c r="O295" s="138">
        <v>0</v>
      </c>
      <c r="P295" s="138">
        <v>0</v>
      </c>
      <c r="Q295" s="138">
        <v>0</v>
      </c>
      <c r="R295" s="138">
        <v>0</v>
      </c>
      <c r="S295" s="138">
        <v>0</v>
      </c>
      <c r="T295" s="138">
        <v>0</v>
      </c>
      <c r="U295" s="138">
        <v>0</v>
      </c>
      <c r="V295" s="84" t="s">
        <v>85</v>
      </c>
      <c r="W295" s="93"/>
      <c r="X295" s="219" t="s">
        <v>228</v>
      </c>
    </row>
    <row r="296" spans="1:24" s="12" customFormat="1">
      <c r="A296" s="84"/>
      <c r="B296" s="84"/>
      <c r="C296" s="219" t="s">
        <v>229</v>
      </c>
      <c r="D296" s="165">
        <v>0</v>
      </c>
      <c r="E296" s="138">
        <v>0</v>
      </c>
      <c r="F296" s="138">
        <v>0</v>
      </c>
      <c r="G296" s="138">
        <v>0</v>
      </c>
      <c r="H296" s="138">
        <v>0</v>
      </c>
      <c r="I296" s="138">
        <v>0</v>
      </c>
      <c r="J296" s="138">
        <v>0</v>
      </c>
      <c r="K296" s="138">
        <v>0</v>
      </c>
      <c r="L296" s="138">
        <v>0</v>
      </c>
      <c r="M296" s="138">
        <v>0</v>
      </c>
      <c r="N296" s="138">
        <v>0</v>
      </c>
      <c r="O296" s="138">
        <v>0</v>
      </c>
      <c r="P296" s="138">
        <v>0</v>
      </c>
      <c r="Q296" s="138">
        <v>0</v>
      </c>
      <c r="R296" s="138">
        <v>0</v>
      </c>
      <c r="S296" s="138">
        <v>0</v>
      </c>
      <c r="T296" s="138">
        <v>0</v>
      </c>
      <c r="U296" s="138">
        <v>0</v>
      </c>
      <c r="V296" s="84"/>
      <c r="W296" s="84"/>
      <c r="X296" s="219" t="s">
        <v>229</v>
      </c>
    </row>
    <row r="297" spans="1:24" s="12" customFormat="1">
      <c r="A297" s="84"/>
      <c r="B297" s="84"/>
      <c r="C297" s="219" t="s">
        <v>230</v>
      </c>
      <c r="D297" s="165">
        <v>998</v>
      </c>
      <c r="E297" s="138">
        <v>0</v>
      </c>
      <c r="F297" s="138">
        <v>0</v>
      </c>
      <c r="G297" s="138">
        <v>0</v>
      </c>
      <c r="H297" s="138">
        <v>0</v>
      </c>
      <c r="I297" s="138">
        <v>0</v>
      </c>
      <c r="J297" s="138">
        <v>0</v>
      </c>
      <c r="K297" s="138">
        <v>0</v>
      </c>
      <c r="L297" s="138">
        <v>0</v>
      </c>
      <c r="M297" s="138">
        <v>0</v>
      </c>
      <c r="N297" s="138">
        <v>0</v>
      </c>
      <c r="O297" s="138">
        <v>0</v>
      </c>
      <c r="P297" s="141">
        <v>0</v>
      </c>
      <c r="Q297" s="141">
        <v>0</v>
      </c>
      <c r="R297" s="141">
        <v>998</v>
      </c>
      <c r="S297" s="141">
        <v>0</v>
      </c>
      <c r="T297" s="141">
        <v>0</v>
      </c>
      <c r="U297" s="171">
        <v>0</v>
      </c>
      <c r="V297" s="84"/>
      <c r="W297" s="84"/>
      <c r="X297" s="219" t="s">
        <v>230</v>
      </c>
    </row>
    <row r="298" spans="1:24" s="6" customFormat="1">
      <c r="A298" s="84"/>
      <c r="B298" s="93"/>
      <c r="C298" s="84"/>
      <c r="D298" s="165"/>
      <c r="E298" s="138"/>
      <c r="F298" s="138"/>
      <c r="G298" s="138"/>
      <c r="H298" s="138"/>
      <c r="I298" s="138"/>
      <c r="J298" s="138"/>
      <c r="K298" s="138"/>
      <c r="L298" s="166"/>
      <c r="M298" s="138"/>
      <c r="N298" s="138"/>
      <c r="O298" s="138"/>
      <c r="P298" s="141"/>
      <c r="Q298" s="141"/>
      <c r="R298" s="141"/>
      <c r="S298" s="141"/>
      <c r="T298" s="141"/>
      <c r="U298" s="171"/>
      <c r="V298" s="84"/>
      <c r="W298" s="93"/>
      <c r="X298" s="84"/>
    </row>
    <row r="299" spans="1:24" s="12" customFormat="1">
      <c r="A299" s="84" t="s">
        <v>87</v>
      </c>
      <c r="B299" s="93"/>
      <c r="C299" s="219" t="s">
        <v>228</v>
      </c>
      <c r="D299" s="165">
        <v>0</v>
      </c>
      <c r="E299" s="138">
        <v>0</v>
      </c>
      <c r="F299" s="138">
        <v>0</v>
      </c>
      <c r="G299" s="138">
        <v>0</v>
      </c>
      <c r="H299" s="138">
        <v>0</v>
      </c>
      <c r="I299" s="138">
        <v>0</v>
      </c>
      <c r="J299" s="138">
        <v>0</v>
      </c>
      <c r="K299" s="138">
        <v>0</v>
      </c>
      <c r="L299" s="166">
        <v>0</v>
      </c>
      <c r="M299" s="138">
        <v>0</v>
      </c>
      <c r="N299" s="138">
        <v>0</v>
      </c>
      <c r="O299" s="138">
        <v>0</v>
      </c>
      <c r="P299" s="141">
        <v>0</v>
      </c>
      <c r="Q299" s="141">
        <v>0</v>
      </c>
      <c r="R299" s="141">
        <v>0</v>
      </c>
      <c r="S299" s="141">
        <v>0</v>
      </c>
      <c r="T299" s="141">
        <v>0</v>
      </c>
      <c r="U299" s="171">
        <v>0</v>
      </c>
      <c r="V299" s="84" t="s">
        <v>87</v>
      </c>
      <c r="W299" s="93"/>
      <c r="X299" s="219" t="s">
        <v>228</v>
      </c>
    </row>
    <row r="300" spans="1:24" s="12" customFormat="1">
      <c r="A300" s="84"/>
      <c r="B300" s="84"/>
      <c r="C300" s="219" t="s">
        <v>229</v>
      </c>
      <c r="D300" s="165">
        <v>0</v>
      </c>
      <c r="E300" s="138">
        <v>0</v>
      </c>
      <c r="F300" s="138">
        <v>0</v>
      </c>
      <c r="G300" s="138">
        <v>0</v>
      </c>
      <c r="H300" s="138">
        <v>0</v>
      </c>
      <c r="I300" s="138">
        <v>0</v>
      </c>
      <c r="J300" s="138">
        <v>0</v>
      </c>
      <c r="K300" s="138">
        <v>0</v>
      </c>
      <c r="L300" s="166">
        <v>0</v>
      </c>
      <c r="M300" s="138">
        <v>0</v>
      </c>
      <c r="N300" s="138">
        <v>0</v>
      </c>
      <c r="O300" s="138">
        <v>0</v>
      </c>
      <c r="P300" s="141">
        <v>0</v>
      </c>
      <c r="Q300" s="141">
        <v>0</v>
      </c>
      <c r="R300" s="141">
        <v>0</v>
      </c>
      <c r="S300" s="141">
        <v>0</v>
      </c>
      <c r="T300" s="141">
        <v>0</v>
      </c>
      <c r="U300" s="171">
        <v>0</v>
      </c>
      <c r="V300" s="84"/>
      <c r="W300" s="84"/>
      <c r="X300" s="219" t="s">
        <v>229</v>
      </c>
    </row>
    <row r="301" spans="1:24" s="20" customFormat="1" ht="17.5" thickBot="1">
      <c r="A301" s="96"/>
      <c r="B301" s="96"/>
      <c r="C301" s="233" t="s">
        <v>230</v>
      </c>
      <c r="D301" s="174">
        <v>0</v>
      </c>
      <c r="E301" s="175">
        <v>0</v>
      </c>
      <c r="F301" s="175">
        <v>0</v>
      </c>
      <c r="G301" s="175">
        <v>0</v>
      </c>
      <c r="H301" s="175">
        <v>0</v>
      </c>
      <c r="I301" s="175">
        <v>0</v>
      </c>
      <c r="J301" s="175">
        <v>0</v>
      </c>
      <c r="K301" s="175">
        <v>0</v>
      </c>
      <c r="L301" s="234">
        <v>0</v>
      </c>
      <c r="M301" s="175">
        <v>0</v>
      </c>
      <c r="N301" s="175">
        <v>0</v>
      </c>
      <c r="O301" s="175">
        <v>0</v>
      </c>
      <c r="P301" s="177">
        <v>0</v>
      </c>
      <c r="Q301" s="177">
        <v>0</v>
      </c>
      <c r="R301" s="177">
        <v>0</v>
      </c>
      <c r="S301" s="177">
        <v>0</v>
      </c>
      <c r="T301" s="177">
        <v>0</v>
      </c>
      <c r="U301" s="178">
        <v>0</v>
      </c>
      <c r="V301" s="96"/>
      <c r="W301" s="96"/>
      <c r="X301" s="219" t="s">
        <v>230</v>
      </c>
    </row>
    <row r="302" spans="1:24" s="6" customFormat="1">
      <c r="A302" s="84"/>
      <c r="B302" s="84"/>
      <c r="C302" s="235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2"/>
      <c r="Q302" s="102"/>
      <c r="R302" s="102"/>
      <c r="S302" s="102"/>
      <c r="T302" s="102"/>
      <c r="U302" s="102"/>
      <c r="V302" s="84"/>
      <c r="W302" s="84"/>
      <c r="X302" s="220"/>
    </row>
    <row r="303" spans="1:24" s="6" customFormat="1">
      <c r="A303" s="103" t="s">
        <v>231</v>
      </c>
      <c r="B303" s="93"/>
      <c r="C303" s="93"/>
      <c r="D303" s="93"/>
      <c r="E303" s="93"/>
      <c r="F303" s="93"/>
      <c r="G303" s="93"/>
      <c r="H303" s="93"/>
      <c r="I303" s="93"/>
      <c r="J303" s="93"/>
      <c r="K303" s="93"/>
      <c r="L303" s="93"/>
      <c r="M303" s="93"/>
      <c r="N303" s="93"/>
      <c r="O303" s="93"/>
      <c r="P303" s="93"/>
      <c r="Q303" s="93"/>
      <c r="R303" s="93"/>
      <c r="S303" s="93"/>
      <c r="T303" s="93"/>
      <c r="U303" s="93"/>
      <c r="V303" s="93"/>
      <c r="W303" s="93"/>
      <c r="X303" s="93"/>
    </row>
    <row r="304" spans="1:24" s="6" customFormat="1">
      <c r="A304" s="103" t="s">
        <v>84</v>
      </c>
      <c r="B304" s="93"/>
      <c r="C304" s="93"/>
      <c r="D304" s="93"/>
      <c r="E304" s="93"/>
      <c r="F304" s="93"/>
      <c r="G304" s="93"/>
      <c r="H304" s="93"/>
      <c r="I304" s="93"/>
      <c r="J304" s="93"/>
      <c r="K304" s="93"/>
      <c r="L304" s="93"/>
      <c r="M304" s="93"/>
      <c r="N304" s="93"/>
      <c r="O304" s="93"/>
      <c r="P304" s="93"/>
      <c r="Q304" s="93"/>
      <c r="R304" s="93"/>
      <c r="S304" s="93"/>
      <c r="T304" s="93"/>
      <c r="U304" s="93"/>
      <c r="V304" s="93"/>
      <c r="W304" s="93"/>
      <c r="X304" s="93"/>
    </row>
    <row r="307" spans="1:24" s="6" customFormat="1" ht="21">
      <c r="A307" s="19" t="s">
        <v>102</v>
      </c>
    </row>
    <row r="308" spans="1:24" s="6" customFormat="1" ht="17.5" thickBot="1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25"/>
    </row>
    <row r="309" spans="1:24" s="6" customFormat="1" ht="33" customHeight="1">
      <c r="A309" s="269" t="s">
        <v>61</v>
      </c>
      <c r="B309" s="269"/>
      <c r="C309" s="269"/>
      <c r="D309" s="72" t="s">
        <v>79</v>
      </c>
      <c r="E309" s="73" t="s">
        <v>78</v>
      </c>
      <c r="F309" s="73" t="s">
        <v>77</v>
      </c>
      <c r="G309" s="73" t="s">
        <v>76</v>
      </c>
      <c r="H309" s="73" t="s">
        <v>75</v>
      </c>
      <c r="I309" s="73" t="s">
        <v>74</v>
      </c>
      <c r="J309" s="73" t="s">
        <v>73</v>
      </c>
      <c r="K309" s="73" t="s">
        <v>72</v>
      </c>
      <c r="L309" s="73" t="s">
        <v>71</v>
      </c>
      <c r="M309" s="73" t="s">
        <v>70</v>
      </c>
      <c r="N309" s="73" t="s">
        <v>69</v>
      </c>
      <c r="O309" s="73" t="s">
        <v>68</v>
      </c>
      <c r="P309" s="73" t="s">
        <v>67</v>
      </c>
      <c r="Q309" s="73" t="s">
        <v>66</v>
      </c>
      <c r="R309" s="73" t="s">
        <v>65</v>
      </c>
      <c r="S309" s="73" t="s">
        <v>64</v>
      </c>
      <c r="T309" s="73" t="s">
        <v>63</v>
      </c>
      <c r="U309" s="74" t="s">
        <v>62</v>
      </c>
      <c r="V309" s="273" t="s">
        <v>61</v>
      </c>
      <c r="W309" s="269"/>
      <c r="X309" s="269"/>
    </row>
    <row r="310" spans="1:24" s="6" customFormat="1">
      <c r="A310" s="270"/>
      <c r="B310" s="270"/>
      <c r="C310" s="270"/>
      <c r="D310" s="75" t="s">
        <v>22</v>
      </c>
      <c r="E310" s="76" t="s">
        <v>60</v>
      </c>
      <c r="F310" s="76" t="s">
        <v>59</v>
      </c>
      <c r="G310" s="76" t="s">
        <v>58</v>
      </c>
      <c r="H310" s="76" t="s">
        <v>57</v>
      </c>
      <c r="I310" s="76" t="s">
        <v>56</v>
      </c>
      <c r="J310" s="76" t="s">
        <v>55</v>
      </c>
      <c r="K310" s="76" t="s">
        <v>54</v>
      </c>
      <c r="L310" s="76" t="s">
        <v>53</v>
      </c>
      <c r="M310" s="76" t="s">
        <v>52</v>
      </c>
      <c r="N310" s="76" t="s">
        <v>51</v>
      </c>
      <c r="O310" s="76" t="s">
        <v>50</v>
      </c>
      <c r="P310" s="76" t="s">
        <v>49</v>
      </c>
      <c r="Q310" s="76" t="s">
        <v>48</v>
      </c>
      <c r="R310" s="76" t="s">
        <v>47</v>
      </c>
      <c r="S310" s="76" t="s">
        <v>46</v>
      </c>
      <c r="T310" s="76" t="s">
        <v>45</v>
      </c>
      <c r="U310" s="77" t="s">
        <v>44</v>
      </c>
      <c r="V310" s="274"/>
      <c r="W310" s="270"/>
      <c r="X310" s="270"/>
    </row>
    <row r="311" spans="1:24" s="12" customFormat="1" ht="15.75" customHeight="1">
      <c r="A311" s="277" t="s">
        <v>211</v>
      </c>
      <c r="B311" s="277"/>
      <c r="C311" s="278"/>
      <c r="D311" s="80">
        <v>692374.42799999856</v>
      </c>
      <c r="E311" s="81">
        <v>73496.608957234406</v>
      </c>
      <c r="F311" s="81">
        <v>37752.849550506202</v>
      </c>
      <c r="G311" s="81">
        <v>32089.834661617599</v>
      </c>
      <c r="H311" s="81">
        <v>42194.318391588997</v>
      </c>
      <c r="I311" s="81">
        <v>18713.2458717845</v>
      </c>
      <c r="J311" s="81">
        <v>17465.390049904399</v>
      </c>
      <c r="K311" s="81">
        <v>14957.580282885599</v>
      </c>
      <c r="L311" s="81">
        <v>4715.8630222168704</v>
      </c>
      <c r="M311" s="81">
        <v>174223.032398415</v>
      </c>
      <c r="N311" s="81">
        <v>26394.0236554619</v>
      </c>
      <c r="O311" s="81">
        <v>27169.396747915001</v>
      </c>
      <c r="P311" s="82">
        <v>37209.672968303697</v>
      </c>
      <c r="Q311" s="82">
        <v>30657.810421217899</v>
      </c>
      <c r="R311" s="82">
        <v>39330.415671310897</v>
      </c>
      <c r="S311" s="82">
        <v>46710.562380040501</v>
      </c>
      <c r="T311" s="82">
        <v>52414.463095122097</v>
      </c>
      <c r="U311" s="83">
        <v>16879.359874472899</v>
      </c>
      <c r="V311" s="277" t="s">
        <v>211</v>
      </c>
      <c r="W311" s="277"/>
      <c r="X311" s="278"/>
    </row>
    <row r="312" spans="1:24" s="9" customFormat="1" ht="15.75" customHeight="1" thickBot="1">
      <c r="A312" s="271" t="s">
        <v>235</v>
      </c>
      <c r="B312" s="271"/>
      <c r="C312" s="272"/>
      <c r="D312" s="97">
        <v>1277579.9999999986</v>
      </c>
      <c r="E312" s="98">
        <v>135617.079248316</v>
      </c>
      <c r="F312" s="98">
        <v>69662.141723027104</v>
      </c>
      <c r="G312" s="98">
        <v>59212.659088832501</v>
      </c>
      <c r="H312" s="98">
        <v>77857.608702333906</v>
      </c>
      <c r="I312" s="98">
        <v>34529.970625770198</v>
      </c>
      <c r="J312" s="98">
        <v>32227.407768960598</v>
      </c>
      <c r="K312" s="98">
        <v>27599.958411244199</v>
      </c>
      <c r="L312" s="98">
        <v>8701.7833650029606</v>
      </c>
      <c r="M312" s="98">
        <v>321479.033208268</v>
      </c>
      <c r="N312" s="98">
        <v>48702.6605519652</v>
      </c>
      <c r="O312" s="98">
        <v>50133.390970934801</v>
      </c>
      <c r="P312" s="99">
        <v>68659.863894981099</v>
      </c>
      <c r="Q312" s="99">
        <v>56570.265818569002</v>
      </c>
      <c r="R312" s="99">
        <v>72573.091121374295</v>
      </c>
      <c r="S312" s="99">
        <v>86191.051939734898</v>
      </c>
      <c r="T312" s="99">
        <v>96715.977732594896</v>
      </c>
      <c r="U312" s="100">
        <v>31146.0558280888</v>
      </c>
      <c r="V312" s="271" t="s">
        <v>235</v>
      </c>
      <c r="W312" s="271"/>
      <c r="X312" s="272"/>
    </row>
    <row r="313" spans="1:24" s="6" customFormat="1">
      <c r="A313" s="235"/>
      <c r="B313" s="235"/>
      <c r="C313" s="235"/>
      <c r="D313" s="235"/>
      <c r="E313" s="235"/>
      <c r="F313" s="235"/>
      <c r="G313" s="235"/>
      <c r="H313" s="235"/>
      <c r="I313" s="235"/>
      <c r="J313" s="235"/>
      <c r="K313" s="235"/>
      <c r="L313" s="235"/>
      <c r="M313" s="235"/>
      <c r="N313" s="235"/>
      <c r="O313" s="235"/>
      <c r="P313" s="235"/>
      <c r="Q313" s="235"/>
      <c r="R313" s="235"/>
      <c r="S313" s="235"/>
      <c r="T313" s="235"/>
      <c r="U313" s="235"/>
      <c r="V313" s="235"/>
      <c r="W313" s="235"/>
      <c r="X313" s="235"/>
    </row>
    <row r="314" spans="1:24" s="6" customFormat="1">
      <c r="A314" s="103" t="s">
        <v>236</v>
      </c>
      <c r="B314" s="93"/>
      <c r="C314" s="93"/>
      <c r="D314" s="93"/>
      <c r="E314" s="93"/>
      <c r="F314" s="93"/>
      <c r="G314" s="93"/>
      <c r="H314" s="93"/>
      <c r="I314" s="93"/>
      <c r="J314" s="93"/>
      <c r="K314" s="93"/>
      <c r="L314" s="93"/>
      <c r="M314" s="93"/>
      <c r="N314" s="93"/>
      <c r="O314" s="93"/>
      <c r="P314" s="93"/>
      <c r="Q314" s="93"/>
      <c r="R314" s="93"/>
      <c r="S314" s="93"/>
      <c r="T314" s="93"/>
      <c r="U314" s="93"/>
      <c r="V314" s="93"/>
      <c r="W314" s="93"/>
      <c r="X314" s="93"/>
    </row>
    <row r="315" spans="1:24" s="20" customFormat="1">
      <c r="A315" s="103" t="s">
        <v>237</v>
      </c>
      <c r="B315" s="93"/>
      <c r="C315" s="93"/>
      <c r="D315" s="93"/>
      <c r="E315" s="93"/>
      <c r="F315" s="93"/>
      <c r="G315" s="93"/>
      <c r="H315" s="93"/>
      <c r="I315" s="93"/>
      <c r="J315" s="93"/>
      <c r="K315" s="93"/>
      <c r="L315" s="93"/>
      <c r="M315" s="93"/>
      <c r="N315" s="93"/>
      <c r="O315" s="93"/>
      <c r="P315" s="93"/>
      <c r="Q315" s="93"/>
      <c r="R315" s="93"/>
      <c r="S315" s="93"/>
      <c r="T315" s="93"/>
      <c r="U315" s="93"/>
      <c r="V315" s="93"/>
      <c r="W315" s="93"/>
      <c r="X315" s="93"/>
    </row>
    <row r="318" spans="1:24" s="6" customFormat="1" ht="21">
      <c r="A318" s="19" t="s">
        <v>101</v>
      </c>
      <c r="B318" s="26"/>
      <c r="C318" s="12"/>
      <c r="X318" s="12"/>
    </row>
    <row r="319" spans="1:24" s="6" customFormat="1" ht="17.5" thickBot="1">
      <c r="A319" s="16"/>
      <c r="B319" s="16"/>
      <c r="C319" s="17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27" t="s">
        <v>100</v>
      </c>
    </row>
    <row r="320" spans="1:24" s="6" customFormat="1" ht="33" customHeight="1">
      <c r="A320" s="269" t="s">
        <v>61</v>
      </c>
      <c r="B320" s="269"/>
      <c r="C320" s="269"/>
      <c r="D320" s="72" t="s">
        <v>79</v>
      </c>
      <c r="E320" s="73" t="s">
        <v>78</v>
      </c>
      <c r="F320" s="73" t="s">
        <v>77</v>
      </c>
      <c r="G320" s="73" t="s">
        <v>76</v>
      </c>
      <c r="H320" s="73" t="s">
        <v>75</v>
      </c>
      <c r="I320" s="73" t="s">
        <v>74</v>
      </c>
      <c r="J320" s="73" t="s">
        <v>73</v>
      </c>
      <c r="K320" s="73" t="s">
        <v>72</v>
      </c>
      <c r="L320" s="73" t="s">
        <v>71</v>
      </c>
      <c r="M320" s="73" t="s">
        <v>70</v>
      </c>
      <c r="N320" s="73" t="s">
        <v>69</v>
      </c>
      <c r="O320" s="73" t="s">
        <v>68</v>
      </c>
      <c r="P320" s="73" t="s">
        <v>67</v>
      </c>
      <c r="Q320" s="73" t="s">
        <v>66</v>
      </c>
      <c r="R320" s="73" t="s">
        <v>65</v>
      </c>
      <c r="S320" s="73" t="s">
        <v>64</v>
      </c>
      <c r="T320" s="73" t="s">
        <v>63</v>
      </c>
      <c r="U320" s="74" t="s">
        <v>62</v>
      </c>
      <c r="V320" s="273" t="s">
        <v>61</v>
      </c>
      <c r="W320" s="269"/>
      <c r="X320" s="269"/>
    </row>
    <row r="321" spans="1:24" s="6" customFormat="1">
      <c r="A321" s="270"/>
      <c r="B321" s="270"/>
      <c r="C321" s="270"/>
      <c r="D321" s="75" t="s">
        <v>22</v>
      </c>
      <c r="E321" s="76" t="s">
        <v>60</v>
      </c>
      <c r="F321" s="76" t="s">
        <v>59</v>
      </c>
      <c r="G321" s="76" t="s">
        <v>58</v>
      </c>
      <c r="H321" s="76" t="s">
        <v>57</v>
      </c>
      <c r="I321" s="76" t="s">
        <v>56</v>
      </c>
      <c r="J321" s="76" t="s">
        <v>55</v>
      </c>
      <c r="K321" s="76" t="s">
        <v>54</v>
      </c>
      <c r="L321" s="76" t="s">
        <v>53</v>
      </c>
      <c r="M321" s="76" t="s">
        <v>52</v>
      </c>
      <c r="N321" s="76" t="s">
        <v>51</v>
      </c>
      <c r="O321" s="76" t="s">
        <v>50</v>
      </c>
      <c r="P321" s="76" t="s">
        <v>49</v>
      </c>
      <c r="Q321" s="76" t="s">
        <v>48</v>
      </c>
      <c r="R321" s="76" t="s">
        <v>47</v>
      </c>
      <c r="S321" s="76" t="s">
        <v>46</v>
      </c>
      <c r="T321" s="76" t="s">
        <v>45</v>
      </c>
      <c r="U321" s="77" t="s">
        <v>44</v>
      </c>
      <c r="V321" s="274"/>
      <c r="W321" s="270"/>
      <c r="X321" s="270"/>
    </row>
    <row r="322" spans="1:24" s="12" customFormat="1">
      <c r="A322" s="78" t="s">
        <v>238</v>
      </c>
      <c r="B322" s="79"/>
      <c r="C322" s="79"/>
      <c r="D322" s="80">
        <v>183288.38470480533</v>
      </c>
      <c r="E322" s="81">
        <v>0</v>
      </c>
      <c r="F322" s="81">
        <v>0</v>
      </c>
      <c r="G322" s="81">
        <v>19124.59448</v>
      </c>
      <c r="H322" s="81">
        <v>20485.51813</v>
      </c>
      <c r="I322" s="81">
        <v>0</v>
      </c>
      <c r="J322" s="81">
        <v>0</v>
      </c>
      <c r="K322" s="81">
        <v>28800.5</v>
      </c>
      <c r="L322" s="81">
        <v>0</v>
      </c>
      <c r="M322" s="81">
        <v>2669.4346698033301</v>
      </c>
      <c r="N322" s="81">
        <v>8216.1688922213907</v>
      </c>
      <c r="O322" s="81">
        <v>0</v>
      </c>
      <c r="P322" s="82">
        <v>0</v>
      </c>
      <c r="Q322" s="82">
        <v>95875.343116240605</v>
      </c>
      <c r="R322" s="82">
        <v>8116.8254165399903</v>
      </c>
      <c r="S322" s="82">
        <v>0</v>
      </c>
      <c r="T322" s="82">
        <v>0</v>
      </c>
      <c r="U322" s="83">
        <v>0</v>
      </c>
      <c r="V322" s="78" t="s">
        <v>238</v>
      </c>
      <c r="W322" s="79"/>
      <c r="X322" s="79"/>
    </row>
    <row r="323" spans="1:24" s="12" customFormat="1">
      <c r="A323" s="78" t="s">
        <v>239</v>
      </c>
      <c r="B323" s="79"/>
      <c r="C323" s="79"/>
      <c r="D323" s="80">
        <v>423194.8270245039</v>
      </c>
      <c r="E323" s="81">
        <v>0</v>
      </c>
      <c r="F323" s="81">
        <v>0</v>
      </c>
      <c r="G323" s="81">
        <v>10081.5053625071</v>
      </c>
      <c r="H323" s="81">
        <v>4546.0644000000002</v>
      </c>
      <c r="I323" s="81">
        <v>0</v>
      </c>
      <c r="J323" s="81">
        <v>0</v>
      </c>
      <c r="K323" s="81">
        <v>0</v>
      </c>
      <c r="L323" s="81">
        <v>0</v>
      </c>
      <c r="M323" s="81">
        <v>5771.9937549452297</v>
      </c>
      <c r="N323" s="81">
        <v>37628.492451743601</v>
      </c>
      <c r="O323" s="81">
        <v>0</v>
      </c>
      <c r="P323" s="82">
        <v>0</v>
      </c>
      <c r="Q323" s="82">
        <v>327059.60947530798</v>
      </c>
      <c r="R323" s="82">
        <v>38107.16158</v>
      </c>
      <c r="S323" s="82">
        <v>0</v>
      </c>
      <c r="T323" s="82">
        <v>0</v>
      </c>
      <c r="U323" s="83">
        <v>0</v>
      </c>
      <c r="V323" s="78" t="s">
        <v>239</v>
      </c>
      <c r="W323" s="79"/>
      <c r="X323" s="79"/>
    </row>
    <row r="324" spans="1:24" s="12" customFormat="1">
      <c r="A324" s="78" t="s">
        <v>240</v>
      </c>
      <c r="B324" s="78"/>
      <c r="C324" s="79"/>
      <c r="D324" s="80"/>
      <c r="E324" s="81"/>
      <c r="F324" s="81"/>
      <c r="G324" s="81"/>
      <c r="H324" s="81"/>
      <c r="I324" s="81"/>
      <c r="J324" s="81"/>
      <c r="K324" s="81"/>
      <c r="L324" s="81"/>
      <c r="M324" s="81"/>
      <c r="N324" s="81"/>
      <c r="O324" s="81"/>
      <c r="P324" s="82"/>
      <c r="Q324" s="82"/>
      <c r="R324" s="82"/>
      <c r="S324" s="82"/>
      <c r="T324" s="82"/>
      <c r="U324" s="83"/>
      <c r="V324" s="78" t="s">
        <v>240</v>
      </c>
      <c r="W324" s="78"/>
      <c r="X324" s="79"/>
    </row>
    <row r="325" spans="1:24" s="12" customFormat="1">
      <c r="A325" s="209"/>
      <c r="B325" s="209" t="s">
        <v>85</v>
      </c>
      <c r="C325" s="210"/>
      <c r="D325" s="214">
        <v>41414.299080147495</v>
      </c>
      <c r="E325" s="215">
        <v>0</v>
      </c>
      <c r="F325" s="215">
        <v>0</v>
      </c>
      <c r="G325" s="215">
        <v>4500</v>
      </c>
      <c r="H325" s="215">
        <v>12600</v>
      </c>
      <c r="I325" s="215">
        <v>0</v>
      </c>
      <c r="J325" s="215">
        <v>0</v>
      </c>
      <c r="K325" s="215">
        <v>0</v>
      </c>
      <c r="L325" s="215">
        <v>0</v>
      </c>
      <c r="M325" s="215">
        <v>0</v>
      </c>
      <c r="N325" s="215">
        <v>0</v>
      </c>
      <c r="O325" s="215">
        <v>0</v>
      </c>
      <c r="P325" s="215">
        <v>0</v>
      </c>
      <c r="Q325" s="215">
        <v>12136.819080147499</v>
      </c>
      <c r="R325" s="215">
        <v>12177.48</v>
      </c>
      <c r="S325" s="215">
        <v>0</v>
      </c>
      <c r="T325" s="215">
        <v>0</v>
      </c>
      <c r="U325" s="216">
        <v>0</v>
      </c>
      <c r="V325" s="209"/>
      <c r="W325" s="209" t="s">
        <v>85</v>
      </c>
      <c r="X325" s="210"/>
    </row>
    <row r="326" spans="1:24" s="12" customFormat="1">
      <c r="A326" s="209"/>
      <c r="B326" s="209" t="s">
        <v>87</v>
      </c>
      <c r="C326" s="210"/>
      <c r="D326" s="214">
        <v>279.68</v>
      </c>
      <c r="E326" s="236">
        <v>0</v>
      </c>
      <c r="F326" s="236">
        <v>0</v>
      </c>
      <c r="G326" s="236">
        <v>67.63</v>
      </c>
      <c r="H326" s="236">
        <v>40</v>
      </c>
      <c r="I326" s="236">
        <v>0</v>
      </c>
      <c r="J326" s="215">
        <v>0</v>
      </c>
      <c r="K326" s="215">
        <v>50</v>
      </c>
      <c r="L326" s="215">
        <v>0</v>
      </c>
      <c r="M326" s="215">
        <v>41</v>
      </c>
      <c r="N326" s="215">
        <v>2.5499999999999998</v>
      </c>
      <c r="O326" s="215">
        <v>0</v>
      </c>
      <c r="P326" s="215">
        <v>0</v>
      </c>
      <c r="Q326" s="215">
        <v>70</v>
      </c>
      <c r="R326" s="215">
        <v>3</v>
      </c>
      <c r="S326" s="215">
        <v>3</v>
      </c>
      <c r="T326" s="215">
        <v>0</v>
      </c>
      <c r="U326" s="216">
        <v>2.5</v>
      </c>
      <c r="V326" s="209"/>
      <c r="W326" s="209" t="s">
        <v>87</v>
      </c>
      <c r="X326" s="210"/>
    </row>
    <row r="327" spans="1:24" s="12" customFormat="1">
      <c r="A327" s="84"/>
      <c r="B327" s="84"/>
      <c r="C327" s="217"/>
      <c r="D327" s="85"/>
      <c r="E327" s="86"/>
      <c r="F327" s="86"/>
      <c r="G327" s="86"/>
      <c r="H327" s="86"/>
      <c r="I327" s="86"/>
      <c r="J327" s="86"/>
      <c r="K327" s="86"/>
      <c r="L327" s="86"/>
      <c r="M327" s="86"/>
      <c r="N327" s="86"/>
      <c r="O327" s="86"/>
      <c r="P327" s="87"/>
      <c r="Q327" s="87"/>
      <c r="R327" s="87"/>
      <c r="S327" s="87"/>
      <c r="T327" s="87"/>
      <c r="U327" s="88"/>
      <c r="V327" s="84"/>
      <c r="W327" s="84"/>
      <c r="X327" s="217"/>
    </row>
    <row r="328" spans="1:24" s="12" customFormat="1">
      <c r="A328" s="78" t="s">
        <v>86</v>
      </c>
      <c r="B328" s="78"/>
      <c r="C328" s="218"/>
      <c r="D328" s="80"/>
      <c r="E328" s="81"/>
      <c r="F328" s="81"/>
      <c r="G328" s="81"/>
      <c r="H328" s="81"/>
      <c r="I328" s="81"/>
      <c r="J328" s="81"/>
      <c r="K328" s="81"/>
      <c r="L328" s="81"/>
      <c r="M328" s="81"/>
      <c r="N328" s="81"/>
      <c r="O328" s="81"/>
      <c r="P328" s="82"/>
      <c r="Q328" s="82"/>
      <c r="R328" s="82"/>
      <c r="S328" s="82"/>
      <c r="T328" s="82"/>
      <c r="U328" s="83"/>
      <c r="V328" s="78" t="s">
        <v>86</v>
      </c>
      <c r="W328" s="78"/>
      <c r="X328" s="218"/>
    </row>
    <row r="329" spans="1:24" s="12" customFormat="1">
      <c r="A329" s="84" t="s">
        <v>85</v>
      </c>
      <c r="B329" s="93"/>
      <c r="C329" s="219" t="s">
        <v>228</v>
      </c>
      <c r="D329" s="85">
        <v>0</v>
      </c>
      <c r="E329" s="86">
        <v>0</v>
      </c>
      <c r="F329" s="86">
        <v>0</v>
      </c>
      <c r="G329" s="86">
        <v>0</v>
      </c>
      <c r="H329" s="86">
        <v>0</v>
      </c>
      <c r="I329" s="86">
        <v>0</v>
      </c>
      <c r="J329" s="86">
        <v>0</v>
      </c>
      <c r="K329" s="86">
        <v>0</v>
      </c>
      <c r="L329" s="86">
        <v>0</v>
      </c>
      <c r="M329" s="86">
        <v>0</v>
      </c>
      <c r="N329" s="86">
        <v>0</v>
      </c>
      <c r="O329" s="86">
        <v>0</v>
      </c>
      <c r="P329" s="86">
        <v>0</v>
      </c>
      <c r="Q329" s="86">
        <v>0</v>
      </c>
      <c r="R329" s="86">
        <v>0</v>
      </c>
      <c r="S329" s="87">
        <v>0</v>
      </c>
      <c r="T329" s="87">
        <v>0</v>
      </c>
      <c r="U329" s="88">
        <v>0</v>
      </c>
      <c r="V329" s="84" t="s">
        <v>85</v>
      </c>
      <c r="W329" s="93"/>
      <c r="X329" s="219" t="s">
        <v>228</v>
      </c>
    </row>
    <row r="330" spans="1:24" s="12" customFormat="1">
      <c r="A330" s="84"/>
      <c r="B330" s="84"/>
      <c r="C330" s="219" t="s">
        <v>229</v>
      </c>
      <c r="D330" s="85">
        <v>0</v>
      </c>
      <c r="E330" s="86">
        <v>0</v>
      </c>
      <c r="F330" s="86">
        <v>0</v>
      </c>
      <c r="G330" s="86">
        <v>0</v>
      </c>
      <c r="H330" s="86">
        <v>0</v>
      </c>
      <c r="I330" s="86">
        <v>0</v>
      </c>
      <c r="J330" s="86">
        <v>0</v>
      </c>
      <c r="K330" s="86">
        <v>0</v>
      </c>
      <c r="L330" s="86">
        <v>0</v>
      </c>
      <c r="M330" s="86">
        <v>0</v>
      </c>
      <c r="N330" s="86">
        <v>0</v>
      </c>
      <c r="O330" s="86">
        <v>0</v>
      </c>
      <c r="P330" s="86">
        <v>0</v>
      </c>
      <c r="Q330" s="86">
        <v>0</v>
      </c>
      <c r="R330" s="86">
        <v>0</v>
      </c>
      <c r="S330" s="87">
        <v>0</v>
      </c>
      <c r="T330" s="87">
        <v>0</v>
      </c>
      <c r="U330" s="88">
        <v>0</v>
      </c>
      <c r="V330" s="84"/>
      <c r="W330" s="84"/>
      <c r="X330" s="219" t="s">
        <v>229</v>
      </c>
    </row>
    <row r="331" spans="1:24" s="12" customFormat="1">
      <c r="A331" s="84"/>
      <c r="B331" s="84"/>
      <c r="C331" s="219" t="s">
        <v>230</v>
      </c>
      <c r="D331" s="85">
        <v>8036.7712141631482</v>
      </c>
      <c r="E331" s="86">
        <v>0</v>
      </c>
      <c r="F331" s="86">
        <v>0</v>
      </c>
      <c r="G331" s="86">
        <v>0</v>
      </c>
      <c r="H331" s="86">
        <v>0</v>
      </c>
      <c r="I331" s="86">
        <v>0</v>
      </c>
      <c r="J331" s="86">
        <v>0</v>
      </c>
      <c r="K331" s="86">
        <v>0</v>
      </c>
      <c r="L331" s="86">
        <v>0</v>
      </c>
      <c r="M331" s="86">
        <v>0</v>
      </c>
      <c r="N331" s="86">
        <v>0</v>
      </c>
      <c r="O331" s="86">
        <v>0</v>
      </c>
      <c r="P331" s="87">
        <v>0</v>
      </c>
      <c r="Q331" s="87">
        <v>8036.7712141631482</v>
      </c>
      <c r="R331" s="87">
        <v>0</v>
      </c>
      <c r="S331" s="87">
        <v>0</v>
      </c>
      <c r="T331" s="87">
        <v>0</v>
      </c>
      <c r="U331" s="88">
        <v>0</v>
      </c>
      <c r="V331" s="84"/>
      <c r="W331" s="84"/>
      <c r="X331" s="219" t="s">
        <v>230</v>
      </c>
    </row>
    <row r="332" spans="1:24" s="12" customFormat="1">
      <c r="A332" s="84"/>
      <c r="B332" s="93"/>
      <c r="C332" s="84"/>
      <c r="D332" s="85"/>
      <c r="E332" s="86"/>
      <c r="F332" s="86"/>
      <c r="G332" s="86"/>
      <c r="H332" s="86"/>
      <c r="I332" s="86"/>
      <c r="J332" s="86"/>
      <c r="K332" s="86"/>
      <c r="L332" s="86"/>
      <c r="M332" s="86"/>
      <c r="N332" s="86"/>
      <c r="O332" s="86"/>
      <c r="P332" s="87"/>
      <c r="Q332" s="87"/>
      <c r="R332" s="87"/>
      <c r="S332" s="87"/>
      <c r="T332" s="87"/>
      <c r="U332" s="88"/>
      <c r="V332" s="84"/>
      <c r="W332" s="93"/>
      <c r="X332" s="84"/>
    </row>
    <row r="333" spans="1:24" s="12" customFormat="1">
      <c r="A333" s="84" t="s">
        <v>87</v>
      </c>
      <c r="B333" s="93"/>
      <c r="C333" s="219" t="s">
        <v>228</v>
      </c>
      <c r="D333" s="85">
        <v>35</v>
      </c>
      <c r="E333" s="86">
        <v>0</v>
      </c>
      <c r="F333" s="86">
        <v>0</v>
      </c>
      <c r="G333" s="86">
        <v>0</v>
      </c>
      <c r="H333" s="86">
        <v>0</v>
      </c>
      <c r="I333" s="86">
        <v>0</v>
      </c>
      <c r="J333" s="86">
        <v>0</v>
      </c>
      <c r="K333" s="86">
        <v>0</v>
      </c>
      <c r="L333" s="86">
        <v>0</v>
      </c>
      <c r="M333" s="86">
        <v>0</v>
      </c>
      <c r="N333" s="86">
        <v>0</v>
      </c>
      <c r="O333" s="86">
        <v>0</v>
      </c>
      <c r="P333" s="86">
        <v>0</v>
      </c>
      <c r="Q333" s="86">
        <v>35</v>
      </c>
      <c r="R333" s="86">
        <v>0</v>
      </c>
      <c r="S333" s="86">
        <v>0</v>
      </c>
      <c r="T333" s="87">
        <v>0</v>
      </c>
      <c r="U333" s="88">
        <v>0</v>
      </c>
      <c r="V333" s="84" t="s">
        <v>87</v>
      </c>
      <c r="W333" s="93"/>
      <c r="X333" s="219" t="s">
        <v>228</v>
      </c>
    </row>
    <row r="334" spans="1:24" s="12" customFormat="1">
      <c r="A334" s="84"/>
      <c r="B334" s="84"/>
      <c r="C334" s="219" t="s">
        <v>229</v>
      </c>
      <c r="D334" s="85">
        <v>0</v>
      </c>
      <c r="E334" s="86">
        <v>0</v>
      </c>
      <c r="F334" s="86">
        <v>0</v>
      </c>
      <c r="G334" s="86">
        <v>0</v>
      </c>
      <c r="H334" s="86">
        <v>0</v>
      </c>
      <c r="I334" s="86">
        <v>0</v>
      </c>
      <c r="J334" s="86">
        <v>0</v>
      </c>
      <c r="K334" s="86">
        <v>0</v>
      </c>
      <c r="L334" s="86">
        <v>0</v>
      </c>
      <c r="M334" s="86">
        <v>0</v>
      </c>
      <c r="N334" s="86">
        <v>0</v>
      </c>
      <c r="O334" s="86">
        <v>0</v>
      </c>
      <c r="P334" s="86">
        <v>0</v>
      </c>
      <c r="Q334" s="86">
        <v>0</v>
      </c>
      <c r="R334" s="86">
        <v>0</v>
      </c>
      <c r="S334" s="86">
        <v>0</v>
      </c>
      <c r="T334" s="87">
        <v>0</v>
      </c>
      <c r="U334" s="88">
        <v>0</v>
      </c>
      <c r="V334" s="84"/>
      <c r="W334" s="84"/>
      <c r="X334" s="219" t="s">
        <v>229</v>
      </c>
    </row>
    <row r="335" spans="1:24" s="12" customFormat="1" ht="17.5" thickBot="1">
      <c r="A335" s="84"/>
      <c r="B335" s="84"/>
      <c r="C335" s="233" t="s">
        <v>230</v>
      </c>
      <c r="D335" s="85">
        <v>35</v>
      </c>
      <c r="E335" s="86">
        <v>0</v>
      </c>
      <c r="F335" s="86">
        <v>0</v>
      </c>
      <c r="G335" s="86">
        <v>0</v>
      </c>
      <c r="H335" s="86">
        <v>0</v>
      </c>
      <c r="I335" s="86">
        <v>0</v>
      </c>
      <c r="J335" s="86">
        <v>0</v>
      </c>
      <c r="K335" s="86">
        <v>0</v>
      </c>
      <c r="L335" s="86">
        <v>0</v>
      </c>
      <c r="M335" s="86">
        <v>0</v>
      </c>
      <c r="N335" s="86">
        <v>0</v>
      </c>
      <c r="O335" s="86">
        <v>0</v>
      </c>
      <c r="P335" s="87">
        <v>0</v>
      </c>
      <c r="Q335" s="87">
        <v>35</v>
      </c>
      <c r="R335" s="87">
        <v>0</v>
      </c>
      <c r="S335" s="87">
        <v>0</v>
      </c>
      <c r="T335" s="87">
        <v>0</v>
      </c>
      <c r="U335" s="88">
        <v>0</v>
      </c>
      <c r="V335" s="84"/>
      <c r="W335" s="84"/>
      <c r="X335" s="219" t="s">
        <v>230</v>
      </c>
    </row>
    <row r="336" spans="1:24" s="6" customFormat="1">
      <c r="A336" s="220"/>
      <c r="B336" s="220"/>
      <c r="C336" s="220"/>
      <c r="D336" s="220"/>
      <c r="E336" s="220"/>
      <c r="F336" s="220"/>
      <c r="G336" s="220"/>
      <c r="H336" s="220"/>
      <c r="I336" s="220"/>
      <c r="J336" s="220"/>
      <c r="K336" s="220"/>
      <c r="L336" s="220"/>
      <c r="M336" s="220"/>
      <c r="N336" s="220"/>
      <c r="O336" s="220"/>
      <c r="P336" s="220"/>
      <c r="Q336" s="220"/>
      <c r="R336" s="220"/>
      <c r="S336" s="220"/>
      <c r="T336" s="220"/>
      <c r="U336" s="220"/>
      <c r="V336" s="220"/>
      <c r="W336" s="220"/>
      <c r="X336" s="220"/>
    </row>
    <row r="337" spans="1:24" s="6" customFormat="1">
      <c r="A337" s="103" t="s">
        <v>241</v>
      </c>
      <c r="B337" s="93"/>
      <c r="C337" s="93"/>
      <c r="D337" s="93"/>
      <c r="E337" s="93"/>
      <c r="F337" s="93"/>
      <c r="G337" s="93"/>
      <c r="H337" s="93"/>
      <c r="I337" s="93"/>
      <c r="J337" s="93"/>
      <c r="K337" s="93"/>
      <c r="L337" s="93"/>
      <c r="M337" s="93"/>
      <c r="N337" s="93"/>
      <c r="O337" s="93"/>
      <c r="P337" s="93"/>
      <c r="Q337" s="93"/>
      <c r="R337" s="93"/>
      <c r="S337" s="93"/>
      <c r="T337" s="93"/>
      <c r="U337" s="93"/>
      <c r="V337" s="93"/>
      <c r="W337" s="93"/>
      <c r="X337" s="93"/>
    </row>
    <row r="338" spans="1:24" s="6" customFormat="1">
      <c r="A338" s="103" t="s">
        <v>84</v>
      </c>
      <c r="B338" s="93"/>
      <c r="C338" s="93"/>
      <c r="D338" s="93"/>
      <c r="E338" s="93"/>
      <c r="F338" s="93"/>
      <c r="G338" s="93"/>
      <c r="H338" s="93"/>
      <c r="I338" s="93"/>
      <c r="J338" s="93"/>
      <c r="K338" s="93"/>
      <c r="L338" s="93"/>
      <c r="M338" s="93"/>
      <c r="N338" s="93"/>
      <c r="O338" s="93"/>
      <c r="P338" s="93"/>
      <c r="Q338" s="93"/>
      <c r="R338" s="93"/>
      <c r="S338" s="93"/>
      <c r="T338" s="93"/>
      <c r="U338" s="93"/>
      <c r="V338" s="93"/>
      <c r="W338" s="93"/>
      <c r="X338" s="93"/>
    </row>
    <row r="339" spans="1:24" s="6" customFormat="1">
      <c r="A339" s="103" t="s">
        <v>91</v>
      </c>
      <c r="B339" s="93"/>
      <c r="C339" s="93"/>
      <c r="D339" s="93"/>
      <c r="E339" s="93"/>
      <c r="F339" s="93"/>
      <c r="G339" s="93"/>
      <c r="H339" s="93"/>
      <c r="I339" s="93"/>
      <c r="J339" s="93"/>
      <c r="K339" s="93"/>
      <c r="L339" s="93"/>
      <c r="M339" s="93"/>
      <c r="N339" s="93"/>
      <c r="O339" s="93"/>
      <c r="P339" s="93"/>
      <c r="Q339" s="93"/>
      <c r="R339" s="93"/>
      <c r="S339" s="93"/>
      <c r="T339" s="93"/>
      <c r="U339" s="93"/>
      <c r="V339" s="93"/>
      <c r="W339" s="93"/>
      <c r="X339" s="93"/>
    </row>
    <row r="342" spans="1:24" s="6" customFormat="1" ht="21">
      <c r="A342" s="19" t="s">
        <v>99</v>
      </c>
    </row>
    <row r="343" spans="1:24" s="6" customFormat="1" ht="15.75" customHeight="1" thickBo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25"/>
    </row>
    <row r="344" spans="1:24" s="6" customFormat="1" ht="15.75" customHeight="1">
      <c r="A344" s="269" t="s">
        <v>61</v>
      </c>
      <c r="B344" s="269"/>
      <c r="C344" s="269"/>
      <c r="D344" s="72" t="s">
        <v>79</v>
      </c>
      <c r="E344" s="73" t="s">
        <v>78</v>
      </c>
      <c r="F344" s="73" t="s">
        <v>77</v>
      </c>
      <c r="G344" s="73" t="s">
        <v>76</v>
      </c>
      <c r="H344" s="73" t="s">
        <v>75</v>
      </c>
      <c r="I344" s="73" t="s">
        <v>74</v>
      </c>
      <c r="J344" s="73" t="s">
        <v>73</v>
      </c>
      <c r="K344" s="73" t="s">
        <v>72</v>
      </c>
      <c r="L344" s="73" t="s">
        <v>71</v>
      </c>
      <c r="M344" s="73" t="s">
        <v>70</v>
      </c>
      <c r="N344" s="73" t="s">
        <v>69</v>
      </c>
      <c r="O344" s="73" t="s">
        <v>68</v>
      </c>
      <c r="P344" s="73" t="s">
        <v>67</v>
      </c>
      <c r="Q344" s="73" t="s">
        <v>66</v>
      </c>
      <c r="R344" s="73" t="s">
        <v>65</v>
      </c>
      <c r="S344" s="73" t="s">
        <v>64</v>
      </c>
      <c r="T344" s="73" t="s">
        <v>63</v>
      </c>
      <c r="U344" s="74" t="s">
        <v>62</v>
      </c>
      <c r="V344" s="273" t="s">
        <v>61</v>
      </c>
      <c r="W344" s="269"/>
      <c r="X344" s="275"/>
    </row>
    <row r="345" spans="1:24" s="6" customFormat="1" ht="15.75" customHeight="1">
      <c r="A345" s="270"/>
      <c r="B345" s="270"/>
      <c r="C345" s="270"/>
      <c r="D345" s="75" t="s">
        <v>22</v>
      </c>
      <c r="E345" s="76" t="s">
        <v>60</v>
      </c>
      <c r="F345" s="76" t="s">
        <v>59</v>
      </c>
      <c r="G345" s="76" t="s">
        <v>58</v>
      </c>
      <c r="H345" s="76" t="s">
        <v>57</v>
      </c>
      <c r="I345" s="76" t="s">
        <v>56</v>
      </c>
      <c r="J345" s="76" t="s">
        <v>55</v>
      </c>
      <c r="K345" s="76" t="s">
        <v>54</v>
      </c>
      <c r="L345" s="76" t="s">
        <v>53</v>
      </c>
      <c r="M345" s="76" t="s">
        <v>52</v>
      </c>
      <c r="N345" s="76" t="s">
        <v>51</v>
      </c>
      <c r="O345" s="76" t="s">
        <v>50</v>
      </c>
      <c r="P345" s="76" t="s">
        <v>49</v>
      </c>
      <c r="Q345" s="76" t="s">
        <v>48</v>
      </c>
      <c r="R345" s="76" t="s">
        <v>47</v>
      </c>
      <c r="S345" s="76" t="s">
        <v>46</v>
      </c>
      <c r="T345" s="76" t="s">
        <v>45</v>
      </c>
      <c r="U345" s="77" t="s">
        <v>44</v>
      </c>
      <c r="V345" s="274"/>
      <c r="W345" s="270"/>
      <c r="X345" s="276"/>
    </row>
    <row r="346" spans="1:24" s="12" customFormat="1" ht="15.75" customHeight="1">
      <c r="A346" s="277" t="s">
        <v>211</v>
      </c>
      <c r="B346" s="277"/>
      <c r="C346" s="278"/>
      <c r="D346" s="80">
        <v>3866.2734599999926</v>
      </c>
      <c r="E346" s="81">
        <v>630.654966502908</v>
      </c>
      <c r="F346" s="81">
        <v>250.194444813605</v>
      </c>
      <c r="G346" s="81">
        <v>174.477417806278</v>
      </c>
      <c r="H346" s="81">
        <v>198.86425036636601</v>
      </c>
      <c r="I346" s="81">
        <v>105.811535160733</v>
      </c>
      <c r="J346" s="81">
        <v>114.918381379116</v>
      </c>
      <c r="K346" s="81">
        <v>96.376421457729094</v>
      </c>
      <c r="L346" s="81">
        <v>24.684858768412099</v>
      </c>
      <c r="M346" s="81">
        <v>932.22431872916297</v>
      </c>
      <c r="N346" s="81">
        <v>157.38282023644999</v>
      </c>
      <c r="O346" s="81">
        <v>139.09095254004299</v>
      </c>
      <c r="P346" s="82">
        <v>170.10348989066799</v>
      </c>
      <c r="Q346" s="82">
        <v>129.30250069972601</v>
      </c>
      <c r="R346" s="82">
        <v>144.57778454508801</v>
      </c>
      <c r="S346" s="82">
        <v>233.18591624018401</v>
      </c>
      <c r="T346" s="82">
        <v>291.69691697622898</v>
      </c>
      <c r="U346" s="83">
        <v>72.726483887295799</v>
      </c>
      <c r="V346" s="78" t="s">
        <v>211</v>
      </c>
      <c r="W346" s="79"/>
      <c r="X346" s="79"/>
    </row>
    <row r="347" spans="1:24" s="12" customFormat="1" ht="15.75" customHeight="1" thickBot="1">
      <c r="A347" s="271" t="s">
        <v>242</v>
      </c>
      <c r="B347" s="271"/>
      <c r="C347" s="272"/>
      <c r="D347" s="97">
        <v>9205.4129999999859</v>
      </c>
      <c r="E347" s="98">
        <v>1501.5594440545401</v>
      </c>
      <c r="F347" s="98">
        <v>595.70105908001199</v>
      </c>
      <c r="G347" s="98">
        <v>415.42242334828097</v>
      </c>
      <c r="H347" s="98">
        <v>473.48631039610899</v>
      </c>
      <c r="I347" s="98">
        <v>251.932226573175</v>
      </c>
      <c r="J347" s="98">
        <v>273.61519375979998</v>
      </c>
      <c r="K347" s="98">
        <v>229.46767013745</v>
      </c>
      <c r="L347" s="98">
        <v>58.773473258124199</v>
      </c>
      <c r="M347" s="98">
        <v>2219.5817112599102</v>
      </c>
      <c r="N347" s="98">
        <v>374.72100056297802</v>
      </c>
      <c r="O347" s="98">
        <v>331.16893461914998</v>
      </c>
      <c r="P347" s="99">
        <v>405.00830926349499</v>
      </c>
      <c r="Q347" s="99">
        <v>307.86309690411099</v>
      </c>
      <c r="R347" s="99">
        <v>344.232820345449</v>
      </c>
      <c r="S347" s="99">
        <v>555.20456247662798</v>
      </c>
      <c r="T347" s="99">
        <v>694.51646899102104</v>
      </c>
      <c r="U347" s="100">
        <v>173.15829496975101</v>
      </c>
      <c r="V347" s="279" t="s">
        <v>242</v>
      </c>
      <c r="W347" s="271"/>
      <c r="X347" s="271"/>
    </row>
    <row r="348" spans="1:24" s="6" customFormat="1" ht="15.75" customHeight="1">
      <c r="A348" s="220"/>
      <c r="B348" s="220"/>
      <c r="C348" s="220"/>
      <c r="D348" s="220"/>
      <c r="E348" s="220"/>
      <c r="F348" s="220"/>
      <c r="G348" s="220"/>
      <c r="H348" s="220"/>
      <c r="I348" s="220"/>
      <c r="J348" s="220"/>
      <c r="K348" s="220"/>
      <c r="L348" s="220"/>
      <c r="M348" s="220"/>
      <c r="N348" s="220"/>
      <c r="O348" s="220"/>
      <c r="P348" s="220"/>
      <c r="Q348" s="220"/>
      <c r="R348" s="220"/>
      <c r="S348" s="220"/>
      <c r="T348" s="220"/>
      <c r="U348" s="220"/>
      <c r="V348" s="220"/>
      <c r="W348" s="220"/>
      <c r="X348" s="220"/>
    </row>
    <row r="349" spans="1:24" s="7" customFormat="1" ht="15.75" customHeight="1">
      <c r="A349" s="103" t="s">
        <v>243</v>
      </c>
      <c r="B349" s="103"/>
      <c r="C349" s="103"/>
      <c r="D349" s="103"/>
      <c r="E349" s="103"/>
      <c r="F349" s="103"/>
      <c r="G349" s="103"/>
      <c r="H349" s="103"/>
      <c r="I349" s="103"/>
      <c r="J349" s="103"/>
      <c r="K349" s="103"/>
      <c r="L349" s="103"/>
      <c r="M349" s="103"/>
      <c r="N349" s="103"/>
      <c r="O349" s="103"/>
      <c r="P349" s="103"/>
      <c r="Q349" s="103"/>
      <c r="R349" s="103"/>
      <c r="S349" s="103"/>
      <c r="T349" s="103"/>
      <c r="U349" s="103"/>
      <c r="V349" s="103"/>
      <c r="W349" s="103"/>
      <c r="X349" s="103"/>
    </row>
    <row r="350" spans="1:24" s="7" customFormat="1" ht="15.75" customHeight="1">
      <c r="A350" s="103" t="s">
        <v>244</v>
      </c>
      <c r="B350" s="103"/>
      <c r="C350" s="103"/>
      <c r="D350" s="103"/>
      <c r="E350" s="103"/>
      <c r="F350" s="103"/>
      <c r="G350" s="103"/>
      <c r="H350" s="103"/>
      <c r="I350" s="103"/>
      <c r="J350" s="103"/>
      <c r="K350" s="103"/>
      <c r="L350" s="103"/>
      <c r="M350" s="103"/>
      <c r="N350" s="103"/>
      <c r="O350" s="103"/>
      <c r="P350" s="103"/>
      <c r="Q350" s="103"/>
      <c r="R350" s="103"/>
      <c r="S350" s="103"/>
      <c r="T350" s="103"/>
      <c r="U350" s="103"/>
      <c r="V350" s="103"/>
      <c r="W350" s="103"/>
      <c r="X350" s="103"/>
    </row>
    <row r="351" spans="1:24">
      <c r="A351" s="103" t="s">
        <v>245</v>
      </c>
      <c r="B351" s="93"/>
      <c r="C351" s="93"/>
      <c r="D351" s="93"/>
      <c r="E351" s="93"/>
      <c r="F351" s="93"/>
      <c r="G351" s="93"/>
      <c r="H351" s="93"/>
      <c r="I351" s="93"/>
      <c r="J351" s="93"/>
      <c r="K351" s="93"/>
      <c r="L351" s="93"/>
      <c r="M351" s="93"/>
      <c r="N351" s="93"/>
      <c r="O351" s="93"/>
      <c r="P351" s="93"/>
      <c r="Q351" s="93"/>
      <c r="R351" s="93"/>
      <c r="S351" s="93"/>
      <c r="T351" s="93"/>
      <c r="U351" s="93"/>
      <c r="V351" s="93"/>
      <c r="W351" s="93"/>
      <c r="X351" s="93"/>
    </row>
    <row r="353" spans="1:24" s="6" customFormat="1" ht="21">
      <c r="A353" s="19" t="s">
        <v>98</v>
      </c>
      <c r="B353" s="26"/>
      <c r="C353" s="12"/>
      <c r="X353" s="12"/>
    </row>
    <row r="354" spans="1:24" s="6" customFormat="1" ht="17.5" thickBot="1">
      <c r="A354" s="16"/>
      <c r="B354" s="16"/>
      <c r="C354" s="17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27"/>
    </row>
    <row r="355" spans="1:24" s="6" customFormat="1" ht="33" customHeight="1">
      <c r="A355" s="269" t="s">
        <v>61</v>
      </c>
      <c r="B355" s="269"/>
      <c r="C355" s="269"/>
      <c r="D355" s="72" t="s">
        <v>79</v>
      </c>
      <c r="E355" s="73" t="s">
        <v>78</v>
      </c>
      <c r="F355" s="73" t="s">
        <v>77</v>
      </c>
      <c r="G355" s="73" t="s">
        <v>76</v>
      </c>
      <c r="H355" s="73" t="s">
        <v>75</v>
      </c>
      <c r="I355" s="73" t="s">
        <v>74</v>
      </c>
      <c r="J355" s="73" t="s">
        <v>73</v>
      </c>
      <c r="K355" s="73" t="s">
        <v>72</v>
      </c>
      <c r="L355" s="73" t="s">
        <v>71</v>
      </c>
      <c r="M355" s="73" t="s">
        <v>70</v>
      </c>
      <c r="N355" s="73" t="s">
        <v>69</v>
      </c>
      <c r="O355" s="73" t="s">
        <v>68</v>
      </c>
      <c r="P355" s="73" t="s">
        <v>67</v>
      </c>
      <c r="Q355" s="73" t="s">
        <v>66</v>
      </c>
      <c r="R355" s="73" t="s">
        <v>65</v>
      </c>
      <c r="S355" s="73" t="s">
        <v>64</v>
      </c>
      <c r="T355" s="73" t="s">
        <v>63</v>
      </c>
      <c r="U355" s="74" t="s">
        <v>62</v>
      </c>
      <c r="V355" s="273" t="s">
        <v>61</v>
      </c>
      <c r="W355" s="269"/>
      <c r="X355" s="275"/>
    </row>
    <row r="356" spans="1:24" s="6" customFormat="1">
      <c r="A356" s="270"/>
      <c r="B356" s="270"/>
      <c r="C356" s="270"/>
      <c r="D356" s="75" t="s">
        <v>22</v>
      </c>
      <c r="E356" s="76" t="s">
        <v>60</v>
      </c>
      <c r="F356" s="76" t="s">
        <v>59</v>
      </c>
      <c r="G356" s="76" t="s">
        <v>58</v>
      </c>
      <c r="H356" s="76" t="s">
        <v>57</v>
      </c>
      <c r="I356" s="76" t="s">
        <v>56</v>
      </c>
      <c r="J356" s="76" t="s">
        <v>55</v>
      </c>
      <c r="K356" s="76" t="s">
        <v>54</v>
      </c>
      <c r="L356" s="76" t="s">
        <v>53</v>
      </c>
      <c r="M356" s="76" t="s">
        <v>52</v>
      </c>
      <c r="N356" s="76" t="s">
        <v>51</v>
      </c>
      <c r="O356" s="76" t="s">
        <v>50</v>
      </c>
      <c r="P356" s="76" t="s">
        <v>49</v>
      </c>
      <c r="Q356" s="76" t="s">
        <v>48</v>
      </c>
      <c r="R356" s="76" t="s">
        <v>47</v>
      </c>
      <c r="S356" s="76" t="s">
        <v>46</v>
      </c>
      <c r="T356" s="76" t="s">
        <v>45</v>
      </c>
      <c r="U356" s="77" t="s">
        <v>44</v>
      </c>
      <c r="V356" s="274"/>
      <c r="W356" s="270"/>
      <c r="X356" s="276"/>
    </row>
    <row r="357" spans="1:24" s="12" customFormat="1" ht="15.75" customHeight="1">
      <c r="A357" s="277" t="s">
        <v>211</v>
      </c>
      <c r="B357" s="277"/>
      <c r="C357" s="278"/>
      <c r="D357" s="160">
        <v>209524.83999999997</v>
      </c>
      <c r="E357" s="113">
        <v>434</v>
      </c>
      <c r="F357" s="113">
        <v>0</v>
      </c>
      <c r="G357" s="113">
        <v>1898.96</v>
      </c>
      <c r="H357" s="113">
        <v>314.44</v>
      </c>
      <c r="I357" s="113">
        <v>1534.96</v>
      </c>
      <c r="J357" s="113">
        <v>530.6</v>
      </c>
      <c r="K357" s="113">
        <v>672</v>
      </c>
      <c r="L357" s="162">
        <v>378.84</v>
      </c>
      <c r="M357" s="113">
        <v>13833.54</v>
      </c>
      <c r="N357" s="113">
        <v>35690.199999999997</v>
      </c>
      <c r="O357" s="162">
        <v>38704.26</v>
      </c>
      <c r="P357" s="163">
        <v>30321.759999999998</v>
      </c>
      <c r="Q357" s="163">
        <v>24249.68</v>
      </c>
      <c r="R357" s="163">
        <v>23864.12</v>
      </c>
      <c r="S357" s="163">
        <v>23694.44</v>
      </c>
      <c r="T357" s="163">
        <v>12601.68</v>
      </c>
      <c r="U357" s="164">
        <v>801.36</v>
      </c>
      <c r="V357" s="277" t="s">
        <v>211</v>
      </c>
      <c r="W357" s="277"/>
      <c r="X357" s="278"/>
    </row>
    <row r="358" spans="1:24" s="12" customFormat="1" ht="15.75" customHeight="1" thickBot="1">
      <c r="A358" s="271" t="s">
        <v>242</v>
      </c>
      <c r="B358" s="271"/>
      <c r="C358" s="272"/>
      <c r="D358" s="174">
        <v>741298</v>
      </c>
      <c r="E358" s="138">
        <v>1550</v>
      </c>
      <c r="F358" s="138">
        <v>0</v>
      </c>
      <c r="G358" s="138">
        <v>6782</v>
      </c>
      <c r="H358" s="138">
        <v>1123</v>
      </c>
      <c r="I358" s="138">
        <v>5482</v>
      </c>
      <c r="J358" s="138">
        <v>1895</v>
      </c>
      <c r="K358" s="138">
        <v>1740</v>
      </c>
      <c r="L358" s="166">
        <v>1353</v>
      </c>
      <c r="M358" s="138">
        <v>48108</v>
      </c>
      <c r="N358" s="138">
        <v>124390</v>
      </c>
      <c r="O358" s="166">
        <v>136914</v>
      </c>
      <c r="P358" s="167">
        <v>108022</v>
      </c>
      <c r="Q358" s="167">
        <v>86606</v>
      </c>
      <c r="R358" s="167">
        <v>85229</v>
      </c>
      <c r="S358" s="167">
        <v>84488</v>
      </c>
      <c r="T358" s="167">
        <v>44754</v>
      </c>
      <c r="U358" s="168">
        <v>2862</v>
      </c>
      <c r="V358" s="271" t="s">
        <v>242</v>
      </c>
      <c r="W358" s="271"/>
      <c r="X358" s="272"/>
    </row>
    <row r="359" spans="1:24" s="6" customFormat="1">
      <c r="A359" s="220"/>
      <c r="B359" s="220"/>
      <c r="C359" s="220"/>
      <c r="D359" s="220"/>
      <c r="E359" s="220"/>
      <c r="F359" s="220"/>
      <c r="G359" s="220"/>
      <c r="H359" s="220"/>
      <c r="I359" s="220"/>
      <c r="J359" s="220"/>
      <c r="K359" s="220"/>
      <c r="L359" s="220"/>
      <c r="M359" s="220"/>
      <c r="N359" s="220"/>
      <c r="O359" s="220"/>
      <c r="P359" s="220"/>
      <c r="Q359" s="220"/>
      <c r="R359" s="220"/>
      <c r="S359" s="220"/>
      <c r="T359" s="220"/>
      <c r="U359" s="220"/>
      <c r="V359" s="220"/>
      <c r="W359" s="220"/>
      <c r="X359" s="220"/>
    </row>
    <row r="360" spans="1:24" s="6" customFormat="1">
      <c r="A360" s="103" t="s">
        <v>246</v>
      </c>
      <c r="B360" s="93"/>
      <c r="C360" s="93"/>
      <c r="D360" s="93"/>
      <c r="E360" s="93"/>
      <c r="F360" s="93"/>
      <c r="G360" s="93"/>
      <c r="H360" s="93"/>
      <c r="I360" s="93"/>
      <c r="J360" s="93"/>
      <c r="K360" s="93"/>
      <c r="L360" s="93"/>
      <c r="M360" s="93"/>
      <c r="N360" s="93"/>
      <c r="O360" s="93"/>
      <c r="P360" s="93"/>
      <c r="Q360" s="93"/>
      <c r="R360" s="93"/>
      <c r="S360" s="93"/>
      <c r="T360" s="93"/>
      <c r="U360" s="93"/>
      <c r="V360" s="93"/>
      <c r="W360" s="93"/>
      <c r="X360" s="93"/>
    </row>
    <row r="361" spans="1:24" s="6" customFormat="1">
      <c r="A361" s="103" t="s">
        <v>97</v>
      </c>
      <c r="B361" s="93"/>
      <c r="C361" s="93"/>
      <c r="D361" s="93"/>
      <c r="E361" s="93"/>
      <c r="F361" s="93"/>
      <c r="G361" s="93"/>
      <c r="H361" s="93"/>
      <c r="I361" s="93"/>
      <c r="J361" s="93"/>
      <c r="K361" s="93"/>
      <c r="L361" s="93"/>
      <c r="M361" s="93"/>
      <c r="N361" s="93"/>
      <c r="O361" s="93"/>
      <c r="P361" s="93"/>
      <c r="Q361" s="93"/>
      <c r="R361" s="93"/>
      <c r="S361" s="93"/>
      <c r="T361" s="93"/>
      <c r="U361" s="93"/>
      <c r="V361" s="93"/>
      <c r="W361" s="93"/>
      <c r="X361" s="93"/>
    </row>
    <row r="364" spans="1:24" s="19" customFormat="1" ht="21">
      <c r="A364" s="19" t="s">
        <v>96</v>
      </c>
    </row>
    <row r="365" spans="1:24" s="6" customFormat="1" ht="17.5" thickBo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25"/>
    </row>
    <row r="366" spans="1:24" s="6" customFormat="1" ht="33" customHeight="1">
      <c r="A366" s="269" t="s">
        <v>61</v>
      </c>
      <c r="B366" s="269"/>
      <c r="C366" s="269"/>
      <c r="D366" s="104" t="s">
        <v>79</v>
      </c>
      <c r="E366" s="73" t="s">
        <v>78</v>
      </c>
      <c r="F366" s="73" t="s">
        <v>77</v>
      </c>
      <c r="G366" s="73" t="s">
        <v>76</v>
      </c>
      <c r="H366" s="73" t="s">
        <v>75</v>
      </c>
      <c r="I366" s="73" t="s">
        <v>74</v>
      </c>
      <c r="J366" s="73" t="s">
        <v>73</v>
      </c>
      <c r="K366" s="73" t="s">
        <v>72</v>
      </c>
      <c r="L366" s="73" t="s">
        <v>71</v>
      </c>
      <c r="M366" s="73" t="s">
        <v>70</v>
      </c>
      <c r="N366" s="73" t="s">
        <v>69</v>
      </c>
      <c r="O366" s="73" t="s">
        <v>68</v>
      </c>
      <c r="P366" s="73" t="s">
        <v>67</v>
      </c>
      <c r="Q366" s="73" t="s">
        <v>66</v>
      </c>
      <c r="R366" s="73" t="s">
        <v>65</v>
      </c>
      <c r="S366" s="73" t="s">
        <v>64</v>
      </c>
      <c r="T366" s="73" t="s">
        <v>63</v>
      </c>
      <c r="U366" s="74" t="s">
        <v>62</v>
      </c>
      <c r="V366" s="273" t="s">
        <v>61</v>
      </c>
      <c r="W366" s="269"/>
      <c r="X366" s="275"/>
    </row>
    <row r="367" spans="1:24" s="6" customFormat="1">
      <c r="A367" s="270"/>
      <c r="B367" s="270"/>
      <c r="C367" s="270"/>
      <c r="D367" s="108" t="s">
        <v>22</v>
      </c>
      <c r="E367" s="76" t="s">
        <v>60</v>
      </c>
      <c r="F367" s="76" t="s">
        <v>59</v>
      </c>
      <c r="G367" s="76" t="s">
        <v>58</v>
      </c>
      <c r="H367" s="76" t="s">
        <v>57</v>
      </c>
      <c r="I367" s="76" t="s">
        <v>56</v>
      </c>
      <c r="J367" s="76" t="s">
        <v>55</v>
      </c>
      <c r="K367" s="76" t="s">
        <v>54</v>
      </c>
      <c r="L367" s="76" t="s">
        <v>53</v>
      </c>
      <c r="M367" s="76" t="s">
        <v>52</v>
      </c>
      <c r="N367" s="76" t="s">
        <v>51</v>
      </c>
      <c r="O367" s="76" t="s">
        <v>50</v>
      </c>
      <c r="P367" s="76" t="s">
        <v>49</v>
      </c>
      <c r="Q367" s="76" t="s">
        <v>48</v>
      </c>
      <c r="R367" s="76" t="s">
        <v>47</v>
      </c>
      <c r="S367" s="76" t="s">
        <v>46</v>
      </c>
      <c r="T367" s="76" t="s">
        <v>45</v>
      </c>
      <c r="U367" s="77" t="s">
        <v>44</v>
      </c>
      <c r="V367" s="274"/>
      <c r="W367" s="270"/>
      <c r="X367" s="276"/>
    </row>
    <row r="368" spans="1:24" s="12" customFormat="1">
      <c r="A368" s="78" t="s">
        <v>238</v>
      </c>
      <c r="B368" s="79"/>
      <c r="C368" s="79"/>
      <c r="D368" s="80">
        <v>2078952.5300387377</v>
      </c>
      <c r="E368" s="81">
        <v>36.811420599999998</v>
      </c>
      <c r="F368" s="81">
        <v>12437.5399739361</v>
      </c>
      <c r="G368" s="81">
        <v>735.92005340366404</v>
      </c>
      <c r="H368" s="81">
        <v>977.8141296</v>
      </c>
      <c r="I368" s="81">
        <v>0</v>
      </c>
      <c r="J368" s="81">
        <v>264.949689199999</v>
      </c>
      <c r="K368" s="81">
        <v>253.6651483</v>
      </c>
      <c r="L368" s="81">
        <v>456.1131858</v>
      </c>
      <c r="M368" s="81">
        <v>21185.367349546501</v>
      </c>
      <c r="N368" s="81">
        <v>358928.25880753098</v>
      </c>
      <c r="O368" s="81">
        <v>15334.8955998</v>
      </c>
      <c r="P368" s="82">
        <v>310315.44606882101</v>
      </c>
      <c r="Q368" s="82">
        <v>1213425.16039648</v>
      </c>
      <c r="R368" s="82">
        <v>16875.542319567699</v>
      </c>
      <c r="S368" s="82">
        <v>20751.8842836492</v>
      </c>
      <c r="T368" s="82">
        <v>96116.730745862995</v>
      </c>
      <c r="U368" s="83">
        <v>10856.430866639699</v>
      </c>
      <c r="V368" s="78" t="s">
        <v>238</v>
      </c>
      <c r="W368" s="79"/>
      <c r="X368" s="79"/>
    </row>
    <row r="369" spans="1:24" s="12" customFormat="1">
      <c r="A369" s="78" t="s">
        <v>239</v>
      </c>
      <c r="B369" s="79"/>
      <c r="C369" s="79"/>
      <c r="D369" s="80">
        <v>6597030.2824998461</v>
      </c>
      <c r="E369" s="81">
        <v>0</v>
      </c>
      <c r="F369" s="81">
        <v>0</v>
      </c>
      <c r="G369" s="81">
        <v>0</v>
      </c>
      <c r="H369" s="81">
        <v>0</v>
      </c>
      <c r="I369" s="81">
        <v>0</v>
      </c>
      <c r="J369" s="81">
        <v>0</v>
      </c>
      <c r="K369" s="81">
        <v>0</v>
      </c>
      <c r="L369" s="81">
        <v>0</v>
      </c>
      <c r="M369" s="81">
        <v>0</v>
      </c>
      <c r="N369" s="81">
        <v>1622842.8525463301</v>
      </c>
      <c r="O369" s="81">
        <v>0</v>
      </c>
      <c r="P369" s="82">
        <v>1395642.41773807</v>
      </c>
      <c r="Q369" s="82">
        <v>3215613.0062569901</v>
      </c>
      <c r="R369" s="82">
        <v>1426.3898799999999</v>
      </c>
      <c r="S369" s="82">
        <v>0</v>
      </c>
      <c r="T369" s="82">
        <v>361505.61607845599</v>
      </c>
      <c r="U369" s="83">
        <v>0</v>
      </c>
      <c r="V369" s="78" t="s">
        <v>239</v>
      </c>
      <c r="W369" s="79"/>
      <c r="X369" s="79"/>
    </row>
    <row r="370" spans="1:24" s="12" customFormat="1">
      <c r="A370" s="78" t="s">
        <v>240</v>
      </c>
      <c r="B370" s="78"/>
      <c r="C370" s="79"/>
      <c r="D370" s="80"/>
      <c r="E370" s="81"/>
      <c r="F370" s="81"/>
      <c r="G370" s="81"/>
      <c r="H370" s="81"/>
      <c r="I370" s="81"/>
      <c r="J370" s="81"/>
      <c r="K370" s="81"/>
      <c r="L370" s="81"/>
      <c r="M370" s="81"/>
      <c r="N370" s="81"/>
      <c r="O370" s="81"/>
      <c r="P370" s="82"/>
      <c r="Q370" s="82"/>
      <c r="R370" s="82"/>
      <c r="S370" s="82"/>
      <c r="T370" s="82"/>
      <c r="U370" s="83"/>
      <c r="V370" s="78" t="s">
        <v>240</v>
      </c>
      <c r="W370" s="78"/>
      <c r="X370" s="79"/>
    </row>
    <row r="371" spans="1:24" s="12" customFormat="1">
      <c r="A371" s="209"/>
      <c r="B371" s="209" t="s">
        <v>85</v>
      </c>
      <c r="C371" s="210"/>
      <c r="D371" s="214">
        <v>2025253.1809198512</v>
      </c>
      <c r="E371" s="215">
        <v>0</v>
      </c>
      <c r="F371" s="215">
        <v>0</v>
      </c>
      <c r="G371" s="215">
        <v>0</v>
      </c>
      <c r="H371" s="215">
        <v>167000</v>
      </c>
      <c r="I371" s="215">
        <v>0</v>
      </c>
      <c r="J371" s="215">
        <v>0</v>
      </c>
      <c r="K371" s="215">
        <v>0</v>
      </c>
      <c r="L371" s="215">
        <v>0</v>
      </c>
      <c r="M371" s="215">
        <v>0</v>
      </c>
      <c r="N371" s="215">
        <v>499550</v>
      </c>
      <c r="O371" s="215">
        <v>0</v>
      </c>
      <c r="P371" s="215">
        <v>427499.99999999901</v>
      </c>
      <c r="Q371" s="215">
        <v>546373.18091985199</v>
      </c>
      <c r="R371" s="215">
        <v>16430</v>
      </c>
      <c r="S371" s="215">
        <v>0</v>
      </c>
      <c r="T371" s="215">
        <v>368400</v>
      </c>
      <c r="U371" s="216">
        <v>0</v>
      </c>
      <c r="V371" s="209"/>
      <c r="W371" s="209" t="s">
        <v>85</v>
      </c>
      <c r="X371" s="210"/>
    </row>
    <row r="372" spans="1:24" s="12" customFormat="1">
      <c r="A372" s="209"/>
      <c r="B372" s="209" t="s">
        <v>87</v>
      </c>
      <c r="C372" s="210"/>
      <c r="D372" s="214">
        <v>2090.9949999999999</v>
      </c>
      <c r="E372" s="236">
        <v>5.0999999999999996</v>
      </c>
      <c r="F372" s="236">
        <v>27</v>
      </c>
      <c r="G372" s="236">
        <v>12</v>
      </c>
      <c r="H372" s="236">
        <v>0</v>
      </c>
      <c r="I372" s="236">
        <v>0</v>
      </c>
      <c r="J372" s="215">
        <v>13.0049999999999</v>
      </c>
      <c r="K372" s="215">
        <v>0</v>
      </c>
      <c r="L372" s="215">
        <v>7</v>
      </c>
      <c r="M372" s="215">
        <v>137.69999999999999</v>
      </c>
      <c r="N372" s="215">
        <v>30.4</v>
      </c>
      <c r="O372" s="215">
        <v>65.789999999999907</v>
      </c>
      <c r="P372" s="215">
        <v>35.17</v>
      </c>
      <c r="Q372" s="215">
        <v>1458.7</v>
      </c>
      <c r="R372" s="215">
        <v>23.6</v>
      </c>
      <c r="S372" s="215">
        <v>154.53</v>
      </c>
      <c r="T372" s="215">
        <v>87</v>
      </c>
      <c r="U372" s="216">
        <v>34</v>
      </c>
      <c r="V372" s="209"/>
      <c r="W372" s="209" t="s">
        <v>87</v>
      </c>
      <c r="X372" s="210"/>
    </row>
    <row r="373" spans="1:24" s="6" customFormat="1">
      <c r="A373" s="84"/>
      <c r="B373" s="84"/>
      <c r="C373" s="217"/>
      <c r="D373" s="85"/>
      <c r="E373" s="86"/>
      <c r="F373" s="86"/>
      <c r="G373" s="86"/>
      <c r="H373" s="86"/>
      <c r="I373" s="86"/>
      <c r="J373" s="86"/>
      <c r="K373" s="86"/>
      <c r="L373" s="86"/>
      <c r="M373" s="86"/>
      <c r="N373" s="86"/>
      <c r="O373" s="86"/>
      <c r="P373" s="87"/>
      <c r="Q373" s="87"/>
      <c r="R373" s="87"/>
      <c r="S373" s="87"/>
      <c r="T373" s="87"/>
      <c r="U373" s="88"/>
      <c r="V373" s="84"/>
      <c r="W373" s="84"/>
      <c r="X373" s="217"/>
    </row>
    <row r="374" spans="1:24" s="6" customFormat="1">
      <c r="A374" s="78" t="s">
        <v>86</v>
      </c>
      <c r="B374" s="78"/>
      <c r="C374" s="218"/>
      <c r="D374" s="80"/>
      <c r="E374" s="81"/>
      <c r="F374" s="81"/>
      <c r="G374" s="81"/>
      <c r="H374" s="81"/>
      <c r="I374" s="81"/>
      <c r="J374" s="81"/>
      <c r="K374" s="81"/>
      <c r="L374" s="81"/>
      <c r="M374" s="81"/>
      <c r="N374" s="81"/>
      <c r="O374" s="81"/>
      <c r="P374" s="82"/>
      <c r="Q374" s="82"/>
      <c r="R374" s="82"/>
      <c r="S374" s="82"/>
      <c r="T374" s="82"/>
      <c r="U374" s="83"/>
      <c r="V374" s="78" t="s">
        <v>86</v>
      </c>
      <c r="W374" s="78"/>
      <c r="X374" s="218"/>
    </row>
    <row r="375" spans="1:24" s="12" customFormat="1">
      <c r="A375" s="84" t="s">
        <v>85</v>
      </c>
      <c r="B375" s="93"/>
      <c r="C375" s="219" t="s">
        <v>228</v>
      </c>
      <c r="D375" s="85">
        <v>72350</v>
      </c>
      <c r="E375" s="86">
        <v>0</v>
      </c>
      <c r="F375" s="86">
        <v>0</v>
      </c>
      <c r="G375" s="86">
        <v>0</v>
      </c>
      <c r="H375" s="86">
        <v>0</v>
      </c>
      <c r="I375" s="86">
        <v>0</v>
      </c>
      <c r="J375" s="86">
        <v>0</v>
      </c>
      <c r="K375" s="86">
        <v>0</v>
      </c>
      <c r="L375" s="86">
        <v>0</v>
      </c>
      <c r="M375" s="86">
        <v>0</v>
      </c>
      <c r="N375" s="86">
        <v>72350</v>
      </c>
      <c r="O375" s="86">
        <v>0</v>
      </c>
      <c r="P375" s="86">
        <v>0</v>
      </c>
      <c r="Q375" s="86">
        <v>0</v>
      </c>
      <c r="R375" s="86">
        <v>0</v>
      </c>
      <c r="S375" s="86">
        <v>0</v>
      </c>
      <c r="T375" s="86">
        <v>0</v>
      </c>
      <c r="U375" s="88">
        <v>0</v>
      </c>
      <c r="V375" s="84" t="s">
        <v>85</v>
      </c>
      <c r="W375" s="93"/>
      <c r="X375" s="219" t="s">
        <v>228</v>
      </c>
    </row>
    <row r="376" spans="1:24" s="12" customFormat="1">
      <c r="A376" s="84"/>
      <c r="B376" s="84"/>
      <c r="C376" s="219" t="s">
        <v>229</v>
      </c>
      <c r="D376" s="85">
        <v>115400</v>
      </c>
      <c r="E376" s="86">
        <v>0</v>
      </c>
      <c r="F376" s="86">
        <v>0</v>
      </c>
      <c r="G376" s="86">
        <v>0</v>
      </c>
      <c r="H376" s="86">
        <v>0</v>
      </c>
      <c r="I376" s="86">
        <v>0</v>
      </c>
      <c r="J376" s="86">
        <v>0</v>
      </c>
      <c r="K376" s="86">
        <v>0</v>
      </c>
      <c r="L376" s="86">
        <v>0</v>
      </c>
      <c r="M376" s="86">
        <v>0</v>
      </c>
      <c r="N376" s="86">
        <v>3000</v>
      </c>
      <c r="O376" s="86">
        <v>0</v>
      </c>
      <c r="P376" s="86">
        <v>0</v>
      </c>
      <c r="Q376" s="86">
        <v>0</v>
      </c>
      <c r="R376" s="86">
        <v>0</v>
      </c>
      <c r="S376" s="86">
        <v>0</v>
      </c>
      <c r="T376" s="86">
        <v>112400</v>
      </c>
      <c r="U376" s="88">
        <v>0</v>
      </c>
      <c r="V376" s="84"/>
      <c r="W376" s="84"/>
      <c r="X376" s="219" t="s">
        <v>229</v>
      </c>
    </row>
    <row r="377" spans="1:24" s="12" customFormat="1">
      <c r="A377" s="84"/>
      <c r="B377" s="84"/>
      <c r="C377" s="219" t="s">
        <v>230</v>
      </c>
      <c r="D377" s="85">
        <v>151963.22878583687</v>
      </c>
      <c r="E377" s="86">
        <v>0</v>
      </c>
      <c r="F377" s="86">
        <v>0</v>
      </c>
      <c r="G377" s="86">
        <v>0</v>
      </c>
      <c r="H377" s="86">
        <v>0</v>
      </c>
      <c r="I377" s="86">
        <v>0</v>
      </c>
      <c r="J377" s="86">
        <v>0</v>
      </c>
      <c r="K377" s="86">
        <v>0</v>
      </c>
      <c r="L377" s="86">
        <v>0</v>
      </c>
      <c r="M377" s="86">
        <v>0</v>
      </c>
      <c r="N377" s="86">
        <v>0</v>
      </c>
      <c r="O377" s="86">
        <v>0</v>
      </c>
      <c r="P377" s="87">
        <v>0</v>
      </c>
      <c r="Q377" s="87">
        <v>151963.22878583687</v>
      </c>
      <c r="R377" s="87">
        <v>0</v>
      </c>
      <c r="S377" s="87">
        <v>0</v>
      </c>
      <c r="T377" s="87">
        <v>0</v>
      </c>
      <c r="U377" s="88">
        <v>0</v>
      </c>
      <c r="V377" s="84"/>
      <c r="W377" s="84"/>
      <c r="X377" s="219" t="s">
        <v>230</v>
      </c>
    </row>
    <row r="378" spans="1:24" s="12" customFormat="1">
      <c r="A378" s="84"/>
      <c r="B378" s="93"/>
      <c r="C378" s="84"/>
      <c r="D378" s="85"/>
      <c r="E378" s="86"/>
      <c r="F378" s="86"/>
      <c r="G378" s="86"/>
      <c r="H378" s="86"/>
      <c r="I378" s="86"/>
      <c r="J378" s="86"/>
      <c r="K378" s="86"/>
      <c r="L378" s="86"/>
      <c r="M378" s="86"/>
      <c r="N378" s="86"/>
      <c r="O378" s="86"/>
      <c r="P378" s="87"/>
      <c r="Q378" s="87"/>
      <c r="R378" s="87"/>
      <c r="S378" s="87"/>
      <c r="T378" s="87"/>
      <c r="U378" s="88"/>
      <c r="V378" s="84"/>
      <c r="W378" s="93"/>
      <c r="X378" s="84"/>
    </row>
    <row r="379" spans="1:24" s="12" customFormat="1">
      <c r="A379" s="84" t="s">
        <v>87</v>
      </c>
      <c r="B379" s="93"/>
      <c r="C379" s="219" t="s">
        <v>228</v>
      </c>
      <c r="D379" s="85">
        <v>5</v>
      </c>
      <c r="E379" s="86">
        <v>0</v>
      </c>
      <c r="F379" s="86">
        <v>0</v>
      </c>
      <c r="G379" s="86">
        <v>0</v>
      </c>
      <c r="H379" s="86">
        <v>0</v>
      </c>
      <c r="I379" s="86">
        <v>0</v>
      </c>
      <c r="J379" s="86">
        <v>0</v>
      </c>
      <c r="K379" s="86">
        <v>0</v>
      </c>
      <c r="L379" s="86">
        <v>0</v>
      </c>
      <c r="M379" s="86">
        <v>5</v>
      </c>
      <c r="N379" s="86">
        <v>0</v>
      </c>
      <c r="O379" s="86">
        <v>0</v>
      </c>
      <c r="P379" s="86">
        <v>0</v>
      </c>
      <c r="Q379" s="86">
        <v>0</v>
      </c>
      <c r="R379" s="86">
        <v>0</v>
      </c>
      <c r="S379" s="86">
        <v>0</v>
      </c>
      <c r="T379" s="87">
        <v>0</v>
      </c>
      <c r="U379" s="88">
        <v>0</v>
      </c>
      <c r="V379" s="84" t="s">
        <v>87</v>
      </c>
      <c r="W379" s="93"/>
      <c r="X379" s="219" t="s">
        <v>228</v>
      </c>
    </row>
    <row r="380" spans="1:24" s="12" customFormat="1">
      <c r="A380" s="84"/>
      <c r="B380" s="84"/>
      <c r="C380" s="219" t="s">
        <v>229</v>
      </c>
      <c r="D380" s="85">
        <v>10</v>
      </c>
      <c r="E380" s="86">
        <v>0</v>
      </c>
      <c r="F380" s="86">
        <v>0</v>
      </c>
      <c r="G380" s="86">
        <v>0</v>
      </c>
      <c r="H380" s="86">
        <v>0</v>
      </c>
      <c r="I380" s="86">
        <v>0</v>
      </c>
      <c r="J380" s="86">
        <v>0</v>
      </c>
      <c r="K380" s="86">
        <v>0</v>
      </c>
      <c r="L380" s="86">
        <v>0</v>
      </c>
      <c r="M380" s="86">
        <v>0</v>
      </c>
      <c r="N380" s="86">
        <v>0</v>
      </c>
      <c r="O380" s="86">
        <v>0</v>
      </c>
      <c r="P380" s="86">
        <v>0</v>
      </c>
      <c r="Q380" s="86">
        <v>5</v>
      </c>
      <c r="R380" s="86">
        <v>0</v>
      </c>
      <c r="S380" s="86">
        <v>0</v>
      </c>
      <c r="T380" s="87">
        <v>5</v>
      </c>
      <c r="U380" s="88">
        <v>0</v>
      </c>
      <c r="V380" s="84"/>
      <c r="W380" s="84"/>
      <c r="X380" s="219" t="s">
        <v>229</v>
      </c>
    </row>
    <row r="381" spans="1:24" s="12" customFormat="1" ht="17.5" thickBot="1">
      <c r="A381" s="84"/>
      <c r="B381" s="84"/>
      <c r="C381" s="219" t="s">
        <v>230</v>
      </c>
      <c r="D381" s="85">
        <v>14</v>
      </c>
      <c r="E381" s="86">
        <v>0</v>
      </c>
      <c r="F381" s="86">
        <v>0</v>
      </c>
      <c r="G381" s="86">
        <v>0</v>
      </c>
      <c r="H381" s="86">
        <v>0</v>
      </c>
      <c r="I381" s="86">
        <v>0</v>
      </c>
      <c r="J381" s="86">
        <v>0</v>
      </c>
      <c r="K381" s="86">
        <v>0</v>
      </c>
      <c r="L381" s="86">
        <v>0</v>
      </c>
      <c r="M381" s="86">
        <v>0</v>
      </c>
      <c r="N381" s="86">
        <v>0</v>
      </c>
      <c r="O381" s="86">
        <v>14</v>
      </c>
      <c r="P381" s="87">
        <v>0</v>
      </c>
      <c r="Q381" s="87">
        <v>0</v>
      </c>
      <c r="R381" s="87">
        <v>0</v>
      </c>
      <c r="S381" s="87">
        <v>0</v>
      </c>
      <c r="T381" s="87">
        <v>0</v>
      </c>
      <c r="U381" s="88">
        <v>0</v>
      </c>
      <c r="V381" s="84"/>
      <c r="W381" s="84"/>
      <c r="X381" s="219" t="s">
        <v>230</v>
      </c>
    </row>
    <row r="382" spans="1:24" s="6" customFormat="1">
      <c r="A382" s="220"/>
      <c r="B382" s="220"/>
      <c r="C382" s="220"/>
      <c r="D382" s="237"/>
      <c r="E382" s="220"/>
      <c r="F382" s="220"/>
      <c r="G382" s="220"/>
      <c r="H382" s="220"/>
      <c r="I382" s="220"/>
      <c r="J382" s="220"/>
      <c r="K382" s="220"/>
      <c r="L382" s="220"/>
      <c r="M382" s="220"/>
      <c r="N382" s="220"/>
      <c r="O382" s="220"/>
      <c r="P382" s="220"/>
      <c r="Q382" s="220"/>
      <c r="R382" s="220"/>
      <c r="S382" s="220"/>
      <c r="T382" s="220"/>
      <c r="U382" s="220"/>
      <c r="V382" s="220"/>
      <c r="W382" s="220"/>
      <c r="X382" s="220"/>
    </row>
    <row r="383" spans="1:24" s="6" customFormat="1">
      <c r="A383" s="103" t="s">
        <v>231</v>
      </c>
      <c r="B383" s="93"/>
      <c r="C383" s="93"/>
      <c r="D383" s="102"/>
      <c r="E383" s="93"/>
      <c r="F383" s="93"/>
      <c r="G383" s="93"/>
      <c r="H383" s="93"/>
      <c r="I383" s="93"/>
      <c r="J383" s="93"/>
      <c r="K383" s="93"/>
      <c r="L383" s="93"/>
      <c r="M383" s="93"/>
      <c r="N383" s="93"/>
      <c r="O383" s="93"/>
      <c r="P383" s="93"/>
      <c r="Q383" s="93"/>
      <c r="R383" s="93"/>
      <c r="S383" s="93"/>
      <c r="T383" s="93"/>
      <c r="U383" s="93"/>
      <c r="V383" s="93"/>
      <c r="W383" s="93"/>
      <c r="X383" s="93"/>
    </row>
    <row r="384" spans="1:24" s="6" customFormat="1">
      <c r="A384" s="103" t="s">
        <v>84</v>
      </c>
      <c r="B384" s="93"/>
      <c r="C384" s="93"/>
      <c r="D384" s="102"/>
      <c r="E384" s="93"/>
      <c r="F384" s="93"/>
      <c r="G384" s="93"/>
      <c r="H384" s="93"/>
      <c r="I384" s="93"/>
      <c r="J384" s="93"/>
      <c r="K384" s="93"/>
      <c r="L384" s="93"/>
      <c r="M384" s="93"/>
      <c r="N384" s="93"/>
      <c r="O384" s="93"/>
      <c r="P384" s="93"/>
      <c r="Q384" s="93"/>
      <c r="R384" s="93"/>
      <c r="S384" s="93"/>
      <c r="T384" s="93"/>
      <c r="U384" s="93"/>
      <c r="V384" s="93"/>
      <c r="W384" s="93"/>
      <c r="X384" s="93"/>
    </row>
    <row r="385" spans="1:24" s="6" customFormat="1">
      <c r="A385" s="103" t="s">
        <v>91</v>
      </c>
      <c r="B385" s="93"/>
      <c r="C385" s="93"/>
      <c r="D385" s="102"/>
      <c r="E385" s="93"/>
      <c r="F385" s="93"/>
      <c r="G385" s="93"/>
      <c r="H385" s="93"/>
      <c r="I385" s="93"/>
      <c r="J385" s="93"/>
      <c r="K385" s="93"/>
      <c r="L385" s="93"/>
      <c r="M385" s="93"/>
      <c r="N385" s="93"/>
      <c r="O385" s="93"/>
      <c r="P385" s="93"/>
      <c r="Q385" s="93"/>
      <c r="R385" s="93"/>
      <c r="S385" s="93"/>
      <c r="T385" s="93"/>
      <c r="U385" s="93"/>
      <c r="V385" s="93"/>
      <c r="W385" s="93"/>
      <c r="X385" s="93"/>
    </row>
    <row r="388" spans="1:24" s="6" customFormat="1" ht="21">
      <c r="A388" s="19" t="s">
        <v>95</v>
      </c>
      <c r="B388" s="26"/>
    </row>
    <row r="389" spans="1:24" s="6" customFormat="1" ht="15.75" customHeight="1" thickBo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25"/>
    </row>
    <row r="390" spans="1:24" s="6" customFormat="1" ht="15.75" customHeight="1">
      <c r="A390" s="269" t="s">
        <v>61</v>
      </c>
      <c r="B390" s="269"/>
      <c r="C390" s="269"/>
      <c r="D390" s="104" t="s">
        <v>79</v>
      </c>
      <c r="E390" s="73" t="s">
        <v>78</v>
      </c>
      <c r="F390" s="73" t="s">
        <v>77</v>
      </c>
      <c r="G390" s="73" t="s">
        <v>76</v>
      </c>
      <c r="H390" s="73" t="s">
        <v>75</v>
      </c>
      <c r="I390" s="73" t="s">
        <v>74</v>
      </c>
      <c r="J390" s="73" t="s">
        <v>73</v>
      </c>
      <c r="K390" s="73" t="s">
        <v>72</v>
      </c>
      <c r="L390" s="73" t="s">
        <v>71</v>
      </c>
      <c r="M390" s="73" t="s">
        <v>70</v>
      </c>
      <c r="N390" s="73" t="s">
        <v>69</v>
      </c>
      <c r="O390" s="73" t="s">
        <v>68</v>
      </c>
      <c r="P390" s="73" t="s">
        <v>67</v>
      </c>
      <c r="Q390" s="73" t="s">
        <v>66</v>
      </c>
      <c r="R390" s="73" t="s">
        <v>65</v>
      </c>
      <c r="S390" s="73" t="s">
        <v>64</v>
      </c>
      <c r="T390" s="73" t="s">
        <v>63</v>
      </c>
      <c r="U390" s="74" t="s">
        <v>62</v>
      </c>
      <c r="V390" s="273" t="s">
        <v>61</v>
      </c>
      <c r="W390" s="269"/>
      <c r="X390" s="275"/>
    </row>
    <row r="391" spans="1:24" s="6" customFormat="1" ht="15.75" customHeight="1">
      <c r="A391" s="270"/>
      <c r="B391" s="270"/>
      <c r="C391" s="270"/>
      <c r="D391" s="108" t="s">
        <v>22</v>
      </c>
      <c r="E391" s="76" t="s">
        <v>60</v>
      </c>
      <c r="F391" s="76" t="s">
        <v>59</v>
      </c>
      <c r="G391" s="76" t="s">
        <v>58</v>
      </c>
      <c r="H391" s="76" t="s">
        <v>57</v>
      </c>
      <c r="I391" s="76" t="s">
        <v>56</v>
      </c>
      <c r="J391" s="76" t="s">
        <v>55</v>
      </c>
      <c r="K391" s="76" t="s">
        <v>54</v>
      </c>
      <c r="L391" s="76" t="s">
        <v>53</v>
      </c>
      <c r="M391" s="76" t="s">
        <v>52</v>
      </c>
      <c r="N391" s="76" t="s">
        <v>51</v>
      </c>
      <c r="O391" s="76" t="s">
        <v>50</v>
      </c>
      <c r="P391" s="76" t="s">
        <v>49</v>
      </c>
      <c r="Q391" s="76" t="s">
        <v>48</v>
      </c>
      <c r="R391" s="76" t="s">
        <v>47</v>
      </c>
      <c r="S391" s="76" t="s">
        <v>46</v>
      </c>
      <c r="T391" s="76" t="s">
        <v>45</v>
      </c>
      <c r="U391" s="77" t="s">
        <v>44</v>
      </c>
      <c r="V391" s="274"/>
      <c r="W391" s="270"/>
      <c r="X391" s="276"/>
    </row>
    <row r="392" spans="1:24" s="12" customFormat="1" ht="15.75" customHeight="1">
      <c r="A392" s="78" t="s">
        <v>238</v>
      </c>
      <c r="B392" s="79"/>
      <c r="C392" s="79"/>
      <c r="D392" s="160">
        <v>48710.375516424669</v>
      </c>
      <c r="E392" s="113">
        <v>0</v>
      </c>
      <c r="F392" s="113">
        <v>0</v>
      </c>
      <c r="G392" s="113">
        <v>0</v>
      </c>
      <c r="H392" s="113">
        <v>5097.90996174468</v>
      </c>
      <c r="I392" s="113">
        <v>0</v>
      </c>
      <c r="J392" s="113">
        <v>0</v>
      </c>
      <c r="K392" s="113">
        <v>0</v>
      </c>
      <c r="L392" s="162">
        <v>0</v>
      </c>
      <c r="M392" s="113">
        <v>2069.8964412799901</v>
      </c>
      <c r="N392" s="113">
        <v>158.50909439999899</v>
      </c>
      <c r="O392" s="113">
        <v>152.80241899999999</v>
      </c>
      <c r="P392" s="119">
        <v>41231.257599999997</v>
      </c>
      <c r="Q392" s="119">
        <v>0</v>
      </c>
      <c r="R392" s="119">
        <v>0</v>
      </c>
      <c r="S392" s="119">
        <v>0</v>
      </c>
      <c r="T392" s="119">
        <v>0</v>
      </c>
      <c r="U392" s="227">
        <v>0</v>
      </c>
      <c r="V392" s="78" t="s">
        <v>238</v>
      </c>
      <c r="W392" s="79"/>
      <c r="X392" s="79"/>
    </row>
    <row r="393" spans="1:24" s="12" customFormat="1" ht="15.75" customHeight="1">
      <c r="A393" s="78" t="s">
        <v>239</v>
      </c>
      <c r="B393" s="79"/>
      <c r="C393" s="79"/>
      <c r="D393" s="160">
        <v>0</v>
      </c>
      <c r="E393" s="113">
        <v>0</v>
      </c>
      <c r="F393" s="113">
        <v>0</v>
      </c>
      <c r="G393" s="113">
        <v>0</v>
      </c>
      <c r="H393" s="113">
        <v>0</v>
      </c>
      <c r="I393" s="113">
        <v>0</v>
      </c>
      <c r="J393" s="113">
        <v>0</v>
      </c>
      <c r="K393" s="113">
        <v>0</v>
      </c>
      <c r="L393" s="162">
        <v>0</v>
      </c>
      <c r="M393" s="113">
        <v>0</v>
      </c>
      <c r="N393" s="113">
        <v>0</v>
      </c>
      <c r="O393" s="113">
        <v>0</v>
      </c>
      <c r="P393" s="119">
        <v>0</v>
      </c>
      <c r="Q393" s="119">
        <v>0</v>
      </c>
      <c r="R393" s="119">
        <v>0</v>
      </c>
      <c r="S393" s="119">
        <v>0</v>
      </c>
      <c r="T393" s="119">
        <v>0</v>
      </c>
      <c r="U393" s="227">
        <v>0</v>
      </c>
      <c r="V393" s="78" t="s">
        <v>239</v>
      </c>
      <c r="W393" s="79"/>
      <c r="X393" s="79"/>
    </row>
    <row r="394" spans="1:24" s="6" customFormat="1" ht="15.75" customHeight="1">
      <c r="A394" s="78" t="s">
        <v>240</v>
      </c>
      <c r="B394" s="78"/>
      <c r="C394" s="79"/>
      <c r="D394" s="160"/>
      <c r="E394" s="113"/>
      <c r="F394" s="113"/>
      <c r="G394" s="113"/>
      <c r="H394" s="113"/>
      <c r="I394" s="113"/>
      <c r="J394" s="113"/>
      <c r="K394" s="113"/>
      <c r="L394" s="162"/>
      <c r="M394" s="113"/>
      <c r="N394" s="113"/>
      <c r="O394" s="113"/>
      <c r="P394" s="119"/>
      <c r="Q394" s="119"/>
      <c r="R394" s="119"/>
      <c r="S394" s="119"/>
      <c r="T394" s="119"/>
      <c r="U394" s="227"/>
      <c r="V394" s="78" t="s">
        <v>240</v>
      </c>
      <c r="W394" s="78"/>
      <c r="X394" s="79"/>
    </row>
    <row r="395" spans="1:24" s="12" customFormat="1" ht="15.75" customHeight="1">
      <c r="A395" s="209"/>
      <c r="B395" s="209" t="s">
        <v>85</v>
      </c>
      <c r="C395" s="210"/>
      <c r="D395" s="228">
        <v>0</v>
      </c>
      <c r="E395" s="229">
        <v>0</v>
      </c>
      <c r="F395" s="229">
        <v>0</v>
      </c>
      <c r="G395" s="229">
        <v>0</v>
      </c>
      <c r="H395" s="229">
        <v>0</v>
      </c>
      <c r="I395" s="229">
        <v>0</v>
      </c>
      <c r="J395" s="229">
        <v>0</v>
      </c>
      <c r="K395" s="229">
        <v>0</v>
      </c>
      <c r="L395" s="230">
        <v>0</v>
      </c>
      <c r="M395" s="229">
        <v>0</v>
      </c>
      <c r="N395" s="229">
        <v>0</v>
      </c>
      <c r="O395" s="229">
        <v>0</v>
      </c>
      <c r="P395" s="229">
        <v>0</v>
      </c>
      <c r="Q395" s="229">
        <v>0</v>
      </c>
      <c r="R395" s="229">
        <v>0</v>
      </c>
      <c r="S395" s="229">
        <v>0</v>
      </c>
      <c r="T395" s="229">
        <v>0</v>
      </c>
      <c r="U395" s="231">
        <v>0</v>
      </c>
      <c r="V395" s="209"/>
      <c r="W395" s="209" t="s">
        <v>85</v>
      </c>
      <c r="X395" s="210"/>
    </row>
    <row r="396" spans="1:24" s="12" customFormat="1" ht="15.75" customHeight="1">
      <c r="A396" s="209"/>
      <c r="B396" s="209" t="s">
        <v>87</v>
      </c>
      <c r="C396" s="210"/>
      <c r="D396" s="228">
        <v>242.41</v>
      </c>
      <c r="E396" s="232">
        <v>0</v>
      </c>
      <c r="F396" s="232">
        <v>0</v>
      </c>
      <c r="G396" s="232">
        <v>0</v>
      </c>
      <c r="H396" s="232">
        <v>37</v>
      </c>
      <c r="I396" s="232">
        <v>0</v>
      </c>
      <c r="J396" s="229">
        <v>0</v>
      </c>
      <c r="K396" s="229">
        <v>5</v>
      </c>
      <c r="L396" s="230">
        <v>0</v>
      </c>
      <c r="M396" s="229">
        <v>58.81</v>
      </c>
      <c r="N396" s="229">
        <v>2</v>
      </c>
      <c r="O396" s="229">
        <v>24</v>
      </c>
      <c r="P396" s="229">
        <v>80.599999999999994</v>
      </c>
      <c r="Q396" s="229">
        <v>5</v>
      </c>
      <c r="R396" s="229">
        <v>30</v>
      </c>
      <c r="S396" s="229">
        <v>0</v>
      </c>
      <c r="T396" s="229">
        <v>0</v>
      </c>
      <c r="U396" s="231">
        <v>0</v>
      </c>
      <c r="V396" s="209"/>
      <c r="W396" s="209" t="s">
        <v>87</v>
      </c>
      <c r="X396" s="210"/>
    </row>
    <row r="397" spans="1:24" s="12" customFormat="1" ht="15.75" customHeight="1">
      <c r="A397" s="84"/>
      <c r="B397" s="84"/>
      <c r="C397" s="217"/>
      <c r="D397" s="165"/>
      <c r="E397" s="138"/>
      <c r="F397" s="138"/>
      <c r="G397" s="138"/>
      <c r="H397" s="138"/>
      <c r="I397" s="138"/>
      <c r="J397" s="138"/>
      <c r="K397" s="138"/>
      <c r="L397" s="166"/>
      <c r="M397" s="138"/>
      <c r="N397" s="138"/>
      <c r="O397" s="138"/>
      <c r="P397" s="141"/>
      <c r="Q397" s="141"/>
      <c r="R397" s="141"/>
      <c r="S397" s="141"/>
      <c r="T397" s="141"/>
      <c r="U397" s="171"/>
      <c r="V397" s="84"/>
      <c r="W397" s="84"/>
      <c r="X397" s="217"/>
    </row>
    <row r="398" spans="1:24" s="12" customFormat="1" ht="15.75" customHeight="1">
      <c r="A398" s="78" t="s">
        <v>86</v>
      </c>
      <c r="B398" s="78"/>
      <c r="C398" s="218"/>
      <c r="D398" s="160"/>
      <c r="E398" s="113"/>
      <c r="F398" s="113"/>
      <c r="G398" s="113"/>
      <c r="H398" s="113"/>
      <c r="I398" s="113"/>
      <c r="J398" s="113"/>
      <c r="K398" s="113"/>
      <c r="L398" s="162"/>
      <c r="M398" s="113"/>
      <c r="N398" s="113"/>
      <c r="O398" s="113"/>
      <c r="P398" s="119"/>
      <c r="Q398" s="119"/>
      <c r="R398" s="119"/>
      <c r="S398" s="119"/>
      <c r="T398" s="119"/>
      <c r="U398" s="227"/>
      <c r="V398" s="78" t="s">
        <v>86</v>
      </c>
      <c r="W398" s="78"/>
      <c r="X398" s="218"/>
    </row>
    <row r="399" spans="1:24" s="12" customFormat="1" ht="15.75" customHeight="1">
      <c r="A399" s="84" t="s">
        <v>85</v>
      </c>
      <c r="B399" s="93"/>
      <c r="C399" s="219" t="s">
        <v>228</v>
      </c>
      <c r="D399" s="165">
        <v>0</v>
      </c>
      <c r="E399" s="138">
        <v>0</v>
      </c>
      <c r="F399" s="138">
        <v>0</v>
      </c>
      <c r="G399" s="138">
        <v>0</v>
      </c>
      <c r="H399" s="138">
        <v>0</v>
      </c>
      <c r="I399" s="138">
        <v>0</v>
      </c>
      <c r="J399" s="138">
        <v>0</v>
      </c>
      <c r="K399" s="138">
        <v>0</v>
      </c>
      <c r="L399" s="138">
        <v>0</v>
      </c>
      <c r="M399" s="138">
        <v>0</v>
      </c>
      <c r="N399" s="138">
        <v>0</v>
      </c>
      <c r="O399" s="138">
        <v>0</v>
      </c>
      <c r="P399" s="138">
        <v>0</v>
      </c>
      <c r="Q399" s="138">
        <v>0</v>
      </c>
      <c r="R399" s="138">
        <v>0</v>
      </c>
      <c r="S399" s="138">
        <v>0</v>
      </c>
      <c r="T399" s="138">
        <v>0</v>
      </c>
      <c r="U399" s="138">
        <v>0</v>
      </c>
      <c r="V399" s="84" t="s">
        <v>85</v>
      </c>
      <c r="W399" s="93"/>
      <c r="X399" s="219" t="s">
        <v>228</v>
      </c>
    </row>
    <row r="400" spans="1:24" s="12" customFormat="1" ht="15.75" customHeight="1">
      <c r="A400" s="84"/>
      <c r="B400" s="84"/>
      <c r="C400" s="219" t="s">
        <v>229</v>
      </c>
      <c r="D400" s="165">
        <v>0</v>
      </c>
      <c r="E400" s="138">
        <v>0</v>
      </c>
      <c r="F400" s="138">
        <v>0</v>
      </c>
      <c r="G400" s="138">
        <v>0</v>
      </c>
      <c r="H400" s="138">
        <v>0</v>
      </c>
      <c r="I400" s="138">
        <v>0</v>
      </c>
      <c r="J400" s="138">
        <v>0</v>
      </c>
      <c r="K400" s="138">
        <v>0</v>
      </c>
      <c r="L400" s="138">
        <v>0</v>
      </c>
      <c r="M400" s="138">
        <v>0</v>
      </c>
      <c r="N400" s="138">
        <v>0</v>
      </c>
      <c r="O400" s="138">
        <v>0</v>
      </c>
      <c r="P400" s="138">
        <v>0</v>
      </c>
      <c r="Q400" s="138">
        <v>0</v>
      </c>
      <c r="R400" s="138">
        <v>0</v>
      </c>
      <c r="S400" s="138">
        <v>0</v>
      </c>
      <c r="T400" s="138">
        <v>0</v>
      </c>
      <c r="U400" s="138">
        <v>0</v>
      </c>
      <c r="V400" s="84"/>
      <c r="W400" s="84"/>
      <c r="X400" s="219" t="s">
        <v>229</v>
      </c>
    </row>
    <row r="401" spans="1:24" s="12" customFormat="1" ht="15.75" customHeight="1">
      <c r="A401" s="84"/>
      <c r="B401" s="84"/>
      <c r="C401" s="219" t="s">
        <v>230</v>
      </c>
      <c r="D401" s="165">
        <v>0</v>
      </c>
      <c r="E401" s="138">
        <v>0</v>
      </c>
      <c r="F401" s="138">
        <v>0</v>
      </c>
      <c r="G401" s="138">
        <v>0</v>
      </c>
      <c r="H401" s="138">
        <v>0</v>
      </c>
      <c r="I401" s="138">
        <v>0</v>
      </c>
      <c r="J401" s="138">
        <v>0</v>
      </c>
      <c r="K401" s="138">
        <v>0</v>
      </c>
      <c r="L401" s="138">
        <v>0</v>
      </c>
      <c r="M401" s="138">
        <v>0</v>
      </c>
      <c r="N401" s="138">
        <v>0</v>
      </c>
      <c r="O401" s="138">
        <v>0</v>
      </c>
      <c r="P401" s="141">
        <v>0</v>
      </c>
      <c r="Q401" s="141">
        <v>0</v>
      </c>
      <c r="R401" s="141">
        <v>0</v>
      </c>
      <c r="S401" s="141">
        <v>0</v>
      </c>
      <c r="T401" s="141">
        <v>0</v>
      </c>
      <c r="U401" s="171">
        <v>0</v>
      </c>
      <c r="V401" s="84"/>
      <c r="W401" s="84"/>
      <c r="X401" s="219" t="s">
        <v>230</v>
      </c>
    </row>
    <row r="402" spans="1:24" s="12" customFormat="1" ht="15.75" customHeight="1">
      <c r="A402" s="84"/>
      <c r="B402" s="93"/>
      <c r="C402" s="84"/>
      <c r="D402" s="165"/>
      <c r="E402" s="138"/>
      <c r="F402" s="138"/>
      <c r="G402" s="138"/>
      <c r="H402" s="138"/>
      <c r="I402" s="138"/>
      <c r="J402" s="138"/>
      <c r="K402" s="138"/>
      <c r="L402" s="166"/>
      <c r="M402" s="138"/>
      <c r="N402" s="138"/>
      <c r="O402" s="138"/>
      <c r="P402" s="141"/>
      <c r="Q402" s="141"/>
      <c r="R402" s="141"/>
      <c r="S402" s="141"/>
      <c r="T402" s="141"/>
      <c r="U402" s="171"/>
      <c r="V402" s="84"/>
      <c r="W402" s="93"/>
      <c r="X402" s="84"/>
    </row>
    <row r="403" spans="1:24" s="12" customFormat="1" ht="15.75" customHeight="1">
      <c r="A403" s="84" t="s">
        <v>87</v>
      </c>
      <c r="B403" s="93"/>
      <c r="C403" s="219" t="s">
        <v>228</v>
      </c>
      <c r="D403" s="165">
        <v>0</v>
      </c>
      <c r="E403" s="138">
        <v>0</v>
      </c>
      <c r="F403" s="138">
        <v>0</v>
      </c>
      <c r="G403" s="138">
        <v>0</v>
      </c>
      <c r="H403" s="138">
        <v>0</v>
      </c>
      <c r="I403" s="138">
        <v>0</v>
      </c>
      <c r="J403" s="138">
        <v>0</v>
      </c>
      <c r="K403" s="138">
        <v>0</v>
      </c>
      <c r="L403" s="138">
        <v>0</v>
      </c>
      <c r="M403" s="138">
        <v>0</v>
      </c>
      <c r="N403" s="138">
        <v>0</v>
      </c>
      <c r="O403" s="138">
        <v>0</v>
      </c>
      <c r="P403" s="138">
        <v>0</v>
      </c>
      <c r="Q403" s="138">
        <v>0</v>
      </c>
      <c r="R403" s="138">
        <v>0</v>
      </c>
      <c r="S403" s="138">
        <v>0</v>
      </c>
      <c r="T403" s="138">
        <v>0</v>
      </c>
      <c r="U403" s="138">
        <v>0</v>
      </c>
      <c r="V403" s="84" t="s">
        <v>87</v>
      </c>
      <c r="W403" s="93"/>
      <c r="X403" s="219" t="s">
        <v>228</v>
      </c>
    </row>
    <row r="404" spans="1:24" s="12" customFormat="1" ht="15.75" customHeight="1">
      <c r="A404" s="84"/>
      <c r="B404" s="84"/>
      <c r="C404" s="219" t="s">
        <v>229</v>
      </c>
      <c r="D404" s="85">
        <v>0</v>
      </c>
      <c r="E404" s="86">
        <v>0</v>
      </c>
      <c r="F404" s="86">
        <v>0</v>
      </c>
      <c r="G404" s="86">
        <v>0</v>
      </c>
      <c r="H404" s="86">
        <v>0</v>
      </c>
      <c r="I404" s="86">
        <v>0</v>
      </c>
      <c r="J404" s="86">
        <v>0</v>
      </c>
      <c r="K404" s="86">
        <v>0</v>
      </c>
      <c r="L404" s="86">
        <v>0</v>
      </c>
      <c r="M404" s="86">
        <v>0</v>
      </c>
      <c r="N404" s="86">
        <v>0</v>
      </c>
      <c r="O404" s="86">
        <v>0</v>
      </c>
      <c r="P404" s="87">
        <v>0</v>
      </c>
      <c r="Q404" s="87">
        <v>0</v>
      </c>
      <c r="R404" s="87">
        <v>0</v>
      </c>
      <c r="S404" s="87">
        <v>0</v>
      </c>
      <c r="T404" s="87">
        <v>0</v>
      </c>
      <c r="U404" s="88">
        <v>0</v>
      </c>
      <c r="V404" s="84"/>
      <c r="W404" s="84"/>
      <c r="X404" s="219" t="s">
        <v>229</v>
      </c>
    </row>
    <row r="405" spans="1:24" s="12" customFormat="1" ht="15.75" customHeight="1" thickBot="1">
      <c r="A405" s="84"/>
      <c r="B405" s="84"/>
      <c r="C405" s="219" t="s">
        <v>230</v>
      </c>
      <c r="D405" s="97">
        <v>0</v>
      </c>
      <c r="E405" s="98">
        <v>0</v>
      </c>
      <c r="F405" s="98">
        <v>0</v>
      </c>
      <c r="G405" s="98">
        <v>0</v>
      </c>
      <c r="H405" s="98">
        <v>0</v>
      </c>
      <c r="I405" s="98">
        <v>0</v>
      </c>
      <c r="J405" s="98">
        <v>0</v>
      </c>
      <c r="K405" s="98">
        <v>0</v>
      </c>
      <c r="L405" s="98">
        <v>0</v>
      </c>
      <c r="M405" s="98">
        <v>0</v>
      </c>
      <c r="N405" s="98">
        <v>0</v>
      </c>
      <c r="O405" s="98">
        <v>0</v>
      </c>
      <c r="P405" s="99">
        <v>0</v>
      </c>
      <c r="Q405" s="99">
        <v>0</v>
      </c>
      <c r="R405" s="99">
        <v>0</v>
      </c>
      <c r="S405" s="99">
        <v>0</v>
      </c>
      <c r="T405" s="99">
        <v>0</v>
      </c>
      <c r="U405" s="100">
        <v>0</v>
      </c>
      <c r="V405" s="84"/>
      <c r="W405" s="84"/>
      <c r="X405" s="219" t="s">
        <v>230</v>
      </c>
    </row>
    <row r="406" spans="1:24" s="6" customFormat="1" ht="15.75" customHeight="1">
      <c r="A406" s="220"/>
      <c r="B406" s="220"/>
      <c r="C406" s="220"/>
      <c r="D406" s="237"/>
      <c r="E406" s="220"/>
      <c r="F406" s="220"/>
      <c r="G406" s="220"/>
      <c r="H406" s="220"/>
      <c r="I406" s="220"/>
      <c r="J406" s="220"/>
      <c r="K406" s="220"/>
      <c r="L406" s="220"/>
      <c r="M406" s="220"/>
      <c r="N406" s="220"/>
      <c r="O406" s="220"/>
      <c r="P406" s="220"/>
      <c r="Q406" s="220"/>
      <c r="R406" s="220"/>
      <c r="S406" s="220"/>
      <c r="T406" s="220"/>
      <c r="U406" s="220"/>
      <c r="V406" s="220"/>
      <c r="W406" s="220"/>
      <c r="X406" s="220"/>
    </row>
    <row r="407" spans="1:24" s="6" customFormat="1" ht="15.75" customHeight="1">
      <c r="A407" s="103" t="s">
        <v>231</v>
      </c>
      <c r="B407" s="93"/>
      <c r="C407" s="93"/>
      <c r="D407" s="102"/>
      <c r="E407" s="93"/>
      <c r="F407" s="93"/>
      <c r="G407" s="93"/>
      <c r="H407" s="93"/>
      <c r="I407" s="93"/>
      <c r="J407" s="93"/>
      <c r="K407" s="93"/>
      <c r="L407" s="93"/>
      <c r="M407" s="93"/>
      <c r="N407" s="93"/>
      <c r="O407" s="93"/>
      <c r="P407" s="93"/>
      <c r="Q407" s="93"/>
      <c r="R407" s="93"/>
      <c r="S407" s="93"/>
      <c r="T407" s="93"/>
      <c r="U407" s="93"/>
      <c r="V407" s="93"/>
      <c r="W407" s="93"/>
      <c r="X407" s="93"/>
    </row>
    <row r="408" spans="1:24" s="6" customFormat="1" ht="15.75" customHeight="1">
      <c r="A408" s="103" t="s">
        <v>84</v>
      </c>
      <c r="B408" s="93"/>
      <c r="C408" s="93"/>
      <c r="D408" s="102"/>
      <c r="E408" s="93"/>
      <c r="F408" s="93"/>
      <c r="G408" s="93"/>
      <c r="H408" s="93"/>
      <c r="I408" s="93"/>
      <c r="J408" s="93"/>
      <c r="K408" s="93"/>
      <c r="L408" s="93"/>
      <c r="M408" s="93"/>
      <c r="N408" s="93"/>
      <c r="O408" s="93"/>
      <c r="P408" s="93"/>
      <c r="Q408" s="93"/>
      <c r="R408" s="93"/>
      <c r="S408" s="93"/>
      <c r="T408" s="93"/>
      <c r="U408" s="93"/>
      <c r="V408" s="93"/>
      <c r="W408" s="93"/>
      <c r="X408" s="93"/>
    </row>
    <row r="411" spans="1:24" s="6" customFormat="1" ht="21">
      <c r="A411" s="19" t="s">
        <v>94</v>
      </c>
      <c r="B411" s="26"/>
    </row>
    <row r="412" spans="1:24" s="6" customFormat="1" ht="15.75" customHeight="1" thickBo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25"/>
    </row>
    <row r="413" spans="1:24" s="6" customFormat="1" ht="15.75" customHeight="1">
      <c r="A413" s="269" t="s">
        <v>61</v>
      </c>
      <c r="B413" s="269"/>
      <c r="C413" s="269"/>
      <c r="D413" s="104" t="s">
        <v>79</v>
      </c>
      <c r="E413" s="73" t="s">
        <v>78</v>
      </c>
      <c r="F413" s="73" t="s">
        <v>77</v>
      </c>
      <c r="G413" s="73" t="s">
        <v>76</v>
      </c>
      <c r="H413" s="73" t="s">
        <v>75</v>
      </c>
      <c r="I413" s="73" t="s">
        <v>74</v>
      </c>
      <c r="J413" s="73" t="s">
        <v>73</v>
      </c>
      <c r="K413" s="73" t="s">
        <v>72</v>
      </c>
      <c r="L413" s="73" t="s">
        <v>71</v>
      </c>
      <c r="M413" s="73" t="s">
        <v>70</v>
      </c>
      <c r="N413" s="73" t="s">
        <v>69</v>
      </c>
      <c r="O413" s="73" t="s">
        <v>68</v>
      </c>
      <c r="P413" s="73" t="s">
        <v>67</v>
      </c>
      <c r="Q413" s="73" t="s">
        <v>66</v>
      </c>
      <c r="R413" s="73" t="s">
        <v>65</v>
      </c>
      <c r="S413" s="73" t="s">
        <v>64</v>
      </c>
      <c r="T413" s="73" t="s">
        <v>63</v>
      </c>
      <c r="U413" s="74" t="s">
        <v>62</v>
      </c>
      <c r="V413" s="273" t="s">
        <v>61</v>
      </c>
      <c r="W413" s="269"/>
      <c r="X413" s="275"/>
    </row>
    <row r="414" spans="1:24" s="6" customFormat="1" ht="15.75" customHeight="1">
      <c r="A414" s="270"/>
      <c r="B414" s="270"/>
      <c r="C414" s="270"/>
      <c r="D414" s="108" t="s">
        <v>22</v>
      </c>
      <c r="E414" s="76" t="s">
        <v>60</v>
      </c>
      <c r="F414" s="76" t="s">
        <v>59</v>
      </c>
      <c r="G414" s="76" t="s">
        <v>58</v>
      </c>
      <c r="H414" s="76" t="s">
        <v>57</v>
      </c>
      <c r="I414" s="76" t="s">
        <v>56</v>
      </c>
      <c r="J414" s="76" t="s">
        <v>55</v>
      </c>
      <c r="K414" s="76" t="s">
        <v>54</v>
      </c>
      <c r="L414" s="76" t="s">
        <v>53</v>
      </c>
      <c r="M414" s="76" t="s">
        <v>52</v>
      </c>
      <c r="N414" s="76" t="s">
        <v>51</v>
      </c>
      <c r="O414" s="76" t="s">
        <v>50</v>
      </c>
      <c r="P414" s="76" t="s">
        <v>49</v>
      </c>
      <c r="Q414" s="76" t="s">
        <v>48</v>
      </c>
      <c r="R414" s="76" t="s">
        <v>47</v>
      </c>
      <c r="S414" s="76" t="s">
        <v>46</v>
      </c>
      <c r="T414" s="76" t="s">
        <v>45</v>
      </c>
      <c r="U414" s="77" t="s">
        <v>44</v>
      </c>
      <c r="V414" s="274"/>
      <c r="W414" s="270"/>
      <c r="X414" s="276"/>
    </row>
    <row r="415" spans="1:24" s="12" customFormat="1" ht="15.75" customHeight="1">
      <c r="A415" s="78" t="s">
        <v>238</v>
      </c>
      <c r="B415" s="79"/>
      <c r="C415" s="79"/>
      <c r="D415" s="80">
        <v>220400.96</v>
      </c>
      <c r="E415" s="81">
        <v>0</v>
      </c>
      <c r="F415" s="81">
        <v>0</v>
      </c>
      <c r="G415" s="81">
        <v>0</v>
      </c>
      <c r="H415" s="81">
        <v>0</v>
      </c>
      <c r="I415" s="81">
        <v>0</v>
      </c>
      <c r="J415" s="81">
        <v>0</v>
      </c>
      <c r="K415" s="81">
        <v>220400.96</v>
      </c>
      <c r="L415" s="81">
        <v>0</v>
      </c>
      <c r="M415" s="81">
        <v>0</v>
      </c>
      <c r="N415" s="81">
        <v>0</v>
      </c>
      <c r="O415" s="81">
        <v>0</v>
      </c>
      <c r="P415" s="82">
        <v>0</v>
      </c>
      <c r="Q415" s="82">
        <v>0</v>
      </c>
      <c r="R415" s="82">
        <v>0</v>
      </c>
      <c r="S415" s="82">
        <v>0</v>
      </c>
      <c r="T415" s="82">
        <v>0</v>
      </c>
      <c r="U415" s="83">
        <v>0</v>
      </c>
      <c r="V415" s="78" t="s">
        <v>238</v>
      </c>
      <c r="W415" s="79"/>
      <c r="X415" s="79"/>
    </row>
    <row r="416" spans="1:24" s="12" customFormat="1" ht="15.75" customHeight="1">
      <c r="A416" s="78" t="s">
        <v>239</v>
      </c>
      <c r="B416" s="79"/>
      <c r="C416" s="79"/>
      <c r="D416" s="80">
        <v>231331.92</v>
      </c>
      <c r="E416" s="81">
        <v>0</v>
      </c>
      <c r="F416" s="81">
        <v>0</v>
      </c>
      <c r="G416" s="81">
        <v>0</v>
      </c>
      <c r="H416" s="81">
        <v>0</v>
      </c>
      <c r="I416" s="81">
        <v>0</v>
      </c>
      <c r="J416" s="81">
        <v>0</v>
      </c>
      <c r="K416" s="81">
        <v>231331.92</v>
      </c>
      <c r="L416" s="81">
        <v>0</v>
      </c>
      <c r="M416" s="81">
        <v>0</v>
      </c>
      <c r="N416" s="81">
        <v>0</v>
      </c>
      <c r="O416" s="81">
        <v>0</v>
      </c>
      <c r="P416" s="82">
        <v>0</v>
      </c>
      <c r="Q416" s="82">
        <v>0</v>
      </c>
      <c r="R416" s="82">
        <v>0</v>
      </c>
      <c r="S416" s="82">
        <v>0</v>
      </c>
      <c r="T416" s="82">
        <v>0</v>
      </c>
      <c r="U416" s="83">
        <v>0</v>
      </c>
      <c r="V416" s="78" t="s">
        <v>239</v>
      </c>
      <c r="W416" s="79"/>
      <c r="X416" s="79"/>
    </row>
    <row r="417" spans="1:24" s="12" customFormat="1" ht="15.75" customHeight="1">
      <c r="A417" s="78" t="s">
        <v>240</v>
      </c>
      <c r="B417" s="78"/>
      <c r="C417" s="79"/>
      <c r="D417" s="80"/>
      <c r="E417" s="81"/>
      <c r="F417" s="81"/>
      <c r="G417" s="81"/>
      <c r="H417" s="81"/>
      <c r="I417" s="81"/>
      <c r="J417" s="81"/>
      <c r="K417" s="81"/>
      <c r="L417" s="81"/>
      <c r="M417" s="81"/>
      <c r="N417" s="81"/>
      <c r="O417" s="81"/>
      <c r="P417" s="81"/>
      <c r="Q417" s="81"/>
      <c r="R417" s="81"/>
      <c r="S417" s="81"/>
      <c r="T417" s="81"/>
      <c r="U417" s="89"/>
      <c r="V417" s="78" t="s">
        <v>240</v>
      </c>
      <c r="W417" s="78"/>
      <c r="X417" s="79"/>
    </row>
    <row r="418" spans="1:24" s="12" customFormat="1" ht="15.75" customHeight="1">
      <c r="A418" s="209"/>
      <c r="B418" s="209" t="s">
        <v>85</v>
      </c>
      <c r="C418" s="210"/>
      <c r="D418" s="214">
        <v>36430</v>
      </c>
      <c r="E418" s="215">
        <v>0</v>
      </c>
      <c r="F418" s="215">
        <v>0</v>
      </c>
      <c r="G418" s="215">
        <v>0</v>
      </c>
      <c r="H418" s="215">
        <v>0</v>
      </c>
      <c r="I418" s="215">
        <v>0</v>
      </c>
      <c r="J418" s="215">
        <v>0</v>
      </c>
      <c r="K418" s="215">
        <v>36430</v>
      </c>
      <c r="L418" s="215">
        <v>0</v>
      </c>
      <c r="M418" s="215">
        <v>0</v>
      </c>
      <c r="N418" s="215">
        <v>0</v>
      </c>
      <c r="O418" s="215">
        <v>0</v>
      </c>
      <c r="P418" s="215">
        <v>0</v>
      </c>
      <c r="Q418" s="215">
        <v>0</v>
      </c>
      <c r="R418" s="215">
        <v>0</v>
      </c>
      <c r="S418" s="215">
        <v>0</v>
      </c>
      <c r="T418" s="215">
        <v>0</v>
      </c>
      <c r="U418" s="216">
        <v>0</v>
      </c>
      <c r="V418" s="209"/>
      <c r="W418" s="209" t="s">
        <v>85</v>
      </c>
      <c r="X418" s="210"/>
    </row>
    <row r="419" spans="1:24" s="12" customFormat="1" ht="15.75" customHeight="1">
      <c r="A419" s="209"/>
      <c r="B419" s="209" t="s">
        <v>87</v>
      </c>
      <c r="C419" s="210"/>
      <c r="D419" s="214">
        <v>311</v>
      </c>
      <c r="E419" s="215">
        <v>0</v>
      </c>
      <c r="F419" s="215">
        <v>0</v>
      </c>
      <c r="G419" s="215">
        <v>0</v>
      </c>
      <c r="H419" s="215">
        <v>0</v>
      </c>
      <c r="I419" s="215">
        <v>0</v>
      </c>
      <c r="J419" s="215">
        <v>0</v>
      </c>
      <c r="K419" s="215">
        <v>311</v>
      </c>
      <c r="L419" s="215">
        <v>0</v>
      </c>
      <c r="M419" s="215">
        <v>0</v>
      </c>
      <c r="N419" s="215">
        <v>0</v>
      </c>
      <c r="O419" s="215">
        <v>0</v>
      </c>
      <c r="P419" s="215">
        <v>0</v>
      </c>
      <c r="Q419" s="215">
        <v>0</v>
      </c>
      <c r="R419" s="215">
        <v>0</v>
      </c>
      <c r="S419" s="215">
        <v>0</v>
      </c>
      <c r="T419" s="215">
        <v>0</v>
      </c>
      <c r="U419" s="216">
        <v>0</v>
      </c>
      <c r="V419" s="209"/>
      <c r="W419" s="209" t="s">
        <v>87</v>
      </c>
      <c r="X419" s="210"/>
    </row>
    <row r="420" spans="1:24" s="12" customFormat="1" ht="15.75" customHeight="1">
      <c r="A420" s="84"/>
      <c r="B420" s="84"/>
      <c r="C420" s="217"/>
      <c r="D420" s="85"/>
      <c r="E420" s="86"/>
      <c r="F420" s="86"/>
      <c r="G420" s="86"/>
      <c r="H420" s="86"/>
      <c r="I420" s="86"/>
      <c r="J420" s="86"/>
      <c r="K420" s="86"/>
      <c r="L420" s="86"/>
      <c r="M420" s="86"/>
      <c r="N420" s="86"/>
      <c r="O420" s="86"/>
      <c r="P420" s="86"/>
      <c r="Q420" s="86"/>
      <c r="R420" s="86"/>
      <c r="S420" s="86"/>
      <c r="T420" s="86"/>
      <c r="U420" s="147"/>
      <c r="V420" s="84"/>
      <c r="W420" s="84"/>
      <c r="X420" s="217"/>
    </row>
    <row r="421" spans="1:24" s="12" customFormat="1" ht="15.75" customHeight="1">
      <c r="A421" s="78" t="s">
        <v>86</v>
      </c>
      <c r="B421" s="78"/>
      <c r="C421" s="218"/>
      <c r="D421" s="80"/>
      <c r="E421" s="81"/>
      <c r="F421" s="81"/>
      <c r="G421" s="81"/>
      <c r="H421" s="81"/>
      <c r="I421" s="81"/>
      <c r="J421" s="81"/>
      <c r="K421" s="81"/>
      <c r="L421" s="81"/>
      <c r="M421" s="81"/>
      <c r="N421" s="81"/>
      <c r="O421" s="81"/>
      <c r="P421" s="81"/>
      <c r="Q421" s="81"/>
      <c r="R421" s="81"/>
      <c r="S421" s="81"/>
      <c r="T421" s="81"/>
      <c r="U421" s="89"/>
      <c r="V421" s="78" t="s">
        <v>86</v>
      </c>
      <c r="W421" s="78"/>
      <c r="X421" s="218"/>
    </row>
    <row r="422" spans="1:24" s="12" customFormat="1" ht="15.75" customHeight="1">
      <c r="A422" s="84" t="s">
        <v>85</v>
      </c>
      <c r="B422" s="93"/>
      <c r="C422" s="219" t="s">
        <v>228</v>
      </c>
      <c r="D422" s="85">
        <v>0</v>
      </c>
      <c r="E422" s="86">
        <v>0</v>
      </c>
      <c r="F422" s="86">
        <v>0</v>
      </c>
      <c r="G422" s="86">
        <v>0</v>
      </c>
      <c r="H422" s="86">
        <v>0</v>
      </c>
      <c r="I422" s="86">
        <v>0</v>
      </c>
      <c r="J422" s="86">
        <v>0</v>
      </c>
      <c r="K422" s="86">
        <v>0</v>
      </c>
      <c r="L422" s="86">
        <v>0</v>
      </c>
      <c r="M422" s="86">
        <v>0</v>
      </c>
      <c r="N422" s="86">
        <v>0</v>
      </c>
      <c r="O422" s="86">
        <v>0</v>
      </c>
      <c r="P422" s="86">
        <v>0</v>
      </c>
      <c r="Q422" s="86">
        <v>0</v>
      </c>
      <c r="R422" s="86">
        <v>0</v>
      </c>
      <c r="S422" s="86">
        <v>0</v>
      </c>
      <c r="T422" s="86">
        <v>0</v>
      </c>
      <c r="U422" s="88">
        <v>0</v>
      </c>
      <c r="V422" s="84" t="s">
        <v>85</v>
      </c>
      <c r="W422" s="93"/>
      <c r="X422" s="219" t="s">
        <v>228</v>
      </c>
    </row>
    <row r="423" spans="1:24" s="12" customFormat="1" ht="15.75" customHeight="1">
      <c r="A423" s="84"/>
      <c r="B423" s="84"/>
      <c r="C423" s="219" t="s">
        <v>229</v>
      </c>
      <c r="D423" s="85">
        <v>0</v>
      </c>
      <c r="E423" s="86">
        <v>0</v>
      </c>
      <c r="F423" s="86">
        <v>0</v>
      </c>
      <c r="G423" s="86">
        <v>0</v>
      </c>
      <c r="H423" s="86">
        <v>0</v>
      </c>
      <c r="I423" s="86">
        <v>0</v>
      </c>
      <c r="J423" s="86">
        <v>0</v>
      </c>
      <c r="K423" s="86">
        <v>0</v>
      </c>
      <c r="L423" s="86">
        <v>0</v>
      </c>
      <c r="M423" s="86">
        <v>0</v>
      </c>
      <c r="N423" s="86">
        <v>0</v>
      </c>
      <c r="O423" s="86">
        <v>0</v>
      </c>
      <c r="P423" s="87">
        <v>0</v>
      </c>
      <c r="Q423" s="87">
        <v>0</v>
      </c>
      <c r="R423" s="87">
        <v>0</v>
      </c>
      <c r="S423" s="87">
        <v>0</v>
      </c>
      <c r="T423" s="87">
        <v>0</v>
      </c>
      <c r="U423" s="88">
        <v>0</v>
      </c>
      <c r="V423" s="84"/>
      <c r="W423" s="84"/>
      <c r="X423" s="219" t="s">
        <v>229</v>
      </c>
    </row>
    <row r="424" spans="1:24" s="12" customFormat="1" ht="15.75" customHeight="1">
      <c r="A424" s="84"/>
      <c r="B424" s="84"/>
      <c r="C424" s="219" t="s">
        <v>230</v>
      </c>
      <c r="D424" s="85">
        <v>0</v>
      </c>
      <c r="E424" s="86">
        <v>0</v>
      </c>
      <c r="F424" s="86">
        <v>0</v>
      </c>
      <c r="G424" s="86">
        <v>0</v>
      </c>
      <c r="H424" s="86">
        <v>0</v>
      </c>
      <c r="I424" s="86">
        <v>0</v>
      </c>
      <c r="J424" s="86">
        <v>0</v>
      </c>
      <c r="K424" s="86">
        <v>0</v>
      </c>
      <c r="L424" s="86">
        <v>0</v>
      </c>
      <c r="M424" s="86">
        <v>0</v>
      </c>
      <c r="N424" s="86">
        <v>0</v>
      </c>
      <c r="O424" s="86">
        <v>0</v>
      </c>
      <c r="P424" s="87">
        <v>0</v>
      </c>
      <c r="Q424" s="87">
        <v>0</v>
      </c>
      <c r="R424" s="87">
        <v>0</v>
      </c>
      <c r="S424" s="87">
        <v>0</v>
      </c>
      <c r="T424" s="87">
        <v>0</v>
      </c>
      <c r="U424" s="88">
        <v>0</v>
      </c>
      <c r="V424" s="84"/>
      <c r="W424" s="84"/>
      <c r="X424" s="219" t="s">
        <v>230</v>
      </c>
    </row>
    <row r="425" spans="1:24" s="12" customFormat="1" ht="15.75" customHeight="1">
      <c r="A425" s="84"/>
      <c r="B425" s="93"/>
      <c r="C425" s="84"/>
      <c r="D425" s="85"/>
      <c r="E425" s="86"/>
      <c r="F425" s="86"/>
      <c r="G425" s="86"/>
      <c r="H425" s="86"/>
      <c r="I425" s="86"/>
      <c r="J425" s="86"/>
      <c r="K425" s="86"/>
      <c r="L425" s="86"/>
      <c r="M425" s="86"/>
      <c r="N425" s="86"/>
      <c r="O425" s="86"/>
      <c r="P425" s="87"/>
      <c r="Q425" s="87"/>
      <c r="R425" s="87"/>
      <c r="S425" s="87"/>
      <c r="T425" s="87"/>
      <c r="U425" s="88"/>
      <c r="V425" s="84"/>
      <c r="W425" s="93"/>
      <c r="X425" s="84"/>
    </row>
    <row r="426" spans="1:24" s="12" customFormat="1" ht="15.75" customHeight="1">
      <c r="A426" s="84" t="s">
        <v>87</v>
      </c>
      <c r="B426" s="93"/>
      <c r="C426" s="219" t="s">
        <v>228</v>
      </c>
      <c r="D426" s="85">
        <v>0</v>
      </c>
      <c r="E426" s="86">
        <v>0</v>
      </c>
      <c r="F426" s="86">
        <v>0</v>
      </c>
      <c r="G426" s="86">
        <v>0</v>
      </c>
      <c r="H426" s="86">
        <v>0</v>
      </c>
      <c r="I426" s="86">
        <v>0</v>
      </c>
      <c r="J426" s="86">
        <v>0</v>
      </c>
      <c r="K426" s="86">
        <v>0</v>
      </c>
      <c r="L426" s="86">
        <v>0</v>
      </c>
      <c r="M426" s="86">
        <v>0</v>
      </c>
      <c r="N426" s="86">
        <v>0</v>
      </c>
      <c r="O426" s="86">
        <v>0</v>
      </c>
      <c r="P426" s="87">
        <v>0</v>
      </c>
      <c r="Q426" s="87">
        <v>0</v>
      </c>
      <c r="R426" s="87">
        <v>0</v>
      </c>
      <c r="S426" s="87">
        <v>0</v>
      </c>
      <c r="T426" s="87">
        <v>0</v>
      </c>
      <c r="U426" s="88">
        <v>0</v>
      </c>
      <c r="V426" s="84" t="s">
        <v>87</v>
      </c>
      <c r="W426" s="93"/>
      <c r="X426" s="219" t="s">
        <v>228</v>
      </c>
    </row>
    <row r="427" spans="1:24" s="12" customFormat="1" ht="15.75" customHeight="1">
      <c r="A427" s="84"/>
      <c r="B427" s="84"/>
      <c r="C427" s="219" t="s">
        <v>229</v>
      </c>
      <c r="D427" s="85">
        <v>0</v>
      </c>
      <c r="E427" s="86">
        <v>0</v>
      </c>
      <c r="F427" s="86">
        <v>0</v>
      </c>
      <c r="G427" s="86">
        <v>0</v>
      </c>
      <c r="H427" s="86">
        <v>0</v>
      </c>
      <c r="I427" s="86">
        <v>0</v>
      </c>
      <c r="J427" s="86">
        <v>0</v>
      </c>
      <c r="K427" s="86">
        <v>0</v>
      </c>
      <c r="L427" s="86">
        <v>0</v>
      </c>
      <c r="M427" s="86">
        <v>0</v>
      </c>
      <c r="N427" s="86">
        <v>0</v>
      </c>
      <c r="O427" s="86">
        <v>0</v>
      </c>
      <c r="P427" s="87">
        <v>0</v>
      </c>
      <c r="Q427" s="87">
        <v>0</v>
      </c>
      <c r="R427" s="87">
        <v>0</v>
      </c>
      <c r="S427" s="87">
        <v>0</v>
      </c>
      <c r="T427" s="87">
        <v>0</v>
      </c>
      <c r="U427" s="88">
        <v>0</v>
      </c>
      <c r="V427" s="84"/>
      <c r="W427" s="84"/>
      <c r="X427" s="219" t="s">
        <v>229</v>
      </c>
    </row>
    <row r="428" spans="1:24" s="12" customFormat="1" ht="15.75" customHeight="1" thickBot="1">
      <c r="A428" s="84"/>
      <c r="B428" s="84"/>
      <c r="C428" s="219" t="s">
        <v>230</v>
      </c>
      <c r="D428" s="97">
        <v>0</v>
      </c>
      <c r="E428" s="98">
        <v>0</v>
      </c>
      <c r="F428" s="98">
        <v>0</v>
      </c>
      <c r="G428" s="98">
        <v>0</v>
      </c>
      <c r="H428" s="98">
        <v>0</v>
      </c>
      <c r="I428" s="98">
        <v>0</v>
      </c>
      <c r="J428" s="98">
        <v>0</v>
      </c>
      <c r="K428" s="98">
        <v>0</v>
      </c>
      <c r="L428" s="98">
        <v>0</v>
      </c>
      <c r="M428" s="98">
        <v>0</v>
      </c>
      <c r="N428" s="98">
        <v>0</v>
      </c>
      <c r="O428" s="98">
        <v>0</v>
      </c>
      <c r="P428" s="99">
        <v>0</v>
      </c>
      <c r="Q428" s="99">
        <v>0</v>
      </c>
      <c r="R428" s="99">
        <v>0</v>
      </c>
      <c r="S428" s="99">
        <v>0</v>
      </c>
      <c r="T428" s="99">
        <v>0</v>
      </c>
      <c r="U428" s="100">
        <v>0</v>
      </c>
      <c r="V428" s="84"/>
      <c r="W428" s="84"/>
      <c r="X428" s="219" t="s">
        <v>230</v>
      </c>
    </row>
    <row r="429" spans="1:24" s="6" customFormat="1" ht="15.75" customHeight="1">
      <c r="A429" s="238"/>
      <c r="B429" s="238"/>
      <c r="C429" s="238"/>
      <c r="D429" s="239"/>
      <c r="E429" s="238"/>
      <c r="F429" s="238"/>
      <c r="G429" s="238"/>
      <c r="H429" s="238"/>
      <c r="I429" s="238"/>
      <c r="J429" s="238"/>
      <c r="K429" s="238"/>
      <c r="L429" s="238"/>
      <c r="M429" s="238"/>
      <c r="N429" s="238"/>
      <c r="O429" s="238"/>
      <c r="P429" s="238"/>
      <c r="Q429" s="238"/>
      <c r="R429" s="238"/>
      <c r="S429" s="238"/>
      <c r="T429" s="238"/>
      <c r="U429" s="238"/>
      <c r="V429" s="238"/>
      <c r="W429" s="238"/>
      <c r="X429" s="238"/>
    </row>
    <row r="430" spans="1:24" s="6" customFormat="1" ht="15.75" customHeight="1">
      <c r="A430" s="103" t="s">
        <v>231</v>
      </c>
      <c r="B430" s="93"/>
      <c r="C430" s="93"/>
      <c r="D430" s="102"/>
      <c r="E430" s="93"/>
      <c r="F430" s="93"/>
      <c r="G430" s="93"/>
      <c r="H430" s="93"/>
      <c r="I430" s="93"/>
      <c r="J430" s="93"/>
      <c r="K430" s="93"/>
      <c r="L430" s="93"/>
      <c r="M430" s="93"/>
      <c r="N430" s="93"/>
      <c r="O430" s="93"/>
      <c r="P430" s="93"/>
      <c r="Q430" s="93"/>
      <c r="R430" s="93"/>
      <c r="S430" s="93"/>
      <c r="T430" s="93"/>
      <c r="U430" s="93"/>
      <c r="V430" s="93"/>
      <c r="W430" s="93"/>
      <c r="X430" s="93"/>
    </row>
    <row r="431" spans="1:24" s="6" customFormat="1" ht="15.75" customHeight="1">
      <c r="A431" s="103" t="s">
        <v>84</v>
      </c>
      <c r="B431" s="93"/>
      <c r="C431" s="93"/>
      <c r="D431" s="102"/>
      <c r="E431" s="93"/>
      <c r="F431" s="93"/>
      <c r="G431" s="93"/>
      <c r="H431" s="93"/>
      <c r="I431" s="93"/>
      <c r="J431" s="93"/>
      <c r="K431" s="93"/>
      <c r="L431" s="93"/>
      <c r="M431" s="93"/>
      <c r="N431" s="93"/>
      <c r="O431" s="93"/>
      <c r="P431" s="93"/>
      <c r="Q431" s="93"/>
      <c r="R431" s="93"/>
      <c r="S431" s="93"/>
      <c r="T431" s="93"/>
      <c r="U431" s="93"/>
      <c r="V431" s="93"/>
      <c r="W431" s="93"/>
      <c r="X431" s="93"/>
    </row>
    <row r="434" spans="1:24" s="6" customFormat="1" ht="21">
      <c r="A434" s="19" t="s">
        <v>93</v>
      </c>
      <c r="B434" s="26"/>
    </row>
    <row r="435" spans="1:24" s="6" customFormat="1" ht="15.75" customHeight="1" thickBo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25"/>
    </row>
    <row r="436" spans="1:24" s="6" customFormat="1" ht="15.75" customHeight="1">
      <c r="A436" s="269" t="s">
        <v>61</v>
      </c>
      <c r="B436" s="269"/>
      <c r="C436" s="269"/>
      <c r="D436" s="104" t="s">
        <v>79</v>
      </c>
      <c r="E436" s="73" t="s">
        <v>78</v>
      </c>
      <c r="F436" s="73" t="s">
        <v>77</v>
      </c>
      <c r="G436" s="73" t="s">
        <v>76</v>
      </c>
      <c r="H436" s="73" t="s">
        <v>75</v>
      </c>
      <c r="I436" s="73" t="s">
        <v>74</v>
      </c>
      <c r="J436" s="73" t="s">
        <v>73</v>
      </c>
      <c r="K436" s="73" t="s">
        <v>72</v>
      </c>
      <c r="L436" s="73" t="s">
        <v>71</v>
      </c>
      <c r="M436" s="73" t="s">
        <v>70</v>
      </c>
      <c r="N436" s="73" t="s">
        <v>69</v>
      </c>
      <c r="O436" s="73" t="s">
        <v>68</v>
      </c>
      <c r="P436" s="73" t="s">
        <v>67</v>
      </c>
      <c r="Q436" s="73" t="s">
        <v>66</v>
      </c>
      <c r="R436" s="73" t="s">
        <v>65</v>
      </c>
      <c r="S436" s="73" t="s">
        <v>64</v>
      </c>
      <c r="T436" s="73" t="s">
        <v>63</v>
      </c>
      <c r="U436" s="74" t="s">
        <v>62</v>
      </c>
      <c r="V436" s="273" t="s">
        <v>61</v>
      </c>
      <c r="W436" s="269"/>
      <c r="X436" s="275"/>
    </row>
    <row r="437" spans="1:24" s="6" customFormat="1" ht="15.75" customHeight="1">
      <c r="A437" s="270"/>
      <c r="B437" s="270"/>
      <c r="C437" s="270"/>
      <c r="D437" s="108" t="s">
        <v>22</v>
      </c>
      <c r="E437" s="76" t="s">
        <v>60</v>
      </c>
      <c r="F437" s="76" t="s">
        <v>59</v>
      </c>
      <c r="G437" s="76" t="s">
        <v>58</v>
      </c>
      <c r="H437" s="76" t="s">
        <v>57</v>
      </c>
      <c r="I437" s="76" t="s">
        <v>56</v>
      </c>
      <c r="J437" s="76" t="s">
        <v>55</v>
      </c>
      <c r="K437" s="76" t="s">
        <v>54</v>
      </c>
      <c r="L437" s="76" t="s">
        <v>53</v>
      </c>
      <c r="M437" s="76" t="s">
        <v>52</v>
      </c>
      <c r="N437" s="76" t="s">
        <v>51</v>
      </c>
      <c r="O437" s="76" t="s">
        <v>50</v>
      </c>
      <c r="P437" s="76" t="s">
        <v>49</v>
      </c>
      <c r="Q437" s="76" t="s">
        <v>48</v>
      </c>
      <c r="R437" s="76" t="s">
        <v>47</v>
      </c>
      <c r="S437" s="76" t="s">
        <v>46</v>
      </c>
      <c r="T437" s="76" t="s">
        <v>45</v>
      </c>
      <c r="U437" s="77" t="s">
        <v>44</v>
      </c>
      <c r="V437" s="274"/>
      <c r="W437" s="270"/>
      <c r="X437" s="276"/>
    </row>
    <row r="438" spans="1:24" s="12" customFormat="1" ht="15.75" customHeight="1">
      <c r="A438" s="78" t="s">
        <v>238</v>
      </c>
      <c r="B438" s="79"/>
      <c r="C438" s="79"/>
      <c r="D438" s="80">
        <v>71536.008229117098</v>
      </c>
      <c r="E438" s="81">
        <v>0</v>
      </c>
      <c r="F438" s="81">
        <v>0</v>
      </c>
      <c r="G438" s="81">
        <v>0</v>
      </c>
      <c r="H438" s="81">
        <v>0</v>
      </c>
      <c r="I438" s="81">
        <v>0</v>
      </c>
      <c r="J438" s="81">
        <v>0</v>
      </c>
      <c r="K438" s="81">
        <v>0</v>
      </c>
      <c r="L438" s="81">
        <v>0</v>
      </c>
      <c r="M438" s="81">
        <v>48923.9012</v>
      </c>
      <c r="N438" s="81">
        <v>0</v>
      </c>
      <c r="O438" s="81">
        <v>0</v>
      </c>
      <c r="P438" s="82">
        <v>16833.907029117101</v>
      </c>
      <c r="Q438" s="82">
        <v>0</v>
      </c>
      <c r="R438" s="82">
        <v>0</v>
      </c>
      <c r="S438" s="82">
        <v>5778.2</v>
      </c>
      <c r="T438" s="82">
        <v>0</v>
      </c>
      <c r="U438" s="83">
        <v>0</v>
      </c>
      <c r="V438" s="78" t="s">
        <v>238</v>
      </c>
      <c r="W438" s="79"/>
      <c r="X438" s="79"/>
    </row>
    <row r="439" spans="1:24" s="12" customFormat="1" ht="15.75" customHeight="1">
      <c r="A439" s="78" t="s">
        <v>239</v>
      </c>
      <c r="B439" s="79"/>
      <c r="C439" s="79"/>
      <c r="D439" s="80">
        <v>94512.24579717961</v>
      </c>
      <c r="E439" s="81">
        <v>0</v>
      </c>
      <c r="F439" s="81">
        <v>0</v>
      </c>
      <c r="G439" s="81">
        <v>0</v>
      </c>
      <c r="H439" s="81">
        <v>0</v>
      </c>
      <c r="I439" s="81">
        <v>0</v>
      </c>
      <c r="J439" s="81">
        <v>0</v>
      </c>
      <c r="K439" s="81">
        <v>0</v>
      </c>
      <c r="L439" s="81">
        <v>0</v>
      </c>
      <c r="M439" s="81">
        <v>2612.4076799999998</v>
      </c>
      <c r="N439" s="81">
        <v>0</v>
      </c>
      <c r="O439" s="81">
        <v>0</v>
      </c>
      <c r="P439" s="82">
        <v>79032.427366747404</v>
      </c>
      <c r="Q439" s="81">
        <v>0</v>
      </c>
      <c r="R439" s="81">
        <v>0</v>
      </c>
      <c r="S439" s="82">
        <v>12867.4107504322</v>
      </c>
      <c r="T439" s="82">
        <v>0</v>
      </c>
      <c r="U439" s="83">
        <v>0</v>
      </c>
      <c r="V439" s="78" t="s">
        <v>239</v>
      </c>
      <c r="W439" s="79"/>
      <c r="X439" s="79"/>
    </row>
    <row r="440" spans="1:24" s="12" customFormat="1" ht="15.75" customHeight="1">
      <c r="A440" s="78" t="s">
        <v>240</v>
      </c>
      <c r="B440" s="78"/>
      <c r="C440" s="79"/>
      <c r="D440" s="80"/>
      <c r="E440" s="81"/>
      <c r="F440" s="81"/>
      <c r="G440" s="81"/>
      <c r="H440" s="81"/>
      <c r="I440" s="81"/>
      <c r="J440" s="81"/>
      <c r="K440" s="81"/>
      <c r="L440" s="81"/>
      <c r="M440" s="81"/>
      <c r="N440" s="81"/>
      <c r="O440" s="81"/>
      <c r="P440" s="82"/>
      <c r="Q440" s="82"/>
      <c r="R440" s="82"/>
      <c r="S440" s="82"/>
      <c r="T440" s="82"/>
      <c r="U440" s="83"/>
      <c r="V440" s="78" t="s">
        <v>240</v>
      </c>
      <c r="W440" s="78"/>
      <c r="X440" s="79"/>
    </row>
    <row r="441" spans="1:24" s="12" customFormat="1" ht="15.75" customHeight="1">
      <c r="A441" s="209"/>
      <c r="B441" s="209" t="s">
        <v>85</v>
      </c>
      <c r="C441" s="210"/>
      <c r="D441" s="214">
        <v>132950</v>
      </c>
      <c r="E441" s="215">
        <v>0</v>
      </c>
      <c r="F441" s="215">
        <v>0</v>
      </c>
      <c r="G441" s="215">
        <v>0</v>
      </c>
      <c r="H441" s="215">
        <v>0</v>
      </c>
      <c r="I441" s="215">
        <v>0</v>
      </c>
      <c r="J441" s="215">
        <v>0</v>
      </c>
      <c r="K441" s="215">
        <v>0</v>
      </c>
      <c r="L441" s="215">
        <v>0</v>
      </c>
      <c r="M441" s="215">
        <v>0</v>
      </c>
      <c r="N441" s="215">
        <v>0</v>
      </c>
      <c r="O441" s="215">
        <v>0</v>
      </c>
      <c r="P441" s="215">
        <v>130000</v>
      </c>
      <c r="Q441" s="215">
        <v>0</v>
      </c>
      <c r="R441" s="215">
        <v>0</v>
      </c>
      <c r="S441" s="215">
        <v>2950</v>
      </c>
      <c r="T441" s="215">
        <v>0</v>
      </c>
      <c r="U441" s="216">
        <v>0</v>
      </c>
      <c r="V441" s="209"/>
      <c r="W441" s="209" t="s">
        <v>85</v>
      </c>
      <c r="X441" s="210"/>
    </row>
    <row r="442" spans="1:24" s="12" customFormat="1" ht="15.75" customHeight="1">
      <c r="A442" s="209"/>
      <c r="B442" s="209" t="s">
        <v>87</v>
      </c>
      <c r="C442" s="210"/>
      <c r="D442" s="214">
        <v>16.7</v>
      </c>
      <c r="E442" s="215">
        <v>0</v>
      </c>
      <c r="F442" s="215">
        <v>0</v>
      </c>
      <c r="G442" s="215">
        <v>0</v>
      </c>
      <c r="H442" s="215">
        <v>0</v>
      </c>
      <c r="I442" s="215">
        <v>0</v>
      </c>
      <c r="J442" s="215">
        <v>0</v>
      </c>
      <c r="K442" s="215">
        <v>0</v>
      </c>
      <c r="L442" s="215">
        <v>0</v>
      </c>
      <c r="M442" s="215">
        <v>11</v>
      </c>
      <c r="N442" s="215">
        <v>0</v>
      </c>
      <c r="O442" s="215">
        <v>0</v>
      </c>
      <c r="P442" s="215">
        <v>5.7</v>
      </c>
      <c r="Q442" s="215">
        <v>0</v>
      </c>
      <c r="R442" s="215">
        <v>0</v>
      </c>
      <c r="S442" s="215">
        <v>0</v>
      </c>
      <c r="T442" s="215">
        <v>0</v>
      </c>
      <c r="U442" s="216">
        <v>0</v>
      </c>
      <c r="V442" s="209"/>
      <c r="W442" s="209" t="s">
        <v>87</v>
      </c>
      <c r="X442" s="210"/>
    </row>
    <row r="443" spans="1:24" s="6" customFormat="1" ht="15.75" customHeight="1">
      <c r="A443" s="84"/>
      <c r="B443" s="84"/>
      <c r="C443" s="217"/>
      <c r="D443" s="85"/>
      <c r="E443" s="86"/>
      <c r="F443" s="86"/>
      <c r="G443" s="86"/>
      <c r="H443" s="86"/>
      <c r="I443" s="86"/>
      <c r="J443" s="86"/>
      <c r="K443" s="86"/>
      <c r="L443" s="86"/>
      <c r="M443" s="86"/>
      <c r="N443" s="86"/>
      <c r="O443" s="86"/>
      <c r="P443" s="87"/>
      <c r="Q443" s="87"/>
      <c r="R443" s="87"/>
      <c r="S443" s="87"/>
      <c r="T443" s="87"/>
      <c r="U443" s="88"/>
      <c r="V443" s="84"/>
      <c r="W443" s="84"/>
      <c r="X443" s="217"/>
    </row>
    <row r="444" spans="1:24" s="6" customFormat="1" ht="15.75" customHeight="1">
      <c r="A444" s="78" t="s">
        <v>86</v>
      </c>
      <c r="B444" s="78"/>
      <c r="C444" s="218"/>
      <c r="D444" s="80"/>
      <c r="E444" s="81"/>
      <c r="F444" s="81"/>
      <c r="G444" s="81"/>
      <c r="H444" s="81"/>
      <c r="I444" s="81"/>
      <c r="J444" s="81"/>
      <c r="K444" s="81"/>
      <c r="L444" s="81"/>
      <c r="M444" s="81"/>
      <c r="N444" s="81"/>
      <c r="O444" s="81"/>
      <c r="P444" s="82"/>
      <c r="Q444" s="82"/>
      <c r="R444" s="82"/>
      <c r="S444" s="82"/>
      <c r="T444" s="82"/>
      <c r="U444" s="83"/>
      <c r="V444" s="78" t="s">
        <v>86</v>
      </c>
      <c r="W444" s="78"/>
      <c r="X444" s="218"/>
    </row>
    <row r="445" spans="1:24" s="12" customFormat="1" ht="15.75" customHeight="1">
      <c r="A445" s="84" t="s">
        <v>85</v>
      </c>
      <c r="B445" s="93"/>
      <c r="C445" s="219" t="s">
        <v>228</v>
      </c>
      <c r="D445" s="85">
        <v>0</v>
      </c>
      <c r="E445" s="86">
        <v>0</v>
      </c>
      <c r="F445" s="86">
        <v>0</v>
      </c>
      <c r="G445" s="86">
        <v>0</v>
      </c>
      <c r="H445" s="86">
        <v>0</v>
      </c>
      <c r="I445" s="86">
        <v>0</v>
      </c>
      <c r="J445" s="86">
        <v>0</v>
      </c>
      <c r="K445" s="86">
        <v>0</v>
      </c>
      <c r="L445" s="86">
        <v>0</v>
      </c>
      <c r="M445" s="86">
        <v>0</v>
      </c>
      <c r="N445" s="86">
        <v>0</v>
      </c>
      <c r="O445" s="86">
        <v>0</v>
      </c>
      <c r="P445" s="86">
        <v>0</v>
      </c>
      <c r="Q445" s="86">
        <v>0</v>
      </c>
      <c r="R445" s="86">
        <v>0</v>
      </c>
      <c r="S445" s="86">
        <v>0</v>
      </c>
      <c r="T445" s="87">
        <v>0</v>
      </c>
      <c r="U445" s="88">
        <v>0</v>
      </c>
      <c r="V445" s="84" t="s">
        <v>85</v>
      </c>
      <c r="W445" s="93"/>
      <c r="X445" s="219" t="s">
        <v>228</v>
      </c>
    </row>
    <row r="446" spans="1:24" s="6" customFormat="1" ht="15.75" customHeight="1">
      <c r="A446" s="84"/>
      <c r="B446" s="84"/>
      <c r="C446" s="219" t="s">
        <v>229</v>
      </c>
      <c r="D446" s="85">
        <v>0</v>
      </c>
      <c r="E446" s="86">
        <v>0</v>
      </c>
      <c r="F446" s="86">
        <v>0</v>
      </c>
      <c r="G446" s="86">
        <v>0</v>
      </c>
      <c r="H446" s="86">
        <v>0</v>
      </c>
      <c r="I446" s="86">
        <v>0</v>
      </c>
      <c r="J446" s="86">
        <v>0</v>
      </c>
      <c r="K446" s="86">
        <v>0</v>
      </c>
      <c r="L446" s="86">
        <v>0</v>
      </c>
      <c r="M446" s="86">
        <v>0</v>
      </c>
      <c r="N446" s="86">
        <v>0</v>
      </c>
      <c r="O446" s="86">
        <v>0</v>
      </c>
      <c r="P446" s="86">
        <v>0</v>
      </c>
      <c r="Q446" s="86">
        <v>0</v>
      </c>
      <c r="R446" s="86">
        <v>0</v>
      </c>
      <c r="S446" s="86">
        <v>0</v>
      </c>
      <c r="T446" s="87">
        <v>0</v>
      </c>
      <c r="U446" s="88">
        <v>0</v>
      </c>
      <c r="V446" s="84"/>
      <c r="W446" s="84"/>
      <c r="X446" s="219" t="s">
        <v>229</v>
      </c>
    </row>
    <row r="447" spans="1:24" s="6" customFormat="1" ht="15.75" customHeight="1">
      <c r="A447" s="84"/>
      <c r="B447" s="84"/>
      <c r="C447" s="219" t="s">
        <v>230</v>
      </c>
      <c r="D447" s="85">
        <v>0</v>
      </c>
      <c r="E447" s="86">
        <v>0</v>
      </c>
      <c r="F447" s="86">
        <v>0</v>
      </c>
      <c r="G447" s="86">
        <v>0</v>
      </c>
      <c r="H447" s="86">
        <v>0</v>
      </c>
      <c r="I447" s="86">
        <v>0</v>
      </c>
      <c r="J447" s="86">
        <v>0</v>
      </c>
      <c r="K447" s="86">
        <v>0</v>
      </c>
      <c r="L447" s="86">
        <v>0</v>
      </c>
      <c r="M447" s="86">
        <v>0</v>
      </c>
      <c r="N447" s="86">
        <v>0</v>
      </c>
      <c r="O447" s="86">
        <v>0</v>
      </c>
      <c r="P447" s="87">
        <v>0</v>
      </c>
      <c r="Q447" s="87">
        <v>0</v>
      </c>
      <c r="R447" s="87">
        <v>0</v>
      </c>
      <c r="S447" s="87">
        <v>0</v>
      </c>
      <c r="T447" s="87">
        <v>0</v>
      </c>
      <c r="U447" s="88">
        <v>0</v>
      </c>
      <c r="V447" s="84"/>
      <c r="W447" s="84"/>
      <c r="X447" s="219" t="s">
        <v>230</v>
      </c>
    </row>
    <row r="448" spans="1:24" s="6" customFormat="1" ht="15.75" customHeight="1">
      <c r="A448" s="84"/>
      <c r="B448" s="84"/>
      <c r="C448" s="84"/>
      <c r="D448" s="85"/>
      <c r="E448" s="86"/>
      <c r="F448" s="86"/>
      <c r="G448" s="86"/>
      <c r="H448" s="86"/>
      <c r="I448" s="86"/>
      <c r="J448" s="86"/>
      <c r="K448" s="86"/>
      <c r="L448" s="86"/>
      <c r="M448" s="86"/>
      <c r="N448" s="86"/>
      <c r="O448" s="86"/>
      <c r="P448" s="87"/>
      <c r="Q448" s="87"/>
      <c r="R448" s="87"/>
      <c r="S448" s="87"/>
      <c r="T448" s="87"/>
      <c r="U448" s="88"/>
      <c r="V448" s="84"/>
      <c r="W448" s="84"/>
      <c r="X448" s="219"/>
    </row>
    <row r="449" spans="1:24" s="12" customFormat="1" ht="15.75" customHeight="1">
      <c r="A449" s="84" t="s">
        <v>87</v>
      </c>
      <c r="B449" s="84"/>
      <c r="C449" s="219" t="s">
        <v>228</v>
      </c>
      <c r="D449" s="85">
        <v>0</v>
      </c>
      <c r="E449" s="86">
        <v>0</v>
      </c>
      <c r="F449" s="86">
        <v>0</v>
      </c>
      <c r="G449" s="86">
        <v>0</v>
      </c>
      <c r="H449" s="86">
        <v>0</v>
      </c>
      <c r="I449" s="86">
        <v>0</v>
      </c>
      <c r="J449" s="86">
        <v>0</v>
      </c>
      <c r="K449" s="86">
        <v>0</v>
      </c>
      <c r="L449" s="86">
        <v>0</v>
      </c>
      <c r="M449" s="86">
        <v>0</v>
      </c>
      <c r="N449" s="86">
        <v>0</v>
      </c>
      <c r="O449" s="86">
        <v>0</v>
      </c>
      <c r="P449" s="86">
        <v>0</v>
      </c>
      <c r="Q449" s="86">
        <v>0</v>
      </c>
      <c r="R449" s="86">
        <v>0</v>
      </c>
      <c r="S449" s="86">
        <v>0</v>
      </c>
      <c r="T449" s="86">
        <v>0</v>
      </c>
      <c r="U449" s="147">
        <v>0</v>
      </c>
      <c r="V449" s="84" t="s">
        <v>87</v>
      </c>
      <c r="W449" s="84"/>
      <c r="X449" s="219" t="s">
        <v>228</v>
      </c>
    </row>
    <row r="450" spans="1:24" s="6" customFormat="1" ht="15.75" customHeight="1">
      <c r="A450" s="84"/>
      <c r="B450" s="84"/>
      <c r="C450" s="219" t="s">
        <v>229</v>
      </c>
      <c r="D450" s="85">
        <v>0</v>
      </c>
      <c r="E450" s="86">
        <v>0</v>
      </c>
      <c r="F450" s="86">
        <v>0</v>
      </c>
      <c r="G450" s="86">
        <v>0</v>
      </c>
      <c r="H450" s="86">
        <v>0</v>
      </c>
      <c r="I450" s="86">
        <v>0</v>
      </c>
      <c r="J450" s="86">
        <v>0</v>
      </c>
      <c r="K450" s="86">
        <v>0</v>
      </c>
      <c r="L450" s="86">
        <v>0</v>
      </c>
      <c r="M450" s="86">
        <v>0</v>
      </c>
      <c r="N450" s="86">
        <v>0</v>
      </c>
      <c r="O450" s="86">
        <v>0</v>
      </c>
      <c r="P450" s="86">
        <v>0</v>
      </c>
      <c r="Q450" s="86">
        <v>0</v>
      </c>
      <c r="R450" s="86">
        <v>0</v>
      </c>
      <c r="S450" s="86">
        <v>0</v>
      </c>
      <c r="T450" s="86">
        <v>0</v>
      </c>
      <c r="U450" s="147">
        <v>0</v>
      </c>
      <c r="V450" s="84"/>
      <c r="W450" s="84"/>
      <c r="X450" s="219" t="s">
        <v>229</v>
      </c>
    </row>
    <row r="451" spans="1:24" s="6" customFormat="1" ht="15.75" customHeight="1" thickBot="1">
      <c r="A451" s="84"/>
      <c r="B451" s="84"/>
      <c r="C451" s="219" t="s">
        <v>230</v>
      </c>
      <c r="D451" s="97">
        <v>0</v>
      </c>
      <c r="E451" s="98">
        <v>0</v>
      </c>
      <c r="F451" s="98">
        <v>0</v>
      </c>
      <c r="G451" s="98">
        <v>0</v>
      </c>
      <c r="H451" s="98">
        <v>0</v>
      </c>
      <c r="I451" s="98">
        <v>0</v>
      </c>
      <c r="J451" s="98">
        <v>0</v>
      </c>
      <c r="K451" s="98">
        <v>0</v>
      </c>
      <c r="L451" s="98">
        <v>0</v>
      </c>
      <c r="M451" s="98">
        <v>0</v>
      </c>
      <c r="N451" s="98">
        <v>0</v>
      </c>
      <c r="O451" s="98">
        <v>0</v>
      </c>
      <c r="P451" s="98">
        <v>0</v>
      </c>
      <c r="Q451" s="98">
        <v>0</v>
      </c>
      <c r="R451" s="98">
        <v>0</v>
      </c>
      <c r="S451" s="98">
        <v>0</v>
      </c>
      <c r="T451" s="98">
        <v>0</v>
      </c>
      <c r="U451" s="240">
        <v>0</v>
      </c>
      <c r="V451" s="84"/>
      <c r="W451" s="84"/>
      <c r="X451" s="219" t="s">
        <v>230</v>
      </c>
    </row>
    <row r="452" spans="1:24" s="6" customFormat="1" ht="15.75" customHeight="1">
      <c r="A452" s="238"/>
      <c r="B452" s="238"/>
      <c r="C452" s="238"/>
      <c r="D452" s="239"/>
      <c r="E452" s="238"/>
      <c r="F452" s="238"/>
      <c r="G452" s="238"/>
      <c r="H452" s="238"/>
      <c r="I452" s="238"/>
      <c r="J452" s="238"/>
      <c r="K452" s="238"/>
      <c r="L452" s="238"/>
      <c r="M452" s="238"/>
      <c r="N452" s="238"/>
      <c r="O452" s="238"/>
      <c r="P452" s="238"/>
      <c r="Q452" s="238"/>
      <c r="R452" s="238"/>
      <c r="S452" s="238"/>
      <c r="T452" s="238"/>
      <c r="U452" s="238"/>
      <c r="V452" s="238"/>
      <c r="W452" s="238"/>
      <c r="X452" s="238"/>
    </row>
    <row r="453" spans="1:24" s="6" customFormat="1" ht="15.75" customHeight="1">
      <c r="A453" s="103" t="s">
        <v>231</v>
      </c>
      <c r="B453" s="93"/>
      <c r="C453" s="93"/>
      <c r="D453" s="102"/>
      <c r="E453" s="93"/>
      <c r="F453" s="93"/>
      <c r="G453" s="93"/>
      <c r="H453" s="93"/>
      <c r="I453" s="93"/>
      <c r="J453" s="93"/>
      <c r="K453" s="93"/>
      <c r="L453" s="93"/>
      <c r="M453" s="93"/>
      <c r="N453" s="93"/>
      <c r="O453" s="93"/>
      <c r="P453" s="93"/>
      <c r="Q453" s="93"/>
      <c r="R453" s="93"/>
      <c r="S453" s="93"/>
      <c r="T453" s="93"/>
      <c r="U453" s="93"/>
      <c r="V453" s="93"/>
      <c r="W453" s="93"/>
      <c r="X453" s="93"/>
    </row>
    <row r="454" spans="1:24" s="6" customFormat="1" ht="15.75" customHeight="1">
      <c r="A454" s="103" t="s">
        <v>84</v>
      </c>
      <c r="B454" s="93"/>
      <c r="C454" s="93"/>
      <c r="D454" s="102"/>
      <c r="E454" s="93"/>
      <c r="F454" s="93"/>
      <c r="G454" s="93"/>
      <c r="H454" s="93"/>
      <c r="I454" s="93"/>
      <c r="J454" s="93"/>
      <c r="K454" s="93"/>
      <c r="L454" s="93"/>
      <c r="M454" s="93"/>
      <c r="N454" s="93"/>
      <c r="O454" s="93"/>
      <c r="P454" s="93"/>
      <c r="Q454" s="93"/>
      <c r="R454" s="93"/>
      <c r="S454" s="93"/>
      <c r="T454" s="93"/>
      <c r="U454" s="93"/>
      <c r="V454" s="93"/>
      <c r="W454" s="93"/>
      <c r="X454" s="93"/>
    </row>
    <row r="457" spans="1:24" s="6" customFormat="1" ht="21">
      <c r="A457" s="19" t="s">
        <v>92</v>
      </c>
      <c r="B457" s="26"/>
    </row>
    <row r="458" spans="1:24" s="6" customFormat="1" ht="17.5" thickBo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25"/>
    </row>
    <row r="459" spans="1:24" s="6" customFormat="1" ht="33" customHeight="1">
      <c r="A459" s="269" t="s">
        <v>61</v>
      </c>
      <c r="B459" s="269"/>
      <c r="C459" s="269"/>
      <c r="D459" s="104" t="s">
        <v>79</v>
      </c>
      <c r="E459" s="73" t="s">
        <v>78</v>
      </c>
      <c r="F459" s="73" t="s">
        <v>77</v>
      </c>
      <c r="G459" s="73" t="s">
        <v>76</v>
      </c>
      <c r="H459" s="73" t="s">
        <v>75</v>
      </c>
      <c r="I459" s="73" t="s">
        <v>74</v>
      </c>
      <c r="J459" s="73" t="s">
        <v>73</v>
      </c>
      <c r="K459" s="73" t="s">
        <v>72</v>
      </c>
      <c r="L459" s="73" t="s">
        <v>71</v>
      </c>
      <c r="M459" s="73" t="s">
        <v>70</v>
      </c>
      <c r="N459" s="73" t="s">
        <v>69</v>
      </c>
      <c r="O459" s="73" t="s">
        <v>68</v>
      </c>
      <c r="P459" s="73" t="s">
        <v>67</v>
      </c>
      <c r="Q459" s="73" t="s">
        <v>66</v>
      </c>
      <c r="R459" s="73" t="s">
        <v>65</v>
      </c>
      <c r="S459" s="73" t="s">
        <v>64</v>
      </c>
      <c r="T459" s="73" t="s">
        <v>63</v>
      </c>
      <c r="U459" s="74" t="s">
        <v>62</v>
      </c>
      <c r="V459" s="273" t="s">
        <v>61</v>
      </c>
      <c r="W459" s="269"/>
      <c r="X459" s="275"/>
    </row>
    <row r="460" spans="1:24" s="6" customFormat="1">
      <c r="A460" s="270"/>
      <c r="B460" s="270"/>
      <c r="C460" s="270"/>
      <c r="D460" s="108" t="s">
        <v>22</v>
      </c>
      <c r="E460" s="76" t="s">
        <v>60</v>
      </c>
      <c r="F460" s="76" t="s">
        <v>59</v>
      </c>
      <c r="G460" s="76" t="s">
        <v>58</v>
      </c>
      <c r="H460" s="76" t="s">
        <v>57</v>
      </c>
      <c r="I460" s="76" t="s">
        <v>56</v>
      </c>
      <c r="J460" s="76" t="s">
        <v>55</v>
      </c>
      <c r="K460" s="76" t="s">
        <v>54</v>
      </c>
      <c r="L460" s="76" t="s">
        <v>53</v>
      </c>
      <c r="M460" s="76" t="s">
        <v>52</v>
      </c>
      <c r="N460" s="76" t="s">
        <v>51</v>
      </c>
      <c r="O460" s="76" t="s">
        <v>50</v>
      </c>
      <c r="P460" s="76" t="s">
        <v>49</v>
      </c>
      <c r="Q460" s="76" t="s">
        <v>48</v>
      </c>
      <c r="R460" s="76" t="s">
        <v>47</v>
      </c>
      <c r="S460" s="76" t="s">
        <v>46</v>
      </c>
      <c r="T460" s="76" t="s">
        <v>45</v>
      </c>
      <c r="U460" s="77" t="s">
        <v>44</v>
      </c>
      <c r="V460" s="274"/>
      <c r="W460" s="270"/>
      <c r="X460" s="276"/>
    </row>
    <row r="461" spans="1:24" s="12" customFormat="1">
      <c r="A461" s="78" t="s">
        <v>238</v>
      </c>
      <c r="B461" s="79"/>
      <c r="C461" s="193"/>
      <c r="D461" s="80">
        <v>984797.97807325772</v>
      </c>
      <c r="E461" s="81">
        <v>0</v>
      </c>
      <c r="F461" s="81">
        <v>0</v>
      </c>
      <c r="G461" s="81">
        <v>0</v>
      </c>
      <c r="H461" s="81">
        <v>65613.506399999998</v>
      </c>
      <c r="I461" s="81">
        <v>0</v>
      </c>
      <c r="J461" s="81">
        <v>0</v>
      </c>
      <c r="K461" s="81">
        <v>0</v>
      </c>
      <c r="L461" s="81">
        <v>29423.46</v>
      </c>
      <c r="M461" s="81">
        <v>153173.082399796</v>
      </c>
      <c r="N461" s="81">
        <v>30267.079434240601</v>
      </c>
      <c r="O461" s="81">
        <v>820.5</v>
      </c>
      <c r="P461" s="82">
        <v>479620.22521666402</v>
      </c>
      <c r="Q461" s="82">
        <v>179232.36902255699</v>
      </c>
      <c r="R461" s="82">
        <v>298.55</v>
      </c>
      <c r="S461" s="82">
        <v>0</v>
      </c>
      <c r="T461" s="82">
        <v>40317.655599999998</v>
      </c>
      <c r="U461" s="83">
        <v>6031.55</v>
      </c>
      <c r="V461" s="78" t="s">
        <v>238</v>
      </c>
      <c r="W461" s="79"/>
      <c r="X461" s="193"/>
    </row>
    <row r="462" spans="1:24" s="12" customFormat="1">
      <c r="A462" s="78" t="s">
        <v>239</v>
      </c>
      <c r="B462" s="79"/>
      <c r="C462" s="79"/>
      <c r="D462" s="80">
        <v>2515600.2728538532</v>
      </c>
      <c r="E462" s="81">
        <v>0</v>
      </c>
      <c r="F462" s="81">
        <v>0</v>
      </c>
      <c r="G462" s="81">
        <v>0</v>
      </c>
      <c r="H462" s="81">
        <v>42498.685296000003</v>
      </c>
      <c r="I462" s="81">
        <v>0</v>
      </c>
      <c r="J462" s="81">
        <v>0</v>
      </c>
      <c r="K462" s="81">
        <v>0</v>
      </c>
      <c r="L462" s="81">
        <v>6134.1844673987998</v>
      </c>
      <c r="M462" s="81">
        <v>398591.34276505403</v>
      </c>
      <c r="N462" s="81">
        <v>142098.964480002</v>
      </c>
      <c r="O462" s="81">
        <v>0</v>
      </c>
      <c r="P462" s="82">
        <v>1530121.5320890599</v>
      </c>
      <c r="Q462" s="82">
        <v>331839.780230337</v>
      </c>
      <c r="R462" s="82">
        <v>669.56047000000001</v>
      </c>
      <c r="S462" s="82">
        <v>0</v>
      </c>
      <c r="T462" s="82">
        <v>53205.872086000003</v>
      </c>
      <c r="U462" s="83">
        <v>10440.3509700014</v>
      </c>
      <c r="V462" s="78" t="s">
        <v>239</v>
      </c>
      <c r="W462" s="79"/>
      <c r="X462" s="79"/>
    </row>
    <row r="463" spans="1:24" s="12" customFormat="1">
      <c r="A463" s="78" t="s">
        <v>240</v>
      </c>
      <c r="B463" s="78"/>
      <c r="C463" s="79"/>
      <c r="D463" s="80"/>
      <c r="E463" s="81"/>
      <c r="F463" s="81"/>
      <c r="G463" s="81"/>
      <c r="H463" s="81"/>
      <c r="I463" s="81"/>
      <c r="J463" s="81"/>
      <c r="K463" s="81"/>
      <c r="L463" s="81"/>
      <c r="M463" s="81"/>
      <c r="N463" s="81"/>
      <c r="O463" s="81"/>
      <c r="P463" s="82"/>
      <c r="Q463" s="82"/>
      <c r="R463" s="82"/>
      <c r="S463" s="82"/>
      <c r="T463" s="82"/>
      <c r="U463" s="83"/>
      <c r="V463" s="78" t="s">
        <v>240</v>
      </c>
      <c r="W463" s="78"/>
      <c r="X463" s="79"/>
    </row>
    <row r="464" spans="1:24" s="12" customFormat="1">
      <c r="A464" s="209"/>
      <c r="B464" s="209" t="s">
        <v>85</v>
      </c>
      <c r="C464" s="210"/>
      <c r="D464" s="214">
        <v>453283.92</v>
      </c>
      <c r="E464" s="215">
        <v>0</v>
      </c>
      <c r="F464" s="215">
        <v>0</v>
      </c>
      <c r="G464" s="215">
        <v>0</v>
      </c>
      <c r="H464" s="215">
        <v>11330</v>
      </c>
      <c r="I464" s="215">
        <v>0</v>
      </c>
      <c r="J464" s="215">
        <v>0</v>
      </c>
      <c r="K464" s="215">
        <v>0</v>
      </c>
      <c r="L464" s="215">
        <v>5000</v>
      </c>
      <c r="M464" s="215">
        <v>66630</v>
      </c>
      <c r="N464" s="215">
        <v>90000</v>
      </c>
      <c r="O464" s="215">
        <v>0</v>
      </c>
      <c r="P464" s="215">
        <v>210400</v>
      </c>
      <c r="Q464" s="215">
        <v>51855</v>
      </c>
      <c r="R464" s="215">
        <v>5218.92</v>
      </c>
      <c r="S464" s="215">
        <v>0</v>
      </c>
      <c r="T464" s="215">
        <v>9900</v>
      </c>
      <c r="U464" s="216">
        <v>2950</v>
      </c>
      <c r="V464" s="209"/>
      <c r="W464" s="209" t="s">
        <v>85</v>
      </c>
      <c r="X464" s="210"/>
    </row>
    <row r="465" spans="1:24" s="12" customFormat="1">
      <c r="A465" s="209"/>
      <c r="B465" s="209" t="s">
        <v>87</v>
      </c>
      <c r="C465" s="210"/>
      <c r="D465" s="214">
        <v>1142.9299999999998</v>
      </c>
      <c r="E465" s="215">
        <v>0</v>
      </c>
      <c r="F465" s="215">
        <v>0</v>
      </c>
      <c r="G465" s="215">
        <v>0</v>
      </c>
      <c r="H465" s="215">
        <v>83</v>
      </c>
      <c r="I465" s="215">
        <v>0</v>
      </c>
      <c r="J465" s="215">
        <v>0</v>
      </c>
      <c r="K465" s="215">
        <v>0</v>
      </c>
      <c r="L465" s="215">
        <v>35</v>
      </c>
      <c r="M465" s="215">
        <v>437.3</v>
      </c>
      <c r="N465" s="215">
        <v>106</v>
      </c>
      <c r="O465" s="215">
        <v>25</v>
      </c>
      <c r="P465" s="215">
        <v>275.39999999999998</v>
      </c>
      <c r="Q465" s="215">
        <v>156.72999999999999</v>
      </c>
      <c r="R465" s="215">
        <v>7</v>
      </c>
      <c r="S465" s="215">
        <v>0</v>
      </c>
      <c r="T465" s="215">
        <v>0</v>
      </c>
      <c r="U465" s="216">
        <v>17.5</v>
      </c>
      <c r="V465" s="209"/>
      <c r="W465" s="209" t="s">
        <v>87</v>
      </c>
      <c r="X465" s="210"/>
    </row>
    <row r="466" spans="1:24" s="6" customFormat="1">
      <c r="A466" s="84"/>
      <c r="B466" s="84"/>
      <c r="C466" s="217"/>
      <c r="D466" s="85"/>
      <c r="E466" s="86"/>
      <c r="F466" s="86"/>
      <c r="G466" s="86"/>
      <c r="H466" s="86"/>
      <c r="I466" s="86"/>
      <c r="J466" s="86"/>
      <c r="K466" s="86"/>
      <c r="L466" s="86"/>
      <c r="M466" s="86"/>
      <c r="N466" s="86"/>
      <c r="O466" s="86"/>
      <c r="P466" s="87"/>
      <c r="Q466" s="87"/>
      <c r="R466" s="87"/>
      <c r="S466" s="87"/>
      <c r="T466" s="87"/>
      <c r="U466" s="88"/>
      <c r="V466" s="84"/>
      <c r="W466" s="84"/>
      <c r="X466" s="217"/>
    </row>
    <row r="467" spans="1:24" s="6" customFormat="1">
      <c r="A467" s="78" t="s">
        <v>86</v>
      </c>
      <c r="B467" s="78"/>
      <c r="C467" s="218"/>
      <c r="D467" s="80"/>
      <c r="E467" s="81"/>
      <c r="F467" s="81"/>
      <c r="G467" s="81"/>
      <c r="H467" s="81"/>
      <c r="I467" s="81"/>
      <c r="J467" s="81"/>
      <c r="K467" s="81"/>
      <c r="L467" s="81"/>
      <c r="M467" s="81"/>
      <c r="N467" s="81"/>
      <c r="O467" s="81"/>
      <c r="P467" s="82"/>
      <c r="Q467" s="82"/>
      <c r="R467" s="82"/>
      <c r="S467" s="82"/>
      <c r="T467" s="82"/>
      <c r="U467" s="83"/>
      <c r="V467" s="78" t="s">
        <v>86</v>
      </c>
      <c r="W467" s="78"/>
      <c r="X467" s="218"/>
    </row>
    <row r="468" spans="1:24" s="12" customFormat="1">
      <c r="A468" s="84" t="s">
        <v>85</v>
      </c>
      <c r="B468" s="93"/>
      <c r="C468" s="219" t="s">
        <v>228</v>
      </c>
      <c r="D468" s="85">
        <v>9100</v>
      </c>
      <c r="E468" s="86">
        <v>0</v>
      </c>
      <c r="F468" s="86">
        <v>0</v>
      </c>
      <c r="G468" s="86">
        <v>0</v>
      </c>
      <c r="H468" s="86">
        <v>0</v>
      </c>
      <c r="I468" s="86">
        <v>0</v>
      </c>
      <c r="J468" s="86">
        <v>0</v>
      </c>
      <c r="K468" s="86">
        <v>0</v>
      </c>
      <c r="L468" s="86">
        <v>0</v>
      </c>
      <c r="M468" s="86">
        <v>5000</v>
      </c>
      <c r="N468" s="86">
        <v>0</v>
      </c>
      <c r="O468" s="86">
        <v>0</v>
      </c>
      <c r="P468" s="86">
        <v>4100</v>
      </c>
      <c r="Q468" s="86">
        <v>0</v>
      </c>
      <c r="R468" s="86">
        <v>0</v>
      </c>
      <c r="S468" s="86">
        <v>0</v>
      </c>
      <c r="T468" s="86">
        <v>0</v>
      </c>
      <c r="U468" s="88">
        <v>0</v>
      </c>
      <c r="V468" s="84" t="s">
        <v>85</v>
      </c>
      <c r="W468" s="93"/>
      <c r="X468" s="219" t="s">
        <v>228</v>
      </c>
    </row>
    <row r="469" spans="1:24" s="6" customFormat="1">
      <c r="A469" s="84"/>
      <c r="B469" s="84"/>
      <c r="C469" s="219" t="s">
        <v>229</v>
      </c>
      <c r="D469" s="85">
        <v>0</v>
      </c>
      <c r="E469" s="86">
        <v>0</v>
      </c>
      <c r="F469" s="86">
        <v>0</v>
      </c>
      <c r="G469" s="86">
        <v>0</v>
      </c>
      <c r="H469" s="86">
        <v>0</v>
      </c>
      <c r="I469" s="86">
        <v>0</v>
      </c>
      <c r="J469" s="86">
        <v>0</v>
      </c>
      <c r="K469" s="86">
        <v>0</v>
      </c>
      <c r="L469" s="86">
        <v>0</v>
      </c>
      <c r="M469" s="86">
        <v>0</v>
      </c>
      <c r="N469" s="86">
        <v>0</v>
      </c>
      <c r="O469" s="86">
        <v>0</v>
      </c>
      <c r="P469" s="86">
        <v>0</v>
      </c>
      <c r="Q469" s="86">
        <v>0</v>
      </c>
      <c r="R469" s="86">
        <v>0</v>
      </c>
      <c r="S469" s="86">
        <v>0</v>
      </c>
      <c r="T469" s="86">
        <v>0</v>
      </c>
      <c r="U469" s="88">
        <v>0</v>
      </c>
      <c r="V469" s="84"/>
      <c r="W469" s="84"/>
      <c r="X469" s="219" t="s">
        <v>229</v>
      </c>
    </row>
    <row r="470" spans="1:24" s="6" customFormat="1">
      <c r="A470" s="84"/>
      <c r="B470" s="84"/>
      <c r="C470" s="219" t="s">
        <v>230</v>
      </c>
      <c r="D470" s="85">
        <v>24900</v>
      </c>
      <c r="E470" s="86">
        <v>0</v>
      </c>
      <c r="F470" s="86">
        <v>0</v>
      </c>
      <c r="G470" s="86">
        <v>0</v>
      </c>
      <c r="H470" s="86">
        <v>0</v>
      </c>
      <c r="I470" s="86">
        <v>0</v>
      </c>
      <c r="J470" s="86">
        <v>0</v>
      </c>
      <c r="K470" s="86">
        <v>0</v>
      </c>
      <c r="L470" s="86">
        <v>0</v>
      </c>
      <c r="M470" s="86">
        <v>0</v>
      </c>
      <c r="N470" s="86">
        <v>0</v>
      </c>
      <c r="O470" s="86">
        <v>0</v>
      </c>
      <c r="P470" s="87">
        <v>24900</v>
      </c>
      <c r="Q470" s="87">
        <v>0</v>
      </c>
      <c r="R470" s="87">
        <v>0</v>
      </c>
      <c r="S470" s="87">
        <v>0</v>
      </c>
      <c r="T470" s="87">
        <v>0</v>
      </c>
      <c r="U470" s="88">
        <v>0</v>
      </c>
      <c r="V470" s="84"/>
      <c r="W470" s="84"/>
      <c r="X470" s="219" t="s">
        <v>230</v>
      </c>
    </row>
    <row r="471" spans="1:24" s="6" customFormat="1">
      <c r="A471" s="84"/>
      <c r="B471" s="93"/>
      <c r="C471" s="84"/>
      <c r="D471" s="85"/>
      <c r="E471" s="86"/>
      <c r="F471" s="86"/>
      <c r="G471" s="86"/>
      <c r="H471" s="86"/>
      <c r="I471" s="86"/>
      <c r="J471" s="86"/>
      <c r="K471" s="86"/>
      <c r="L471" s="86"/>
      <c r="M471" s="86"/>
      <c r="N471" s="86"/>
      <c r="O471" s="86"/>
      <c r="P471" s="87"/>
      <c r="Q471" s="87"/>
      <c r="R471" s="87"/>
      <c r="S471" s="87"/>
      <c r="T471" s="87"/>
      <c r="U471" s="88"/>
      <c r="V471" s="84"/>
      <c r="W471" s="93"/>
      <c r="X471" s="84"/>
    </row>
    <row r="472" spans="1:24" s="12" customFormat="1">
      <c r="A472" s="84" t="s">
        <v>87</v>
      </c>
      <c r="B472" s="93"/>
      <c r="C472" s="219" t="s">
        <v>228</v>
      </c>
      <c r="D472" s="85">
        <v>60.5</v>
      </c>
      <c r="E472" s="86">
        <v>0</v>
      </c>
      <c r="F472" s="86">
        <v>0</v>
      </c>
      <c r="G472" s="86">
        <v>0</v>
      </c>
      <c r="H472" s="86">
        <v>25</v>
      </c>
      <c r="I472" s="86">
        <v>0</v>
      </c>
      <c r="J472" s="86">
        <v>0</v>
      </c>
      <c r="K472" s="86">
        <v>0</v>
      </c>
      <c r="L472" s="86">
        <v>0</v>
      </c>
      <c r="M472" s="86">
        <v>18</v>
      </c>
      <c r="N472" s="86">
        <v>0</v>
      </c>
      <c r="O472" s="86">
        <v>0</v>
      </c>
      <c r="P472" s="86">
        <v>0</v>
      </c>
      <c r="Q472" s="86">
        <v>0</v>
      </c>
      <c r="R472" s="86">
        <v>0</v>
      </c>
      <c r="S472" s="86">
        <v>0</v>
      </c>
      <c r="T472" s="86">
        <v>0</v>
      </c>
      <c r="U472" s="147">
        <v>17.5</v>
      </c>
      <c r="V472" s="84" t="s">
        <v>87</v>
      </c>
      <c r="W472" s="93"/>
      <c r="X472" s="219" t="s">
        <v>228</v>
      </c>
    </row>
    <row r="473" spans="1:24" s="6" customFormat="1">
      <c r="A473" s="84"/>
      <c r="B473" s="84"/>
      <c r="C473" s="219" t="s">
        <v>229</v>
      </c>
      <c r="D473" s="85">
        <v>0</v>
      </c>
      <c r="E473" s="86">
        <v>0</v>
      </c>
      <c r="F473" s="86">
        <v>0</v>
      </c>
      <c r="G473" s="86">
        <v>0</v>
      </c>
      <c r="H473" s="86">
        <v>0</v>
      </c>
      <c r="I473" s="86">
        <v>0</v>
      </c>
      <c r="J473" s="86">
        <v>0</v>
      </c>
      <c r="K473" s="86">
        <v>0</v>
      </c>
      <c r="L473" s="86">
        <v>0</v>
      </c>
      <c r="M473" s="86">
        <v>0</v>
      </c>
      <c r="N473" s="86">
        <v>0</v>
      </c>
      <c r="O473" s="86">
        <v>0</v>
      </c>
      <c r="P473" s="86">
        <v>0</v>
      </c>
      <c r="Q473" s="86">
        <v>0</v>
      </c>
      <c r="R473" s="86">
        <v>0</v>
      </c>
      <c r="S473" s="86">
        <v>0</v>
      </c>
      <c r="T473" s="86">
        <v>0</v>
      </c>
      <c r="U473" s="147">
        <v>0</v>
      </c>
      <c r="V473" s="84"/>
      <c r="W473" s="84"/>
      <c r="X473" s="219" t="s">
        <v>229</v>
      </c>
    </row>
    <row r="474" spans="1:24" s="6" customFormat="1" ht="17.5" thickBot="1">
      <c r="A474" s="84"/>
      <c r="B474" s="84"/>
      <c r="C474" s="219" t="s">
        <v>230</v>
      </c>
      <c r="D474" s="97">
        <v>15</v>
      </c>
      <c r="E474" s="98">
        <v>0</v>
      </c>
      <c r="F474" s="98">
        <v>0</v>
      </c>
      <c r="G474" s="98">
        <v>0</v>
      </c>
      <c r="H474" s="98">
        <v>0</v>
      </c>
      <c r="I474" s="98">
        <v>0</v>
      </c>
      <c r="J474" s="98">
        <v>0</v>
      </c>
      <c r="K474" s="98">
        <v>0</v>
      </c>
      <c r="L474" s="98">
        <v>0</v>
      </c>
      <c r="M474" s="98">
        <v>0</v>
      </c>
      <c r="N474" s="98">
        <v>0</v>
      </c>
      <c r="O474" s="98">
        <v>0</v>
      </c>
      <c r="P474" s="98">
        <v>15</v>
      </c>
      <c r="Q474" s="98">
        <v>0</v>
      </c>
      <c r="R474" s="98">
        <v>0</v>
      </c>
      <c r="S474" s="98">
        <v>0</v>
      </c>
      <c r="T474" s="98">
        <v>0</v>
      </c>
      <c r="U474" s="240">
        <v>0</v>
      </c>
      <c r="V474" s="84"/>
      <c r="W474" s="84"/>
      <c r="X474" s="219" t="s">
        <v>230</v>
      </c>
    </row>
    <row r="475" spans="1:24" s="6" customFormat="1">
      <c r="A475" s="220"/>
      <c r="B475" s="220"/>
      <c r="C475" s="220"/>
      <c r="D475" s="237"/>
      <c r="E475" s="220"/>
      <c r="F475" s="220"/>
      <c r="G475" s="220"/>
      <c r="H475" s="220"/>
      <c r="I475" s="220"/>
      <c r="J475" s="220"/>
      <c r="K475" s="220"/>
      <c r="L475" s="220"/>
      <c r="M475" s="220"/>
      <c r="N475" s="220"/>
      <c r="O475" s="220"/>
      <c r="P475" s="220"/>
      <c r="Q475" s="220"/>
      <c r="R475" s="220"/>
      <c r="S475" s="220"/>
      <c r="T475" s="220"/>
      <c r="U475" s="220"/>
      <c r="V475" s="220"/>
      <c r="W475" s="220"/>
      <c r="X475" s="220"/>
    </row>
    <row r="476" spans="1:24" s="6" customFormat="1">
      <c r="A476" s="103" t="s">
        <v>231</v>
      </c>
      <c r="B476" s="93"/>
      <c r="C476" s="93"/>
      <c r="D476" s="102"/>
      <c r="E476" s="93"/>
      <c r="F476" s="93"/>
      <c r="G476" s="93"/>
      <c r="H476" s="93"/>
      <c r="I476" s="93"/>
      <c r="J476" s="93"/>
      <c r="K476" s="93"/>
      <c r="L476" s="93"/>
      <c r="M476" s="93"/>
      <c r="N476" s="93"/>
      <c r="O476" s="93"/>
      <c r="P476" s="93"/>
      <c r="Q476" s="93"/>
      <c r="R476" s="93"/>
      <c r="S476" s="93"/>
      <c r="T476" s="93"/>
      <c r="U476" s="93"/>
      <c r="V476" s="93"/>
      <c r="W476" s="93"/>
      <c r="X476" s="93"/>
    </row>
    <row r="477" spans="1:24" s="6" customFormat="1">
      <c r="A477" s="103" t="s">
        <v>84</v>
      </c>
      <c r="B477" s="93"/>
      <c r="C477" s="93"/>
      <c r="D477" s="102"/>
      <c r="E477" s="93"/>
      <c r="F477" s="93"/>
      <c r="G477" s="93"/>
      <c r="H477" s="93"/>
      <c r="I477" s="93"/>
      <c r="J477" s="93"/>
      <c r="K477" s="93"/>
      <c r="L477" s="93"/>
      <c r="M477" s="93"/>
      <c r="N477" s="93"/>
      <c r="O477" s="93"/>
      <c r="P477" s="93"/>
      <c r="Q477" s="93"/>
      <c r="R477" s="93"/>
      <c r="S477" s="93"/>
      <c r="T477" s="93"/>
      <c r="U477" s="93"/>
      <c r="V477" s="93"/>
      <c r="W477" s="93"/>
      <c r="X477" s="93"/>
    </row>
    <row r="478" spans="1:24" s="6" customFormat="1">
      <c r="A478" s="103" t="s">
        <v>91</v>
      </c>
      <c r="B478" s="93"/>
      <c r="C478" s="93"/>
      <c r="D478" s="102"/>
      <c r="E478" s="93"/>
      <c r="F478" s="93"/>
      <c r="G478" s="93"/>
      <c r="H478" s="93"/>
      <c r="I478" s="93"/>
      <c r="J478" s="93"/>
      <c r="K478" s="93"/>
      <c r="L478" s="93"/>
      <c r="M478" s="93"/>
      <c r="N478" s="93"/>
      <c r="O478" s="93"/>
      <c r="P478" s="93"/>
      <c r="Q478" s="93"/>
      <c r="R478" s="93"/>
      <c r="S478" s="93"/>
      <c r="T478" s="93"/>
      <c r="U478" s="93"/>
      <c r="V478" s="93"/>
      <c r="W478" s="93"/>
      <c r="X478" s="93"/>
    </row>
    <row r="481" spans="1:24" s="19" customFormat="1" ht="21">
      <c r="A481" s="19" t="s">
        <v>90</v>
      </c>
    </row>
    <row r="482" spans="1:24" s="6" customFormat="1" ht="15.75" customHeight="1" thickBot="1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25"/>
    </row>
    <row r="483" spans="1:24" s="6" customFormat="1" ht="15.75" customHeight="1">
      <c r="A483" s="269" t="s">
        <v>61</v>
      </c>
      <c r="B483" s="269"/>
      <c r="C483" s="269"/>
      <c r="D483" s="104" t="s">
        <v>79</v>
      </c>
      <c r="E483" s="73" t="s">
        <v>78</v>
      </c>
      <c r="F483" s="73" t="s">
        <v>77</v>
      </c>
      <c r="G483" s="73" t="s">
        <v>76</v>
      </c>
      <c r="H483" s="73" t="s">
        <v>75</v>
      </c>
      <c r="I483" s="73" t="s">
        <v>74</v>
      </c>
      <c r="J483" s="73" t="s">
        <v>73</v>
      </c>
      <c r="K483" s="73" t="s">
        <v>72</v>
      </c>
      <c r="L483" s="73" t="s">
        <v>71</v>
      </c>
      <c r="M483" s="73" t="s">
        <v>70</v>
      </c>
      <c r="N483" s="73" t="s">
        <v>69</v>
      </c>
      <c r="O483" s="73" t="s">
        <v>68</v>
      </c>
      <c r="P483" s="73" t="s">
        <v>67</v>
      </c>
      <c r="Q483" s="73" t="s">
        <v>66</v>
      </c>
      <c r="R483" s="73" t="s">
        <v>65</v>
      </c>
      <c r="S483" s="73" t="s">
        <v>64</v>
      </c>
      <c r="T483" s="73" t="s">
        <v>63</v>
      </c>
      <c r="U483" s="74" t="s">
        <v>62</v>
      </c>
      <c r="V483" s="273" t="s">
        <v>61</v>
      </c>
      <c r="W483" s="269"/>
      <c r="X483" s="275"/>
    </row>
    <row r="484" spans="1:24" s="6" customFormat="1" ht="15.75" customHeight="1">
      <c r="A484" s="270"/>
      <c r="B484" s="270"/>
      <c r="C484" s="270"/>
      <c r="D484" s="108" t="s">
        <v>22</v>
      </c>
      <c r="E484" s="76" t="s">
        <v>60</v>
      </c>
      <c r="F484" s="76" t="s">
        <v>59</v>
      </c>
      <c r="G484" s="76" t="s">
        <v>58</v>
      </c>
      <c r="H484" s="76" t="s">
        <v>57</v>
      </c>
      <c r="I484" s="76" t="s">
        <v>56</v>
      </c>
      <c r="J484" s="76" t="s">
        <v>55</v>
      </c>
      <c r="K484" s="76" t="s">
        <v>54</v>
      </c>
      <c r="L484" s="76" t="s">
        <v>53</v>
      </c>
      <c r="M484" s="76" t="s">
        <v>52</v>
      </c>
      <c r="N484" s="76" t="s">
        <v>51</v>
      </c>
      <c r="O484" s="76" t="s">
        <v>50</v>
      </c>
      <c r="P484" s="76" t="s">
        <v>49</v>
      </c>
      <c r="Q484" s="76" t="s">
        <v>48</v>
      </c>
      <c r="R484" s="76" t="s">
        <v>47</v>
      </c>
      <c r="S484" s="76" t="s">
        <v>46</v>
      </c>
      <c r="T484" s="76" t="s">
        <v>45</v>
      </c>
      <c r="U484" s="77" t="s">
        <v>44</v>
      </c>
      <c r="V484" s="274"/>
      <c r="W484" s="270"/>
      <c r="X484" s="276"/>
    </row>
    <row r="485" spans="1:24" s="12" customFormat="1" ht="15.75" customHeight="1">
      <c r="A485" s="78" t="s">
        <v>238</v>
      </c>
      <c r="B485" s="79"/>
      <c r="C485" s="79"/>
      <c r="D485" s="80">
        <v>357217.46400403098</v>
      </c>
      <c r="E485" s="81">
        <v>0</v>
      </c>
      <c r="F485" s="81">
        <v>0</v>
      </c>
      <c r="G485" s="81">
        <v>0</v>
      </c>
      <c r="H485" s="81">
        <v>0</v>
      </c>
      <c r="I485" s="81">
        <v>0</v>
      </c>
      <c r="J485" s="81">
        <v>0</v>
      </c>
      <c r="K485" s="81">
        <v>0</v>
      </c>
      <c r="L485" s="81">
        <v>0</v>
      </c>
      <c r="M485" s="81">
        <v>0</v>
      </c>
      <c r="N485" s="81">
        <v>0</v>
      </c>
      <c r="O485" s="81">
        <v>0</v>
      </c>
      <c r="P485" s="82">
        <v>0</v>
      </c>
      <c r="Q485" s="82">
        <v>0</v>
      </c>
      <c r="R485" s="82">
        <v>0</v>
      </c>
      <c r="S485" s="82">
        <v>0</v>
      </c>
      <c r="T485" s="82">
        <v>0</v>
      </c>
      <c r="U485" s="83">
        <v>357217.46400403098</v>
      </c>
      <c r="V485" s="78" t="s">
        <v>238</v>
      </c>
      <c r="W485" s="79"/>
      <c r="X485" s="79"/>
    </row>
    <row r="486" spans="1:24" s="12" customFormat="1" ht="15.75" customHeight="1">
      <c r="A486" s="78" t="s">
        <v>239</v>
      </c>
      <c r="B486" s="79"/>
      <c r="C486" s="79"/>
      <c r="D486" s="80">
        <v>1677077.2957935701</v>
      </c>
      <c r="E486" s="81">
        <v>0</v>
      </c>
      <c r="F486" s="81">
        <v>0</v>
      </c>
      <c r="G486" s="81">
        <v>0</v>
      </c>
      <c r="H486" s="81">
        <v>0</v>
      </c>
      <c r="I486" s="81">
        <v>0</v>
      </c>
      <c r="J486" s="81">
        <v>0</v>
      </c>
      <c r="K486" s="81">
        <v>0</v>
      </c>
      <c r="L486" s="81">
        <v>0</v>
      </c>
      <c r="M486" s="81">
        <v>0</v>
      </c>
      <c r="N486" s="81">
        <v>0</v>
      </c>
      <c r="O486" s="81">
        <v>0</v>
      </c>
      <c r="P486" s="82">
        <v>0</v>
      </c>
      <c r="Q486" s="82">
        <v>0</v>
      </c>
      <c r="R486" s="82">
        <v>0</v>
      </c>
      <c r="S486" s="82">
        <v>0</v>
      </c>
      <c r="T486" s="82">
        <v>0</v>
      </c>
      <c r="U486" s="83">
        <v>1677077.2957935701</v>
      </c>
      <c r="V486" s="78" t="s">
        <v>239</v>
      </c>
      <c r="W486" s="79"/>
      <c r="X486" s="79"/>
    </row>
    <row r="487" spans="1:24" s="12" customFormat="1" ht="15.75" customHeight="1">
      <c r="A487" s="78" t="s">
        <v>240</v>
      </c>
      <c r="B487" s="78"/>
      <c r="C487" s="79"/>
      <c r="D487" s="80"/>
      <c r="E487" s="81"/>
      <c r="F487" s="81"/>
      <c r="G487" s="81"/>
      <c r="H487" s="81"/>
      <c r="I487" s="81"/>
      <c r="J487" s="81"/>
      <c r="K487" s="81"/>
      <c r="L487" s="81"/>
      <c r="M487" s="81"/>
      <c r="N487" s="81"/>
      <c r="O487" s="81"/>
      <c r="P487" s="82"/>
      <c r="Q487" s="82"/>
      <c r="R487" s="82"/>
      <c r="S487" s="82"/>
      <c r="T487" s="82"/>
      <c r="U487" s="83"/>
      <c r="V487" s="78" t="s">
        <v>240</v>
      </c>
      <c r="W487" s="78"/>
      <c r="X487" s="79"/>
    </row>
    <row r="488" spans="1:24" s="12" customFormat="1" ht="15.75" customHeight="1">
      <c r="A488" s="209"/>
      <c r="B488" s="209" t="s">
        <v>85</v>
      </c>
      <c r="C488" s="210"/>
      <c r="D488" s="214">
        <v>394350</v>
      </c>
      <c r="E488" s="215">
        <v>0</v>
      </c>
      <c r="F488" s="215">
        <v>0</v>
      </c>
      <c r="G488" s="215">
        <v>4350</v>
      </c>
      <c r="H488" s="215">
        <v>0</v>
      </c>
      <c r="I488" s="215">
        <v>0</v>
      </c>
      <c r="J488" s="215">
        <v>0</v>
      </c>
      <c r="K488" s="215">
        <v>0</v>
      </c>
      <c r="L488" s="215">
        <v>0</v>
      </c>
      <c r="M488" s="215">
        <v>0</v>
      </c>
      <c r="N488" s="215">
        <v>0</v>
      </c>
      <c r="O488" s="215">
        <v>0</v>
      </c>
      <c r="P488" s="215">
        <v>0</v>
      </c>
      <c r="Q488" s="215">
        <v>0</v>
      </c>
      <c r="R488" s="215">
        <v>0</v>
      </c>
      <c r="S488" s="215">
        <v>0</v>
      </c>
      <c r="T488" s="215">
        <v>0</v>
      </c>
      <c r="U488" s="216">
        <v>390000</v>
      </c>
      <c r="V488" s="209"/>
      <c r="W488" s="209" t="s">
        <v>85</v>
      </c>
      <c r="X488" s="210"/>
    </row>
    <row r="489" spans="1:24" s="12" customFormat="1" ht="15.75" customHeight="1">
      <c r="A489" s="84"/>
      <c r="B489" s="84"/>
      <c r="C489" s="217"/>
      <c r="D489" s="85"/>
      <c r="E489" s="86"/>
      <c r="F489" s="86"/>
      <c r="G489" s="86"/>
      <c r="H489" s="86"/>
      <c r="I489" s="86"/>
      <c r="J489" s="86"/>
      <c r="K489" s="86"/>
      <c r="L489" s="86"/>
      <c r="M489" s="86"/>
      <c r="N489" s="86"/>
      <c r="O489" s="86"/>
      <c r="P489" s="87"/>
      <c r="Q489" s="87"/>
      <c r="R489" s="87"/>
      <c r="S489" s="87"/>
      <c r="T489" s="87"/>
      <c r="U489" s="88"/>
      <c r="V489" s="84"/>
      <c r="W489" s="84"/>
      <c r="X489" s="217"/>
    </row>
    <row r="490" spans="1:24" s="12" customFormat="1" ht="15.75" customHeight="1">
      <c r="A490" s="78" t="s">
        <v>86</v>
      </c>
      <c r="B490" s="78"/>
      <c r="C490" s="218"/>
      <c r="D490" s="80"/>
      <c r="E490" s="81"/>
      <c r="F490" s="81"/>
      <c r="G490" s="81"/>
      <c r="H490" s="81"/>
      <c r="I490" s="81"/>
      <c r="J490" s="81"/>
      <c r="K490" s="81"/>
      <c r="L490" s="81"/>
      <c r="M490" s="81"/>
      <c r="N490" s="81"/>
      <c r="O490" s="81"/>
      <c r="P490" s="82"/>
      <c r="Q490" s="82"/>
      <c r="R490" s="82"/>
      <c r="S490" s="82"/>
      <c r="T490" s="82"/>
      <c r="U490" s="83"/>
      <c r="V490" s="78" t="s">
        <v>86</v>
      </c>
      <c r="W490" s="78"/>
      <c r="X490" s="218"/>
    </row>
    <row r="491" spans="1:24" s="12" customFormat="1" ht="15.75" customHeight="1">
      <c r="A491" s="84" t="s">
        <v>85</v>
      </c>
      <c r="B491" s="93"/>
      <c r="C491" s="219" t="s">
        <v>228</v>
      </c>
      <c r="D491" s="85">
        <v>0</v>
      </c>
      <c r="E491" s="86">
        <v>0</v>
      </c>
      <c r="F491" s="86">
        <v>0</v>
      </c>
      <c r="G491" s="86">
        <v>0</v>
      </c>
      <c r="H491" s="86">
        <v>0</v>
      </c>
      <c r="I491" s="86">
        <v>0</v>
      </c>
      <c r="J491" s="86">
        <v>0</v>
      </c>
      <c r="K491" s="86">
        <v>0</v>
      </c>
      <c r="L491" s="86">
        <v>0</v>
      </c>
      <c r="M491" s="86">
        <v>0</v>
      </c>
      <c r="N491" s="86">
        <v>0</v>
      </c>
      <c r="O491" s="86">
        <v>0</v>
      </c>
      <c r="P491" s="87">
        <v>0</v>
      </c>
      <c r="Q491" s="86">
        <v>0</v>
      </c>
      <c r="R491" s="86">
        <v>0</v>
      </c>
      <c r="S491" s="86">
        <v>0</v>
      </c>
      <c r="T491" s="86">
        <v>0</v>
      </c>
      <c r="U491" s="88">
        <v>0</v>
      </c>
      <c r="V491" s="84" t="s">
        <v>85</v>
      </c>
      <c r="W491" s="93"/>
      <c r="X491" s="219" t="s">
        <v>228</v>
      </c>
    </row>
    <row r="492" spans="1:24" s="12" customFormat="1" ht="15.75" customHeight="1">
      <c r="A492" s="84"/>
      <c r="B492" s="84"/>
      <c r="C492" s="219" t="s">
        <v>229</v>
      </c>
      <c r="D492" s="85">
        <v>40000</v>
      </c>
      <c r="E492" s="86">
        <v>0</v>
      </c>
      <c r="F492" s="86">
        <v>0</v>
      </c>
      <c r="G492" s="86">
        <v>0</v>
      </c>
      <c r="H492" s="86">
        <v>0</v>
      </c>
      <c r="I492" s="86">
        <v>0</v>
      </c>
      <c r="J492" s="86">
        <v>0</v>
      </c>
      <c r="K492" s="86">
        <v>0</v>
      </c>
      <c r="L492" s="86">
        <v>0</v>
      </c>
      <c r="M492" s="86">
        <v>0</v>
      </c>
      <c r="N492" s="86">
        <v>0</v>
      </c>
      <c r="O492" s="86">
        <v>0</v>
      </c>
      <c r="P492" s="87">
        <v>0</v>
      </c>
      <c r="Q492" s="86">
        <v>0</v>
      </c>
      <c r="R492" s="86">
        <v>0</v>
      </c>
      <c r="S492" s="86">
        <v>0</v>
      </c>
      <c r="T492" s="86">
        <v>0</v>
      </c>
      <c r="U492" s="88">
        <v>40000</v>
      </c>
      <c r="V492" s="84"/>
      <c r="W492" s="84"/>
      <c r="X492" s="219" t="s">
        <v>229</v>
      </c>
    </row>
    <row r="493" spans="1:24" s="6" customFormat="1" ht="15.75" customHeight="1" thickBot="1">
      <c r="A493" s="84"/>
      <c r="B493" s="84"/>
      <c r="C493" s="219" t="s">
        <v>230</v>
      </c>
      <c r="D493" s="85">
        <v>0</v>
      </c>
      <c r="E493" s="86">
        <v>0</v>
      </c>
      <c r="F493" s="86">
        <v>0</v>
      </c>
      <c r="G493" s="86">
        <v>0</v>
      </c>
      <c r="H493" s="86">
        <v>0</v>
      </c>
      <c r="I493" s="86">
        <v>0</v>
      </c>
      <c r="J493" s="86">
        <v>0</v>
      </c>
      <c r="K493" s="86">
        <v>0</v>
      </c>
      <c r="L493" s="86">
        <v>0</v>
      </c>
      <c r="M493" s="86">
        <v>0</v>
      </c>
      <c r="N493" s="86">
        <v>0</v>
      </c>
      <c r="O493" s="86">
        <v>0</v>
      </c>
      <c r="P493" s="87">
        <v>0</v>
      </c>
      <c r="Q493" s="86">
        <v>0</v>
      </c>
      <c r="R493" s="86">
        <v>0</v>
      </c>
      <c r="S493" s="86">
        <v>0</v>
      </c>
      <c r="T493" s="86">
        <v>0</v>
      </c>
      <c r="U493" s="88">
        <v>0</v>
      </c>
      <c r="V493" s="84"/>
      <c r="W493" s="84"/>
      <c r="X493" s="219" t="s">
        <v>230</v>
      </c>
    </row>
    <row r="494" spans="1:24" s="6" customFormat="1" ht="15.75" customHeight="1">
      <c r="A494" s="220"/>
      <c r="B494" s="220"/>
      <c r="C494" s="220"/>
      <c r="D494" s="237"/>
      <c r="E494" s="220"/>
      <c r="F494" s="220"/>
      <c r="G494" s="220"/>
      <c r="H494" s="220"/>
      <c r="I494" s="220"/>
      <c r="J494" s="220"/>
      <c r="K494" s="220"/>
      <c r="L494" s="220"/>
      <c r="M494" s="220"/>
      <c r="N494" s="220"/>
      <c r="O494" s="220"/>
      <c r="P494" s="220"/>
      <c r="Q494" s="220"/>
      <c r="R494" s="220"/>
      <c r="S494" s="220"/>
      <c r="T494" s="220"/>
      <c r="U494" s="220"/>
      <c r="V494" s="220"/>
      <c r="W494" s="220"/>
      <c r="X494" s="220"/>
    </row>
    <row r="495" spans="1:24" s="7" customFormat="1" ht="15.75" customHeight="1">
      <c r="A495" s="103" t="s">
        <v>231</v>
      </c>
      <c r="B495" s="103"/>
      <c r="C495" s="103"/>
      <c r="D495" s="241"/>
      <c r="E495" s="103"/>
      <c r="F495" s="103"/>
      <c r="G495" s="103"/>
      <c r="H495" s="103"/>
      <c r="I495" s="103"/>
      <c r="J495" s="103"/>
      <c r="K495" s="103"/>
      <c r="L495" s="103"/>
      <c r="M495" s="103"/>
      <c r="N495" s="103"/>
      <c r="O495" s="103"/>
      <c r="P495" s="103"/>
      <c r="Q495" s="103"/>
      <c r="R495" s="103"/>
      <c r="S495" s="103"/>
      <c r="T495" s="103"/>
      <c r="U495" s="103"/>
      <c r="V495" s="103"/>
      <c r="W495" s="103"/>
      <c r="X495" s="103"/>
    </row>
    <row r="496" spans="1:24" s="7" customFormat="1" ht="15.75" customHeight="1">
      <c r="A496" s="103" t="s">
        <v>84</v>
      </c>
      <c r="B496" s="103"/>
      <c r="C496" s="103"/>
      <c r="D496" s="241"/>
      <c r="E496" s="103"/>
      <c r="F496" s="103"/>
      <c r="G496" s="103"/>
      <c r="H496" s="103"/>
      <c r="I496" s="103"/>
      <c r="J496" s="103"/>
      <c r="K496" s="103"/>
      <c r="L496" s="103"/>
      <c r="M496" s="103"/>
      <c r="N496" s="103"/>
      <c r="O496" s="103"/>
      <c r="P496" s="103"/>
      <c r="Q496" s="103"/>
      <c r="R496" s="103"/>
      <c r="S496" s="103"/>
      <c r="T496" s="103"/>
      <c r="U496" s="103"/>
      <c r="V496" s="103"/>
      <c r="W496" s="103"/>
      <c r="X496" s="103"/>
    </row>
    <row r="499" spans="1:24" s="6" customFormat="1" ht="21">
      <c r="A499" s="19" t="s">
        <v>247</v>
      </c>
      <c r="B499" s="26"/>
    </row>
    <row r="500" spans="1:24" s="6" customFormat="1" ht="15.75" customHeight="1" thickBot="1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25"/>
    </row>
    <row r="501" spans="1:24" s="6" customFormat="1" ht="15.75" customHeight="1">
      <c r="A501" s="269" t="s">
        <v>61</v>
      </c>
      <c r="B501" s="269"/>
      <c r="C501" s="269"/>
      <c r="D501" s="72" t="s">
        <v>79</v>
      </c>
      <c r="E501" s="73" t="s">
        <v>78</v>
      </c>
      <c r="F501" s="73" t="s">
        <v>77</v>
      </c>
      <c r="G501" s="73" t="s">
        <v>76</v>
      </c>
      <c r="H501" s="73" t="s">
        <v>75</v>
      </c>
      <c r="I501" s="73" t="s">
        <v>74</v>
      </c>
      <c r="J501" s="73" t="s">
        <v>73</v>
      </c>
      <c r="K501" s="73" t="s">
        <v>72</v>
      </c>
      <c r="L501" s="73" t="s">
        <v>71</v>
      </c>
      <c r="M501" s="73" t="s">
        <v>70</v>
      </c>
      <c r="N501" s="73" t="s">
        <v>69</v>
      </c>
      <c r="O501" s="73" t="s">
        <v>68</v>
      </c>
      <c r="P501" s="73" t="s">
        <v>67</v>
      </c>
      <c r="Q501" s="73" t="s">
        <v>66</v>
      </c>
      <c r="R501" s="73" t="s">
        <v>65</v>
      </c>
      <c r="S501" s="73" t="s">
        <v>64</v>
      </c>
      <c r="T501" s="73" t="s">
        <v>63</v>
      </c>
      <c r="U501" s="74" t="s">
        <v>62</v>
      </c>
      <c r="V501" s="273" t="s">
        <v>61</v>
      </c>
      <c r="W501" s="269"/>
      <c r="X501" s="269"/>
    </row>
    <row r="502" spans="1:24" s="6" customFormat="1" ht="15.75" customHeight="1">
      <c r="A502" s="270"/>
      <c r="B502" s="270"/>
      <c r="C502" s="270"/>
      <c r="D502" s="75" t="s">
        <v>22</v>
      </c>
      <c r="E502" s="76" t="s">
        <v>60</v>
      </c>
      <c r="F502" s="76" t="s">
        <v>59</v>
      </c>
      <c r="G502" s="76" t="s">
        <v>58</v>
      </c>
      <c r="H502" s="76" t="s">
        <v>57</v>
      </c>
      <c r="I502" s="76" t="s">
        <v>56</v>
      </c>
      <c r="J502" s="76" t="s">
        <v>55</v>
      </c>
      <c r="K502" s="76" t="s">
        <v>54</v>
      </c>
      <c r="L502" s="76" t="s">
        <v>53</v>
      </c>
      <c r="M502" s="76" t="s">
        <v>52</v>
      </c>
      <c r="N502" s="76" t="s">
        <v>51</v>
      </c>
      <c r="O502" s="76" t="s">
        <v>50</v>
      </c>
      <c r="P502" s="76" t="s">
        <v>49</v>
      </c>
      <c r="Q502" s="76" t="s">
        <v>48</v>
      </c>
      <c r="R502" s="76" t="s">
        <v>47</v>
      </c>
      <c r="S502" s="76" t="s">
        <v>46</v>
      </c>
      <c r="T502" s="76" t="s">
        <v>45</v>
      </c>
      <c r="U502" s="77" t="s">
        <v>44</v>
      </c>
      <c r="V502" s="274"/>
      <c r="W502" s="270"/>
      <c r="X502" s="270"/>
    </row>
    <row r="503" spans="1:24" s="12" customFormat="1" ht="15.75" customHeight="1">
      <c r="A503" s="78" t="s">
        <v>238</v>
      </c>
      <c r="B503" s="79"/>
      <c r="C503" s="79"/>
      <c r="D503" s="80">
        <v>0</v>
      </c>
      <c r="E503" s="81">
        <v>0</v>
      </c>
      <c r="F503" s="81">
        <v>0</v>
      </c>
      <c r="G503" s="81">
        <v>0</v>
      </c>
      <c r="H503" s="81">
        <v>0</v>
      </c>
      <c r="I503" s="81">
        <v>0</v>
      </c>
      <c r="J503" s="81">
        <v>0</v>
      </c>
      <c r="K503" s="81">
        <v>0</v>
      </c>
      <c r="L503" s="81">
        <v>0</v>
      </c>
      <c r="M503" s="81">
        <v>0</v>
      </c>
      <c r="N503" s="81">
        <v>0</v>
      </c>
      <c r="O503" s="81">
        <v>0</v>
      </c>
      <c r="P503" s="81">
        <v>0</v>
      </c>
      <c r="Q503" s="81">
        <v>0</v>
      </c>
      <c r="R503" s="81">
        <v>0</v>
      </c>
      <c r="S503" s="81">
        <v>0</v>
      </c>
      <c r="T503" s="81">
        <v>0</v>
      </c>
      <c r="U503" s="83">
        <v>0</v>
      </c>
      <c r="V503" s="78" t="s">
        <v>238</v>
      </c>
      <c r="W503" s="79"/>
      <c r="X503" s="79"/>
    </row>
    <row r="504" spans="1:24" s="12" customFormat="1" ht="15.75" customHeight="1">
      <c r="A504" s="78" t="s">
        <v>239</v>
      </c>
      <c r="B504" s="79"/>
      <c r="C504" s="79"/>
      <c r="D504" s="80">
        <v>0</v>
      </c>
      <c r="E504" s="81">
        <v>0</v>
      </c>
      <c r="F504" s="81">
        <v>0</v>
      </c>
      <c r="G504" s="81">
        <v>0</v>
      </c>
      <c r="H504" s="81">
        <v>0</v>
      </c>
      <c r="I504" s="81">
        <v>0</v>
      </c>
      <c r="J504" s="81">
        <v>0</v>
      </c>
      <c r="K504" s="81">
        <v>0</v>
      </c>
      <c r="L504" s="81">
        <v>0</v>
      </c>
      <c r="M504" s="81">
        <v>0</v>
      </c>
      <c r="N504" s="81">
        <v>0</v>
      </c>
      <c r="O504" s="81">
        <v>0</v>
      </c>
      <c r="P504" s="81">
        <v>0</v>
      </c>
      <c r="Q504" s="81">
        <v>0</v>
      </c>
      <c r="R504" s="81">
        <v>0</v>
      </c>
      <c r="S504" s="81">
        <v>0</v>
      </c>
      <c r="T504" s="81">
        <v>0</v>
      </c>
      <c r="U504" s="83">
        <v>0</v>
      </c>
      <c r="V504" s="78" t="s">
        <v>239</v>
      </c>
      <c r="W504" s="79"/>
      <c r="X504" s="79"/>
    </row>
    <row r="505" spans="1:24" s="6" customFormat="1" ht="15.75" customHeight="1">
      <c r="A505" s="78" t="s">
        <v>240</v>
      </c>
      <c r="B505" s="78"/>
      <c r="C505" s="79"/>
      <c r="D505" s="80"/>
      <c r="E505" s="81"/>
      <c r="F505" s="81"/>
      <c r="G505" s="81"/>
      <c r="H505" s="81"/>
      <c r="I505" s="81"/>
      <c r="J505" s="81"/>
      <c r="K505" s="81"/>
      <c r="L505" s="81"/>
      <c r="M505" s="81"/>
      <c r="N505" s="81"/>
      <c r="O505" s="81"/>
      <c r="P505" s="82"/>
      <c r="Q505" s="82"/>
      <c r="R505" s="82"/>
      <c r="S505" s="82"/>
      <c r="T505" s="82"/>
      <c r="U505" s="83"/>
      <c r="V505" s="78" t="s">
        <v>240</v>
      </c>
      <c r="W505" s="78"/>
      <c r="X505" s="79"/>
    </row>
    <row r="506" spans="1:24" s="12" customFormat="1" ht="15" customHeight="1">
      <c r="A506" s="209"/>
      <c r="B506" s="209" t="s">
        <v>85</v>
      </c>
      <c r="C506" s="210"/>
      <c r="D506" s="214">
        <v>0</v>
      </c>
      <c r="E506" s="215">
        <v>0</v>
      </c>
      <c r="F506" s="215">
        <v>0</v>
      </c>
      <c r="G506" s="215">
        <v>0</v>
      </c>
      <c r="H506" s="215">
        <v>0</v>
      </c>
      <c r="I506" s="215">
        <v>0</v>
      </c>
      <c r="J506" s="215">
        <v>0</v>
      </c>
      <c r="K506" s="215">
        <v>0</v>
      </c>
      <c r="L506" s="215">
        <v>0</v>
      </c>
      <c r="M506" s="215">
        <v>0</v>
      </c>
      <c r="N506" s="215">
        <v>0</v>
      </c>
      <c r="O506" s="215">
        <v>0</v>
      </c>
      <c r="P506" s="215">
        <v>0</v>
      </c>
      <c r="Q506" s="215">
        <v>0</v>
      </c>
      <c r="R506" s="215">
        <v>0</v>
      </c>
      <c r="S506" s="215">
        <v>0</v>
      </c>
      <c r="T506" s="215">
        <v>0</v>
      </c>
      <c r="U506" s="216">
        <v>0</v>
      </c>
      <c r="V506" s="209"/>
      <c r="W506" s="209" t="s">
        <v>85</v>
      </c>
      <c r="X506" s="210"/>
    </row>
    <row r="507" spans="1:24" s="12" customFormat="1" ht="15.75" customHeight="1">
      <c r="A507" s="209"/>
      <c r="B507" s="209" t="s">
        <v>87</v>
      </c>
      <c r="C507" s="210"/>
      <c r="D507" s="214">
        <v>0</v>
      </c>
      <c r="E507" s="236">
        <v>0</v>
      </c>
      <c r="F507" s="236">
        <v>0</v>
      </c>
      <c r="G507" s="236">
        <v>0</v>
      </c>
      <c r="H507" s="236">
        <v>0</v>
      </c>
      <c r="I507" s="236">
        <v>0</v>
      </c>
      <c r="J507" s="236">
        <v>0</v>
      </c>
      <c r="K507" s="236">
        <v>0</v>
      </c>
      <c r="L507" s="236">
        <v>0</v>
      </c>
      <c r="M507" s="236">
        <v>0</v>
      </c>
      <c r="N507" s="236">
        <v>0</v>
      </c>
      <c r="O507" s="236">
        <v>0</v>
      </c>
      <c r="P507" s="236">
        <v>0</v>
      </c>
      <c r="Q507" s="236">
        <v>0</v>
      </c>
      <c r="R507" s="236">
        <v>0</v>
      </c>
      <c r="S507" s="236">
        <v>0</v>
      </c>
      <c r="T507" s="236">
        <v>0</v>
      </c>
      <c r="U507" s="216">
        <v>0</v>
      </c>
      <c r="V507" s="209"/>
      <c r="W507" s="209" t="s">
        <v>87</v>
      </c>
      <c r="X507" s="210"/>
    </row>
    <row r="508" spans="1:24" s="6" customFormat="1" ht="15.75" customHeight="1">
      <c r="A508" s="84"/>
      <c r="B508" s="84"/>
      <c r="C508" s="217"/>
      <c r="D508" s="85"/>
      <c r="E508" s="86"/>
      <c r="F508" s="86"/>
      <c r="G508" s="86"/>
      <c r="H508" s="86"/>
      <c r="I508" s="86"/>
      <c r="J508" s="86"/>
      <c r="K508" s="86"/>
      <c r="L508" s="86"/>
      <c r="M508" s="86"/>
      <c r="N508" s="86"/>
      <c r="O508" s="86"/>
      <c r="P508" s="87"/>
      <c r="Q508" s="87"/>
      <c r="R508" s="87"/>
      <c r="S508" s="87"/>
      <c r="T508" s="87"/>
      <c r="U508" s="88"/>
      <c r="V508" s="84"/>
      <c r="W508" s="84"/>
      <c r="X508" s="217"/>
    </row>
    <row r="509" spans="1:24" s="6" customFormat="1" ht="15.75" customHeight="1">
      <c r="A509" s="78" t="s">
        <v>86</v>
      </c>
      <c r="B509" s="78"/>
      <c r="C509" s="218"/>
      <c r="D509" s="80"/>
      <c r="E509" s="81"/>
      <c r="F509" s="81"/>
      <c r="G509" s="81"/>
      <c r="H509" s="81"/>
      <c r="I509" s="81"/>
      <c r="J509" s="81"/>
      <c r="K509" s="81"/>
      <c r="L509" s="81"/>
      <c r="M509" s="81"/>
      <c r="N509" s="81"/>
      <c r="O509" s="81"/>
      <c r="P509" s="82"/>
      <c r="Q509" s="82"/>
      <c r="R509" s="82"/>
      <c r="S509" s="82"/>
      <c r="T509" s="82"/>
      <c r="U509" s="83"/>
      <c r="V509" s="78" t="s">
        <v>86</v>
      </c>
      <c r="W509" s="78"/>
      <c r="X509" s="218"/>
    </row>
    <row r="510" spans="1:24" s="12" customFormat="1" ht="15.75" customHeight="1">
      <c r="A510" s="84" t="s">
        <v>85</v>
      </c>
      <c r="B510" s="93"/>
      <c r="C510" s="219" t="s">
        <v>228</v>
      </c>
      <c r="D510" s="85">
        <v>0</v>
      </c>
      <c r="E510" s="86">
        <v>0</v>
      </c>
      <c r="F510" s="86">
        <v>0</v>
      </c>
      <c r="G510" s="86">
        <v>0</v>
      </c>
      <c r="H510" s="86">
        <v>0</v>
      </c>
      <c r="I510" s="86">
        <v>0</v>
      </c>
      <c r="J510" s="86">
        <v>0</v>
      </c>
      <c r="K510" s="86">
        <v>0</v>
      </c>
      <c r="L510" s="86">
        <v>0</v>
      </c>
      <c r="M510" s="86">
        <v>0</v>
      </c>
      <c r="N510" s="86">
        <v>0</v>
      </c>
      <c r="O510" s="86">
        <v>0</v>
      </c>
      <c r="P510" s="86">
        <v>0</v>
      </c>
      <c r="Q510" s="86">
        <v>0</v>
      </c>
      <c r="R510" s="86">
        <v>0</v>
      </c>
      <c r="S510" s="86">
        <v>0</v>
      </c>
      <c r="T510" s="86">
        <v>0</v>
      </c>
      <c r="U510" s="88">
        <v>0</v>
      </c>
      <c r="V510" s="84" t="s">
        <v>85</v>
      </c>
      <c r="W510" s="93"/>
      <c r="X510" s="219" t="s">
        <v>228</v>
      </c>
    </row>
    <row r="511" spans="1:24" s="6" customFormat="1" ht="15.75" customHeight="1">
      <c r="A511" s="84"/>
      <c r="B511" s="84"/>
      <c r="C511" s="219" t="s">
        <v>229</v>
      </c>
      <c r="D511" s="85">
        <v>0</v>
      </c>
      <c r="E511" s="86">
        <v>0</v>
      </c>
      <c r="F511" s="86">
        <v>0</v>
      </c>
      <c r="G511" s="86">
        <v>0</v>
      </c>
      <c r="H511" s="86">
        <v>0</v>
      </c>
      <c r="I511" s="86">
        <v>0</v>
      </c>
      <c r="J511" s="86">
        <v>0</v>
      </c>
      <c r="K511" s="86">
        <v>0</v>
      </c>
      <c r="L511" s="86">
        <v>0</v>
      </c>
      <c r="M511" s="86">
        <v>0</v>
      </c>
      <c r="N511" s="86">
        <v>0</v>
      </c>
      <c r="O511" s="86">
        <v>0</v>
      </c>
      <c r="P511" s="86">
        <v>0</v>
      </c>
      <c r="Q511" s="86">
        <v>0</v>
      </c>
      <c r="R511" s="86">
        <v>0</v>
      </c>
      <c r="S511" s="86">
        <v>0</v>
      </c>
      <c r="T511" s="86">
        <v>0</v>
      </c>
      <c r="U511" s="88">
        <v>0</v>
      </c>
      <c r="V511" s="84"/>
      <c r="W511" s="84"/>
      <c r="X511" s="219" t="s">
        <v>229</v>
      </c>
    </row>
    <row r="512" spans="1:24" s="6" customFormat="1" ht="15.75" customHeight="1">
      <c r="A512" s="84"/>
      <c r="B512" s="84"/>
      <c r="C512" s="219" t="s">
        <v>230</v>
      </c>
      <c r="D512" s="85">
        <v>0</v>
      </c>
      <c r="E512" s="86">
        <v>0</v>
      </c>
      <c r="F512" s="86">
        <v>0</v>
      </c>
      <c r="G512" s="86">
        <v>0</v>
      </c>
      <c r="H512" s="86">
        <v>0</v>
      </c>
      <c r="I512" s="86">
        <v>0</v>
      </c>
      <c r="J512" s="86">
        <v>0</v>
      </c>
      <c r="K512" s="86">
        <v>0</v>
      </c>
      <c r="L512" s="86">
        <v>0</v>
      </c>
      <c r="M512" s="86">
        <v>0</v>
      </c>
      <c r="N512" s="86">
        <v>0</v>
      </c>
      <c r="O512" s="86">
        <v>0</v>
      </c>
      <c r="P512" s="87">
        <v>0</v>
      </c>
      <c r="Q512" s="87">
        <v>0</v>
      </c>
      <c r="R512" s="87">
        <v>0</v>
      </c>
      <c r="S512" s="87">
        <v>0</v>
      </c>
      <c r="T512" s="87">
        <v>0</v>
      </c>
      <c r="U512" s="88">
        <v>0</v>
      </c>
      <c r="V512" s="84"/>
      <c r="W512" s="84"/>
      <c r="X512" s="219" t="s">
        <v>230</v>
      </c>
    </row>
    <row r="513" spans="1:24" s="6" customFormat="1" ht="15.75" customHeight="1">
      <c r="A513" s="84"/>
      <c r="B513" s="93"/>
      <c r="C513" s="84"/>
      <c r="D513" s="85"/>
      <c r="E513" s="86"/>
      <c r="F513" s="86"/>
      <c r="G513" s="86"/>
      <c r="H513" s="86"/>
      <c r="I513" s="86"/>
      <c r="J513" s="86"/>
      <c r="K513" s="86"/>
      <c r="L513" s="86"/>
      <c r="M513" s="86"/>
      <c r="N513" s="86"/>
      <c r="O513" s="86"/>
      <c r="P513" s="87"/>
      <c r="Q513" s="87"/>
      <c r="R513" s="87"/>
      <c r="S513" s="87"/>
      <c r="T513" s="87"/>
      <c r="U513" s="88"/>
      <c r="V513" s="84"/>
      <c r="W513" s="93"/>
      <c r="X513" s="84"/>
    </row>
    <row r="514" spans="1:24" s="12" customFormat="1" ht="15.75" customHeight="1">
      <c r="A514" s="84" t="s">
        <v>87</v>
      </c>
      <c r="B514" s="93"/>
      <c r="C514" s="219" t="s">
        <v>228</v>
      </c>
      <c r="D514" s="85">
        <v>0</v>
      </c>
      <c r="E514" s="86">
        <v>0</v>
      </c>
      <c r="F514" s="86">
        <v>0</v>
      </c>
      <c r="G514" s="86">
        <v>0</v>
      </c>
      <c r="H514" s="86">
        <v>0</v>
      </c>
      <c r="I514" s="86">
        <v>0</v>
      </c>
      <c r="J514" s="86">
        <v>0</v>
      </c>
      <c r="K514" s="86">
        <v>0</v>
      </c>
      <c r="L514" s="86">
        <v>0</v>
      </c>
      <c r="M514" s="86">
        <v>0</v>
      </c>
      <c r="N514" s="86">
        <v>0</v>
      </c>
      <c r="O514" s="86">
        <v>0</v>
      </c>
      <c r="P514" s="86">
        <v>0</v>
      </c>
      <c r="Q514" s="86">
        <v>0</v>
      </c>
      <c r="R514" s="86">
        <v>0</v>
      </c>
      <c r="S514" s="86">
        <v>0</v>
      </c>
      <c r="T514" s="86">
        <v>0</v>
      </c>
      <c r="U514" s="88">
        <v>0</v>
      </c>
      <c r="V514" s="84" t="s">
        <v>87</v>
      </c>
      <c r="W514" s="93"/>
      <c r="X514" s="219" t="s">
        <v>228</v>
      </c>
    </row>
    <row r="515" spans="1:24" s="6" customFormat="1" ht="15.75" customHeight="1">
      <c r="A515" s="84"/>
      <c r="B515" s="84"/>
      <c r="C515" s="219" t="s">
        <v>229</v>
      </c>
      <c r="D515" s="85">
        <v>0</v>
      </c>
      <c r="E515" s="86">
        <v>0</v>
      </c>
      <c r="F515" s="86">
        <v>0</v>
      </c>
      <c r="G515" s="86">
        <v>0</v>
      </c>
      <c r="H515" s="86">
        <v>0</v>
      </c>
      <c r="I515" s="86">
        <v>0</v>
      </c>
      <c r="J515" s="86">
        <v>0</v>
      </c>
      <c r="K515" s="86">
        <v>0</v>
      </c>
      <c r="L515" s="86">
        <v>0</v>
      </c>
      <c r="M515" s="86">
        <v>0</v>
      </c>
      <c r="N515" s="86">
        <v>0</v>
      </c>
      <c r="O515" s="86">
        <v>0</v>
      </c>
      <c r="P515" s="86">
        <v>0</v>
      </c>
      <c r="Q515" s="86">
        <v>0</v>
      </c>
      <c r="R515" s="86">
        <v>0</v>
      </c>
      <c r="S515" s="86">
        <v>0</v>
      </c>
      <c r="T515" s="86">
        <v>0</v>
      </c>
      <c r="U515" s="88">
        <v>0</v>
      </c>
      <c r="V515" s="84"/>
      <c r="W515" s="84"/>
      <c r="X515" s="219" t="s">
        <v>229</v>
      </c>
    </row>
    <row r="516" spans="1:24" s="6" customFormat="1" ht="15.75" customHeight="1" thickBot="1">
      <c r="A516" s="84"/>
      <c r="B516" s="84"/>
      <c r="C516" s="219" t="s">
        <v>230</v>
      </c>
      <c r="D516" s="85">
        <v>0</v>
      </c>
      <c r="E516" s="86">
        <v>0</v>
      </c>
      <c r="F516" s="86">
        <v>0</v>
      </c>
      <c r="G516" s="86">
        <v>0</v>
      </c>
      <c r="H516" s="86">
        <v>0</v>
      </c>
      <c r="I516" s="86">
        <v>0</v>
      </c>
      <c r="J516" s="86">
        <v>0</v>
      </c>
      <c r="K516" s="86">
        <v>0</v>
      </c>
      <c r="L516" s="86">
        <v>0</v>
      </c>
      <c r="M516" s="86">
        <v>0</v>
      </c>
      <c r="N516" s="86">
        <v>0</v>
      </c>
      <c r="O516" s="86">
        <v>0</v>
      </c>
      <c r="P516" s="87">
        <v>0</v>
      </c>
      <c r="Q516" s="87">
        <v>0</v>
      </c>
      <c r="R516" s="87">
        <v>0</v>
      </c>
      <c r="S516" s="87">
        <v>0</v>
      </c>
      <c r="T516" s="87">
        <v>0</v>
      </c>
      <c r="U516" s="88">
        <v>0</v>
      </c>
      <c r="V516" s="84"/>
      <c r="W516" s="84"/>
      <c r="X516" s="219" t="s">
        <v>230</v>
      </c>
    </row>
    <row r="517" spans="1:24" s="6" customFormat="1" ht="15.75" customHeight="1">
      <c r="A517" s="220"/>
      <c r="B517" s="220"/>
      <c r="C517" s="220"/>
      <c r="D517" s="220"/>
      <c r="E517" s="220"/>
      <c r="F517" s="220"/>
      <c r="G517" s="220"/>
      <c r="H517" s="220"/>
      <c r="I517" s="220"/>
      <c r="J517" s="220"/>
      <c r="K517" s="220"/>
      <c r="L517" s="220"/>
      <c r="M517" s="220"/>
      <c r="N517" s="220"/>
      <c r="O517" s="220"/>
      <c r="P517" s="220"/>
      <c r="Q517" s="220"/>
      <c r="R517" s="220"/>
      <c r="S517" s="220"/>
      <c r="T517" s="220"/>
      <c r="U517" s="220"/>
      <c r="V517" s="220"/>
      <c r="W517" s="220"/>
      <c r="X517" s="220"/>
    </row>
    <row r="518" spans="1:24" s="6" customFormat="1" ht="15.75" customHeight="1">
      <c r="A518" s="103" t="s">
        <v>231</v>
      </c>
      <c r="B518" s="93"/>
      <c r="C518" s="93"/>
      <c r="D518" s="93"/>
      <c r="E518" s="93"/>
      <c r="F518" s="93"/>
      <c r="G518" s="93"/>
      <c r="H518" s="93"/>
      <c r="I518" s="93"/>
      <c r="J518" s="93"/>
      <c r="K518" s="93"/>
      <c r="L518" s="93"/>
      <c r="M518" s="93"/>
      <c r="N518" s="93"/>
      <c r="O518" s="93"/>
      <c r="P518" s="93"/>
      <c r="Q518" s="93"/>
      <c r="R518" s="93"/>
      <c r="S518" s="93"/>
      <c r="T518" s="93"/>
      <c r="U518" s="93"/>
      <c r="V518" s="93"/>
      <c r="W518" s="93"/>
      <c r="X518" s="93"/>
    </row>
    <row r="519" spans="1:24" s="6" customFormat="1" ht="15.75" customHeight="1">
      <c r="A519" s="103" t="s">
        <v>84</v>
      </c>
      <c r="B519" s="93"/>
      <c r="C519" s="93"/>
      <c r="D519" s="93"/>
      <c r="E519" s="93"/>
      <c r="F519" s="93"/>
      <c r="G519" s="93"/>
      <c r="H519" s="93"/>
      <c r="I519" s="93"/>
      <c r="J519" s="93"/>
      <c r="K519" s="93"/>
      <c r="L519" s="93"/>
      <c r="M519" s="93"/>
      <c r="N519" s="93"/>
      <c r="O519" s="93"/>
      <c r="P519" s="93"/>
      <c r="Q519" s="93"/>
      <c r="R519" s="93"/>
      <c r="S519" s="93"/>
      <c r="T519" s="93"/>
      <c r="U519" s="93"/>
      <c r="V519" s="93"/>
      <c r="W519" s="93"/>
      <c r="X519" s="93"/>
    </row>
    <row r="520" spans="1:24" s="6" customFormat="1" ht="15.75" customHeight="1">
      <c r="A520" s="103" t="s">
        <v>83</v>
      </c>
      <c r="B520" s="93"/>
      <c r="C520" s="93"/>
      <c r="D520" s="93"/>
      <c r="E520" s="93"/>
      <c r="F520" s="93"/>
      <c r="G520" s="93"/>
      <c r="H520" s="93"/>
      <c r="I520" s="93"/>
      <c r="J520" s="93"/>
      <c r="K520" s="93"/>
      <c r="L520" s="93"/>
      <c r="M520" s="93"/>
      <c r="N520" s="93"/>
      <c r="O520" s="93"/>
      <c r="P520" s="93"/>
      <c r="Q520" s="93"/>
      <c r="R520" s="93"/>
      <c r="S520" s="93"/>
      <c r="T520" s="93"/>
      <c r="U520" s="93"/>
      <c r="V520" s="93"/>
      <c r="W520" s="93"/>
      <c r="X520" s="93"/>
    </row>
    <row r="523" spans="1:24" s="6" customFormat="1" ht="21">
      <c r="A523" s="19" t="s">
        <v>248</v>
      </c>
      <c r="B523" s="26"/>
    </row>
    <row r="524" spans="1:24" s="6" customFormat="1" ht="15.75" customHeight="1" thickBo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25"/>
    </row>
    <row r="525" spans="1:24" s="6" customFormat="1" ht="15.75" customHeight="1">
      <c r="A525" s="269" t="s">
        <v>61</v>
      </c>
      <c r="B525" s="269"/>
      <c r="C525" s="269"/>
      <c r="D525" s="104" t="s">
        <v>79</v>
      </c>
      <c r="E525" s="73" t="s">
        <v>78</v>
      </c>
      <c r="F525" s="73" t="s">
        <v>77</v>
      </c>
      <c r="G525" s="73" t="s">
        <v>76</v>
      </c>
      <c r="H525" s="73" t="s">
        <v>75</v>
      </c>
      <c r="I525" s="73" t="s">
        <v>74</v>
      </c>
      <c r="J525" s="73" t="s">
        <v>73</v>
      </c>
      <c r="K525" s="73" t="s">
        <v>72</v>
      </c>
      <c r="L525" s="73" t="s">
        <v>71</v>
      </c>
      <c r="M525" s="73" t="s">
        <v>70</v>
      </c>
      <c r="N525" s="73" t="s">
        <v>69</v>
      </c>
      <c r="O525" s="73" t="s">
        <v>68</v>
      </c>
      <c r="P525" s="73" t="s">
        <v>67</v>
      </c>
      <c r="Q525" s="73" t="s">
        <v>66</v>
      </c>
      <c r="R525" s="73" t="s">
        <v>65</v>
      </c>
      <c r="S525" s="73" t="s">
        <v>64</v>
      </c>
      <c r="T525" s="73" t="s">
        <v>63</v>
      </c>
      <c r="U525" s="74" t="s">
        <v>62</v>
      </c>
      <c r="V525" s="273" t="s">
        <v>61</v>
      </c>
      <c r="W525" s="269"/>
      <c r="X525" s="269"/>
    </row>
    <row r="526" spans="1:24" s="6" customFormat="1" ht="15.75" customHeight="1">
      <c r="A526" s="270"/>
      <c r="B526" s="270"/>
      <c r="C526" s="270"/>
      <c r="D526" s="108" t="s">
        <v>22</v>
      </c>
      <c r="E526" s="76" t="s">
        <v>60</v>
      </c>
      <c r="F526" s="76" t="s">
        <v>59</v>
      </c>
      <c r="G526" s="76" t="s">
        <v>58</v>
      </c>
      <c r="H526" s="76" t="s">
        <v>57</v>
      </c>
      <c r="I526" s="76" t="s">
        <v>56</v>
      </c>
      <c r="J526" s="76" t="s">
        <v>55</v>
      </c>
      <c r="K526" s="76" t="s">
        <v>54</v>
      </c>
      <c r="L526" s="76" t="s">
        <v>53</v>
      </c>
      <c r="M526" s="76" t="s">
        <v>52</v>
      </c>
      <c r="N526" s="76" t="s">
        <v>51</v>
      </c>
      <c r="O526" s="76" t="s">
        <v>50</v>
      </c>
      <c r="P526" s="76" t="s">
        <v>49</v>
      </c>
      <c r="Q526" s="76" t="s">
        <v>48</v>
      </c>
      <c r="R526" s="76" t="s">
        <v>47</v>
      </c>
      <c r="S526" s="76" t="s">
        <v>46</v>
      </c>
      <c r="T526" s="76" t="s">
        <v>45</v>
      </c>
      <c r="U526" s="77" t="s">
        <v>44</v>
      </c>
      <c r="V526" s="274"/>
      <c r="W526" s="270"/>
      <c r="X526" s="270"/>
    </row>
    <row r="527" spans="1:24" s="12" customFormat="1" ht="15.75" customHeight="1">
      <c r="A527" s="78" t="s">
        <v>238</v>
      </c>
      <c r="B527" s="79"/>
      <c r="C527" s="79"/>
      <c r="D527" s="80">
        <v>311019.88972256129</v>
      </c>
      <c r="E527" s="81">
        <v>0</v>
      </c>
      <c r="F527" s="81">
        <v>5648.2707165870797</v>
      </c>
      <c r="G527" s="81">
        <v>11322.9853465206</v>
      </c>
      <c r="H527" s="81">
        <v>21570.885018680499</v>
      </c>
      <c r="I527" s="81">
        <v>2512.9941058490199</v>
      </c>
      <c r="J527" s="81">
        <v>11254.408960369001</v>
      </c>
      <c r="K527" s="81">
        <v>43417.1118248407</v>
      </c>
      <c r="L527" s="81">
        <v>8314.5443118540807</v>
      </c>
      <c r="M527" s="81">
        <v>87888.755061538599</v>
      </c>
      <c r="N527" s="81">
        <v>0</v>
      </c>
      <c r="O527" s="81">
        <v>32079.1042125846</v>
      </c>
      <c r="P527" s="82">
        <v>17251.483107598699</v>
      </c>
      <c r="Q527" s="82">
        <v>14029.3798920477</v>
      </c>
      <c r="R527" s="82">
        <v>15979.750971817301</v>
      </c>
      <c r="S527" s="82">
        <v>20300.0978551099</v>
      </c>
      <c r="T527" s="82">
        <v>18490.364556051099</v>
      </c>
      <c r="U527" s="83">
        <v>959.75378111242401</v>
      </c>
      <c r="V527" s="78" t="s">
        <v>238</v>
      </c>
      <c r="W527" s="79"/>
      <c r="X527" s="79"/>
    </row>
    <row r="528" spans="1:24" s="12" customFormat="1" ht="15.75" customHeight="1">
      <c r="A528" s="78" t="s">
        <v>239</v>
      </c>
      <c r="B528" s="79"/>
      <c r="C528" s="79"/>
      <c r="D528" s="80">
        <v>116131.27889593453</v>
      </c>
      <c r="E528" s="81">
        <v>0</v>
      </c>
      <c r="F528" s="81">
        <v>0</v>
      </c>
      <c r="G528" s="81">
        <v>0</v>
      </c>
      <c r="H528" s="81">
        <v>9075.4606632114992</v>
      </c>
      <c r="I528" s="81">
        <v>6367.3657297240297</v>
      </c>
      <c r="J528" s="81">
        <v>122.877544734933</v>
      </c>
      <c r="K528" s="81">
        <v>0</v>
      </c>
      <c r="L528" s="81">
        <v>2404.5742224179899</v>
      </c>
      <c r="M528" s="81">
        <v>35681.949008119896</v>
      </c>
      <c r="N528" s="81">
        <v>0</v>
      </c>
      <c r="O528" s="81">
        <v>23066.943280918698</v>
      </c>
      <c r="P528" s="82">
        <v>10187.8239969274</v>
      </c>
      <c r="Q528" s="82">
        <v>5690.0405536221997</v>
      </c>
      <c r="R528" s="82">
        <v>16956.285689758399</v>
      </c>
      <c r="S528" s="82">
        <v>5311.4898784424804</v>
      </c>
      <c r="T528" s="82">
        <v>1266.46832805702</v>
      </c>
      <c r="U528" s="83">
        <v>0</v>
      </c>
      <c r="V528" s="78" t="s">
        <v>239</v>
      </c>
      <c r="W528" s="79"/>
      <c r="X528" s="79"/>
    </row>
    <row r="529" spans="1:24" s="12" customFormat="1" ht="15.75" customHeight="1">
      <c r="A529" s="78" t="s">
        <v>240</v>
      </c>
      <c r="B529" s="78"/>
      <c r="C529" s="79"/>
      <c r="D529" s="80"/>
      <c r="E529" s="81"/>
      <c r="F529" s="81"/>
      <c r="G529" s="81"/>
      <c r="H529" s="81"/>
      <c r="I529" s="81"/>
      <c r="J529" s="81"/>
      <c r="K529" s="81"/>
      <c r="L529" s="81"/>
      <c r="M529" s="81"/>
      <c r="N529" s="81"/>
      <c r="O529" s="81"/>
      <c r="P529" s="82"/>
      <c r="Q529" s="82"/>
      <c r="R529" s="82"/>
      <c r="S529" s="82"/>
      <c r="T529" s="82"/>
      <c r="U529" s="83"/>
      <c r="V529" s="78" t="s">
        <v>240</v>
      </c>
      <c r="W529" s="78"/>
      <c r="X529" s="79"/>
    </row>
    <row r="530" spans="1:24" s="12" customFormat="1" ht="15.75" customHeight="1">
      <c r="A530" s="209"/>
      <c r="B530" s="209" t="s">
        <v>85</v>
      </c>
      <c r="C530" s="210"/>
      <c r="D530" s="214">
        <v>163441.78489053968</v>
      </c>
      <c r="E530" s="215">
        <v>0</v>
      </c>
      <c r="F530" s="215">
        <v>0</v>
      </c>
      <c r="G530" s="215">
        <v>0</v>
      </c>
      <c r="H530" s="215">
        <v>4080</v>
      </c>
      <c r="I530" s="215">
        <v>4360</v>
      </c>
      <c r="J530" s="215">
        <v>4800</v>
      </c>
      <c r="K530" s="215">
        <v>2200</v>
      </c>
      <c r="L530" s="215">
        <v>3002.4320481404102</v>
      </c>
      <c r="M530" s="215">
        <v>29083</v>
      </c>
      <c r="N530" s="215">
        <v>0</v>
      </c>
      <c r="O530" s="215">
        <v>6741.3528423992702</v>
      </c>
      <c r="P530" s="236">
        <v>9850</v>
      </c>
      <c r="Q530" s="236">
        <v>3535</v>
      </c>
      <c r="R530" s="236">
        <v>85040</v>
      </c>
      <c r="S530" s="236">
        <v>8000</v>
      </c>
      <c r="T530" s="236">
        <v>2750</v>
      </c>
      <c r="U530" s="242">
        <v>0</v>
      </c>
      <c r="V530" s="209"/>
      <c r="W530" s="209" t="s">
        <v>85</v>
      </c>
      <c r="X530" s="210"/>
    </row>
    <row r="531" spans="1:24" s="12" customFormat="1" ht="15.75" customHeight="1">
      <c r="A531" s="209"/>
      <c r="B531" s="209" t="s">
        <v>87</v>
      </c>
      <c r="C531" s="210"/>
      <c r="D531" s="214">
        <v>4019.9649999999997</v>
      </c>
      <c r="E531" s="236">
        <v>0</v>
      </c>
      <c r="F531" s="236">
        <v>92.6</v>
      </c>
      <c r="G531" s="236">
        <v>135.80000000000001</v>
      </c>
      <c r="H531" s="236">
        <v>167.6</v>
      </c>
      <c r="I531" s="236">
        <v>171.8</v>
      </c>
      <c r="J531" s="215">
        <v>94</v>
      </c>
      <c r="K531" s="215">
        <v>359.45</v>
      </c>
      <c r="L531" s="215">
        <v>111</v>
      </c>
      <c r="M531" s="215">
        <v>1319.6849999999999</v>
      </c>
      <c r="N531" s="215">
        <v>0</v>
      </c>
      <c r="O531" s="215">
        <v>308.7</v>
      </c>
      <c r="P531" s="215">
        <v>266.73</v>
      </c>
      <c r="Q531" s="215">
        <v>212.1</v>
      </c>
      <c r="R531" s="215">
        <v>150.69999999999999</v>
      </c>
      <c r="S531" s="215">
        <v>316.3</v>
      </c>
      <c r="T531" s="215">
        <v>299.5</v>
      </c>
      <c r="U531" s="216">
        <v>14</v>
      </c>
      <c r="V531" s="209"/>
      <c r="W531" s="209" t="s">
        <v>87</v>
      </c>
      <c r="X531" s="210"/>
    </row>
    <row r="532" spans="1:24" s="6" customFormat="1" ht="15.75" customHeight="1">
      <c r="A532" s="84"/>
      <c r="B532" s="84"/>
      <c r="C532" s="217"/>
      <c r="D532" s="85"/>
      <c r="E532" s="86"/>
      <c r="F532" s="86"/>
      <c r="G532" s="86"/>
      <c r="H532" s="86"/>
      <c r="I532" s="86"/>
      <c r="J532" s="86"/>
      <c r="K532" s="86"/>
      <c r="L532" s="86"/>
      <c r="M532" s="86"/>
      <c r="N532" s="86"/>
      <c r="O532" s="86"/>
      <c r="P532" s="87"/>
      <c r="Q532" s="87"/>
      <c r="R532" s="87"/>
      <c r="S532" s="87"/>
      <c r="T532" s="87"/>
      <c r="U532" s="88"/>
      <c r="V532" s="84"/>
      <c r="W532" s="84"/>
      <c r="X532" s="217"/>
    </row>
    <row r="533" spans="1:24" s="6" customFormat="1" ht="15.75" customHeight="1">
      <c r="A533" s="78" t="s">
        <v>86</v>
      </c>
      <c r="B533" s="78"/>
      <c r="C533" s="218"/>
      <c r="D533" s="80"/>
      <c r="E533" s="81"/>
      <c r="F533" s="81"/>
      <c r="G533" s="81"/>
      <c r="H533" s="81"/>
      <c r="I533" s="81"/>
      <c r="J533" s="81"/>
      <c r="K533" s="81"/>
      <c r="L533" s="81"/>
      <c r="M533" s="81"/>
      <c r="N533" s="81"/>
      <c r="O533" s="81"/>
      <c r="P533" s="82"/>
      <c r="Q533" s="82"/>
      <c r="R533" s="82"/>
      <c r="S533" s="82"/>
      <c r="T533" s="82"/>
      <c r="U533" s="83"/>
      <c r="V533" s="78" t="s">
        <v>86</v>
      </c>
      <c r="W533" s="78"/>
      <c r="X533" s="218"/>
    </row>
    <row r="534" spans="1:24" s="12" customFormat="1" ht="15.75" customHeight="1">
      <c r="A534" s="84" t="s">
        <v>85</v>
      </c>
      <c r="B534" s="93"/>
      <c r="C534" s="219" t="s">
        <v>228</v>
      </c>
      <c r="D534" s="85">
        <v>2600</v>
      </c>
      <c r="E534" s="86">
        <v>0</v>
      </c>
      <c r="F534" s="86">
        <v>0</v>
      </c>
      <c r="G534" s="86">
        <v>0</v>
      </c>
      <c r="H534" s="86">
        <v>0</v>
      </c>
      <c r="I534" s="86">
        <v>0</v>
      </c>
      <c r="J534" s="86">
        <v>0</v>
      </c>
      <c r="K534" s="86">
        <v>0</v>
      </c>
      <c r="L534" s="86">
        <v>0</v>
      </c>
      <c r="M534" s="86">
        <v>0</v>
      </c>
      <c r="N534" s="86">
        <v>0</v>
      </c>
      <c r="O534" s="86">
        <v>0</v>
      </c>
      <c r="P534" s="86">
        <v>0</v>
      </c>
      <c r="Q534" s="86">
        <v>0</v>
      </c>
      <c r="R534" s="86">
        <v>0</v>
      </c>
      <c r="S534" s="86">
        <v>2600</v>
      </c>
      <c r="T534" s="87">
        <v>0</v>
      </c>
      <c r="U534" s="88">
        <v>0</v>
      </c>
      <c r="V534" s="84" t="s">
        <v>85</v>
      </c>
      <c r="W534" s="93"/>
      <c r="X534" s="219" t="s">
        <v>228</v>
      </c>
    </row>
    <row r="535" spans="1:24" s="6" customFormat="1" ht="15.75" customHeight="1">
      <c r="A535" s="84"/>
      <c r="B535" s="84"/>
      <c r="C535" s="219" t="s">
        <v>229</v>
      </c>
      <c r="D535" s="85">
        <v>4000</v>
      </c>
      <c r="E535" s="86">
        <v>0</v>
      </c>
      <c r="F535" s="86">
        <v>0</v>
      </c>
      <c r="G535" s="86">
        <v>0</v>
      </c>
      <c r="H535" s="86">
        <v>0</v>
      </c>
      <c r="I535" s="86">
        <v>0</v>
      </c>
      <c r="J535" s="86">
        <v>0</v>
      </c>
      <c r="K535" s="86">
        <v>0</v>
      </c>
      <c r="L535" s="86">
        <v>0</v>
      </c>
      <c r="M535" s="86">
        <v>0</v>
      </c>
      <c r="N535" s="86">
        <v>0</v>
      </c>
      <c r="O535" s="86">
        <v>0</v>
      </c>
      <c r="P535" s="86">
        <v>4000</v>
      </c>
      <c r="Q535" s="86">
        <v>0</v>
      </c>
      <c r="R535" s="86">
        <v>0</v>
      </c>
      <c r="S535" s="86">
        <v>0</v>
      </c>
      <c r="T535" s="87">
        <v>0</v>
      </c>
      <c r="U535" s="88">
        <v>0</v>
      </c>
      <c r="V535" s="84"/>
      <c r="W535" s="84"/>
      <c r="X535" s="219" t="s">
        <v>229</v>
      </c>
    </row>
    <row r="536" spans="1:24" s="6" customFormat="1" ht="15.75" customHeight="1">
      <c r="A536" s="84"/>
      <c r="B536" s="84"/>
      <c r="C536" s="219" t="s">
        <v>230</v>
      </c>
      <c r="D536" s="85">
        <v>89920</v>
      </c>
      <c r="E536" s="86">
        <v>0</v>
      </c>
      <c r="F536" s="86">
        <v>0</v>
      </c>
      <c r="G536" s="86">
        <v>0</v>
      </c>
      <c r="H536" s="86">
        <v>1100</v>
      </c>
      <c r="I536" s="86">
        <v>0</v>
      </c>
      <c r="J536" s="86">
        <v>4800</v>
      </c>
      <c r="K536" s="86">
        <v>0</v>
      </c>
      <c r="L536" s="86">
        <v>0</v>
      </c>
      <c r="M536" s="86">
        <v>0</v>
      </c>
      <c r="N536" s="86">
        <v>0</v>
      </c>
      <c r="O536" s="86">
        <v>0</v>
      </c>
      <c r="P536" s="87">
        <v>0</v>
      </c>
      <c r="Q536" s="87">
        <v>0</v>
      </c>
      <c r="R536" s="87">
        <v>84020</v>
      </c>
      <c r="S536" s="87">
        <v>0</v>
      </c>
      <c r="T536" s="87">
        <v>0</v>
      </c>
      <c r="U536" s="88">
        <v>0</v>
      </c>
      <c r="V536" s="84"/>
      <c r="W536" s="84"/>
      <c r="X536" s="219" t="s">
        <v>230</v>
      </c>
    </row>
    <row r="537" spans="1:24" s="6" customFormat="1" ht="15.75" customHeight="1">
      <c r="A537" s="84"/>
      <c r="B537" s="93"/>
      <c r="C537" s="84"/>
      <c r="D537" s="85"/>
      <c r="E537" s="86"/>
      <c r="F537" s="86"/>
      <c r="G537" s="86"/>
      <c r="H537" s="86"/>
      <c r="I537" s="86"/>
      <c r="J537" s="86"/>
      <c r="K537" s="86"/>
      <c r="L537" s="86"/>
      <c r="M537" s="86"/>
      <c r="N537" s="86"/>
      <c r="O537" s="86"/>
      <c r="P537" s="87"/>
      <c r="Q537" s="87"/>
      <c r="R537" s="87"/>
      <c r="S537" s="87"/>
      <c r="T537" s="87"/>
      <c r="U537" s="88"/>
      <c r="V537" s="84"/>
      <c r="W537" s="93"/>
      <c r="X537" s="84"/>
    </row>
    <row r="538" spans="1:24" s="12" customFormat="1" ht="15.75" customHeight="1">
      <c r="A538" s="84" t="s">
        <v>87</v>
      </c>
      <c r="B538" s="93"/>
      <c r="C538" s="219" t="s">
        <v>228</v>
      </c>
      <c r="D538" s="85">
        <v>188.5</v>
      </c>
      <c r="E538" s="86">
        <v>0</v>
      </c>
      <c r="F538" s="86">
        <v>0</v>
      </c>
      <c r="G538" s="86">
        <v>0</v>
      </c>
      <c r="H538" s="86">
        <v>0</v>
      </c>
      <c r="I538" s="86">
        <v>0</v>
      </c>
      <c r="J538" s="86">
        <v>0</v>
      </c>
      <c r="K538" s="86">
        <v>32</v>
      </c>
      <c r="L538" s="86">
        <v>0</v>
      </c>
      <c r="M538" s="86">
        <v>88.5</v>
      </c>
      <c r="N538" s="86">
        <v>0</v>
      </c>
      <c r="O538" s="86">
        <v>15</v>
      </c>
      <c r="P538" s="86">
        <v>0</v>
      </c>
      <c r="Q538" s="86">
        <v>2</v>
      </c>
      <c r="R538" s="86">
        <v>0</v>
      </c>
      <c r="S538" s="86">
        <v>51</v>
      </c>
      <c r="T538" s="86">
        <v>0</v>
      </c>
      <c r="U538" s="88">
        <v>0</v>
      </c>
      <c r="V538" s="84" t="s">
        <v>87</v>
      </c>
      <c r="W538" s="93"/>
      <c r="X538" s="219" t="s">
        <v>228</v>
      </c>
    </row>
    <row r="539" spans="1:24" s="6" customFormat="1" ht="15.75" customHeight="1">
      <c r="A539" s="84"/>
      <c r="B539" s="84"/>
      <c r="C539" s="219" t="s">
        <v>229</v>
      </c>
      <c r="D539" s="85">
        <v>106</v>
      </c>
      <c r="E539" s="86">
        <v>0</v>
      </c>
      <c r="F539" s="86">
        <v>0</v>
      </c>
      <c r="G539" s="86">
        <v>0</v>
      </c>
      <c r="H539" s="86">
        <v>0</v>
      </c>
      <c r="I539" s="86">
        <v>0</v>
      </c>
      <c r="J539" s="86">
        <v>0</v>
      </c>
      <c r="K539" s="86">
        <v>0</v>
      </c>
      <c r="L539" s="86">
        <v>0</v>
      </c>
      <c r="M539" s="86">
        <v>88</v>
      </c>
      <c r="N539" s="86">
        <v>0</v>
      </c>
      <c r="O539" s="86">
        <v>0</v>
      </c>
      <c r="P539" s="86">
        <v>0</v>
      </c>
      <c r="Q539" s="86">
        <v>0</v>
      </c>
      <c r="R539" s="86">
        <v>0</v>
      </c>
      <c r="S539" s="86">
        <v>0</v>
      </c>
      <c r="T539" s="86">
        <v>18</v>
      </c>
      <c r="U539" s="88">
        <v>0</v>
      </c>
      <c r="V539" s="84"/>
      <c r="W539" s="84"/>
      <c r="X539" s="219" t="s">
        <v>229</v>
      </c>
    </row>
    <row r="540" spans="1:24" s="6" customFormat="1" ht="15.75" customHeight="1" thickBot="1">
      <c r="A540" s="84"/>
      <c r="B540" s="84"/>
      <c r="C540" s="219" t="s">
        <v>230</v>
      </c>
      <c r="D540" s="85">
        <v>75.3</v>
      </c>
      <c r="E540" s="86">
        <v>0</v>
      </c>
      <c r="F540" s="86">
        <v>0</v>
      </c>
      <c r="G540" s="86">
        <v>0</v>
      </c>
      <c r="H540" s="86">
        <v>0</v>
      </c>
      <c r="I540" s="86">
        <v>0</v>
      </c>
      <c r="J540" s="86">
        <v>0</v>
      </c>
      <c r="K540" s="86">
        <v>0</v>
      </c>
      <c r="L540" s="86">
        <v>0</v>
      </c>
      <c r="M540" s="86">
        <v>10</v>
      </c>
      <c r="N540" s="86">
        <v>0</v>
      </c>
      <c r="O540" s="86">
        <v>0</v>
      </c>
      <c r="P540" s="87">
        <v>0</v>
      </c>
      <c r="Q540" s="87">
        <v>55.3</v>
      </c>
      <c r="R540" s="87">
        <v>0</v>
      </c>
      <c r="S540" s="87">
        <v>0</v>
      </c>
      <c r="T540" s="87">
        <v>10</v>
      </c>
      <c r="U540" s="88">
        <v>0</v>
      </c>
      <c r="V540" s="84"/>
      <c r="W540" s="84"/>
      <c r="X540" s="219" t="s">
        <v>230</v>
      </c>
    </row>
    <row r="541" spans="1:24" s="6" customFormat="1" ht="15.75" customHeight="1">
      <c r="A541" s="220"/>
      <c r="B541" s="220"/>
      <c r="C541" s="220"/>
      <c r="D541" s="237"/>
      <c r="E541" s="220"/>
      <c r="F541" s="220"/>
      <c r="G541" s="220"/>
      <c r="H541" s="220"/>
      <c r="I541" s="220"/>
      <c r="J541" s="220"/>
      <c r="K541" s="220"/>
      <c r="L541" s="220"/>
      <c r="M541" s="220"/>
      <c r="N541" s="220"/>
      <c r="O541" s="220"/>
      <c r="P541" s="220"/>
      <c r="Q541" s="220"/>
      <c r="R541" s="220"/>
      <c r="S541" s="220"/>
      <c r="T541" s="220"/>
      <c r="U541" s="220"/>
      <c r="V541" s="220"/>
      <c r="W541" s="220"/>
      <c r="X541" s="220"/>
    </row>
    <row r="542" spans="1:24" s="6" customFormat="1" ht="15.75" customHeight="1">
      <c r="A542" s="103" t="s">
        <v>231</v>
      </c>
      <c r="B542" s="93"/>
      <c r="C542" s="93"/>
      <c r="D542" s="102"/>
      <c r="E542" s="93"/>
      <c r="F542" s="93"/>
      <c r="G542" s="93"/>
      <c r="H542" s="93"/>
      <c r="I542" s="93"/>
      <c r="J542" s="93"/>
      <c r="K542" s="93"/>
      <c r="L542" s="93"/>
      <c r="M542" s="93"/>
      <c r="N542" s="93"/>
      <c r="O542" s="93"/>
      <c r="P542" s="93"/>
      <c r="Q542" s="93"/>
      <c r="R542" s="93"/>
      <c r="S542" s="93"/>
      <c r="T542" s="93"/>
      <c r="U542" s="93"/>
      <c r="V542" s="93"/>
      <c r="W542" s="93"/>
      <c r="X542" s="93"/>
    </row>
    <row r="543" spans="1:24" s="6" customFormat="1" ht="15.75" customHeight="1">
      <c r="A543" s="103" t="s">
        <v>84</v>
      </c>
      <c r="B543" s="93"/>
      <c r="C543" s="93"/>
      <c r="D543" s="102"/>
      <c r="E543" s="93"/>
      <c r="F543" s="93"/>
      <c r="G543" s="93"/>
      <c r="H543" s="93"/>
      <c r="I543" s="93"/>
      <c r="J543" s="93"/>
      <c r="K543" s="93"/>
      <c r="L543" s="93"/>
      <c r="M543" s="93"/>
      <c r="N543" s="93"/>
      <c r="O543" s="93"/>
      <c r="P543" s="93"/>
      <c r="Q543" s="93"/>
      <c r="R543" s="93"/>
      <c r="S543" s="93"/>
      <c r="T543" s="93"/>
      <c r="U543" s="93"/>
      <c r="V543" s="93"/>
      <c r="W543" s="93"/>
      <c r="X543" s="93"/>
    </row>
    <row r="544" spans="1:24" s="6" customFormat="1" ht="15.75" customHeight="1">
      <c r="A544" s="103" t="s">
        <v>83</v>
      </c>
      <c r="B544" s="93"/>
      <c r="C544" s="93"/>
      <c r="D544" s="102"/>
      <c r="E544" s="93"/>
      <c r="F544" s="93"/>
      <c r="G544" s="93"/>
      <c r="H544" s="93"/>
      <c r="I544" s="93"/>
      <c r="J544" s="93"/>
      <c r="K544" s="93"/>
      <c r="L544" s="93"/>
      <c r="M544" s="93"/>
      <c r="N544" s="93"/>
      <c r="O544" s="93"/>
      <c r="P544" s="93"/>
      <c r="Q544" s="93"/>
      <c r="R544" s="93"/>
      <c r="S544" s="93"/>
      <c r="T544" s="93"/>
      <c r="U544" s="93"/>
      <c r="V544" s="93"/>
      <c r="W544" s="93"/>
      <c r="X544" s="93"/>
    </row>
    <row r="547" spans="1:24" s="6" customFormat="1" ht="21">
      <c r="A547" s="19" t="s">
        <v>249</v>
      </c>
      <c r="B547" s="26"/>
    </row>
    <row r="548" spans="1:24" s="6" customFormat="1" ht="15.75" customHeight="1" thickBot="1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25"/>
    </row>
    <row r="549" spans="1:24" s="6" customFormat="1" ht="15.75" customHeight="1">
      <c r="A549" s="269" t="s">
        <v>61</v>
      </c>
      <c r="B549" s="269"/>
      <c r="C549" s="269"/>
      <c r="D549" s="104" t="s">
        <v>79</v>
      </c>
      <c r="E549" s="73" t="s">
        <v>78</v>
      </c>
      <c r="F549" s="73" t="s">
        <v>77</v>
      </c>
      <c r="G549" s="73" t="s">
        <v>76</v>
      </c>
      <c r="H549" s="73" t="s">
        <v>75</v>
      </c>
      <c r="I549" s="73" t="s">
        <v>74</v>
      </c>
      <c r="J549" s="73" t="s">
        <v>73</v>
      </c>
      <c r="K549" s="73" t="s">
        <v>72</v>
      </c>
      <c r="L549" s="73" t="s">
        <v>71</v>
      </c>
      <c r="M549" s="73" t="s">
        <v>70</v>
      </c>
      <c r="N549" s="73" t="s">
        <v>69</v>
      </c>
      <c r="O549" s="73" t="s">
        <v>68</v>
      </c>
      <c r="P549" s="73" t="s">
        <v>67</v>
      </c>
      <c r="Q549" s="73" t="s">
        <v>66</v>
      </c>
      <c r="R549" s="73" t="s">
        <v>65</v>
      </c>
      <c r="S549" s="73" t="s">
        <v>64</v>
      </c>
      <c r="T549" s="73" t="s">
        <v>63</v>
      </c>
      <c r="U549" s="74" t="s">
        <v>62</v>
      </c>
      <c r="V549" s="273" t="s">
        <v>61</v>
      </c>
      <c r="W549" s="269"/>
      <c r="X549" s="269"/>
    </row>
    <row r="550" spans="1:24" s="6" customFormat="1" ht="15.75" customHeight="1">
      <c r="A550" s="270"/>
      <c r="B550" s="270"/>
      <c r="C550" s="270"/>
      <c r="D550" s="108" t="s">
        <v>22</v>
      </c>
      <c r="E550" s="76" t="s">
        <v>60</v>
      </c>
      <c r="F550" s="76" t="s">
        <v>59</v>
      </c>
      <c r="G550" s="76" t="s">
        <v>58</v>
      </c>
      <c r="H550" s="76" t="s">
        <v>57</v>
      </c>
      <c r="I550" s="76" t="s">
        <v>56</v>
      </c>
      <c r="J550" s="76" t="s">
        <v>55</v>
      </c>
      <c r="K550" s="76" t="s">
        <v>54</v>
      </c>
      <c r="L550" s="76" t="s">
        <v>53</v>
      </c>
      <c r="M550" s="76" t="s">
        <v>52</v>
      </c>
      <c r="N550" s="76" t="s">
        <v>51</v>
      </c>
      <c r="O550" s="76" t="s">
        <v>50</v>
      </c>
      <c r="P550" s="76" t="s">
        <v>49</v>
      </c>
      <c r="Q550" s="76" t="s">
        <v>48</v>
      </c>
      <c r="R550" s="76" t="s">
        <v>47</v>
      </c>
      <c r="S550" s="76" t="s">
        <v>46</v>
      </c>
      <c r="T550" s="76" t="s">
        <v>45</v>
      </c>
      <c r="U550" s="77" t="s">
        <v>44</v>
      </c>
      <c r="V550" s="274"/>
      <c r="W550" s="270"/>
      <c r="X550" s="270"/>
    </row>
    <row r="551" spans="1:24" s="12" customFormat="1" ht="15.75" customHeight="1">
      <c r="A551" s="78" t="s">
        <v>238</v>
      </c>
      <c r="B551" s="243"/>
      <c r="C551" s="79"/>
      <c r="D551" s="244">
        <v>416194.40377983195</v>
      </c>
      <c r="E551" s="245">
        <v>63935.219643434997</v>
      </c>
      <c r="F551" s="245">
        <v>15622.147162712899</v>
      </c>
      <c r="G551" s="245">
        <v>20367.341974071602</v>
      </c>
      <c r="H551" s="245">
        <v>26685.864848165202</v>
      </c>
      <c r="I551" s="81">
        <v>0</v>
      </c>
      <c r="J551" s="245">
        <v>9784.6202241904593</v>
      </c>
      <c r="K551" s="245">
        <v>16205.5268403063</v>
      </c>
      <c r="L551" s="245">
        <v>639.25670908517895</v>
      </c>
      <c r="M551" s="245">
        <v>118125.83506518901</v>
      </c>
      <c r="N551" s="245">
        <v>8799.8458093250701</v>
      </c>
      <c r="O551" s="245">
        <v>18042.8134387012</v>
      </c>
      <c r="P551" s="246">
        <v>29911.349435346601</v>
      </c>
      <c r="Q551" s="246">
        <v>21986.6404130423</v>
      </c>
      <c r="R551" s="246">
        <v>5401.73960909587</v>
      </c>
      <c r="S551" s="246">
        <v>16767.000680759698</v>
      </c>
      <c r="T551" s="246">
        <v>27253.1772120243</v>
      </c>
      <c r="U551" s="247">
        <v>16666.024714381299</v>
      </c>
      <c r="V551" s="78" t="s">
        <v>238</v>
      </c>
      <c r="W551" s="243"/>
      <c r="X551" s="79"/>
    </row>
    <row r="552" spans="1:24" s="12" customFormat="1" ht="15.75" customHeight="1">
      <c r="A552" s="78" t="s">
        <v>239</v>
      </c>
      <c r="B552" s="79"/>
      <c r="C552" s="79"/>
      <c r="D552" s="244">
        <v>206263.84788114886</v>
      </c>
      <c r="E552" s="245">
        <v>60914.913159856304</v>
      </c>
      <c r="F552" s="245">
        <v>5928.9647926672196</v>
      </c>
      <c r="G552" s="245">
        <v>4212.7308896467302</v>
      </c>
      <c r="H552" s="245">
        <v>1205.24380656023</v>
      </c>
      <c r="I552" s="81">
        <v>0</v>
      </c>
      <c r="J552" s="245">
        <v>0</v>
      </c>
      <c r="K552" s="245">
        <v>1225.4874356436301</v>
      </c>
      <c r="L552" s="245">
        <v>0</v>
      </c>
      <c r="M552" s="245">
        <v>45180.363913060799</v>
      </c>
      <c r="N552" s="245">
        <v>4018.2579390277401</v>
      </c>
      <c r="O552" s="245">
        <v>4438.5725776536901</v>
      </c>
      <c r="P552" s="246">
        <v>1655.6057706300201</v>
      </c>
      <c r="Q552" s="246">
        <v>12478.4929254414</v>
      </c>
      <c r="R552" s="246">
        <v>0</v>
      </c>
      <c r="S552" s="246">
        <v>16976.934942153701</v>
      </c>
      <c r="T552" s="246">
        <v>15682.842871425</v>
      </c>
      <c r="U552" s="247">
        <v>32345.436857382399</v>
      </c>
      <c r="V552" s="78" t="s">
        <v>239</v>
      </c>
      <c r="W552" s="79"/>
      <c r="X552" s="79"/>
    </row>
    <row r="553" spans="1:24" s="12" customFormat="1" ht="15.75" customHeight="1">
      <c r="A553" s="78" t="s">
        <v>240</v>
      </c>
      <c r="B553" s="78"/>
      <c r="C553" s="79"/>
      <c r="D553" s="80"/>
      <c r="E553" s="81"/>
      <c r="F553" s="81"/>
      <c r="G553" s="81"/>
      <c r="H553" s="81"/>
      <c r="I553" s="81"/>
      <c r="J553" s="81"/>
      <c r="K553" s="81"/>
      <c r="L553" s="81"/>
      <c r="M553" s="81"/>
      <c r="N553" s="81"/>
      <c r="O553" s="81"/>
      <c r="P553" s="82"/>
      <c r="Q553" s="82"/>
      <c r="R553" s="82"/>
      <c r="S553" s="82"/>
      <c r="T553" s="82"/>
      <c r="U553" s="83"/>
      <c r="V553" s="78" t="s">
        <v>240</v>
      </c>
      <c r="W553" s="78"/>
      <c r="X553" s="79"/>
    </row>
    <row r="554" spans="1:24" s="12" customFormat="1" ht="15.75" customHeight="1">
      <c r="A554" s="209"/>
      <c r="B554" s="209" t="s">
        <v>85</v>
      </c>
      <c r="C554" s="210"/>
      <c r="D554" s="214">
        <v>173393</v>
      </c>
      <c r="E554" s="215">
        <v>35150</v>
      </c>
      <c r="F554" s="215">
        <v>5800</v>
      </c>
      <c r="G554" s="215">
        <v>5000</v>
      </c>
      <c r="H554" s="215">
        <v>1800</v>
      </c>
      <c r="I554" s="215">
        <v>0</v>
      </c>
      <c r="J554" s="215">
        <v>0</v>
      </c>
      <c r="K554" s="215">
        <v>1500</v>
      </c>
      <c r="L554" s="215">
        <v>120</v>
      </c>
      <c r="M554" s="215">
        <v>41360</v>
      </c>
      <c r="N554" s="215">
        <v>9588</v>
      </c>
      <c r="O554" s="215">
        <v>4112</v>
      </c>
      <c r="P554" s="215">
        <v>1732</v>
      </c>
      <c r="Q554" s="215">
        <v>11000</v>
      </c>
      <c r="R554" s="215">
        <v>0</v>
      </c>
      <c r="S554" s="215">
        <v>23985</v>
      </c>
      <c r="T554" s="215">
        <v>11714</v>
      </c>
      <c r="U554" s="216">
        <v>20532</v>
      </c>
      <c r="V554" s="209"/>
      <c r="W554" s="209" t="s">
        <v>85</v>
      </c>
      <c r="X554" s="210"/>
    </row>
    <row r="555" spans="1:24" s="12" customFormat="1" ht="15.75" customHeight="1">
      <c r="A555" s="209"/>
      <c r="B555" s="209" t="s">
        <v>87</v>
      </c>
      <c r="C555" s="210"/>
      <c r="D555" s="214">
        <v>3322.9840499999987</v>
      </c>
      <c r="E555" s="236">
        <v>437.3</v>
      </c>
      <c r="F555" s="236">
        <v>108.4</v>
      </c>
      <c r="G555" s="236">
        <v>201.47</v>
      </c>
      <c r="H555" s="236">
        <v>194.02799999999999</v>
      </c>
      <c r="I555" s="236">
        <v>0</v>
      </c>
      <c r="J555" s="215">
        <v>71.2</v>
      </c>
      <c r="K555" s="215">
        <v>244.79999999999899</v>
      </c>
      <c r="L555" s="215">
        <v>8.5</v>
      </c>
      <c r="M555" s="215">
        <v>889.73604999999998</v>
      </c>
      <c r="N555" s="215">
        <v>98.98</v>
      </c>
      <c r="O555" s="215">
        <v>147.28</v>
      </c>
      <c r="P555" s="215">
        <v>176.14</v>
      </c>
      <c r="Q555" s="215">
        <v>106.2</v>
      </c>
      <c r="R555" s="215">
        <v>68.55</v>
      </c>
      <c r="S555" s="215">
        <v>146.66</v>
      </c>
      <c r="T555" s="215">
        <v>271.26</v>
      </c>
      <c r="U555" s="216">
        <v>152.47999999999999</v>
      </c>
      <c r="V555" s="209"/>
      <c r="W555" s="209" t="s">
        <v>87</v>
      </c>
      <c r="X555" s="210"/>
    </row>
    <row r="556" spans="1:24" s="6" customFormat="1" ht="15.75" customHeight="1">
      <c r="A556" s="84"/>
      <c r="B556" s="84"/>
      <c r="C556" s="217"/>
      <c r="D556" s="85"/>
      <c r="E556" s="86"/>
      <c r="F556" s="86"/>
      <c r="G556" s="86"/>
      <c r="H556" s="86"/>
      <c r="I556" s="86"/>
      <c r="J556" s="86"/>
      <c r="K556" s="86"/>
      <c r="L556" s="86"/>
      <c r="M556" s="86"/>
      <c r="N556" s="86"/>
      <c r="O556" s="86"/>
      <c r="P556" s="87"/>
      <c r="Q556" s="87"/>
      <c r="R556" s="87"/>
      <c r="S556" s="87"/>
      <c r="T556" s="87"/>
      <c r="U556" s="88"/>
      <c r="V556" s="84"/>
      <c r="W556" s="84"/>
      <c r="X556" s="217"/>
    </row>
    <row r="557" spans="1:24" s="6" customFormat="1" ht="15.75" customHeight="1">
      <c r="A557" s="78" t="s">
        <v>86</v>
      </c>
      <c r="B557" s="78"/>
      <c r="C557" s="218"/>
      <c r="D557" s="80"/>
      <c r="E557" s="81"/>
      <c r="F557" s="81"/>
      <c r="G557" s="81"/>
      <c r="H557" s="81"/>
      <c r="I557" s="81"/>
      <c r="J557" s="81"/>
      <c r="K557" s="81"/>
      <c r="L557" s="81"/>
      <c r="M557" s="81"/>
      <c r="N557" s="81"/>
      <c r="O557" s="81"/>
      <c r="P557" s="82"/>
      <c r="Q557" s="82"/>
      <c r="R557" s="82"/>
      <c r="S557" s="82"/>
      <c r="T557" s="82"/>
      <c r="U557" s="83"/>
      <c r="V557" s="78" t="s">
        <v>86</v>
      </c>
      <c r="W557" s="78"/>
      <c r="X557" s="218"/>
    </row>
    <row r="558" spans="1:24" s="12" customFormat="1" ht="15.75" customHeight="1">
      <c r="A558" s="84" t="s">
        <v>85</v>
      </c>
      <c r="B558" s="93"/>
      <c r="C558" s="219" t="s">
        <v>228</v>
      </c>
      <c r="D558" s="85">
        <v>5580</v>
      </c>
      <c r="E558" s="86">
        <v>0</v>
      </c>
      <c r="F558" s="86">
        <v>0</v>
      </c>
      <c r="G558" s="86">
        <v>0</v>
      </c>
      <c r="H558" s="86">
        <v>0</v>
      </c>
      <c r="I558" s="86">
        <v>0</v>
      </c>
      <c r="J558" s="86">
        <v>0</v>
      </c>
      <c r="K558" s="86">
        <v>0</v>
      </c>
      <c r="L558" s="86">
        <v>0</v>
      </c>
      <c r="M558" s="86">
        <v>0</v>
      </c>
      <c r="N558" s="86">
        <v>5580</v>
      </c>
      <c r="O558" s="86">
        <v>0</v>
      </c>
      <c r="P558" s="87">
        <v>0</v>
      </c>
      <c r="Q558" s="87">
        <v>0</v>
      </c>
      <c r="R558" s="87">
        <v>0</v>
      </c>
      <c r="S558" s="87">
        <v>0</v>
      </c>
      <c r="T558" s="87">
        <v>0</v>
      </c>
      <c r="U558" s="88">
        <v>0</v>
      </c>
      <c r="V558" s="84" t="s">
        <v>85</v>
      </c>
      <c r="W558" s="93"/>
      <c r="X558" s="219" t="s">
        <v>228</v>
      </c>
    </row>
    <row r="559" spans="1:24" s="6" customFormat="1" ht="15.75" customHeight="1">
      <c r="A559" s="84"/>
      <c r="B559" s="84"/>
      <c r="C559" s="219" t="s">
        <v>229</v>
      </c>
      <c r="D559" s="85">
        <v>5753</v>
      </c>
      <c r="E559" s="86">
        <v>0</v>
      </c>
      <c r="F559" s="86">
        <v>0</v>
      </c>
      <c r="G559" s="86">
        <v>3000</v>
      </c>
      <c r="H559" s="86">
        <v>0</v>
      </c>
      <c r="I559" s="86">
        <v>0</v>
      </c>
      <c r="J559" s="86">
        <v>0</v>
      </c>
      <c r="K559" s="86">
        <v>0</v>
      </c>
      <c r="L559" s="86">
        <v>120</v>
      </c>
      <c r="M559" s="86">
        <v>0</v>
      </c>
      <c r="N559" s="86">
        <v>0</v>
      </c>
      <c r="O559" s="86">
        <v>390</v>
      </c>
      <c r="P559" s="87">
        <v>862</v>
      </c>
      <c r="Q559" s="87">
        <v>0</v>
      </c>
      <c r="R559" s="87">
        <v>0</v>
      </c>
      <c r="S559" s="87">
        <v>0</v>
      </c>
      <c r="T559" s="87">
        <v>1381</v>
      </c>
      <c r="U559" s="88">
        <v>0</v>
      </c>
      <c r="V559" s="84"/>
      <c r="W559" s="84"/>
      <c r="X559" s="219" t="s">
        <v>229</v>
      </c>
    </row>
    <row r="560" spans="1:24" s="6" customFormat="1" ht="15.75" customHeight="1">
      <c r="A560" s="84"/>
      <c r="B560" s="84"/>
      <c r="C560" s="219" t="s">
        <v>230</v>
      </c>
      <c r="D560" s="85">
        <v>0</v>
      </c>
      <c r="E560" s="86">
        <v>0</v>
      </c>
      <c r="F560" s="86">
        <v>0</v>
      </c>
      <c r="G560" s="86">
        <v>0</v>
      </c>
      <c r="H560" s="86">
        <v>0</v>
      </c>
      <c r="I560" s="86">
        <v>0</v>
      </c>
      <c r="J560" s="86">
        <v>0</v>
      </c>
      <c r="K560" s="86">
        <v>0</v>
      </c>
      <c r="L560" s="86">
        <v>0</v>
      </c>
      <c r="M560" s="86">
        <v>0</v>
      </c>
      <c r="N560" s="86">
        <v>0</v>
      </c>
      <c r="O560" s="86">
        <v>0</v>
      </c>
      <c r="P560" s="87">
        <v>0</v>
      </c>
      <c r="Q560" s="87">
        <v>0</v>
      </c>
      <c r="R560" s="87">
        <v>0</v>
      </c>
      <c r="S560" s="87">
        <v>0</v>
      </c>
      <c r="T560" s="87">
        <v>0</v>
      </c>
      <c r="U560" s="88">
        <v>0</v>
      </c>
      <c r="V560" s="84"/>
      <c r="W560" s="84"/>
      <c r="X560" s="219" t="s">
        <v>230</v>
      </c>
    </row>
    <row r="561" spans="1:24" s="6" customFormat="1" ht="15.75" customHeight="1">
      <c r="A561" s="84"/>
      <c r="B561" s="93"/>
      <c r="C561" s="84"/>
      <c r="D561" s="85"/>
      <c r="E561" s="86"/>
      <c r="F561" s="86"/>
      <c r="G561" s="86"/>
      <c r="H561" s="86"/>
      <c r="I561" s="86"/>
      <c r="J561" s="86"/>
      <c r="K561" s="86"/>
      <c r="L561" s="86"/>
      <c r="M561" s="86"/>
      <c r="N561" s="86"/>
      <c r="O561" s="86"/>
      <c r="P561" s="87"/>
      <c r="Q561" s="87"/>
      <c r="R561" s="87"/>
      <c r="S561" s="87"/>
      <c r="T561" s="87"/>
      <c r="U561" s="88"/>
      <c r="V561" s="84"/>
      <c r="W561" s="93"/>
      <c r="X561" s="84"/>
    </row>
    <row r="562" spans="1:24" s="12" customFormat="1" ht="15.75" customHeight="1">
      <c r="A562" s="84" t="s">
        <v>87</v>
      </c>
      <c r="B562" s="93"/>
      <c r="C562" s="219" t="s">
        <v>228</v>
      </c>
      <c r="D562" s="85">
        <v>63.05</v>
      </c>
      <c r="E562" s="86">
        <v>0</v>
      </c>
      <c r="F562" s="86">
        <v>45</v>
      </c>
      <c r="G562" s="86">
        <v>0</v>
      </c>
      <c r="H562" s="86">
        <v>0</v>
      </c>
      <c r="I562" s="86">
        <v>0</v>
      </c>
      <c r="J562" s="86">
        <v>0</v>
      </c>
      <c r="K562" s="86">
        <v>0</v>
      </c>
      <c r="L562" s="86">
        <v>0</v>
      </c>
      <c r="M562" s="86">
        <v>0</v>
      </c>
      <c r="N562" s="86">
        <v>0</v>
      </c>
      <c r="O562" s="86">
        <v>0</v>
      </c>
      <c r="P562" s="86">
        <v>9.65</v>
      </c>
      <c r="Q562" s="86">
        <v>2.1</v>
      </c>
      <c r="R562" s="87">
        <v>3.8</v>
      </c>
      <c r="S562" s="87">
        <v>2.5</v>
      </c>
      <c r="T562" s="87">
        <v>0</v>
      </c>
      <c r="U562" s="88">
        <v>0</v>
      </c>
      <c r="V562" s="84" t="s">
        <v>87</v>
      </c>
      <c r="W562" s="93"/>
      <c r="X562" s="219" t="s">
        <v>228</v>
      </c>
    </row>
    <row r="563" spans="1:24" s="6" customFormat="1" ht="15.75" customHeight="1">
      <c r="A563" s="84"/>
      <c r="B563" s="84"/>
      <c r="C563" s="219" t="s">
        <v>229</v>
      </c>
      <c r="D563" s="85">
        <v>40</v>
      </c>
      <c r="E563" s="86">
        <v>0</v>
      </c>
      <c r="F563" s="86">
        <v>0</v>
      </c>
      <c r="G563" s="86">
        <v>0</v>
      </c>
      <c r="H563" s="86">
        <v>0</v>
      </c>
      <c r="I563" s="86">
        <v>0</v>
      </c>
      <c r="J563" s="86">
        <v>40</v>
      </c>
      <c r="K563" s="86">
        <v>0</v>
      </c>
      <c r="L563" s="86">
        <v>0</v>
      </c>
      <c r="M563" s="86">
        <v>0</v>
      </c>
      <c r="N563" s="86">
        <v>0</v>
      </c>
      <c r="O563" s="86">
        <v>0</v>
      </c>
      <c r="P563" s="86">
        <v>0</v>
      </c>
      <c r="Q563" s="86">
        <v>0</v>
      </c>
      <c r="R563" s="87">
        <v>0</v>
      </c>
      <c r="S563" s="87">
        <v>0</v>
      </c>
      <c r="T563" s="87">
        <v>0</v>
      </c>
      <c r="U563" s="88">
        <v>0</v>
      </c>
      <c r="V563" s="84"/>
      <c r="W563" s="84"/>
      <c r="X563" s="219" t="s">
        <v>229</v>
      </c>
    </row>
    <row r="564" spans="1:24" s="6" customFormat="1" ht="15.75" customHeight="1" thickBot="1">
      <c r="A564" s="84"/>
      <c r="B564" s="84"/>
      <c r="C564" s="219" t="s">
        <v>230</v>
      </c>
      <c r="D564" s="85">
        <v>149</v>
      </c>
      <c r="E564" s="86">
        <v>0</v>
      </c>
      <c r="F564" s="86">
        <v>0</v>
      </c>
      <c r="G564" s="86">
        <v>0</v>
      </c>
      <c r="H564" s="86">
        <v>0</v>
      </c>
      <c r="I564" s="86">
        <v>0</v>
      </c>
      <c r="J564" s="86">
        <v>0</v>
      </c>
      <c r="K564" s="86">
        <v>0</v>
      </c>
      <c r="L564" s="86">
        <v>0</v>
      </c>
      <c r="M564" s="86">
        <v>14.3</v>
      </c>
      <c r="N564" s="86">
        <v>0</v>
      </c>
      <c r="O564" s="86">
        <v>0</v>
      </c>
      <c r="P564" s="87">
        <v>129</v>
      </c>
      <c r="Q564" s="87">
        <v>5.7</v>
      </c>
      <c r="R564" s="87">
        <v>0</v>
      </c>
      <c r="S564" s="87">
        <v>0</v>
      </c>
      <c r="T564" s="87">
        <v>0</v>
      </c>
      <c r="U564" s="88">
        <v>0</v>
      </c>
      <c r="V564" s="84"/>
      <c r="W564" s="84"/>
      <c r="X564" s="219" t="s">
        <v>230</v>
      </c>
    </row>
    <row r="565" spans="1:24" s="6" customFormat="1" ht="15.75" customHeight="1">
      <c r="A565" s="220"/>
      <c r="B565" s="220"/>
      <c r="C565" s="220"/>
      <c r="D565" s="237"/>
      <c r="E565" s="248"/>
      <c r="F565" s="248"/>
      <c r="G565" s="248"/>
      <c r="H565" s="248"/>
      <c r="I565" s="248"/>
      <c r="J565" s="248"/>
      <c r="K565" s="248"/>
      <c r="L565" s="248"/>
      <c r="M565" s="248"/>
      <c r="N565" s="248"/>
      <c r="O565" s="248"/>
      <c r="P565" s="248"/>
      <c r="Q565" s="248"/>
      <c r="R565" s="248"/>
      <c r="S565" s="248"/>
      <c r="T565" s="248"/>
      <c r="U565" s="248"/>
      <c r="V565" s="248"/>
      <c r="W565" s="220"/>
      <c r="X565" s="220"/>
    </row>
    <row r="566" spans="1:24" s="6" customFormat="1" ht="15.75" customHeight="1">
      <c r="A566" s="103" t="s">
        <v>231</v>
      </c>
      <c r="B566" s="93"/>
      <c r="C566" s="93"/>
      <c r="D566" s="102"/>
      <c r="E566" s="93"/>
      <c r="F566" s="93"/>
      <c r="G566" s="93"/>
      <c r="H566" s="93"/>
      <c r="I566" s="93"/>
      <c r="J566" s="93"/>
      <c r="K566" s="93"/>
      <c r="L566" s="93"/>
      <c r="M566" s="93"/>
      <c r="N566" s="93"/>
      <c r="O566" s="93"/>
      <c r="P566" s="93"/>
      <c r="Q566" s="93"/>
      <c r="R566" s="93"/>
      <c r="S566" s="93"/>
      <c r="T566" s="93"/>
      <c r="U566" s="93"/>
      <c r="V566" s="93"/>
      <c r="W566" s="93"/>
      <c r="X566" s="93"/>
    </row>
    <row r="567" spans="1:24" s="6" customFormat="1" ht="15.75" customHeight="1">
      <c r="A567" s="103" t="s">
        <v>84</v>
      </c>
      <c r="B567" s="93"/>
      <c r="C567" s="93"/>
      <c r="D567" s="102"/>
      <c r="E567" s="93"/>
      <c r="F567" s="93"/>
      <c r="G567" s="93"/>
      <c r="H567" s="93"/>
      <c r="I567" s="93"/>
      <c r="J567" s="93"/>
      <c r="K567" s="93"/>
      <c r="L567" s="93"/>
      <c r="M567" s="93"/>
      <c r="N567" s="93"/>
      <c r="O567" s="93"/>
      <c r="P567" s="93"/>
      <c r="Q567" s="93"/>
      <c r="R567" s="93"/>
      <c r="S567" s="93"/>
      <c r="T567" s="93"/>
      <c r="U567" s="93"/>
      <c r="V567" s="93"/>
      <c r="W567" s="93"/>
      <c r="X567" s="93"/>
    </row>
    <row r="568" spans="1:24" s="6" customFormat="1" ht="15.75" customHeight="1">
      <c r="A568" s="103" t="s">
        <v>89</v>
      </c>
      <c r="B568" s="93"/>
      <c r="C568" s="93"/>
      <c r="D568" s="102"/>
      <c r="E568" s="93"/>
      <c r="F568" s="93"/>
      <c r="G568" s="93"/>
      <c r="H568" s="93"/>
      <c r="I568" s="93"/>
      <c r="J568" s="93"/>
      <c r="K568" s="93"/>
      <c r="L568" s="93"/>
      <c r="M568" s="93"/>
      <c r="N568" s="93"/>
      <c r="O568" s="93"/>
      <c r="P568" s="93"/>
      <c r="Q568" s="93"/>
      <c r="R568" s="93"/>
      <c r="S568" s="93"/>
      <c r="T568" s="93"/>
      <c r="U568" s="93"/>
      <c r="V568" s="93"/>
      <c r="W568" s="93"/>
      <c r="X568" s="93"/>
    </row>
    <row r="569" spans="1:24" s="6" customFormat="1" ht="15.75" customHeight="1">
      <c r="A569" s="103" t="s">
        <v>88</v>
      </c>
      <c r="B569" s="93"/>
      <c r="C569" s="93"/>
      <c r="D569" s="102"/>
      <c r="E569" s="93"/>
      <c r="F569" s="93"/>
      <c r="G569" s="93"/>
      <c r="H569" s="93"/>
      <c r="I569" s="93"/>
      <c r="J569" s="93"/>
      <c r="K569" s="93"/>
      <c r="L569" s="93"/>
      <c r="M569" s="93"/>
      <c r="N569" s="93"/>
      <c r="O569" s="93"/>
      <c r="P569" s="93"/>
      <c r="Q569" s="93"/>
      <c r="R569" s="93"/>
      <c r="S569" s="93"/>
      <c r="T569" s="93"/>
      <c r="U569" s="93"/>
      <c r="V569" s="93"/>
      <c r="W569" s="93"/>
      <c r="X569" s="93"/>
    </row>
    <row r="572" spans="1:24" s="6" customFormat="1" ht="21">
      <c r="A572" s="19" t="s">
        <v>250</v>
      </c>
      <c r="B572" s="26"/>
    </row>
    <row r="573" spans="1:24" s="6" customFormat="1" ht="15.75" customHeight="1" thickBot="1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25"/>
    </row>
    <row r="574" spans="1:24" s="6" customFormat="1" ht="15.75" customHeight="1">
      <c r="A574" s="269" t="s">
        <v>61</v>
      </c>
      <c r="B574" s="269"/>
      <c r="C574" s="269"/>
      <c r="D574" s="72" t="s">
        <v>79</v>
      </c>
      <c r="E574" s="73" t="s">
        <v>78</v>
      </c>
      <c r="F574" s="73" t="s">
        <v>77</v>
      </c>
      <c r="G574" s="73" t="s">
        <v>76</v>
      </c>
      <c r="H574" s="73" t="s">
        <v>75</v>
      </c>
      <c r="I574" s="73" t="s">
        <v>74</v>
      </c>
      <c r="J574" s="73" t="s">
        <v>73</v>
      </c>
      <c r="K574" s="73" t="s">
        <v>72</v>
      </c>
      <c r="L574" s="73" t="s">
        <v>71</v>
      </c>
      <c r="M574" s="73" t="s">
        <v>70</v>
      </c>
      <c r="N574" s="73" t="s">
        <v>69</v>
      </c>
      <c r="O574" s="73" t="s">
        <v>68</v>
      </c>
      <c r="P574" s="73" t="s">
        <v>67</v>
      </c>
      <c r="Q574" s="73" t="s">
        <v>66</v>
      </c>
      <c r="R574" s="73" t="s">
        <v>65</v>
      </c>
      <c r="S574" s="73" t="s">
        <v>64</v>
      </c>
      <c r="T574" s="73" t="s">
        <v>63</v>
      </c>
      <c r="U574" s="74" t="s">
        <v>62</v>
      </c>
      <c r="V574" s="273" t="s">
        <v>61</v>
      </c>
      <c r="W574" s="269"/>
      <c r="X574" s="269"/>
    </row>
    <row r="575" spans="1:24" s="6" customFormat="1" ht="15.75" customHeight="1">
      <c r="A575" s="270"/>
      <c r="B575" s="270"/>
      <c r="C575" s="270"/>
      <c r="D575" s="75" t="s">
        <v>22</v>
      </c>
      <c r="E575" s="76" t="s">
        <v>60</v>
      </c>
      <c r="F575" s="76" t="s">
        <v>59</v>
      </c>
      <c r="G575" s="76" t="s">
        <v>58</v>
      </c>
      <c r="H575" s="76" t="s">
        <v>57</v>
      </c>
      <c r="I575" s="76" t="s">
        <v>56</v>
      </c>
      <c r="J575" s="76" t="s">
        <v>55</v>
      </c>
      <c r="K575" s="76" t="s">
        <v>54</v>
      </c>
      <c r="L575" s="76" t="s">
        <v>53</v>
      </c>
      <c r="M575" s="76" t="s">
        <v>52</v>
      </c>
      <c r="N575" s="76" t="s">
        <v>51</v>
      </c>
      <c r="O575" s="76" t="s">
        <v>50</v>
      </c>
      <c r="P575" s="76" t="s">
        <v>49</v>
      </c>
      <c r="Q575" s="76" t="s">
        <v>48</v>
      </c>
      <c r="R575" s="76" t="s">
        <v>47</v>
      </c>
      <c r="S575" s="76" t="s">
        <v>46</v>
      </c>
      <c r="T575" s="76" t="s">
        <v>45</v>
      </c>
      <c r="U575" s="77" t="s">
        <v>44</v>
      </c>
      <c r="V575" s="274"/>
      <c r="W575" s="270"/>
      <c r="X575" s="270"/>
    </row>
    <row r="576" spans="1:24" s="12" customFormat="1" ht="15.75" customHeight="1">
      <c r="A576" s="267" t="s">
        <v>211</v>
      </c>
      <c r="B576" s="267"/>
      <c r="C576" s="268"/>
      <c r="D576" s="80">
        <v>404221.801794859</v>
      </c>
      <c r="E576" s="81">
        <v>0</v>
      </c>
      <c r="F576" s="81">
        <v>0</v>
      </c>
      <c r="G576" s="81">
        <v>0</v>
      </c>
      <c r="H576" s="81">
        <v>0</v>
      </c>
      <c r="I576" s="81">
        <v>0</v>
      </c>
      <c r="J576" s="81">
        <v>0</v>
      </c>
      <c r="K576" s="81">
        <v>0</v>
      </c>
      <c r="L576" s="81">
        <v>0</v>
      </c>
      <c r="M576" s="81">
        <v>0</v>
      </c>
      <c r="N576" s="81">
        <v>261111.62219439799</v>
      </c>
      <c r="O576" s="81">
        <v>143110.17960046101</v>
      </c>
      <c r="P576" s="81">
        <v>0</v>
      </c>
      <c r="Q576" s="81">
        <v>0</v>
      </c>
      <c r="R576" s="81">
        <v>0</v>
      </c>
      <c r="S576" s="82">
        <v>0</v>
      </c>
      <c r="T576" s="82">
        <v>0</v>
      </c>
      <c r="U576" s="83">
        <v>0</v>
      </c>
      <c r="V576" s="267" t="s">
        <v>211</v>
      </c>
      <c r="W576" s="267"/>
      <c r="X576" s="268"/>
    </row>
    <row r="577" spans="1:24" s="12" customFormat="1" ht="15.75" customHeight="1" thickBot="1">
      <c r="A577" s="271" t="s">
        <v>242</v>
      </c>
      <c r="B577" s="271"/>
      <c r="C577" s="272"/>
      <c r="D577" s="97">
        <v>3227127.2510000002</v>
      </c>
      <c r="E577" s="86">
        <v>0</v>
      </c>
      <c r="F577" s="86">
        <v>0</v>
      </c>
      <c r="G577" s="86">
        <v>0</v>
      </c>
      <c r="H577" s="86">
        <v>0</v>
      </c>
      <c r="I577" s="86">
        <v>0</v>
      </c>
      <c r="J577" s="86">
        <v>0</v>
      </c>
      <c r="K577" s="86">
        <v>0</v>
      </c>
      <c r="L577" s="86">
        <v>0</v>
      </c>
      <c r="M577" s="86">
        <v>0</v>
      </c>
      <c r="N577" s="86">
        <v>2130559.3199999998</v>
      </c>
      <c r="O577" s="86">
        <v>1096567.9310000001</v>
      </c>
      <c r="P577" s="87">
        <v>0</v>
      </c>
      <c r="Q577" s="87">
        <v>0</v>
      </c>
      <c r="R577" s="87">
        <v>0</v>
      </c>
      <c r="S577" s="87">
        <v>0</v>
      </c>
      <c r="T577" s="87">
        <v>0</v>
      </c>
      <c r="U577" s="88">
        <v>0</v>
      </c>
      <c r="V577" s="271" t="s">
        <v>242</v>
      </c>
      <c r="W577" s="271"/>
      <c r="X577" s="272"/>
    </row>
    <row r="578" spans="1:24" s="6" customFormat="1" ht="15.75" customHeight="1">
      <c r="A578" s="220"/>
      <c r="B578" s="220"/>
      <c r="C578" s="220"/>
      <c r="D578" s="220"/>
      <c r="E578" s="220"/>
      <c r="F578" s="220"/>
      <c r="G578" s="220"/>
      <c r="H578" s="220"/>
      <c r="I578" s="220"/>
      <c r="J578" s="220"/>
      <c r="K578" s="220"/>
      <c r="L578" s="220"/>
      <c r="M578" s="220"/>
      <c r="N578" s="220"/>
      <c r="O578" s="220"/>
      <c r="P578" s="220"/>
      <c r="Q578" s="220"/>
      <c r="R578" s="220"/>
      <c r="S578" s="220"/>
      <c r="T578" s="220"/>
      <c r="U578" s="220"/>
      <c r="V578" s="220"/>
      <c r="W578" s="220"/>
      <c r="X578" s="220"/>
    </row>
    <row r="579" spans="1:24" s="7" customFormat="1" ht="15.75" customHeight="1">
      <c r="A579" s="103" t="s">
        <v>231</v>
      </c>
      <c r="B579" s="249"/>
      <c r="C579" s="250"/>
      <c r="D579" s="251"/>
      <c r="E579" s="251"/>
      <c r="F579" s="251"/>
      <c r="G579" s="251"/>
      <c r="H579" s="251"/>
      <c r="I579" s="103"/>
      <c r="J579" s="251"/>
      <c r="K579" s="251"/>
      <c r="L579" s="251"/>
      <c r="M579" s="251"/>
      <c r="N579" s="251"/>
      <c r="O579" s="103"/>
      <c r="P579" s="241"/>
      <c r="Q579" s="241"/>
      <c r="R579" s="241"/>
      <c r="S579" s="241"/>
      <c r="T579" s="241"/>
      <c r="U579" s="241"/>
      <c r="V579" s="249"/>
      <c r="W579" s="249"/>
      <c r="X579" s="250"/>
    </row>
    <row r="580" spans="1:24" s="7" customFormat="1" ht="15.75" customHeight="1">
      <c r="A580" s="103" t="s">
        <v>84</v>
      </c>
      <c r="B580" s="103"/>
      <c r="C580" s="103"/>
      <c r="D580" s="103"/>
      <c r="E580" s="103"/>
      <c r="F580" s="103"/>
      <c r="G580" s="103"/>
      <c r="H580" s="103"/>
      <c r="I580" s="103"/>
      <c r="J580" s="103"/>
      <c r="K580" s="103"/>
      <c r="L580" s="103"/>
      <c r="M580" s="103"/>
      <c r="N580" s="103"/>
      <c r="O580" s="103"/>
      <c r="P580" s="103"/>
      <c r="Q580" s="103"/>
      <c r="R580" s="103"/>
      <c r="S580" s="103"/>
      <c r="T580" s="103"/>
      <c r="U580" s="103"/>
      <c r="V580" s="103"/>
      <c r="W580" s="103"/>
      <c r="X580" s="103"/>
    </row>
    <row r="581" spans="1:24" s="6" customFormat="1" ht="15.75" customHeight="1">
      <c r="A581" s="103" t="s">
        <v>83</v>
      </c>
      <c r="B581" s="93"/>
      <c r="C581" s="93"/>
      <c r="D581" s="93"/>
      <c r="E581" s="93"/>
      <c r="F581" s="93"/>
      <c r="G581" s="93"/>
      <c r="H581" s="93"/>
      <c r="I581" s="93"/>
      <c r="J581" s="93"/>
      <c r="K581" s="93"/>
      <c r="L581" s="93"/>
      <c r="M581" s="93"/>
      <c r="N581" s="93"/>
      <c r="O581" s="93"/>
      <c r="P581" s="93"/>
      <c r="Q581" s="93"/>
      <c r="R581" s="93"/>
      <c r="S581" s="93"/>
      <c r="T581" s="93"/>
      <c r="U581" s="93"/>
      <c r="V581" s="93"/>
      <c r="W581" s="93"/>
      <c r="X581" s="93"/>
    </row>
    <row r="584" spans="1:24" s="6" customFormat="1" ht="21">
      <c r="A584" s="19" t="s">
        <v>251</v>
      </c>
      <c r="B584" s="26"/>
    </row>
    <row r="585" spans="1:24" s="6" customFormat="1" ht="15.75" customHeight="1" thickBot="1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25"/>
    </row>
    <row r="586" spans="1:24" s="6" customFormat="1" ht="15.75" customHeight="1">
      <c r="A586" s="269" t="s">
        <v>61</v>
      </c>
      <c r="B586" s="269"/>
      <c r="C586" s="269"/>
      <c r="D586" s="104" t="s">
        <v>79</v>
      </c>
      <c r="E586" s="73" t="s">
        <v>78</v>
      </c>
      <c r="F586" s="73" t="s">
        <v>77</v>
      </c>
      <c r="G586" s="73" t="s">
        <v>76</v>
      </c>
      <c r="H586" s="73" t="s">
        <v>75</v>
      </c>
      <c r="I586" s="73" t="s">
        <v>74</v>
      </c>
      <c r="J586" s="73" t="s">
        <v>73</v>
      </c>
      <c r="K586" s="73" t="s">
        <v>72</v>
      </c>
      <c r="L586" s="73" t="s">
        <v>71</v>
      </c>
      <c r="M586" s="73" t="s">
        <v>70</v>
      </c>
      <c r="N586" s="73" t="s">
        <v>69</v>
      </c>
      <c r="O586" s="73" t="s">
        <v>68</v>
      </c>
      <c r="P586" s="73" t="s">
        <v>67</v>
      </c>
      <c r="Q586" s="73" t="s">
        <v>66</v>
      </c>
      <c r="R586" s="73" t="s">
        <v>65</v>
      </c>
      <c r="S586" s="73" t="s">
        <v>64</v>
      </c>
      <c r="T586" s="73" t="s">
        <v>63</v>
      </c>
      <c r="U586" s="74" t="s">
        <v>62</v>
      </c>
      <c r="V586" s="273" t="s">
        <v>61</v>
      </c>
      <c r="W586" s="269"/>
      <c r="X586" s="269"/>
    </row>
    <row r="587" spans="1:24" s="6" customFormat="1" ht="15.75" customHeight="1">
      <c r="A587" s="270"/>
      <c r="B587" s="270"/>
      <c r="C587" s="270"/>
      <c r="D587" s="108" t="s">
        <v>22</v>
      </c>
      <c r="E587" s="76" t="s">
        <v>60</v>
      </c>
      <c r="F587" s="76" t="s">
        <v>59</v>
      </c>
      <c r="G587" s="76" t="s">
        <v>58</v>
      </c>
      <c r="H587" s="76" t="s">
        <v>57</v>
      </c>
      <c r="I587" s="76" t="s">
        <v>56</v>
      </c>
      <c r="J587" s="76" t="s">
        <v>55</v>
      </c>
      <c r="K587" s="76" t="s">
        <v>54</v>
      </c>
      <c r="L587" s="76" t="s">
        <v>53</v>
      </c>
      <c r="M587" s="76" t="s">
        <v>52</v>
      </c>
      <c r="N587" s="76" t="s">
        <v>51</v>
      </c>
      <c r="O587" s="76" t="s">
        <v>50</v>
      </c>
      <c r="P587" s="76" t="s">
        <v>49</v>
      </c>
      <c r="Q587" s="76" t="s">
        <v>48</v>
      </c>
      <c r="R587" s="76" t="s">
        <v>47</v>
      </c>
      <c r="S587" s="76" t="s">
        <v>46</v>
      </c>
      <c r="T587" s="76" t="s">
        <v>45</v>
      </c>
      <c r="U587" s="77" t="s">
        <v>44</v>
      </c>
      <c r="V587" s="274"/>
      <c r="W587" s="270"/>
      <c r="X587" s="270"/>
    </row>
    <row r="588" spans="1:24" s="12" customFormat="1" ht="15.75" customHeight="1">
      <c r="A588" s="79" t="s">
        <v>211</v>
      </c>
      <c r="B588" s="79"/>
      <c r="C588" s="79"/>
      <c r="D588" s="80">
        <v>261892.94434912634</v>
      </c>
      <c r="E588" s="81">
        <v>0</v>
      </c>
      <c r="F588" s="81">
        <v>36265.521578981599</v>
      </c>
      <c r="G588" s="81">
        <v>12942.154829176199</v>
      </c>
      <c r="H588" s="81">
        <v>5453.9237824001202</v>
      </c>
      <c r="I588" s="81">
        <v>0</v>
      </c>
      <c r="J588" s="81">
        <v>8240.9542248378693</v>
      </c>
      <c r="K588" s="81">
        <v>35879.1963387715</v>
      </c>
      <c r="L588" s="81">
        <v>10763.0221336658</v>
      </c>
      <c r="M588" s="81">
        <v>50441.201589396704</v>
      </c>
      <c r="N588" s="81">
        <v>4763.7898466426705</v>
      </c>
      <c r="O588" s="81">
        <v>26633.396810524398</v>
      </c>
      <c r="P588" s="82">
        <v>5022.6749298408804</v>
      </c>
      <c r="Q588" s="82">
        <v>16463.538737815299</v>
      </c>
      <c r="R588" s="82">
        <v>31136.010424671</v>
      </c>
      <c r="S588" s="82">
        <v>11048.492439014801</v>
      </c>
      <c r="T588" s="82">
        <v>6839.0666833874702</v>
      </c>
      <c r="U588" s="83">
        <v>0</v>
      </c>
      <c r="V588" s="79" t="s">
        <v>211</v>
      </c>
      <c r="W588" s="79"/>
      <c r="X588" s="79"/>
    </row>
    <row r="589" spans="1:24" s="12" customFormat="1" ht="15.75" customHeight="1">
      <c r="A589" s="79" t="s">
        <v>219</v>
      </c>
      <c r="B589" s="79"/>
      <c r="C589" s="79"/>
      <c r="D589" s="80">
        <v>121373.46639862868</v>
      </c>
      <c r="E589" s="81">
        <v>0</v>
      </c>
      <c r="F589" s="81">
        <v>32963.880516855002</v>
      </c>
      <c r="G589" s="81">
        <v>1640.81716242057</v>
      </c>
      <c r="H589" s="81">
        <v>0</v>
      </c>
      <c r="I589" s="81">
        <v>0</v>
      </c>
      <c r="J589" s="81">
        <v>2718.9694925542999</v>
      </c>
      <c r="K589" s="81">
        <v>3077.80592838344</v>
      </c>
      <c r="L589" s="81">
        <v>673.15351590305602</v>
      </c>
      <c r="M589" s="81">
        <v>136.09938737088601</v>
      </c>
      <c r="N589" s="81">
        <v>15789.685544132601</v>
      </c>
      <c r="O589" s="81">
        <v>1200.1277901357901</v>
      </c>
      <c r="P589" s="82">
        <v>4397.5907615818596</v>
      </c>
      <c r="Q589" s="82">
        <v>287.30467572717799</v>
      </c>
      <c r="R589" s="82">
        <v>47425.498256947903</v>
      </c>
      <c r="S589" s="82">
        <v>11062.5333666161</v>
      </c>
      <c r="T589" s="82">
        <v>0</v>
      </c>
      <c r="U589" s="83">
        <v>0</v>
      </c>
      <c r="V589" s="79" t="s">
        <v>219</v>
      </c>
      <c r="W589" s="79"/>
      <c r="X589" s="79"/>
    </row>
    <row r="590" spans="1:24" s="6" customFormat="1" ht="15.75" customHeight="1">
      <c r="A590" s="78" t="s">
        <v>227</v>
      </c>
      <c r="B590" s="78"/>
      <c r="C590" s="79"/>
      <c r="D590" s="80"/>
      <c r="E590" s="81"/>
      <c r="F590" s="81"/>
      <c r="G590" s="81"/>
      <c r="H590" s="81"/>
      <c r="I590" s="81"/>
      <c r="J590" s="81"/>
      <c r="K590" s="81"/>
      <c r="L590" s="81"/>
      <c r="M590" s="81"/>
      <c r="N590" s="81"/>
      <c r="O590" s="81"/>
      <c r="P590" s="82"/>
      <c r="Q590" s="82"/>
      <c r="R590" s="82"/>
      <c r="S590" s="82"/>
      <c r="T590" s="82"/>
      <c r="U590" s="83"/>
      <c r="V590" s="78" t="s">
        <v>227</v>
      </c>
      <c r="W590" s="78"/>
      <c r="X590" s="79"/>
    </row>
    <row r="591" spans="1:24" s="12" customFormat="1" ht="15.75" customHeight="1">
      <c r="A591" s="209"/>
      <c r="B591" s="209" t="s">
        <v>85</v>
      </c>
      <c r="C591" s="210"/>
      <c r="D591" s="214">
        <v>134867.16795185948</v>
      </c>
      <c r="E591" s="215">
        <v>0</v>
      </c>
      <c r="F591" s="215">
        <v>34395</v>
      </c>
      <c r="G591" s="215">
        <v>9900</v>
      </c>
      <c r="H591" s="215">
        <v>0</v>
      </c>
      <c r="I591" s="215">
        <v>0</v>
      </c>
      <c r="J591" s="215">
        <v>4000</v>
      </c>
      <c r="K591" s="215">
        <v>1800</v>
      </c>
      <c r="L591" s="215">
        <v>247.56795185959101</v>
      </c>
      <c r="M591" s="215">
        <v>4050</v>
      </c>
      <c r="N591" s="215">
        <v>10000</v>
      </c>
      <c r="O591" s="215">
        <v>4700</v>
      </c>
      <c r="P591" s="215">
        <v>2990</v>
      </c>
      <c r="Q591" s="215">
        <v>2050</v>
      </c>
      <c r="R591" s="215">
        <v>48084.599999999897</v>
      </c>
      <c r="S591" s="215">
        <v>12650</v>
      </c>
      <c r="T591" s="215">
        <v>0</v>
      </c>
      <c r="U591" s="216">
        <v>0</v>
      </c>
      <c r="V591" s="209"/>
      <c r="W591" s="209" t="s">
        <v>85</v>
      </c>
      <c r="X591" s="210"/>
    </row>
    <row r="592" spans="1:24" s="12" customFormat="1" ht="15.75" customHeight="1">
      <c r="A592" s="209"/>
      <c r="B592" s="209" t="s">
        <v>87</v>
      </c>
      <c r="C592" s="210"/>
      <c r="D592" s="214">
        <v>2427.0349999999999</v>
      </c>
      <c r="E592" s="236">
        <v>0</v>
      </c>
      <c r="F592" s="236">
        <v>190</v>
      </c>
      <c r="G592" s="236">
        <v>0</v>
      </c>
      <c r="H592" s="236">
        <v>49.9</v>
      </c>
      <c r="I592" s="236">
        <v>0</v>
      </c>
      <c r="J592" s="215">
        <v>49.2</v>
      </c>
      <c r="K592" s="215">
        <v>229.9</v>
      </c>
      <c r="L592" s="215">
        <v>93.9</v>
      </c>
      <c r="M592" s="215">
        <v>431.13499999999999</v>
      </c>
      <c r="N592" s="215">
        <v>98</v>
      </c>
      <c r="O592" s="215">
        <v>243.2</v>
      </c>
      <c r="P592" s="215">
        <v>0</v>
      </c>
      <c r="Q592" s="215">
        <v>121.5</v>
      </c>
      <c r="R592" s="215">
        <v>817.4</v>
      </c>
      <c r="S592" s="215">
        <v>70.399999999999906</v>
      </c>
      <c r="T592" s="215">
        <v>32.5</v>
      </c>
      <c r="U592" s="216">
        <v>0</v>
      </c>
      <c r="V592" s="209"/>
      <c r="W592" s="209" t="s">
        <v>87</v>
      </c>
      <c r="X592" s="210"/>
    </row>
    <row r="593" spans="1:24" s="6" customFormat="1" ht="15.75" customHeight="1">
      <c r="A593" s="84"/>
      <c r="B593" s="84"/>
      <c r="C593" s="217"/>
      <c r="D593" s="85"/>
      <c r="E593" s="86"/>
      <c r="F593" s="86"/>
      <c r="G593" s="86"/>
      <c r="H593" s="86"/>
      <c r="I593" s="86"/>
      <c r="J593" s="86"/>
      <c r="K593" s="86"/>
      <c r="L593" s="86"/>
      <c r="M593" s="86"/>
      <c r="N593" s="86"/>
      <c r="O593" s="86"/>
      <c r="P593" s="87"/>
      <c r="Q593" s="87"/>
      <c r="R593" s="87"/>
      <c r="S593" s="87"/>
      <c r="T593" s="87"/>
      <c r="U593" s="88"/>
      <c r="V593" s="84"/>
      <c r="W593" s="84"/>
      <c r="X593" s="217"/>
    </row>
    <row r="594" spans="1:24" s="12" customFormat="1" ht="15.75" customHeight="1">
      <c r="A594" s="78" t="s">
        <v>86</v>
      </c>
      <c r="B594" s="78"/>
      <c r="C594" s="218"/>
      <c r="D594" s="80"/>
      <c r="E594" s="81"/>
      <c r="F594" s="81"/>
      <c r="G594" s="81"/>
      <c r="H594" s="81"/>
      <c r="I594" s="81"/>
      <c r="J594" s="81"/>
      <c r="K594" s="81"/>
      <c r="L594" s="81"/>
      <c r="M594" s="81"/>
      <c r="N594" s="81"/>
      <c r="O594" s="81"/>
      <c r="P594" s="82"/>
      <c r="Q594" s="82"/>
      <c r="R594" s="82"/>
      <c r="S594" s="82"/>
      <c r="T594" s="82"/>
      <c r="U594" s="83"/>
      <c r="V594" s="78" t="s">
        <v>86</v>
      </c>
      <c r="W594" s="78"/>
      <c r="X594" s="218"/>
    </row>
    <row r="595" spans="1:24" s="12" customFormat="1" ht="15.75" customHeight="1">
      <c r="A595" s="84" t="s">
        <v>85</v>
      </c>
      <c r="B595" s="93"/>
      <c r="C595" s="219" t="s">
        <v>228</v>
      </c>
      <c r="D595" s="85">
        <v>0</v>
      </c>
      <c r="E595" s="86">
        <v>0</v>
      </c>
      <c r="F595" s="86">
        <v>0</v>
      </c>
      <c r="G595" s="86">
        <v>0</v>
      </c>
      <c r="H595" s="86">
        <v>0</v>
      </c>
      <c r="I595" s="86">
        <v>0</v>
      </c>
      <c r="J595" s="86">
        <v>0</v>
      </c>
      <c r="K595" s="86">
        <v>0</v>
      </c>
      <c r="L595" s="86">
        <v>0</v>
      </c>
      <c r="M595" s="86">
        <v>0</v>
      </c>
      <c r="N595" s="86">
        <v>0</v>
      </c>
      <c r="O595" s="86">
        <v>0</v>
      </c>
      <c r="P595" s="86">
        <v>0</v>
      </c>
      <c r="Q595" s="86">
        <v>0</v>
      </c>
      <c r="R595" s="86">
        <v>0</v>
      </c>
      <c r="S595" s="86">
        <v>0</v>
      </c>
      <c r="T595" s="86">
        <v>0</v>
      </c>
      <c r="U595" s="88">
        <v>0</v>
      </c>
      <c r="V595" s="84" t="s">
        <v>85</v>
      </c>
      <c r="W595" s="93"/>
      <c r="X595" s="219" t="s">
        <v>228</v>
      </c>
    </row>
    <row r="596" spans="1:24" s="12" customFormat="1" ht="15.75" customHeight="1">
      <c r="A596" s="84"/>
      <c r="B596" s="84"/>
      <c r="C596" s="219" t="s">
        <v>229</v>
      </c>
      <c r="D596" s="85">
        <v>2900</v>
      </c>
      <c r="E596" s="86">
        <v>0</v>
      </c>
      <c r="F596" s="86">
        <v>0</v>
      </c>
      <c r="G596" s="86">
        <v>0</v>
      </c>
      <c r="H596" s="86">
        <v>0</v>
      </c>
      <c r="I596" s="86">
        <v>0</v>
      </c>
      <c r="J596" s="86">
        <v>0</v>
      </c>
      <c r="K596" s="86">
        <v>0</v>
      </c>
      <c r="L596" s="86">
        <v>0</v>
      </c>
      <c r="M596" s="86">
        <v>0</v>
      </c>
      <c r="N596" s="86">
        <v>0</v>
      </c>
      <c r="O596" s="86">
        <v>2900</v>
      </c>
      <c r="P596" s="86">
        <v>0</v>
      </c>
      <c r="Q596" s="86">
        <v>0</v>
      </c>
      <c r="R596" s="86">
        <v>0</v>
      </c>
      <c r="S596" s="86">
        <v>0</v>
      </c>
      <c r="T596" s="86">
        <v>0</v>
      </c>
      <c r="U596" s="88">
        <v>0</v>
      </c>
      <c r="V596" s="84" t="s">
        <v>85</v>
      </c>
      <c r="W596" s="84"/>
      <c r="X596" s="219" t="s">
        <v>229</v>
      </c>
    </row>
    <row r="597" spans="1:24" s="12" customFormat="1" ht="15.75" customHeight="1">
      <c r="A597" s="84"/>
      <c r="B597" s="84"/>
      <c r="C597" s="219" t="s">
        <v>230</v>
      </c>
      <c r="D597" s="85">
        <v>495</v>
      </c>
      <c r="E597" s="86">
        <v>0</v>
      </c>
      <c r="F597" s="86">
        <v>495</v>
      </c>
      <c r="G597" s="86">
        <v>0</v>
      </c>
      <c r="H597" s="86">
        <v>0</v>
      </c>
      <c r="I597" s="86">
        <v>0</v>
      </c>
      <c r="J597" s="86">
        <v>0</v>
      </c>
      <c r="K597" s="86">
        <v>0</v>
      </c>
      <c r="L597" s="86">
        <v>0</v>
      </c>
      <c r="M597" s="86">
        <v>0</v>
      </c>
      <c r="N597" s="86">
        <v>0</v>
      </c>
      <c r="O597" s="86">
        <v>0</v>
      </c>
      <c r="P597" s="87">
        <v>0</v>
      </c>
      <c r="Q597" s="87">
        <v>0</v>
      </c>
      <c r="R597" s="87">
        <v>0</v>
      </c>
      <c r="S597" s="87">
        <v>0</v>
      </c>
      <c r="T597" s="87">
        <v>0</v>
      </c>
      <c r="U597" s="88">
        <v>0</v>
      </c>
      <c r="V597" s="84"/>
      <c r="W597" s="84"/>
      <c r="X597" s="219" t="s">
        <v>230</v>
      </c>
    </row>
    <row r="598" spans="1:24" s="12" customFormat="1" ht="15.75" customHeight="1">
      <c r="A598" s="84"/>
      <c r="B598" s="93"/>
      <c r="C598" s="84"/>
      <c r="D598" s="85"/>
      <c r="E598" s="86"/>
      <c r="F598" s="86"/>
      <c r="G598" s="86"/>
      <c r="H598" s="86"/>
      <c r="I598" s="86"/>
      <c r="J598" s="86"/>
      <c r="K598" s="86"/>
      <c r="L598" s="86"/>
      <c r="M598" s="86"/>
      <c r="N598" s="86"/>
      <c r="O598" s="86"/>
      <c r="P598" s="87"/>
      <c r="Q598" s="87"/>
      <c r="R598" s="87"/>
      <c r="S598" s="87"/>
      <c r="T598" s="87"/>
      <c r="U598" s="88"/>
      <c r="V598" s="84"/>
      <c r="W598" s="93"/>
      <c r="X598" s="84"/>
    </row>
    <row r="599" spans="1:24" s="12" customFormat="1" ht="15.75" customHeight="1">
      <c r="A599" s="84" t="s">
        <v>87</v>
      </c>
      <c r="B599" s="93"/>
      <c r="C599" s="219" t="s">
        <v>228</v>
      </c>
      <c r="D599" s="85">
        <v>33.9</v>
      </c>
      <c r="E599" s="86">
        <v>0</v>
      </c>
      <c r="F599" s="86">
        <v>0</v>
      </c>
      <c r="G599" s="86">
        <v>0</v>
      </c>
      <c r="H599" s="86">
        <v>19.899999999999999</v>
      </c>
      <c r="I599" s="86">
        <v>0</v>
      </c>
      <c r="J599" s="86">
        <v>0</v>
      </c>
      <c r="K599" s="86">
        <v>0</v>
      </c>
      <c r="L599" s="86">
        <v>0</v>
      </c>
      <c r="M599" s="86">
        <v>14</v>
      </c>
      <c r="N599" s="86">
        <v>0</v>
      </c>
      <c r="O599" s="86">
        <v>0</v>
      </c>
      <c r="P599" s="86">
        <v>0</v>
      </c>
      <c r="Q599" s="86">
        <v>0</v>
      </c>
      <c r="R599" s="86">
        <v>0</v>
      </c>
      <c r="S599" s="86">
        <v>0</v>
      </c>
      <c r="T599" s="86">
        <v>0</v>
      </c>
      <c r="U599" s="88">
        <v>0</v>
      </c>
      <c r="V599" s="84" t="s">
        <v>87</v>
      </c>
      <c r="W599" s="93"/>
      <c r="X599" s="219" t="s">
        <v>228</v>
      </c>
    </row>
    <row r="600" spans="1:24" s="12" customFormat="1" ht="15.75" customHeight="1">
      <c r="A600" s="84"/>
      <c r="B600" s="84"/>
      <c r="C600" s="219" t="s">
        <v>229</v>
      </c>
      <c r="D600" s="85">
        <v>0</v>
      </c>
      <c r="E600" s="86">
        <v>0</v>
      </c>
      <c r="F600" s="86">
        <v>0</v>
      </c>
      <c r="G600" s="86">
        <v>0</v>
      </c>
      <c r="H600" s="86">
        <v>0</v>
      </c>
      <c r="I600" s="86">
        <v>0</v>
      </c>
      <c r="J600" s="86">
        <v>0</v>
      </c>
      <c r="K600" s="86">
        <v>0</v>
      </c>
      <c r="L600" s="86">
        <v>0</v>
      </c>
      <c r="M600" s="86">
        <v>0</v>
      </c>
      <c r="N600" s="86">
        <v>0</v>
      </c>
      <c r="O600" s="86">
        <v>0</v>
      </c>
      <c r="P600" s="86">
        <v>0</v>
      </c>
      <c r="Q600" s="86">
        <v>0</v>
      </c>
      <c r="R600" s="86">
        <v>0</v>
      </c>
      <c r="S600" s="86">
        <v>0</v>
      </c>
      <c r="T600" s="86">
        <v>0</v>
      </c>
      <c r="U600" s="88">
        <v>0</v>
      </c>
      <c r="V600" s="84"/>
      <c r="W600" s="84"/>
      <c r="X600" s="219" t="s">
        <v>229</v>
      </c>
    </row>
    <row r="601" spans="1:24" s="12" customFormat="1" ht="15.75" customHeight="1" thickBot="1">
      <c r="A601" s="96"/>
      <c r="B601" s="96"/>
      <c r="C601" s="219" t="s">
        <v>230</v>
      </c>
      <c r="D601" s="85">
        <v>102</v>
      </c>
      <c r="E601" s="86">
        <v>0</v>
      </c>
      <c r="F601" s="86">
        <v>4</v>
      </c>
      <c r="G601" s="86">
        <v>0</v>
      </c>
      <c r="H601" s="86">
        <v>0</v>
      </c>
      <c r="I601" s="86">
        <v>0</v>
      </c>
      <c r="J601" s="86">
        <v>0</v>
      </c>
      <c r="K601" s="86">
        <v>0</v>
      </c>
      <c r="L601" s="86">
        <v>0</v>
      </c>
      <c r="M601" s="86">
        <v>0</v>
      </c>
      <c r="N601" s="86">
        <v>98</v>
      </c>
      <c r="O601" s="86">
        <v>0</v>
      </c>
      <c r="P601" s="87">
        <v>0</v>
      </c>
      <c r="Q601" s="87">
        <v>0</v>
      </c>
      <c r="R601" s="87">
        <v>0</v>
      </c>
      <c r="S601" s="87">
        <v>0</v>
      </c>
      <c r="T601" s="87">
        <v>0</v>
      </c>
      <c r="U601" s="88">
        <v>0</v>
      </c>
      <c r="V601" s="96"/>
      <c r="W601" s="96"/>
      <c r="X601" s="219" t="s">
        <v>230</v>
      </c>
    </row>
    <row r="602" spans="1:24" s="6" customFormat="1" ht="15.75" customHeight="1">
      <c r="A602" s="220"/>
      <c r="B602" s="220"/>
      <c r="C602" s="220"/>
      <c r="D602" s="237"/>
      <c r="E602" s="220"/>
      <c r="F602" s="220"/>
      <c r="G602" s="220"/>
      <c r="H602" s="220"/>
      <c r="I602" s="220"/>
      <c r="J602" s="220"/>
      <c r="K602" s="220"/>
      <c r="L602" s="220"/>
      <c r="M602" s="220"/>
      <c r="N602" s="220"/>
      <c r="O602" s="220"/>
      <c r="P602" s="220"/>
      <c r="Q602" s="220"/>
      <c r="R602" s="220"/>
      <c r="S602" s="220"/>
      <c r="T602" s="220"/>
      <c r="U602" s="220"/>
      <c r="V602" s="220"/>
      <c r="W602" s="220"/>
      <c r="X602" s="220"/>
    </row>
    <row r="603" spans="1:24" s="6" customFormat="1" ht="15.75" customHeight="1">
      <c r="A603" s="103" t="s">
        <v>231</v>
      </c>
      <c r="B603" s="93"/>
      <c r="C603" s="93"/>
      <c r="D603" s="102"/>
      <c r="E603" s="93"/>
      <c r="F603" s="93"/>
      <c r="G603" s="93"/>
      <c r="H603" s="93"/>
      <c r="I603" s="93"/>
      <c r="J603" s="93"/>
      <c r="K603" s="93"/>
      <c r="L603" s="93"/>
      <c r="M603" s="93"/>
      <c r="N603" s="93"/>
      <c r="O603" s="93"/>
      <c r="P603" s="93"/>
      <c r="Q603" s="93"/>
      <c r="R603" s="93"/>
      <c r="S603" s="93"/>
      <c r="T603" s="93"/>
      <c r="U603" s="93"/>
      <c r="V603" s="93"/>
      <c r="W603" s="93"/>
      <c r="X603" s="93"/>
    </row>
    <row r="604" spans="1:24" s="6" customFormat="1" ht="15.75" customHeight="1">
      <c r="A604" s="103" t="s">
        <v>84</v>
      </c>
      <c r="B604" s="93"/>
      <c r="C604" s="93"/>
      <c r="D604" s="102"/>
      <c r="E604" s="93"/>
      <c r="F604" s="93"/>
      <c r="G604" s="93"/>
      <c r="H604" s="93"/>
      <c r="I604" s="93"/>
      <c r="J604" s="93"/>
      <c r="K604" s="93"/>
      <c r="L604" s="93"/>
      <c r="M604" s="93"/>
      <c r="N604" s="93"/>
      <c r="O604" s="93"/>
      <c r="P604" s="93"/>
      <c r="Q604" s="93"/>
      <c r="R604" s="93"/>
      <c r="S604" s="93"/>
      <c r="T604" s="93"/>
      <c r="U604" s="93"/>
      <c r="V604" s="93"/>
      <c r="W604" s="93"/>
      <c r="X604" s="93"/>
    </row>
    <row r="605" spans="1:24" s="6" customFormat="1" ht="15.75" customHeight="1">
      <c r="A605" s="103" t="s">
        <v>83</v>
      </c>
      <c r="B605" s="93"/>
      <c r="C605" s="93"/>
      <c r="D605" s="102"/>
      <c r="E605" s="93"/>
      <c r="F605" s="93"/>
      <c r="G605" s="93"/>
      <c r="H605" s="93"/>
      <c r="I605" s="93"/>
      <c r="J605" s="93"/>
      <c r="K605" s="93"/>
      <c r="L605" s="93"/>
      <c r="M605" s="93"/>
      <c r="N605" s="93"/>
      <c r="O605" s="93"/>
      <c r="P605" s="93"/>
      <c r="Q605" s="93"/>
      <c r="R605" s="93"/>
      <c r="S605" s="93"/>
      <c r="T605" s="93"/>
      <c r="U605" s="93"/>
      <c r="V605" s="93"/>
      <c r="W605" s="93"/>
      <c r="X605" s="93"/>
    </row>
    <row r="608" spans="1:24" s="6" customFormat="1" ht="21">
      <c r="A608" s="19" t="s">
        <v>252</v>
      </c>
      <c r="B608" s="26"/>
    </row>
    <row r="609" spans="1:24" s="6" customFormat="1" ht="15.75" customHeight="1" thickBot="1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25"/>
    </row>
    <row r="610" spans="1:24" s="6" customFormat="1" ht="15.75" customHeight="1">
      <c r="A610" s="269" t="s">
        <v>61</v>
      </c>
      <c r="B610" s="269"/>
      <c r="C610" s="269"/>
      <c r="D610" s="72" t="s">
        <v>79</v>
      </c>
      <c r="E610" s="73" t="s">
        <v>78</v>
      </c>
      <c r="F610" s="73" t="s">
        <v>77</v>
      </c>
      <c r="G610" s="73" t="s">
        <v>76</v>
      </c>
      <c r="H610" s="73" t="s">
        <v>75</v>
      </c>
      <c r="I610" s="73" t="s">
        <v>74</v>
      </c>
      <c r="J610" s="73" t="s">
        <v>73</v>
      </c>
      <c r="K610" s="73" t="s">
        <v>72</v>
      </c>
      <c r="L610" s="73" t="s">
        <v>71</v>
      </c>
      <c r="M610" s="73" t="s">
        <v>70</v>
      </c>
      <c r="N610" s="73" t="s">
        <v>69</v>
      </c>
      <c r="O610" s="73" t="s">
        <v>68</v>
      </c>
      <c r="P610" s="73" t="s">
        <v>67</v>
      </c>
      <c r="Q610" s="73" t="s">
        <v>66</v>
      </c>
      <c r="R610" s="73" t="s">
        <v>65</v>
      </c>
      <c r="S610" s="73" t="s">
        <v>64</v>
      </c>
      <c r="T610" s="73" t="s">
        <v>63</v>
      </c>
      <c r="U610" s="74" t="s">
        <v>62</v>
      </c>
      <c r="V610" s="273" t="s">
        <v>61</v>
      </c>
      <c r="W610" s="269"/>
      <c r="X610" s="269"/>
    </row>
    <row r="611" spans="1:24" s="6" customFormat="1" ht="15.75" customHeight="1">
      <c r="A611" s="270"/>
      <c r="B611" s="270"/>
      <c r="C611" s="270"/>
      <c r="D611" s="75" t="s">
        <v>22</v>
      </c>
      <c r="E611" s="76" t="s">
        <v>60</v>
      </c>
      <c r="F611" s="76" t="s">
        <v>59</v>
      </c>
      <c r="G611" s="76" t="s">
        <v>58</v>
      </c>
      <c r="H611" s="76" t="s">
        <v>57</v>
      </c>
      <c r="I611" s="76" t="s">
        <v>56</v>
      </c>
      <c r="J611" s="76" t="s">
        <v>55</v>
      </c>
      <c r="K611" s="76" t="s">
        <v>54</v>
      </c>
      <c r="L611" s="76" t="s">
        <v>53</v>
      </c>
      <c r="M611" s="76" t="s">
        <v>52</v>
      </c>
      <c r="N611" s="76" t="s">
        <v>51</v>
      </c>
      <c r="O611" s="76" t="s">
        <v>50</v>
      </c>
      <c r="P611" s="76" t="s">
        <v>49</v>
      </c>
      <c r="Q611" s="76" t="s">
        <v>48</v>
      </c>
      <c r="R611" s="76" t="s">
        <v>47</v>
      </c>
      <c r="S611" s="76" t="s">
        <v>46</v>
      </c>
      <c r="T611" s="76" t="s">
        <v>45</v>
      </c>
      <c r="U611" s="77" t="s">
        <v>44</v>
      </c>
      <c r="V611" s="274"/>
      <c r="W611" s="270"/>
      <c r="X611" s="270"/>
    </row>
    <row r="612" spans="1:24" s="12" customFormat="1" ht="15.75" customHeight="1">
      <c r="A612" s="79" t="s">
        <v>211</v>
      </c>
      <c r="B612" s="79"/>
      <c r="C612" s="79"/>
      <c r="D612" s="80">
        <v>0</v>
      </c>
      <c r="E612" s="81">
        <v>0</v>
      </c>
      <c r="F612" s="81">
        <v>0</v>
      </c>
      <c r="G612" s="81">
        <v>0</v>
      </c>
      <c r="H612" s="81">
        <v>0</v>
      </c>
      <c r="I612" s="81">
        <v>0</v>
      </c>
      <c r="J612" s="81">
        <v>0</v>
      </c>
      <c r="K612" s="81">
        <v>0</v>
      </c>
      <c r="L612" s="81">
        <v>0</v>
      </c>
      <c r="M612" s="81">
        <v>0</v>
      </c>
      <c r="N612" s="81">
        <v>0</v>
      </c>
      <c r="O612" s="81">
        <v>0</v>
      </c>
      <c r="P612" s="81">
        <v>0</v>
      </c>
      <c r="Q612" s="81">
        <v>0</v>
      </c>
      <c r="R612" s="81">
        <v>0</v>
      </c>
      <c r="S612" s="81">
        <v>0</v>
      </c>
      <c r="T612" s="81">
        <v>0</v>
      </c>
      <c r="U612" s="83">
        <v>0</v>
      </c>
      <c r="V612" s="79" t="s">
        <v>211</v>
      </c>
      <c r="W612" s="79"/>
      <c r="X612" s="79"/>
    </row>
    <row r="613" spans="1:24" s="12" customFormat="1" ht="15.75" customHeight="1">
      <c r="A613" s="79" t="s">
        <v>219</v>
      </c>
      <c r="B613" s="79"/>
      <c r="C613" s="79"/>
      <c r="D613" s="80">
        <v>0</v>
      </c>
      <c r="E613" s="81">
        <v>0</v>
      </c>
      <c r="F613" s="81">
        <v>0</v>
      </c>
      <c r="G613" s="81">
        <v>0</v>
      </c>
      <c r="H613" s="81">
        <v>0</v>
      </c>
      <c r="I613" s="81">
        <v>0</v>
      </c>
      <c r="J613" s="81">
        <v>0</v>
      </c>
      <c r="K613" s="81">
        <v>0</v>
      </c>
      <c r="L613" s="81">
        <v>0</v>
      </c>
      <c r="M613" s="81">
        <v>0</v>
      </c>
      <c r="N613" s="81">
        <v>0</v>
      </c>
      <c r="O613" s="81">
        <v>0</v>
      </c>
      <c r="P613" s="81">
        <v>0</v>
      </c>
      <c r="Q613" s="81">
        <v>0</v>
      </c>
      <c r="R613" s="82">
        <v>0</v>
      </c>
      <c r="S613" s="82">
        <v>0</v>
      </c>
      <c r="T613" s="82">
        <v>0</v>
      </c>
      <c r="U613" s="83">
        <v>0</v>
      </c>
      <c r="V613" s="79" t="s">
        <v>219</v>
      </c>
      <c r="W613" s="79"/>
      <c r="X613" s="79"/>
    </row>
    <row r="614" spans="1:24" s="6" customFormat="1" ht="15.75" customHeight="1">
      <c r="A614" s="78" t="s">
        <v>227</v>
      </c>
      <c r="B614" s="78"/>
      <c r="C614" s="79"/>
      <c r="D614" s="80"/>
      <c r="E614" s="81"/>
      <c r="F614" s="81"/>
      <c r="G614" s="81"/>
      <c r="H614" s="81"/>
      <c r="I614" s="81"/>
      <c r="J614" s="81"/>
      <c r="K614" s="81"/>
      <c r="L614" s="81"/>
      <c r="M614" s="81"/>
      <c r="N614" s="81"/>
      <c r="O614" s="81"/>
      <c r="P614" s="82"/>
      <c r="Q614" s="82"/>
      <c r="R614" s="82"/>
      <c r="S614" s="82"/>
      <c r="T614" s="82"/>
      <c r="U614" s="83"/>
      <c r="V614" s="78" t="s">
        <v>227</v>
      </c>
      <c r="W614" s="78"/>
      <c r="X614" s="79"/>
    </row>
    <row r="615" spans="1:24" s="12" customFormat="1" ht="15.75" customHeight="1">
      <c r="A615" s="209"/>
      <c r="B615" s="209" t="s">
        <v>85</v>
      </c>
      <c r="C615" s="210"/>
      <c r="D615" s="214">
        <v>0</v>
      </c>
      <c r="E615" s="215">
        <v>0</v>
      </c>
      <c r="F615" s="215">
        <v>0</v>
      </c>
      <c r="G615" s="215">
        <v>0</v>
      </c>
      <c r="H615" s="215">
        <v>0</v>
      </c>
      <c r="I615" s="215">
        <v>0</v>
      </c>
      <c r="J615" s="215">
        <v>0</v>
      </c>
      <c r="K615" s="215">
        <v>0</v>
      </c>
      <c r="L615" s="215">
        <v>0</v>
      </c>
      <c r="M615" s="215">
        <v>0</v>
      </c>
      <c r="N615" s="215">
        <v>0</v>
      </c>
      <c r="O615" s="215">
        <v>0</v>
      </c>
      <c r="P615" s="215">
        <v>0</v>
      </c>
      <c r="Q615" s="215">
        <v>0</v>
      </c>
      <c r="R615" s="215">
        <v>0</v>
      </c>
      <c r="S615" s="215">
        <v>0</v>
      </c>
      <c r="T615" s="215">
        <v>0</v>
      </c>
      <c r="U615" s="216">
        <v>0</v>
      </c>
      <c r="V615" s="209"/>
      <c r="W615" s="209" t="s">
        <v>85</v>
      </c>
      <c r="X615" s="210"/>
    </row>
    <row r="616" spans="1:24" s="6" customFormat="1" ht="15.75" customHeight="1">
      <c r="A616" s="84"/>
      <c r="B616" s="84"/>
      <c r="C616" s="217"/>
      <c r="D616" s="85"/>
      <c r="E616" s="86"/>
      <c r="F616" s="86"/>
      <c r="G616" s="86"/>
      <c r="H616" s="86"/>
      <c r="I616" s="86"/>
      <c r="J616" s="86"/>
      <c r="K616" s="86"/>
      <c r="L616" s="86"/>
      <c r="M616" s="86"/>
      <c r="N616" s="86"/>
      <c r="O616" s="86"/>
      <c r="P616" s="87"/>
      <c r="Q616" s="87"/>
      <c r="R616" s="87"/>
      <c r="S616" s="87"/>
      <c r="T616" s="87"/>
      <c r="U616" s="88"/>
      <c r="V616" s="84"/>
      <c r="W616" s="84"/>
      <c r="X616" s="217"/>
    </row>
    <row r="617" spans="1:24" s="12" customFormat="1" ht="15.75" customHeight="1">
      <c r="A617" s="78" t="s">
        <v>86</v>
      </c>
      <c r="B617" s="78"/>
      <c r="C617" s="218"/>
      <c r="D617" s="80"/>
      <c r="E617" s="81"/>
      <c r="F617" s="81"/>
      <c r="G617" s="81"/>
      <c r="H617" s="81"/>
      <c r="I617" s="81"/>
      <c r="J617" s="81"/>
      <c r="K617" s="81"/>
      <c r="L617" s="81"/>
      <c r="M617" s="81"/>
      <c r="N617" s="81"/>
      <c r="O617" s="81"/>
      <c r="P617" s="82"/>
      <c r="Q617" s="82"/>
      <c r="R617" s="82"/>
      <c r="S617" s="82"/>
      <c r="T617" s="82"/>
      <c r="U617" s="83"/>
      <c r="V617" s="78" t="s">
        <v>86</v>
      </c>
      <c r="W617" s="78"/>
      <c r="X617" s="218"/>
    </row>
    <row r="618" spans="1:24" s="12" customFormat="1" ht="15.75" customHeight="1">
      <c r="A618" s="84" t="s">
        <v>85</v>
      </c>
      <c r="B618" s="93"/>
      <c r="C618" s="219" t="s">
        <v>228</v>
      </c>
      <c r="D618" s="85">
        <v>0</v>
      </c>
      <c r="E618" s="86">
        <v>0</v>
      </c>
      <c r="F618" s="86">
        <v>0</v>
      </c>
      <c r="G618" s="86">
        <v>0</v>
      </c>
      <c r="H618" s="86">
        <v>0</v>
      </c>
      <c r="I618" s="86">
        <v>0</v>
      </c>
      <c r="J618" s="86">
        <v>0</v>
      </c>
      <c r="K618" s="86">
        <v>0</v>
      </c>
      <c r="L618" s="86">
        <v>0</v>
      </c>
      <c r="M618" s="86">
        <v>0</v>
      </c>
      <c r="N618" s="86">
        <v>0</v>
      </c>
      <c r="O618" s="86">
        <v>0</v>
      </c>
      <c r="P618" s="86">
        <v>0</v>
      </c>
      <c r="Q618" s="86">
        <v>0</v>
      </c>
      <c r="R618" s="86">
        <v>0</v>
      </c>
      <c r="S618" s="86">
        <v>0</v>
      </c>
      <c r="T618" s="86">
        <v>0</v>
      </c>
      <c r="U618" s="88">
        <v>0</v>
      </c>
      <c r="V618" s="84" t="s">
        <v>85</v>
      </c>
      <c r="W618" s="93"/>
      <c r="X618" s="219" t="s">
        <v>228</v>
      </c>
    </row>
    <row r="619" spans="1:24" s="12" customFormat="1" ht="15.75" customHeight="1">
      <c r="A619" s="84"/>
      <c r="B619" s="84"/>
      <c r="C619" s="219" t="s">
        <v>229</v>
      </c>
      <c r="D619" s="85">
        <v>0</v>
      </c>
      <c r="E619" s="86">
        <v>0</v>
      </c>
      <c r="F619" s="86">
        <v>0</v>
      </c>
      <c r="G619" s="86">
        <v>0</v>
      </c>
      <c r="H619" s="86">
        <v>0</v>
      </c>
      <c r="I619" s="86">
        <v>0</v>
      </c>
      <c r="J619" s="86">
        <v>0</v>
      </c>
      <c r="K619" s="86">
        <v>0</v>
      </c>
      <c r="L619" s="86">
        <v>0</v>
      </c>
      <c r="M619" s="86">
        <v>0</v>
      </c>
      <c r="N619" s="86">
        <v>0</v>
      </c>
      <c r="O619" s="86">
        <v>0</v>
      </c>
      <c r="P619" s="86">
        <v>0</v>
      </c>
      <c r="Q619" s="86">
        <v>0</v>
      </c>
      <c r="R619" s="86">
        <v>0</v>
      </c>
      <c r="S619" s="86">
        <v>0</v>
      </c>
      <c r="T619" s="86">
        <v>0</v>
      </c>
      <c r="U619" s="88">
        <v>0</v>
      </c>
      <c r="V619" s="84"/>
      <c r="W619" s="84"/>
      <c r="X619" s="219" t="s">
        <v>229</v>
      </c>
    </row>
    <row r="620" spans="1:24" s="12" customFormat="1" ht="15.75" customHeight="1" thickBot="1">
      <c r="A620" s="84"/>
      <c r="B620" s="84"/>
      <c r="C620" s="219" t="s">
        <v>230</v>
      </c>
      <c r="D620" s="85">
        <v>0</v>
      </c>
      <c r="E620" s="86">
        <v>0</v>
      </c>
      <c r="F620" s="86">
        <v>0</v>
      </c>
      <c r="G620" s="86">
        <v>0</v>
      </c>
      <c r="H620" s="86">
        <v>0</v>
      </c>
      <c r="I620" s="86">
        <v>0</v>
      </c>
      <c r="J620" s="86">
        <v>0</v>
      </c>
      <c r="K620" s="86">
        <v>0</v>
      </c>
      <c r="L620" s="86">
        <v>0</v>
      </c>
      <c r="M620" s="86">
        <v>0</v>
      </c>
      <c r="N620" s="86">
        <v>0</v>
      </c>
      <c r="O620" s="86">
        <v>0</v>
      </c>
      <c r="P620" s="87">
        <v>0</v>
      </c>
      <c r="Q620" s="87">
        <v>0</v>
      </c>
      <c r="R620" s="87">
        <v>0</v>
      </c>
      <c r="S620" s="87">
        <v>0</v>
      </c>
      <c r="T620" s="87">
        <v>0</v>
      </c>
      <c r="U620" s="88">
        <v>0</v>
      </c>
      <c r="V620" s="84"/>
      <c r="W620" s="84"/>
      <c r="X620" s="219" t="s">
        <v>230</v>
      </c>
    </row>
    <row r="621" spans="1:24" s="6" customFormat="1" ht="15.75" customHeight="1">
      <c r="A621" s="220"/>
      <c r="B621" s="220"/>
      <c r="C621" s="220"/>
      <c r="D621" s="220"/>
      <c r="E621" s="220"/>
      <c r="F621" s="220"/>
      <c r="G621" s="220"/>
      <c r="H621" s="220"/>
      <c r="I621" s="220"/>
      <c r="J621" s="220"/>
      <c r="K621" s="220"/>
      <c r="L621" s="220"/>
      <c r="M621" s="220"/>
      <c r="N621" s="220"/>
      <c r="O621" s="220"/>
      <c r="P621" s="220"/>
      <c r="Q621" s="220"/>
      <c r="R621" s="220"/>
      <c r="S621" s="220"/>
      <c r="T621" s="220"/>
      <c r="U621" s="220"/>
      <c r="V621" s="220"/>
      <c r="W621" s="220"/>
      <c r="X621" s="220"/>
    </row>
    <row r="622" spans="1:24" s="6" customFormat="1" ht="15.75" customHeight="1">
      <c r="A622" s="103" t="s">
        <v>231</v>
      </c>
      <c r="B622" s="93"/>
      <c r="C622" s="93"/>
      <c r="D622" s="93"/>
      <c r="E622" s="93"/>
      <c r="F622" s="93"/>
      <c r="G622" s="93"/>
      <c r="H622" s="93"/>
      <c r="I622" s="93"/>
      <c r="J622" s="93"/>
      <c r="K622" s="93"/>
      <c r="L622" s="93"/>
      <c r="M622" s="93"/>
      <c r="N622" s="93"/>
      <c r="O622" s="93"/>
      <c r="P622" s="93"/>
      <c r="Q622" s="93"/>
      <c r="R622" s="93"/>
      <c r="S622" s="93"/>
      <c r="T622" s="93"/>
      <c r="U622" s="93"/>
      <c r="V622" s="93"/>
      <c r="W622" s="93"/>
      <c r="X622" s="93"/>
    </row>
    <row r="623" spans="1:24" s="6" customFormat="1" ht="15.75" customHeight="1">
      <c r="A623" s="103" t="s">
        <v>84</v>
      </c>
      <c r="B623" s="93"/>
      <c r="C623" s="93"/>
      <c r="D623" s="93"/>
      <c r="E623" s="93"/>
      <c r="F623" s="93"/>
      <c r="G623" s="93"/>
      <c r="H623" s="93"/>
      <c r="I623" s="93"/>
      <c r="J623" s="93"/>
      <c r="K623" s="93"/>
      <c r="L623" s="93"/>
      <c r="M623" s="93"/>
      <c r="N623" s="93"/>
      <c r="O623" s="93"/>
      <c r="P623" s="93"/>
      <c r="Q623" s="93"/>
      <c r="R623" s="93"/>
      <c r="S623" s="93"/>
      <c r="T623" s="93"/>
      <c r="U623" s="93"/>
      <c r="V623" s="93"/>
      <c r="W623" s="93"/>
      <c r="X623" s="93"/>
    </row>
    <row r="624" spans="1:24" s="6" customFormat="1" ht="15.75" customHeight="1">
      <c r="A624" s="103" t="s">
        <v>83</v>
      </c>
      <c r="B624" s="93"/>
      <c r="C624" s="93"/>
      <c r="D624" s="93"/>
      <c r="E624" s="93"/>
      <c r="F624" s="93"/>
      <c r="G624" s="93"/>
      <c r="H624" s="93"/>
      <c r="I624" s="93"/>
      <c r="J624" s="93"/>
      <c r="K624" s="93"/>
      <c r="L624" s="93"/>
      <c r="M624" s="93"/>
      <c r="N624" s="93"/>
      <c r="O624" s="93"/>
      <c r="P624" s="93"/>
      <c r="Q624" s="93"/>
      <c r="R624" s="93"/>
      <c r="S624" s="93"/>
      <c r="T624" s="93"/>
      <c r="U624" s="93"/>
      <c r="V624" s="93"/>
      <c r="W624" s="93"/>
      <c r="X624" s="93"/>
    </row>
    <row r="627" spans="1:24" s="6" customFormat="1" ht="21">
      <c r="B627" s="18"/>
      <c r="C627" s="24" t="s">
        <v>82</v>
      </c>
      <c r="U627" s="12"/>
      <c r="V627" s="12"/>
    </row>
    <row r="628" spans="1:24" s="6" customFormat="1" ht="15.75" customHeight="1" thickBot="1">
      <c r="A628" s="12"/>
      <c r="B628" s="12"/>
      <c r="C628" s="22"/>
      <c r="D628" s="23"/>
      <c r="E628" s="22"/>
      <c r="F628" s="22"/>
      <c r="G628" s="22"/>
      <c r="H628" s="22"/>
      <c r="I628" s="23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1"/>
      <c r="U628" s="12"/>
      <c r="V628" s="15"/>
    </row>
    <row r="629" spans="1:24" s="6" customFormat="1" ht="15.75" customHeight="1">
      <c r="C629" s="269" t="s">
        <v>61</v>
      </c>
      <c r="D629" s="269"/>
      <c r="E629" s="104" t="s">
        <v>79</v>
      </c>
      <c r="F629" s="73" t="s">
        <v>78</v>
      </c>
      <c r="G629" s="73" t="s">
        <v>77</v>
      </c>
      <c r="H629" s="73" t="s">
        <v>76</v>
      </c>
      <c r="I629" s="73" t="s">
        <v>75</v>
      </c>
      <c r="J629" s="73" t="s">
        <v>74</v>
      </c>
      <c r="K629" s="73" t="s">
        <v>73</v>
      </c>
      <c r="L629" s="73" t="s">
        <v>72</v>
      </c>
      <c r="M629" s="73" t="s">
        <v>71</v>
      </c>
      <c r="N629" s="73" t="s">
        <v>70</v>
      </c>
      <c r="O629" s="73" t="s">
        <v>69</v>
      </c>
      <c r="P629" s="73" t="s">
        <v>68</v>
      </c>
      <c r="Q629" s="73" t="s">
        <v>67</v>
      </c>
      <c r="R629" s="73" t="s">
        <v>66</v>
      </c>
      <c r="S629" s="73" t="s">
        <v>65</v>
      </c>
      <c r="T629" s="73" t="s">
        <v>64</v>
      </c>
      <c r="U629" s="73" t="s">
        <v>63</v>
      </c>
      <c r="V629" s="74" t="s">
        <v>62</v>
      </c>
      <c r="W629" s="273" t="s">
        <v>61</v>
      </c>
      <c r="X629" s="269"/>
    </row>
    <row r="630" spans="1:24" s="6" customFormat="1" ht="15.75" customHeight="1">
      <c r="C630" s="270"/>
      <c r="D630" s="270"/>
      <c r="E630" s="108" t="s">
        <v>22</v>
      </c>
      <c r="F630" s="76" t="s">
        <v>60</v>
      </c>
      <c r="G630" s="76" t="s">
        <v>59</v>
      </c>
      <c r="H630" s="76" t="s">
        <v>58</v>
      </c>
      <c r="I630" s="76" t="s">
        <v>57</v>
      </c>
      <c r="J630" s="76" t="s">
        <v>56</v>
      </c>
      <c r="K630" s="76" t="s">
        <v>55</v>
      </c>
      <c r="L630" s="76" t="s">
        <v>54</v>
      </c>
      <c r="M630" s="76" t="s">
        <v>53</v>
      </c>
      <c r="N630" s="76" t="s">
        <v>52</v>
      </c>
      <c r="O630" s="76" t="s">
        <v>51</v>
      </c>
      <c r="P630" s="76" t="s">
        <v>50</v>
      </c>
      <c r="Q630" s="76" t="s">
        <v>49</v>
      </c>
      <c r="R630" s="76" t="s">
        <v>48</v>
      </c>
      <c r="S630" s="76" t="s">
        <v>47</v>
      </c>
      <c r="T630" s="76" t="s">
        <v>46</v>
      </c>
      <c r="U630" s="76" t="s">
        <v>45</v>
      </c>
      <c r="V630" s="77" t="s">
        <v>44</v>
      </c>
      <c r="W630" s="274"/>
      <c r="X630" s="270"/>
    </row>
    <row r="631" spans="1:24" s="6" customFormat="1" ht="15.75" customHeight="1">
      <c r="C631" s="78" t="s">
        <v>211</v>
      </c>
      <c r="D631" s="79"/>
      <c r="E631" s="80">
        <v>1334301.3237563248</v>
      </c>
      <c r="F631" s="81">
        <v>84126.208397436698</v>
      </c>
      <c r="G631" s="81">
        <v>67554.636707746293</v>
      </c>
      <c r="H631" s="81">
        <v>3563.7943441653601</v>
      </c>
      <c r="I631" s="81">
        <v>296590.914399172</v>
      </c>
      <c r="J631" s="81">
        <v>38544.896005561997</v>
      </c>
      <c r="K631" s="81">
        <v>18276.5764342158</v>
      </c>
      <c r="L631" s="81">
        <v>58119.794728760302</v>
      </c>
      <c r="M631" s="81">
        <v>8207.3624409927997</v>
      </c>
      <c r="N631" s="81">
        <v>346649.174182004</v>
      </c>
      <c r="O631" s="81">
        <v>96154.496061587997</v>
      </c>
      <c r="P631" s="81">
        <v>72425.8770328846</v>
      </c>
      <c r="Q631" s="82">
        <v>111226.16538335101</v>
      </c>
      <c r="R631" s="82">
        <v>28644.015393683301</v>
      </c>
      <c r="S631" s="82">
        <v>69460.045501916495</v>
      </c>
      <c r="T631" s="82">
        <v>26060.7578089647</v>
      </c>
      <c r="U631" s="82">
        <v>8605.31411877356</v>
      </c>
      <c r="V631" s="83">
        <v>91.294815107996399</v>
      </c>
      <c r="W631" s="78" t="s">
        <v>211</v>
      </c>
      <c r="X631" s="79"/>
    </row>
    <row r="632" spans="1:24" s="6" customFormat="1" ht="15.75" customHeight="1">
      <c r="C632" s="78" t="s">
        <v>219</v>
      </c>
      <c r="D632" s="79"/>
      <c r="E632" s="252">
        <v>6257347.8497955194</v>
      </c>
      <c r="F632" s="81">
        <v>394232.01487313799</v>
      </c>
      <c r="G632" s="81">
        <v>316851.96192804503</v>
      </c>
      <c r="H632" s="81">
        <v>16450.427658643501</v>
      </c>
      <c r="I632" s="81">
        <v>1392031.21810168</v>
      </c>
      <c r="J632" s="81">
        <v>180592.85826792099</v>
      </c>
      <c r="K632" s="81">
        <v>83819.298965554</v>
      </c>
      <c r="L632" s="81">
        <v>272741.60134627199</v>
      </c>
      <c r="M632" s="81">
        <v>38526.727778728302</v>
      </c>
      <c r="N632" s="81">
        <v>1626283.6264833</v>
      </c>
      <c r="O632" s="81">
        <v>451354.69187320501</v>
      </c>
      <c r="P632" s="81">
        <v>339929.26624386199</v>
      </c>
      <c r="Q632" s="82">
        <v>521955.98274658399</v>
      </c>
      <c r="R632" s="82">
        <v>134290.280414757</v>
      </c>
      <c r="S632" s="82">
        <v>325897.86503718997</v>
      </c>
      <c r="T632" s="82">
        <v>121926.229607077</v>
      </c>
      <c r="U632" s="82">
        <v>40065.1311546793</v>
      </c>
      <c r="V632" s="83">
        <v>398.66731488208001</v>
      </c>
      <c r="W632" s="78" t="s">
        <v>219</v>
      </c>
      <c r="X632" s="79"/>
    </row>
    <row r="633" spans="1:24" s="6" customFormat="1" ht="15.75" customHeight="1">
      <c r="C633" s="78" t="s">
        <v>220</v>
      </c>
      <c r="D633" s="78"/>
      <c r="E633" s="80">
        <v>1062675</v>
      </c>
      <c r="F633" s="81">
        <v>90526</v>
      </c>
      <c r="G633" s="81">
        <v>42391</v>
      </c>
      <c r="H633" s="81">
        <v>4985</v>
      </c>
      <c r="I633" s="81">
        <v>228120.75</v>
      </c>
      <c r="J633" s="81">
        <v>21777</v>
      </c>
      <c r="K633" s="81">
        <v>11177</v>
      </c>
      <c r="L633" s="81">
        <v>36231</v>
      </c>
      <c r="M633" s="81">
        <v>5291</v>
      </c>
      <c r="N633" s="81">
        <v>264469.75</v>
      </c>
      <c r="O633" s="81">
        <v>98655</v>
      </c>
      <c r="P633" s="81">
        <v>39827</v>
      </c>
      <c r="Q633" s="81">
        <v>84221</v>
      </c>
      <c r="R633" s="81">
        <v>21458</v>
      </c>
      <c r="S633" s="81">
        <v>68984.5</v>
      </c>
      <c r="T633" s="81">
        <v>39154</v>
      </c>
      <c r="U633" s="81">
        <v>5347</v>
      </c>
      <c r="V633" s="83">
        <v>60</v>
      </c>
      <c r="W633" s="78" t="s">
        <v>220</v>
      </c>
      <c r="X633" s="78"/>
    </row>
    <row r="634" spans="1:24" s="6" customFormat="1" ht="15.75" customHeight="1">
      <c r="C634" s="84"/>
      <c r="D634" s="84"/>
      <c r="E634" s="85"/>
      <c r="F634" s="86"/>
      <c r="G634" s="86"/>
      <c r="H634" s="86"/>
      <c r="I634" s="86"/>
      <c r="J634" s="86"/>
      <c r="K634" s="86"/>
      <c r="L634" s="86"/>
      <c r="M634" s="86"/>
      <c r="N634" s="86"/>
      <c r="O634" s="86"/>
      <c r="P634" s="86"/>
      <c r="Q634" s="87"/>
      <c r="R634" s="87"/>
      <c r="S634" s="87"/>
      <c r="T634" s="87"/>
      <c r="U634" s="87"/>
      <c r="V634" s="88"/>
      <c r="W634" s="84"/>
      <c r="X634" s="84"/>
    </row>
    <row r="635" spans="1:24" s="6" customFormat="1" ht="15.75" customHeight="1">
      <c r="C635" s="78" t="s">
        <v>43</v>
      </c>
      <c r="D635" s="78"/>
      <c r="E635" s="80"/>
      <c r="F635" s="82"/>
      <c r="G635" s="82"/>
      <c r="H635" s="82"/>
      <c r="I635" s="82"/>
      <c r="J635" s="82"/>
      <c r="K635" s="81"/>
      <c r="L635" s="81"/>
      <c r="M635" s="81"/>
      <c r="N635" s="81"/>
      <c r="O635" s="81"/>
      <c r="P635" s="81"/>
      <c r="Q635" s="81"/>
      <c r="R635" s="81"/>
      <c r="S635" s="81"/>
      <c r="T635" s="81"/>
      <c r="U635" s="81"/>
      <c r="V635" s="89"/>
      <c r="W635" s="78" t="s">
        <v>43</v>
      </c>
      <c r="X635" s="78"/>
    </row>
    <row r="636" spans="1:24" s="20" customFormat="1" ht="15.75" customHeight="1">
      <c r="C636" s="84"/>
      <c r="D636" s="90" t="s">
        <v>213</v>
      </c>
      <c r="E636" s="253">
        <v>170872</v>
      </c>
      <c r="F636" s="254">
        <v>20740</v>
      </c>
      <c r="G636" s="254">
        <v>196</v>
      </c>
      <c r="H636" s="254">
        <v>3030</v>
      </c>
      <c r="I636" s="254">
        <v>51</v>
      </c>
      <c r="J636" s="254">
        <v>5</v>
      </c>
      <c r="K636" s="254">
        <v>65</v>
      </c>
      <c r="L636" s="254">
        <v>8120</v>
      </c>
      <c r="M636" s="254">
        <v>0</v>
      </c>
      <c r="N636" s="254">
        <v>802</v>
      </c>
      <c r="O636" s="254">
        <v>64218</v>
      </c>
      <c r="P636" s="254">
        <v>60</v>
      </c>
      <c r="Q636" s="255">
        <v>19870</v>
      </c>
      <c r="R636" s="255">
        <v>40</v>
      </c>
      <c r="S636" s="255">
        <v>18505</v>
      </c>
      <c r="T636" s="255">
        <v>34850</v>
      </c>
      <c r="U636" s="255">
        <v>320</v>
      </c>
      <c r="V636" s="256">
        <v>0</v>
      </c>
      <c r="W636" s="84"/>
      <c r="X636" s="90" t="s">
        <v>213</v>
      </c>
    </row>
    <row r="637" spans="1:24" s="6" customFormat="1" ht="15.75" customHeight="1">
      <c r="C637" s="84"/>
      <c r="D637" s="90" t="s">
        <v>214</v>
      </c>
      <c r="E637" s="253">
        <v>119523</v>
      </c>
      <c r="F637" s="254">
        <v>764</v>
      </c>
      <c r="G637" s="254">
        <v>11</v>
      </c>
      <c r="H637" s="254">
        <v>90</v>
      </c>
      <c r="I637" s="254">
        <v>16160</v>
      </c>
      <c r="J637" s="254">
        <v>20760</v>
      </c>
      <c r="K637" s="254">
        <v>58</v>
      </c>
      <c r="L637" s="254">
        <v>40</v>
      </c>
      <c r="M637" s="254">
        <v>0</v>
      </c>
      <c r="N637" s="254">
        <v>40343</v>
      </c>
      <c r="O637" s="254">
        <v>4211</v>
      </c>
      <c r="P637" s="254">
        <v>19820</v>
      </c>
      <c r="Q637" s="255">
        <v>111</v>
      </c>
      <c r="R637" s="255">
        <v>15165</v>
      </c>
      <c r="S637" s="255">
        <v>60</v>
      </c>
      <c r="T637" s="255">
        <v>70</v>
      </c>
      <c r="U637" s="255">
        <v>1860</v>
      </c>
      <c r="V637" s="256">
        <v>0</v>
      </c>
      <c r="W637" s="84"/>
      <c r="X637" s="90" t="s">
        <v>214</v>
      </c>
    </row>
    <row r="638" spans="1:24" s="6" customFormat="1" ht="15.75" customHeight="1">
      <c r="C638" s="84"/>
      <c r="D638" s="90" t="s">
        <v>215</v>
      </c>
      <c r="E638" s="253">
        <v>179050</v>
      </c>
      <c r="F638" s="254">
        <v>183</v>
      </c>
      <c r="G638" s="254">
        <v>9972</v>
      </c>
      <c r="H638" s="254">
        <v>334</v>
      </c>
      <c r="I638" s="254">
        <v>60594</v>
      </c>
      <c r="J638" s="254">
        <v>428</v>
      </c>
      <c r="K638" s="254">
        <v>6345</v>
      </c>
      <c r="L638" s="254">
        <v>20740</v>
      </c>
      <c r="M638" s="254">
        <v>0</v>
      </c>
      <c r="N638" s="254">
        <v>30012</v>
      </c>
      <c r="O638" s="254">
        <v>15071</v>
      </c>
      <c r="P638" s="254">
        <v>19835</v>
      </c>
      <c r="Q638" s="255">
        <v>40</v>
      </c>
      <c r="R638" s="255">
        <v>0</v>
      </c>
      <c r="S638" s="255">
        <v>15052</v>
      </c>
      <c r="T638" s="255">
        <v>174</v>
      </c>
      <c r="U638" s="255">
        <v>270</v>
      </c>
      <c r="V638" s="256">
        <v>0</v>
      </c>
      <c r="W638" s="84"/>
      <c r="X638" s="90" t="s">
        <v>215</v>
      </c>
    </row>
    <row r="639" spans="1:24" s="6" customFormat="1" ht="15.75" customHeight="1">
      <c r="C639" s="84"/>
      <c r="D639" s="84"/>
      <c r="E639" s="253"/>
      <c r="F639" s="254"/>
      <c r="G639" s="254"/>
      <c r="H639" s="254"/>
      <c r="I639" s="254"/>
      <c r="J639" s="254"/>
      <c r="K639" s="254"/>
      <c r="L639" s="254"/>
      <c r="M639" s="254"/>
      <c r="N639" s="254"/>
      <c r="O639" s="254"/>
      <c r="P639" s="254"/>
      <c r="Q639" s="255"/>
      <c r="R639" s="255"/>
      <c r="S639" s="255"/>
      <c r="T639" s="255"/>
      <c r="U639" s="255"/>
      <c r="V639" s="256"/>
      <c r="W639" s="84"/>
      <c r="X639" s="84"/>
    </row>
    <row r="640" spans="1:24" s="12" customFormat="1" ht="15.75" customHeight="1">
      <c r="C640" s="78" t="s">
        <v>221</v>
      </c>
      <c r="D640" s="79"/>
      <c r="E640" s="257">
        <v>1062675</v>
      </c>
      <c r="F640" s="185">
        <v>90526</v>
      </c>
      <c r="G640" s="185">
        <v>42391</v>
      </c>
      <c r="H640" s="185">
        <v>4985</v>
      </c>
      <c r="I640" s="185">
        <v>228120.75</v>
      </c>
      <c r="J640" s="185">
        <v>21777</v>
      </c>
      <c r="K640" s="185">
        <v>11177</v>
      </c>
      <c r="L640" s="185">
        <v>36231</v>
      </c>
      <c r="M640" s="185">
        <v>5291</v>
      </c>
      <c r="N640" s="185">
        <v>264469.75</v>
      </c>
      <c r="O640" s="185">
        <v>98655</v>
      </c>
      <c r="P640" s="185">
        <v>39827</v>
      </c>
      <c r="Q640" s="185">
        <v>84221</v>
      </c>
      <c r="R640" s="185">
        <v>21458</v>
      </c>
      <c r="S640" s="185">
        <v>68984.5</v>
      </c>
      <c r="T640" s="185">
        <v>39154</v>
      </c>
      <c r="U640" s="185">
        <v>5347</v>
      </c>
      <c r="V640" s="186">
        <v>60</v>
      </c>
      <c r="W640" s="78" t="s">
        <v>221</v>
      </c>
      <c r="X640" s="79"/>
    </row>
    <row r="641" spans="3:24" s="12" customFormat="1" ht="15.75" customHeight="1">
      <c r="C641" s="93"/>
      <c r="D641" s="94" t="s">
        <v>42</v>
      </c>
      <c r="E641" s="253">
        <v>1466</v>
      </c>
      <c r="F641" s="254">
        <v>271</v>
      </c>
      <c r="G641" s="254">
        <v>18</v>
      </c>
      <c r="H641" s="254">
        <v>15</v>
      </c>
      <c r="I641" s="254">
        <v>65.75</v>
      </c>
      <c r="J641" s="254">
        <v>100</v>
      </c>
      <c r="K641" s="254">
        <v>56</v>
      </c>
      <c r="L641" s="254">
        <v>126</v>
      </c>
      <c r="M641" s="254">
        <v>0</v>
      </c>
      <c r="N641" s="254">
        <v>518.75</v>
      </c>
      <c r="O641" s="254">
        <v>15</v>
      </c>
      <c r="P641" s="254">
        <v>2</v>
      </c>
      <c r="Q641" s="255">
        <v>104</v>
      </c>
      <c r="R641" s="255">
        <v>0</v>
      </c>
      <c r="S641" s="255">
        <v>55.5</v>
      </c>
      <c r="T641" s="255">
        <v>119</v>
      </c>
      <c r="U641" s="255">
        <v>0</v>
      </c>
      <c r="V641" s="256">
        <v>0</v>
      </c>
      <c r="W641" s="93"/>
      <c r="X641" s="94" t="s">
        <v>42</v>
      </c>
    </row>
    <row r="642" spans="3:24" s="12" customFormat="1" ht="15.75" customHeight="1">
      <c r="C642" s="84"/>
      <c r="D642" s="94" t="s">
        <v>41</v>
      </c>
      <c r="E642" s="253">
        <v>2342</v>
      </c>
      <c r="F642" s="254">
        <v>713</v>
      </c>
      <c r="G642" s="254">
        <v>84</v>
      </c>
      <c r="H642" s="254">
        <v>61</v>
      </c>
      <c r="I642" s="254">
        <v>114</v>
      </c>
      <c r="J642" s="254">
        <v>60</v>
      </c>
      <c r="K642" s="254">
        <v>90</v>
      </c>
      <c r="L642" s="254">
        <v>10</v>
      </c>
      <c r="M642" s="254">
        <v>5</v>
      </c>
      <c r="N642" s="254">
        <v>670</v>
      </c>
      <c r="O642" s="254">
        <v>42</v>
      </c>
      <c r="P642" s="254">
        <v>150</v>
      </c>
      <c r="Q642" s="255">
        <v>75</v>
      </c>
      <c r="R642" s="255">
        <v>55</v>
      </c>
      <c r="S642" s="255">
        <v>48</v>
      </c>
      <c r="T642" s="255">
        <v>105</v>
      </c>
      <c r="U642" s="255">
        <v>0</v>
      </c>
      <c r="V642" s="256">
        <v>60</v>
      </c>
      <c r="W642" s="84"/>
      <c r="X642" s="94" t="s">
        <v>41</v>
      </c>
    </row>
    <row r="643" spans="3:24" s="12" customFormat="1" ht="15.75" customHeight="1">
      <c r="C643" s="84"/>
      <c r="D643" s="94" t="s">
        <v>40</v>
      </c>
      <c r="E643" s="253">
        <v>1482</v>
      </c>
      <c r="F643" s="254">
        <v>101</v>
      </c>
      <c r="G643" s="254">
        <v>0</v>
      </c>
      <c r="H643" s="254">
        <v>35</v>
      </c>
      <c r="I643" s="254">
        <v>405</v>
      </c>
      <c r="J643" s="254">
        <v>250</v>
      </c>
      <c r="K643" s="254">
        <v>0</v>
      </c>
      <c r="L643" s="254">
        <v>0</v>
      </c>
      <c r="M643" s="254">
        <v>6</v>
      </c>
      <c r="N643" s="254">
        <v>405</v>
      </c>
      <c r="O643" s="254">
        <v>18</v>
      </c>
      <c r="P643" s="254">
        <v>0</v>
      </c>
      <c r="Q643" s="255">
        <v>10</v>
      </c>
      <c r="R643" s="255">
        <v>0</v>
      </c>
      <c r="S643" s="255">
        <v>0</v>
      </c>
      <c r="T643" s="255">
        <v>252</v>
      </c>
      <c r="U643" s="255">
        <v>0</v>
      </c>
      <c r="V643" s="256">
        <v>0</v>
      </c>
      <c r="W643" s="84"/>
      <c r="X643" s="94" t="s">
        <v>40</v>
      </c>
    </row>
    <row r="644" spans="3:24" s="12" customFormat="1" ht="15.75" customHeight="1">
      <c r="C644" s="84"/>
      <c r="D644" s="94" t="s">
        <v>39</v>
      </c>
      <c r="E644" s="253">
        <v>194</v>
      </c>
      <c r="F644" s="254">
        <v>24</v>
      </c>
      <c r="G644" s="254">
        <v>8</v>
      </c>
      <c r="H644" s="254">
        <v>30</v>
      </c>
      <c r="I644" s="254">
        <v>0</v>
      </c>
      <c r="J644" s="254">
        <v>0</v>
      </c>
      <c r="K644" s="254">
        <v>0</v>
      </c>
      <c r="L644" s="254">
        <v>10</v>
      </c>
      <c r="M644" s="254">
        <v>0</v>
      </c>
      <c r="N644" s="254">
        <v>86</v>
      </c>
      <c r="O644" s="254">
        <v>0</v>
      </c>
      <c r="P644" s="254">
        <v>0</v>
      </c>
      <c r="Q644" s="255">
        <v>5</v>
      </c>
      <c r="R644" s="255">
        <v>0</v>
      </c>
      <c r="S644" s="255">
        <v>0</v>
      </c>
      <c r="T644" s="255">
        <v>16</v>
      </c>
      <c r="U644" s="255">
        <v>15</v>
      </c>
      <c r="V644" s="256">
        <v>0</v>
      </c>
      <c r="W644" s="84"/>
      <c r="X644" s="94" t="s">
        <v>39</v>
      </c>
    </row>
    <row r="645" spans="3:24" s="12" customFormat="1" ht="15.75" customHeight="1">
      <c r="C645" s="84"/>
      <c r="D645" s="94" t="s">
        <v>38</v>
      </c>
      <c r="E645" s="253">
        <v>3985</v>
      </c>
      <c r="F645" s="254">
        <v>22</v>
      </c>
      <c r="G645" s="254">
        <v>80</v>
      </c>
      <c r="H645" s="254">
        <v>45</v>
      </c>
      <c r="I645" s="254">
        <v>2</v>
      </c>
      <c r="J645" s="254">
        <v>50</v>
      </c>
      <c r="K645" s="254">
        <v>3604</v>
      </c>
      <c r="L645" s="254">
        <v>0</v>
      </c>
      <c r="M645" s="254">
        <v>0</v>
      </c>
      <c r="N645" s="254">
        <v>92</v>
      </c>
      <c r="O645" s="254">
        <v>0</v>
      </c>
      <c r="P645" s="254">
        <v>5</v>
      </c>
      <c r="Q645" s="254">
        <v>10</v>
      </c>
      <c r="R645" s="254">
        <v>0</v>
      </c>
      <c r="S645" s="254">
        <v>26</v>
      </c>
      <c r="T645" s="254">
        <v>0</v>
      </c>
      <c r="U645" s="254">
        <v>49</v>
      </c>
      <c r="V645" s="258">
        <v>0</v>
      </c>
      <c r="W645" s="84"/>
      <c r="X645" s="94" t="s">
        <v>38</v>
      </c>
    </row>
    <row r="646" spans="3:24" s="12" customFormat="1" ht="15.75" customHeight="1">
      <c r="C646" s="84"/>
      <c r="D646" s="94" t="s">
        <v>37</v>
      </c>
      <c r="E646" s="253">
        <v>3308</v>
      </c>
      <c r="F646" s="254">
        <v>182</v>
      </c>
      <c r="G646" s="254">
        <v>248</v>
      </c>
      <c r="H646" s="254">
        <v>132</v>
      </c>
      <c r="I646" s="254">
        <v>148</v>
      </c>
      <c r="J646" s="254">
        <v>200</v>
      </c>
      <c r="K646" s="254">
        <v>202</v>
      </c>
      <c r="L646" s="254">
        <v>95</v>
      </c>
      <c r="M646" s="254">
        <v>0</v>
      </c>
      <c r="N646" s="254">
        <v>510</v>
      </c>
      <c r="O646" s="254">
        <v>60</v>
      </c>
      <c r="P646" s="254">
        <v>60</v>
      </c>
      <c r="Q646" s="255">
        <v>240</v>
      </c>
      <c r="R646" s="254">
        <v>318</v>
      </c>
      <c r="S646" s="254">
        <v>227</v>
      </c>
      <c r="T646" s="254">
        <v>136</v>
      </c>
      <c r="U646" s="254">
        <v>550</v>
      </c>
      <c r="V646" s="258">
        <v>0</v>
      </c>
      <c r="W646" s="84"/>
      <c r="X646" s="94" t="s">
        <v>37</v>
      </c>
    </row>
    <row r="647" spans="3:24" s="12" customFormat="1" ht="15.75" customHeight="1">
      <c r="C647" s="84"/>
      <c r="D647" s="94" t="s">
        <v>36</v>
      </c>
      <c r="E647" s="253">
        <v>1047969</v>
      </c>
      <c r="F647" s="254">
        <v>89000</v>
      </c>
      <c r="G647" s="254">
        <v>41680</v>
      </c>
      <c r="H647" s="254">
        <v>4407</v>
      </c>
      <c r="I647" s="254">
        <v>227265</v>
      </c>
      <c r="J647" s="254">
        <v>21035</v>
      </c>
      <c r="K647" s="254">
        <v>7165</v>
      </c>
      <c r="L647" s="254">
        <v>35978</v>
      </c>
      <c r="M647" s="254">
        <v>5280</v>
      </c>
      <c r="N647" s="254">
        <v>261930</v>
      </c>
      <c r="O647" s="254">
        <v>98496</v>
      </c>
      <c r="P647" s="254">
        <v>39600</v>
      </c>
      <c r="Q647" s="255">
        <v>83720</v>
      </c>
      <c r="R647" s="255">
        <v>21060</v>
      </c>
      <c r="S647" s="255">
        <v>68560</v>
      </c>
      <c r="T647" s="255">
        <v>38278</v>
      </c>
      <c r="U647" s="255">
        <v>4515</v>
      </c>
      <c r="V647" s="256">
        <v>0</v>
      </c>
      <c r="W647" s="84"/>
      <c r="X647" s="94" t="s">
        <v>36</v>
      </c>
    </row>
    <row r="648" spans="3:24" s="12" customFormat="1" ht="15.75" customHeight="1">
      <c r="C648" s="84"/>
      <c r="D648" s="94" t="s">
        <v>35</v>
      </c>
      <c r="E648" s="253">
        <v>1929</v>
      </c>
      <c r="F648" s="254">
        <v>213</v>
      </c>
      <c r="G648" s="254">
        <v>273</v>
      </c>
      <c r="H648" s="254">
        <v>260</v>
      </c>
      <c r="I648" s="254">
        <v>121</v>
      </c>
      <c r="J648" s="254">
        <v>82</v>
      </c>
      <c r="K648" s="254">
        <v>60</v>
      </c>
      <c r="L648" s="254">
        <v>12</v>
      </c>
      <c r="M648" s="254">
        <v>0</v>
      </c>
      <c r="N648" s="254">
        <v>258</v>
      </c>
      <c r="O648" s="254">
        <v>24</v>
      </c>
      <c r="P648" s="254">
        <v>10</v>
      </c>
      <c r="Q648" s="255">
        <v>57</v>
      </c>
      <c r="R648" s="255">
        <v>25</v>
      </c>
      <c r="S648" s="255">
        <v>68</v>
      </c>
      <c r="T648" s="255">
        <v>248</v>
      </c>
      <c r="U648" s="255">
        <v>218</v>
      </c>
      <c r="V648" s="256">
        <v>0</v>
      </c>
      <c r="W648" s="84"/>
      <c r="X648" s="94" t="s">
        <v>35</v>
      </c>
    </row>
    <row r="649" spans="3:24" s="12" customFormat="1" ht="15.75" customHeight="1">
      <c r="C649" s="84"/>
      <c r="D649" s="84"/>
      <c r="E649" s="253"/>
      <c r="F649" s="254"/>
      <c r="G649" s="254"/>
      <c r="H649" s="254"/>
      <c r="I649" s="254"/>
      <c r="J649" s="254"/>
      <c r="K649" s="254"/>
      <c r="L649" s="254"/>
      <c r="M649" s="254"/>
      <c r="N649" s="254"/>
      <c r="O649" s="254"/>
      <c r="P649" s="254"/>
      <c r="Q649" s="255"/>
      <c r="R649" s="255"/>
      <c r="S649" s="255"/>
      <c r="T649" s="255"/>
      <c r="U649" s="255"/>
      <c r="V649" s="256"/>
      <c r="W649" s="84"/>
      <c r="X649" s="84"/>
    </row>
    <row r="650" spans="3:24" s="6" customFormat="1" ht="15.75" customHeight="1">
      <c r="C650" s="78" t="s">
        <v>222</v>
      </c>
      <c r="D650" s="78"/>
      <c r="E650" s="257">
        <v>1062675</v>
      </c>
      <c r="F650" s="185">
        <v>90526</v>
      </c>
      <c r="G650" s="185">
        <v>42391</v>
      </c>
      <c r="H650" s="185">
        <v>4985</v>
      </c>
      <c r="I650" s="185">
        <v>228120.75</v>
      </c>
      <c r="J650" s="185">
        <v>21777</v>
      </c>
      <c r="K650" s="185">
        <v>11177</v>
      </c>
      <c r="L650" s="185">
        <v>36231</v>
      </c>
      <c r="M650" s="185">
        <v>5291</v>
      </c>
      <c r="N650" s="185">
        <v>264469.75</v>
      </c>
      <c r="O650" s="185">
        <v>98655</v>
      </c>
      <c r="P650" s="185">
        <v>39827</v>
      </c>
      <c r="Q650" s="185">
        <v>84221</v>
      </c>
      <c r="R650" s="185">
        <v>21458</v>
      </c>
      <c r="S650" s="185">
        <v>68984.5</v>
      </c>
      <c r="T650" s="185">
        <v>39154</v>
      </c>
      <c r="U650" s="185">
        <v>5347</v>
      </c>
      <c r="V650" s="186">
        <v>60</v>
      </c>
      <c r="W650" s="78" t="s">
        <v>222</v>
      </c>
      <c r="X650" s="78"/>
    </row>
    <row r="651" spans="3:24" s="6" customFormat="1" ht="15.75" customHeight="1">
      <c r="C651" s="84"/>
      <c r="D651" s="84" t="s">
        <v>34</v>
      </c>
      <c r="E651" s="253">
        <v>1052</v>
      </c>
      <c r="F651" s="254">
        <v>195</v>
      </c>
      <c r="G651" s="254">
        <v>19</v>
      </c>
      <c r="H651" s="254">
        <v>6</v>
      </c>
      <c r="I651" s="254">
        <v>29.75</v>
      </c>
      <c r="J651" s="254">
        <v>101</v>
      </c>
      <c r="K651" s="254">
        <v>49</v>
      </c>
      <c r="L651" s="254">
        <v>1</v>
      </c>
      <c r="M651" s="254">
        <v>0</v>
      </c>
      <c r="N651" s="254">
        <v>351.75</v>
      </c>
      <c r="O651" s="254">
        <v>16</v>
      </c>
      <c r="P651" s="254">
        <v>2</v>
      </c>
      <c r="Q651" s="255">
        <v>105</v>
      </c>
      <c r="R651" s="255">
        <v>0</v>
      </c>
      <c r="S651" s="254">
        <v>56.5</v>
      </c>
      <c r="T651" s="254">
        <v>119</v>
      </c>
      <c r="U651" s="254">
        <v>1</v>
      </c>
      <c r="V651" s="258">
        <v>0</v>
      </c>
      <c r="W651" s="84"/>
      <c r="X651" s="84" t="s">
        <v>34</v>
      </c>
    </row>
    <row r="652" spans="3:24" s="6" customFormat="1" ht="15.75" customHeight="1">
      <c r="C652" s="84"/>
      <c r="D652" s="84" t="s">
        <v>33</v>
      </c>
      <c r="E652" s="253">
        <v>125</v>
      </c>
      <c r="F652" s="254">
        <v>26</v>
      </c>
      <c r="G652" s="254">
        <v>7</v>
      </c>
      <c r="H652" s="254">
        <v>8</v>
      </c>
      <c r="I652" s="254">
        <v>12</v>
      </c>
      <c r="J652" s="254">
        <v>3</v>
      </c>
      <c r="K652" s="254">
        <v>8</v>
      </c>
      <c r="L652" s="254">
        <v>2</v>
      </c>
      <c r="M652" s="254">
        <v>0</v>
      </c>
      <c r="N652" s="254">
        <v>39</v>
      </c>
      <c r="O652" s="254">
        <v>0</v>
      </c>
      <c r="P652" s="254">
        <v>0</v>
      </c>
      <c r="Q652" s="255">
        <v>6</v>
      </c>
      <c r="R652" s="255">
        <v>0</v>
      </c>
      <c r="S652" s="255">
        <v>3</v>
      </c>
      <c r="T652" s="255">
        <v>5</v>
      </c>
      <c r="U652" s="255">
        <v>6</v>
      </c>
      <c r="V652" s="256">
        <v>0</v>
      </c>
      <c r="W652" s="84"/>
      <c r="X652" s="84" t="s">
        <v>33</v>
      </c>
    </row>
    <row r="653" spans="3:24" s="6" customFormat="1" ht="15.75" customHeight="1">
      <c r="C653" s="84"/>
      <c r="D653" s="84" t="s">
        <v>32</v>
      </c>
      <c r="E653" s="253">
        <v>2728</v>
      </c>
      <c r="F653" s="254">
        <v>318</v>
      </c>
      <c r="G653" s="254">
        <v>201</v>
      </c>
      <c r="H653" s="254">
        <v>316</v>
      </c>
      <c r="I653" s="254">
        <v>170</v>
      </c>
      <c r="J653" s="254">
        <v>90</v>
      </c>
      <c r="K653" s="254">
        <v>144</v>
      </c>
      <c r="L653" s="254">
        <v>75</v>
      </c>
      <c r="M653" s="254">
        <v>11</v>
      </c>
      <c r="N653" s="254">
        <v>644</v>
      </c>
      <c r="O653" s="254">
        <v>40</v>
      </c>
      <c r="P653" s="254">
        <v>90</v>
      </c>
      <c r="Q653" s="255">
        <v>90</v>
      </c>
      <c r="R653" s="255">
        <v>129</v>
      </c>
      <c r="S653" s="255">
        <v>86</v>
      </c>
      <c r="T653" s="255">
        <v>164</v>
      </c>
      <c r="U653" s="255">
        <v>160</v>
      </c>
      <c r="V653" s="256">
        <v>0</v>
      </c>
      <c r="W653" s="84"/>
      <c r="X653" s="84" t="s">
        <v>32</v>
      </c>
    </row>
    <row r="654" spans="3:24" s="6" customFormat="1" ht="15.75" customHeight="1">
      <c r="C654" s="84"/>
      <c r="D654" s="84" t="s">
        <v>31</v>
      </c>
      <c r="E654" s="253">
        <v>6011</v>
      </c>
      <c r="F654" s="86">
        <v>537</v>
      </c>
      <c r="G654" s="86">
        <v>484</v>
      </c>
      <c r="H654" s="86">
        <v>248</v>
      </c>
      <c r="I654" s="86">
        <v>644</v>
      </c>
      <c r="J654" s="86">
        <v>298</v>
      </c>
      <c r="K654" s="86">
        <v>211</v>
      </c>
      <c r="L654" s="86">
        <v>175</v>
      </c>
      <c r="M654" s="86">
        <v>0</v>
      </c>
      <c r="N654" s="86">
        <v>1385</v>
      </c>
      <c r="O654" s="86">
        <v>103</v>
      </c>
      <c r="P654" s="86">
        <v>135</v>
      </c>
      <c r="Q654" s="87">
        <v>300</v>
      </c>
      <c r="R654" s="87">
        <v>269</v>
      </c>
      <c r="S654" s="87">
        <v>279</v>
      </c>
      <c r="T654" s="87">
        <v>278</v>
      </c>
      <c r="U654" s="87">
        <v>665</v>
      </c>
      <c r="V654" s="88">
        <v>0</v>
      </c>
      <c r="W654" s="84"/>
      <c r="X654" s="84" t="s">
        <v>31</v>
      </c>
    </row>
    <row r="655" spans="3:24" s="6" customFormat="1" ht="15.75" customHeight="1">
      <c r="C655" s="84"/>
      <c r="D655" s="84" t="s">
        <v>30</v>
      </c>
      <c r="E655" s="253">
        <v>406</v>
      </c>
      <c r="F655" s="86">
        <v>90</v>
      </c>
      <c r="G655" s="86">
        <v>0</v>
      </c>
      <c r="H655" s="86">
        <v>0</v>
      </c>
      <c r="I655" s="86">
        <v>0</v>
      </c>
      <c r="J655" s="86">
        <v>0</v>
      </c>
      <c r="K655" s="86">
        <v>0</v>
      </c>
      <c r="L655" s="86">
        <v>0</v>
      </c>
      <c r="M655" s="86">
        <v>0</v>
      </c>
      <c r="N655" s="86">
        <v>100</v>
      </c>
      <c r="O655" s="86">
        <v>96</v>
      </c>
      <c r="P655" s="86">
        <v>0</v>
      </c>
      <c r="Q655" s="87">
        <v>0</v>
      </c>
      <c r="R655" s="87">
        <v>0</v>
      </c>
      <c r="S655" s="87">
        <v>0</v>
      </c>
      <c r="T655" s="87">
        <v>60</v>
      </c>
      <c r="U655" s="87">
        <v>0</v>
      </c>
      <c r="V655" s="88">
        <v>60</v>
      </c>
      <c r="W655" s="84"/>
      <c r="X655" s="84" t="s">
        <v>30</v>
      </c>
    </row>
    <row r="656" spans="3:24" s="6" customFormat="1" ht="15.75" customHeight="1">
      <c r="C656" s="84"/>
      <c r="D656" s="84" t="s">
        <v>29</v>
      </c>
      <c r="E656" s="253">
        <v>4425</v>
      </c>
      <c r="F656" s="86">
        <v>960</v>
      </c>
      <c r="G656" s="86">
        <v>0</v>
      </c>
      <c r="H656" s="86">
        <v>507</v>
      </c>
      <c r="I656" s="86">
        <v>105</v>
      </c>
      <c r="J656" s="86">
        <v>565</v>
      </c>
      <c r="K656" s="86">
        <v>105</v>
      </c>
      <c r="L656" s="86">
        <v>440</v>
      </c>
      <c r="M656" s="86">
        <v>0</v>
      </c>
      <c r="N656" s="86">
        <v>560</v>
      </c>
      <c r="O656" s="86">
        <v>0</v>
      </c>
      <c r="P656" s="86">
        <v>0</v>
      </c>
      <c r="Q656" s="87">
        <v>0</v>
      </c>
      <c r="R656" s="87">
        <v>420</v>
      </c>
      <c r="S656" s="87">
        <v>0</v>
      </c>
      <c r="T656" s="87">
        <v>448</v>
      </c>
      <c r="U656" s="87">
        <v>315</v>
      </c>
      <c r="V656" s="88">
        <v>0</v>
      </c>
      <c r="W656" s="84"/>
      <c r="X656" s="84" t="s">
        <v>29</v>
      </c>
    </row>
    <row r="657" spans="3:24" s="6" customFormat="1" ht="15.75" customHeight="1">
      <c r="C657" s="84"/>
      <c r="D657" s="84" t="s">
        <v>28</v>
      </c>
      <c r="E657" s="253">
        <v>11020</v>
      </c>
      <c r="F657" s="86">
        <v>800</v>
      </c>
      <c r="G657" s="86">
        <v>0</v>
      </c>
      <c r="H657" s="86">
        <v>900</v>
      </c>
      <c r="I657" s="86">
        <v>0</v>
      </c>
      <c r="J657" s="86">
        <v>0</v>
      </c>
      <c r="K657" s="86">
        <v>2900</v>
      </c>
      <c r="L657" s="86">
        <v>1940</v>
      </c>
      <c r="M657" s="86">
        <v>0</v>
      </c>
      <c r="N657" s="86">
        <v>1760</v>
      </c>
      <c r="O657" s="86">
        <v>0</v>
      </c>
      <c r="P657" s="86">
        <v>0</v>
      </c>
      <c r="Q657" s="87">
        <v>1000</v>
      </c>
      <c r="R657" s="87">
        <v>840</v>
      </c>
      <c r="S657" s="87">
        <v>0</v>
      </c>
      <c r="T657" s="87">
        <v>880</v>
      </c>
      <c r="U657" s="87">
        <v>0</v>
      </c>
      <c r="V657" s="88">
        <v>0</v>
      </c>
      <c r="W657" s="84"/>
      <c r="X657" s="84" t="s">
        <v>28</v>
      </c>
    </row>
    <row r="658" spans="3:24" s="6" customFormat="1" ht="15.75" customHeight="1">
      <c r="C658" s="84"/>
      <c r="D658" s="84" t="s">
        <v>27</v>
      </c>
      <c r="E658" s="253">
        <v>60708</v>
      </c>
      <c r="F658" s="86">
        <v>2400</v>
      </c>
      <c r="G658" s="86">
        <v>1200</v>
      </c>
      <c r="H658" s="86">
        <v>3000</v>
      </c>
      <c r="I658" s="86">
        <v>0</v>
      </c>
      <c r="J658" s="86">
        <v>0</v>
      </c>
      <c r="K658" s="86">
        <v>1600</v>
      </c>
      <c r="L658" s="86">
        <v>5698</v>
      </c>
      <c r="M658" s="86">
        <v>0</v>
      </c>
      <c r="N658" s="86">
        <v>21410</v>
      </c>
      <c r="O658" s="86">
        <v>4200</v>
      </c>
      <c r="P658" s="86">
        <v>0</v>
      </c>
      <c r="Q658" s="87">
        <v>0</v>
      </c>
      <c r="R658" s="87">
        <v>4800</v>
      </c>
      <c r="S658" s="87">
        <v>9800</v>
      </c>
      <c r="T658" s="87">
        <v>2400</v>
      </c>
      <c r="U658" s="87">
        <v>4200</v>
      </c>
      <c r="V658" s="88">
        <v>0</v>
      </c>
      <c r="W658" s="84"/>
      <c r="X658" s="84" t="s">
        <v>27</v>
      </c>
    </row>
    <row r="659" spans="3:24" s="6" customFormat="1" ht="15.75" customHeight="1">
      <c r="C659" s="84"/>
      <c r="D659" s="84" t="s">
        <v>26</v>
      </c>
      <c r="E659" s="253">
        <v>162520</v>
      </c>
      <c r="F659" s="86">
        <v>6000</v>
      </c>
      <c r="G659" s="86">
        <v>9680</v>
      </c>
      <c r="H659" s="86">
        <v>0</v>
      </c>
      <c r="I659" s="86">
        <v>0</v>
      </c>
      <c r="J659" s="86">
        <v>8400</v>
      </c>
      <c r="K659" s="86">
        <v>6160</v>
      </c>
      <c r="L659" s="86">
        <v>8100</v>
      </c>
      <c r="M659" s="86">
        <v>5280</v>
      </c>
      <c r="N659" s="86">
        <v>80860</v>
      </c>
      <c r="O659" s="86">
        <v>0</v>
      </c>
      <c r="P659" s="86">
        <v>0</v>
      </c>
      <c r="Q659" s="87">
        <v>12760</v>
      </c>
      <c r="R659" s="87">
        <v>0</v>
      </c>
      <c r="S659" s="87">
        <v>25280</v>
      </c>
      <c r="T659" s="87">
        <v>0</v>
      </c>
      <c r="U659" s="87">
        <v>0</v>
      </c>
      <c r="V659" s="88">
        <v>0</v>
      </c>
      <c r="W659" s="84"/>
      <c r="X659" s="84" t="s">
        <v>26</v>
      </c>
    </row>
    <row r="660" spans="3:24" s="6" customFormat="1" ht="15.75" customHeight="1">
      <c r="C660" s="84"/>
      <c r="D660" s="84" t="s">
        <v>25</v>
      </c>
      <c r="E660" s="253">
        <v>484160</v>
      </c>
      <c r="F660" s="86">
        <v>79200</v>
      </c>
      <c r="G660" s="86">
        <v>30800</v>
      </c>
      <c r="H660" s="86">
        <v>0</v>
      </c>
      <c r="I660" s="86">
        <v>56240</v>
      </c>
      <c r="J660" s="86">
        <v>12320</v>
      </c>
      <c r="K660" s="86">
        <v>0</v>
      </c>
      <c r="L660" s="86">
        <v>19800</v>
      </c>
      <c r="M660" s="86">
        <v>0</v>
      </c>
      <c r="N660" s="86">
        <v>78320</v>
      </c>
      <c r="O660" s="86">
        <v>64800</v>
      </c>
      <c r="P660" s="86">
        <v>39600</v>
      </c>
      <c r="Q660" s="87">
        <v>19800</v>
      </c>
      <c r="R660" s="87">
        <v>15000</v>
      </c>
      <c r="S660" s="87">
        <v>33480</v>
      </c>
      <c r="T660" s="87">
        <v>34800</v>
      </c>
      <c r="U660" s="87">
        <v>0</v>
      </c>
      <c r="V660" s="88">
        <v>0</v>
      </c>
      <c r="W660" s="84"/>
      <c r="X660" s="84" t="s">
        <v>25</v>
      </c>
    </row>
    <row r="661" spans="3:24" s="6" customFormat="1" ht="15.75" customHeight="1" thickBot="1">
      <c r="C661" s="96"/>
      <c r="D661" s="96" t="s">
        <v>24</v>
      </c>
      <c r="E661" s="97">
        <v>329520</v>
      </c>
      <c r="F661" s="98">
        <v>0</v>
      </c>
      <c r="G661" s="98">
        <v>0</v>
      </c>
      <c r="H661" s="98">
        <v>0</v>
      </c>
      <c r="I661" s="98">
        <v>170920</v>
      </c>
      <c r="J661" s="98">
        <v>0</v>
      </c>
      <c r="K661" s="98">
        <v>0</v>
      </c>
      <c r="L661" s="98">
        <v>0</v>
      </c>
      <c r="M661" s="98">
        <v>0</v>
      </c>
      <c r="N661" s="98">
        <v>79040</v>
      </c>
      <c r="O661" s="98">
        <v>29400</v>
      </c>
      <c r="P661" s="98">
        <v>0</v>
      </c>
      <c r="Q661" s="99">
        <v>50160</v>
      </c>
      <c r="R661" s="99">
        <v>0</v>
      </c>
      <c r="S661" s="99">
        <v>0</v>
      </c>
      <c r="T661" s="99">
        <v>0</v>
      </c>
      <c r="U661" s="99">
        <v>0</v>
      </c>
      <c r="V661" s="100">
        <v>0</v>
      </c>
      <c r="W661" s="96"/>
      <c r="X661" s="96" t="s">
        <v>24</v>
      </c>
    </row>
    <row r="662" spans="3:24" s="6" customFormat="1" ht="15.75" customHeight="1">
      <c r="C662" s="9"/>
      <c r="D662" s="9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0"/>
      <c r="R662" s="10"/>
      <c r="S662" s="10"/>
      <c r="T662" s="10"/>
      <c r="U662" s="10"/>
      <c r="V662" s="10"/>
      <c r="W662" s="9"/>
      <c r="X662" s="9"/>
    </row>
    <row r="663" spans="3:24" s="6" customFormat="1" ht="15.75" customHeight="1">
      <c r="C663" s="8" t="s">
        <v>81</v>
      </c>
      <c r="D663" s="12"/>
      <c r="W663" s="12"/>
      <c r="X663" s="12"/>
    </row>
    <row r="666" spans="3:24" s="6" customFormat="1" ht="21">
      <c r="C666" s="19" t="s">
        <v>80</v>
      </c>
      <c r="D666" s="18"/>
      <c r="W666" s="12"/>
      <c r="X666" s="12"/>
    </row>
    <row r="667" spans="3:24" s="6" customFormat="1" ht="15.75" customHeight="1" thickBot="1">
      <c r="C667" s="16"/>
      <c r="D667" s="17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W667" s="12"/>
      <c r="X667" s="15"/>
    </row>
    <row r="668" spans="3:24" s="6" customFormat="1" ht="15.75" customHeight="1">
      <c r="C668" s="269" t="s">
        <v>61</v>
      </c>
      <c r="D668" s="269"/>
      <c r="E668" s="72" t="s">
        <v>79</v>
      </c>
      <c r="F668" s="73" t="s">
        <v>78</v>
      </c>
      <c r="G668" s="73" t="s">
        <v>77</v>
      </c>
      <c r="H668" s="73" t="s">
        <v>76</v>
      </c>
      <c r="I668" s="73" t="s">
        <v>75</v>
      </c>
      <c r="J668" s="73" t="s">
        <v>74</v>
      </c>
      <c r="K668" s="73" t="s">
        <v>73</v>
      </c>
      <c r="L668" s="73" t="s">
        <v>72</v>
      </c>
      <c r="M668" s="73" t="s">
        <v>71</v>
      </c>
      <c r="N668" s="73" t="s">
        <v>70</v>
      </c>
      <c r="O668" s="73" t="s">
        <v>69</v>
      </c>
      <c r="P668" s="259" t="s">
        <v>68</v>
      </c>
      <c r="Q668" s="73" t="s">
        <v>67</v>
      </c>
      <c r="R668" s="73" t="s">
        <v>66</v>
      </c>
      <c r="S668" s="73" t="s">
        <v>65</v>
      </c>
      <c r="T668" s="73" t="s">
        <v>64</v>
      </c>
      <c r="U668" s="73" t="s">
        <v>63</v>
      </c>
      <c r="V668" s="74" t="s">
        <v>62</v>
      </c>
      <c r="W668" s="273" t="s">
        <v>61</v>
      </c>
      <c r="X668" s="269"/>
    </row>
    <row r="669" spans="3:24" s="6" customFormat="1" ht="15.75" customHeight="1">
      <c r="C669" s="270"/>
      <c r="D669" s="270"/>
      <c r="E669" s="75" t="s">
        <v>22</v>
      </c>
      <c r="F669" s="76" t="s">
        <v>60</v>
      </c>
      <c r="G669" s="76" t="s">
        <v>59</v>
      </c>
      <c r="H669" s="76" t="s">
        <v>58</v>
      </c>
      <c r="I669" s="76" t="s">
        <v>57</v>
      </c>
      <c r="J669" s="76" t="s">
        <v>56</v>
      </c>
      <c r="K669" s="76" t="s">
        <v>55</v>
      </c>
      <c r="L669" s="76" t="s">
        <v>54</v>
      </c>
      <c r="M669" s="76" t="s">
        <v>53</v>
      </c>
      <c r="N669" s="76" t="s">
        <v>52</v>
      </c>
      <c r="O669" s="76" t="s">
        <v>51</v>
      </c>
      <c r="P669" s="260" t="s">
        <v>50</v>
      </c>
      <c r="Q669" s="76" t="s">
        <v>49</v>
      </c>
      <c r="R669" s="76" t="s">
        <v>48</v>
      </c>
      <c r="S669" s="76" t="s">
        <v>47</v>
      </c>
      <c r="T669" s="76" t="s">
        <v>46</v>
      </c>
      <c r="U669" s="76" t="s">
        <v>45</v>
      </c>
      <c r="V669" s="77" t="s">
        <v>44</v>
      </c>
      <c r="W669" s="274"/>
      <c r="X669" s="270"/>
    </row>
    <row r="670" spans="3:24" s="12" customFormat="1" ht="15.75" customHeight="1">
      <c r="C670" s="78" t="s">
        <v>211</v>
      </c>
      <c r="D670" s="79"/>
      <c r="E670" s="80">
        <v>212258.18489999999</v>
      </c>
      <c r="F670" s="81">
        <v>0</v>
      </c>
      <c r="G670" s="81">
        <v>0</v>
      </c>
      <c r="H670" s="81">
        <v>0</v>
      </c>
      <c r="I670" s="81">
        <v>0</v>
      </c>
      <c r="J670" s="81">
        <v>0</v>
      </c>
      <c r="K670" s="81">
        <v>0</v>
      </c>
      <c r="L670" s="81">
        <v>0</v>
      </c>
      <c r="M670" s="81">
        <v>0</v>
      </c>
      <c r="N670" s="81">
        <v>0</v>
      </c>
      <c r="O670" s="81">
        <v>0</v>
      </c>
      <c r="P670" s="194">
        <v>0</v>
      </c>
      <c r="Q670" s="81">
        <v>212258.18489999999</v>
      </c>
      <c r="R670" s="82">
        <v>0</v>
      </c>
      <c r="S670" s="82">
        <v>0</v>
      </c>
      <c r="T670" s="82">
        <v>0</v>
      </c>
      <c r="U670" s="82">
        <v>0</v>
      </c>
      <c r="V670" s="83">
        <v>0</v>
      </c>
      <c r="W670" s="78" t="s">
        <v>211</v>
      </c>
      <c r="X670" s="79"/>
    </row>
    <row r="671" spans="3:24" s="12" customFormat="1" ht="15.75" customHeight="1">
      <c r="C671" s="78" t="s">
        <v>219</v>
      </c>
      <c r="D671" s="79"/>
      <c r="E671" s="252">
        <v>996517.3</v>
      </c>
      <c r="F671" s="81">
        <v>0</v>
      </c>
      <c r="G671" s="81">
        <v>0</v>
      </c>
      <c r="H671" s="81">
        <v>0</v>
      </c>
      <c r="I671" s="81">
        <v>0</v>
      </c>
      <c r="J671" s="81">
        <v>0</v>
      </c>
      <c r="K671" s="81">
        <v>0</v>
      </c>
      <c r="L671" s="81">
        <v>0</v>
      </c>
      <c r="M671" s="81">
        <v>0</v>
      </c>
      <c r="N671" s="81">
        <v>0</v>
      </c>
      <c r="O671" s="81">
        <v>0</v>
      </c>
      <c r="P671" s="194">
        <v>0</v>
      </c>
      <c r="Q671" s="82">
        <v>996517.3</v>
      </c>
      <c r="R671" s="82">
        <v>0</v>
      </c>
      <c r="S671" s="82">
        <v>0</v>
      </c>
      <c r="T671" s="82">
        <v>0</v>
      </c>
      <c r="U671" s="82">
        <v>0</v>
      </c>
      <c r="V671" s="83">
        <v>0</v>
      </c>
      <c r="W671" s="78" t="s">
        <v>219</v>
      </c>
      <c r="X671" s="79"/>
    </row>
    <row r="672" spans="3:24" s="12" customFormat="1" ht="15.75" customHeight="1">
      <c r="C672" s="78" t="s">
        <v>220</v>
      </c>
      <c r="D672" s="78"/>
      <c r="E672" s="80">
        <v>346330</v>
      </c>
      <c r="F672" s="81">
        <v>0</v>
      </c>
      <c r="G672" s="81">
        <v>0</v>
      </c>
      <c r="H672" s="81">
        <v>0</v>
      </c>
      <c r="I672" s="81">
        <v>0</v>
      </c>
      <c r="J672" s="81">
        <v>0</v>
      </c>
      <c r="K672" s="81">
        <v>0</v>
      </c>
      <c r="L672" s="81">
        <v>0</v>
      </c>
      <c r="M672" s="81">
        <v>0</v>
      </c>
      <c r="N672" s="81">
        <v>0</v>
      </c>
      <c r="O672" s="81">
        <v>0</v>
      </c>
      <c r="P672" s="194">
        <v>0</v>
      </c>
      <c r="Q672" s="81">
        <v>346330</v>
      </c>
      <c r="R672" s="82">
        <v>0</v>
      </c>
      <c r="S672" s="82">
        <v>0</v>
      </c>
      <c r="T672" s="82">
        <v>0</v>
      </c>
      <c r="U672" s="82">
        <v>0</v>
      </c>
      <c r="V672" s="83">
        <v>0</v>
      </c>
      <c r="W672" s="78" t="s">
        <v>220</v>
      </c>
      <c r="X672" s="78"/>
    </row>
    <row r="673" spans="3:24" s="12" customFormat="1" ht="15.75" customHeight="1">
      <c r="C673" s="84"/>
      <c r="D673" s="84"/>
      <c r="E673" s="85"/>
      <c r="F673" s="86"/>
      <c r="G673" s="86"/>
      <c r="H673" s="86"/>
      <c r="I673" s="86"/>
      <c r="J673" s="86"/>
      <c r="K673" s="86"/>
      <c r="L673" s="86"/>
      <c r="M673" s="86"/>
      <c r="N673" s="86"/>
      <c r="O673" s="86"/>
      <c r="P673" s="261"/>
      <c r="Q673" s="87"/>
      <c r="R673" s="87"/>
      <c r="S673" s="87"/>
      <c r="T673" s="87"/>
      <c r="U673" s="87"/>
      <c r="V673" s="88"/>
      <c r="W673" s="84"/>
      <c r="X673" s="84"/>
    </row>
    <row r="674" spans="3:24" s="12" customFormat="1" ht="15.75" customHeight="1">
      <c r="C674" s="78" t="s">
        <v>43</v>
      </c>
      <c r="D674" s="78"/>
      <c r="E674" s="80"/>
      <c r="F674" s="82"/>
      <c r="G674" s="82"/>
      <c r="H674" s="82"/>
      <c r="I674" s="82"/>
      <c r="J674" s="82"/>
      <c r="K674" s="81"/>
      <c r="L674" s="81"/>
      <c r="M674" s="81"/>
      <c r="N674" s="81"/>
      <c r="O674" s="81"/>
      <c r="P674" s="81"/>
      <c r="Q674" s="81"/>
      <c r="R674" s="81"/>
      <c r="S674" s="81"/>
      <c r="T674" s="81"/>
      <c r="U674" s="81"/>
      <c r="V674" s="89"/>
      <c r="W674" s="78" t="s">
        <v>43</v>
      </c>
      <c r="X674" s="78"/>
    </row>
    <row r="675" spans="3:24" s="12" customFormat="1" ht="15.75" customHeight="1">
      <c r="C675" s="84"/>
      <c r="D675" s="90" t="s">
        <v>213</v>
      </c>
      <c r="E675" s="85">
        <v>0</v>
      </c>
      <c r="F675" s="86">
        <v>0</v>
      </c>
      <c r="G675" s="86">
        <v>0</v>
      </c>
      <c r="H675" s="86">
        <v>0</v>
      </c>
      <c r="I675" s="86">
        <v>0</v>
      </c>
      <c r="J675" s="86">
        <v>0</v>
      </c>
      <c r="K675" s="86">
        <v>0</v>
      </c>
      <c r="L675" s="86">
        <v>0</v>
      </c>
      <c r="M675" s="86">
        <v>0</v>
      </c>
      <c r="N675" s="86">
        <v>0</v>
      </c>
      <c r="O675" s="86">
        <v>0</v>
      </c>
      <c r="P675" s="86">
        <v>0</v>
      </c>
      <c r="Q675" s="87">
        <v>0</v>
      </c>
      <c r="R675" s="87">
        <v>0</v>
      </c>
      <c r="S675" s="87">
        <v>0</v>
      </c>
      <c r="T675" s="87">
        <v>0</v>
      </c>
      <c r="U675" s="87">
        <v>0</v>
      </c>
      <c r="V675" s="88">
        <v>0</v>
      </c>
      <c r="W675" s="84"/>
      <c r="X675" s="90" t="s">
        <v>213</v>
      </c>
    </row>
    <row r="676" spans="3:24" s="12" customFormat="1" ht="15.75" customHeight="1">
      <c r="C676" s="84"/>
      <c r="D676" s="90" t="s">
        <v>214</v>
      </c>
      <c r="E676" s="85">
        <v>0</v>
      </c>
      <c r="F676" s="86">
        <v>0</v>
      </c>
      <c r="G676" s="86">
        <v>0</v>
      </c>
      <c r="H676" s="86">
        <v>0</v>
      </c>
      <c r="I676" s="86">
        <v>0</v>
      </c>
      <c r="J676" s="86">
        <v>0</v>
      </c>
      <c r="K676" s="86">
        <v>0</v>
      </c>
      <c r="L676" s="86">
        <v>0</v>
      </c>
      <c r="M676" s="86">
        <v>0</v>
      </c>
      <c r="N676" s="86">
        <v>0</v>
      </c>
      <c r="O676" s="86">
        <v>0</v>
      </c>
      <c r="P676" s="86">
        <v>0</v>
      </c>
      <c r="Q676" s="87">
        <v>0</v>
      </c>
      <c r="R676" s="87">
        <v>0</v>
      </c>
      <c r="S676" s="87">
        <v>0</v>
      </c>
      <c r="T676" s="87">
        <v>0</v>
      </c>
      <c r="U676" s="87">
        <v>0</v>
      </c>
      <c r="V676" s="88">
        <v>0</v>
      </c>
      <c r="W676" s="84"/>
      <c r="X676" s="90" t="s">
        <v>214</v>
      </c>
    </row>
    <row r="677" spans="3:24" s="12" customFormat="1" ht="15.75" customHeight="1">
      <c r="C677" s="84"/>
      <c r="D677" s="90" t="s">
        <v>215</v>
      </c>
      <c r="E677" s="85">
        <v>0</v>
      </c>
      <c r="F677" s="86">
        <v>0</v>
      </c>
      <c r="G677" s="86">
        <v>0</v>
      </c>
      <c r="H677" s="86">
        <v>0</v>
      </c>
      <c r="I677" s="86">
        <v>0</v>
      </c>
      <c r="J677" s="86">
        <v>0</v>
      </c>
      <c r="K677" s="86">
        <v>0</v>
      </c>
      <c r="L677" s="86">
        <v>0</v>
      </c>
      <c r="M677" s="86">
        <v>0</v>
      </c>
      <c r="N677" s="86">
        <v>0</v>
      </c>
      <c r="O677" s="86">
        <v>0</v>
      </c>
      <c r="P677" s="86">
        <v>0</v>
      </c>
      <c r="Q677" s="87">
        <v>0</v>
      </c>
      <c r="R677" s="87">
        <v>0</v>
      </c>
      <c r="S677" s="87">
        <v>0</v>
      </c>
      <c r="T677" s="87">
        <v>0</v>
      </c>
      <c r="U677" s="87">
        <v>0</v>
      </c>
      <c r="V677" s="88">
        <v>0</v>
      </c>
      <c r="W677" s="84"/>
      <c r="X677" s="90" t="s">
        <v>215</v>
      </c>
    </row>
    <row r="678" spans="3:24" s="12" customFormat="1" ht="15.75" customHeight="1">
      <c r="C678" s="84"/>
      <c r="D678" s="84"/>
      <c r="E678" s="85"/>
      <c r="F678" s="86"/>
      <c r="G678" s="86"/>
      <c r="H678" s="86"/>
      <c r="I678" s="86"/>
      <c r="J678" s="86"/>
      <c r="K678" s="86"/>
      <c r="L678" s="86"/>
      <c r="M678" s="86"/>
      <c r="N678" s="86"/>
      <c r="O678" s="86"/>
      <c r="P678" s="86"/>
      <c r="Q678" s="87"/>
      <c r="R678" s="87"/>
      <c r="S678" s="87"/>
      <c r="T678" s="87"/>
      <c r="U678" s="87"/>
      <c r="V678" s="88"/>
      <c r="W678" s="84"/>
      <c r="X678" s="84"/>
    </row>
    <row r="679" spans="3:24" s="12" customFormat="1" ht="15.75" customHeight="1">
      <c r="C679" s="78" t="s">
        <v>221</v>
      </c>
      <c r="D679" s="79"/>
      <c r="E679" s="80">
        <v>346330</v>
      </c>
      <c r="F679" s="81">
        <v>0</v>
      </c>
      <c r="G679" s="81">
        <v>0</v>
      </c>
      <c r="H679" s="81">
        <v>0</v>
      </c>
      <c r="I679" s="81">
        <v>0</v>
      </c>
      <c r="J679" s="81">
        <v>0</v>
      </c>
      <c r="K679" s="81">
        <v>0</v>
      </c>
      <c r="L679" s="81">
        <v>0</v>
      </c>
      <c r="M679" s="81">
        <v>0</v>
      </c>
      <c r="N679" s="81">
        <v>0</v>
      </c>
      <c r="O679" s="81">
        <v>0</v>
      </c>
      <c r="P679" s="81">
        <v>0</v>
      </c>
      <c r="Q679" s="82">
        <v>346330</v>
      </c>
      <c r="R679" s="82">
        <v>0</v>
      </c>
      <c r="S679" s="82">
        <v>0</v>
      </c>
      <c r="T679" s="82">
        <v>0</v>
      </c>
      <c r="U679" s="82">
        <v>0</v>
      </c>
      <c r="V679" s="83">
        <v>0</v>
      </c>
      <c r="W679" s="78" t="s">
        <v>221</v>
      </c>
      <c r="X679" s="79"/>
    </row>
    <row r="680" spans="3:24" s="12" customFormat="1" ht="15.75" customHeight="1">
      <c r="C680" s="93"/>
      <c r="D680" s="94" t="s">
        <v>42</v>
      </c>
      <c r="E680" s="85">
        <v>0</v>
      </c>
      <c r="F680" s="86">
        <v>0</v>
      </c>
      <c r="G680" s="86">
        <v>0</v>
      </c>
      <c r="H680" s="86">
        <v>0</v>
      </c>
      <c r="I680" s="86">
        <v>0</v>
      </c>
      <c r="J680" s="86">
        <v>0</v>
      </c>
      <c r="K680" s="86">
        <v>0</v>
      </c>
      <c r="L680" s="86">
        <v>0</v>
      </c>
      <c r="M680" s="86">
        <v>0</v>
      </c>
      <c r="N680" s="86">
        <v>0</v>
      </c>
      <c r="O680" s="86">
        <v>0</v>
      </c>
      <c r="P680" s="86">
        <v>0</v>
      </c>
      <c r="Q680" s="87">
        <v>0</v>
      </c>
      <c r="R680" s="87">
        <v>0</v>
      </c>
      <c r="S680" s="87">
        <v>0</v>
      </c>
      <c r="T680" s="87">
        <v>0</v>
      </c>
      <c r="U680" s="87">
        <v>0</v>
      </c>
      <c r="V680" s="88">
        <v>0</v>
      </c>
      <c r="W680" s="93"/>
      <c r="X680" s="94" t="s">
        <v>42</v>
      </c>
    </row>
    <row r="681" spans="3:24" s="12" customFormat="1" ht="15.75" customHeight="1">
      <c r="C681" s="84"/>
      <c r="D681" s="94" t="s">
        <v>41</v>
      </c>
      <c r="E681" s="85">
        <v>0</v>
      </c>
      <c r="F681" s="86">
        <v>0</v>
      </c>
      <c r="G681" s="86">
        <v>0</v>
      </c>
      <c r="H681" s="86">
        <v>0</v>
      </c>
      <c r="I681" s="86">
        <v>0</v>
      </c>
      <c r="J681" s="86">
        <v>0</v>
      </c>
      <c r="K681" s="86">
        <v>0</v>
      </c>
      <c r="L681" s="86">
        <v>0</v>
      </c>
      <c r="M681" s="86">
        <v>0</v>
      </c>
      <c r="N681" s="86">
        <v>0</v>
      </c>
      <c r="O681" s="86">
        <v>0</v>
      </c>
      <c r="P681" s="86">
        <v>0</v>
      </c>
      <c r="Q681" s="87">
        <v>0</v>
      </c>
      <c r="R681" s="87">
        <v>0</v>
      </c>
      <c r="S681" s="87">
        <v>0</v>
      </c>
      <c r="T681" s="87">
        <v>0</v>
      </c>
      <c r="U681" s="87">
        <v>0</v>
      </c>
      <c r="V681" s="88">
        <v>0</v>
      </c>
      <c r="W681" s="84"/>
      <c r="X681" s="94" t="s">
        <v>41</v>
      </c>
    </row>
    <row r="682" spans="3:24" s="12" customFormat="1" ht="15.75" customHeight="1">
      <c r="C682" s="84"/>
      <c r="D682" s="94" t="s">
        <v>40</v>
      </c>
      <c r="E682" s="85">
        <v>0</v>
      </c>
      <c r="F682" s="86">
        <v>0</v>
      </c>
      <c r="G682" s="86">
        <v>0</v>
      </c>
      <c r="H682" s="86">
        <v>0</v>
      </c>
      <c r="I682" s="86">
        <v>0</v>
      </c>
      <c r="J682" s="86">
        <v>0</v>
      </c>
      <c r="K682" s="86">
        <v>0</v>
      </c>
      <c r="L682" s="86">
        <v>0</v>
      </c>
      <c r="M682" s="86">
        <v>0</v>
      </c>
      <c r="N682" s="86">
        <v>0</v>
      </c>
      <c r="O682" s="86">
        <v>0</v>
      </c>
      <c r="P682" s="86">
        <v>0</v>
      </c>
      <c r="Q682" s="87">
        <v>0</v>
      </c>
      <c r="R682" s="87">
        <v>0</v>
      </c>
      <c r="S682" s="87">
        <v>0</v>
      </c>
      <c r="T682" s="87">
        <v>0</v>
      </c>
      <c r="U682" s="87">
        <v>0</v>
      </c>
      <c r="V682" s="88">
        <v>0</v>
      </c>
      <c r="W682" s="84"/>
      <c r="X682" s="94" t="s">
        <v>40</v>
      </c>
    </row>
    <row r="683" spans="3:24" s="12" customFormat="1" ht="15.75" customHeight="1">
      <c r="C683" s="84"/>
      <c r="D683" s="94" t="s">
        <v>39</v>
      </c>
      <c r="E683" s="85">
        <v>0</v>
      </c>
      <c r="F683" s="86">
        <v>0</v>
      </c>
      <c r="G683" s="86">
        <v>0</v>
      </c>
      <c r="H683" s="86">
        <v>0</v>
      </c>
      <c r="I683" s="86">
        <v>0</v>
      </c>
      <c r="J683" s="86">
        <v>0</v>
      </c>
      <c r="K683" s="86">
        <v>0</v>
      </c>
      <c r="L683" s="86">
        <v>0</v>
      </c>
      <c r="M683" s="86">
        <v>0</v>
      </c>
      <c r="N683" s="86">
        <v>0</v>
      </c>
      <c r="O683" s="86">
        <v>0</v>
      </c>
      <c r="P683" s="86">
        <v>0</v>
      </c>
      <c r="Q683" s="87">
        <v>0</v>
      </c>
      <c r="R683" s="87">
        <v>0</v>
      </c>
      <c r="S683" s="87">
        <v>0</v>
      </c>
      <c r="T683" s="87">
        <v>0</v>
      </c>
      <c r="U683" s="87">
        <v>0</v>
      </c>
      <c r="V683" s="88">
        <v>0</v>
      </c>
      <c r="W683" s="84"/>
      <c r="X683" s="94" t="s">
        <v>39</v>
      </c>
    </row>
    <row r="684" spans="3:24" s="12" customFormat="1" ht="15.75" customHeight="1">
      <c r="C684" s="84"/>
      <c r="D684" s="94" t="s">
        <v>38</v>
      </c>
      <c r="E684" s="85">
        <v>0</v>
      </c>
      <c r="F684" s="86">
        <v>0</v>
      </c>
      <c r="G684" s="86">
        <v>0</v>
      </c>
      <c r="H684" s="86">
        <v>0</v>
      </c>
      <c r="I684" s="86">
        <v>0</v>
      </c>
      <c r="J684" s="86">
        <v>0</v>
      </c>
      <c r="K684" s="86">
        <v>0</v>
      </c>
      <c r="L684" s="86">
        <v>0</v>
      </c>
      <c r="M684" s="86">
        <v>0</v>
      </c>
      <c r="N684" s="86">
        <v>0</v>
      </c>
      <c r="O684" s="86">
        <v>0</v>
      </c>
      <c r="P684" s="86">
        <v>0</v>
      </c>
      <c r="Q684" s="86">
        <v>0</v>
      </c>
      <c r="R684" s="86">
        <v>0</v>
      </c>
      <c r="S684" s="86">
        <v>0</v>
      </c>
      <c r="T684" s="86">
        <v>0</v>
      </c>
      <c r="U684" s="86">
        <v>0</v>
      </c>
      <c r="V684" s="147">
        <v>0</v>
      </c>
      <c r="W684" s="84"/>
      <c r="X684" s="94" t="s">
        <v>38</v>
      </c>
    </row>
    <row r="685" spans="3:24" s="12" customFormat="1" ht="15.75" customHeight="1">
      <c r="C685" s="84"/>
      <c r="D685" s="94" t="s">
        <v>37</v>
      </c>
      <c r="E685" s="85">
        <v>0</v>
      </c>
      <c r="F685" s="86">
        <v>0</v>
      </c>
      <c r="G685" s="86">
        <v>0</v>
      </c>
      <c r="H685" s="86">
        <v>0</v>
      </c>
      <c r="I685" s="86">
        <v>0</v>
      </c>
      <c r="J685" s="86">
        <v>0</v>
      </c>
      <c r="K685" s="86">
        <v>0</v>
      </c>
      <c r="L685" s="86">
        <v>0</v>
      </c>
      <c r="M685" s="86">
        <v>0</v>
      </c>
      <c r="N685" s="86">
        <v>0</v>
      </c>
      <c r="O685" s="86">
        <v>0</v>
      </c>
      <c r="P685" s="86">
        <v>0</v>
      </c>
      <c r="Q685" s="87">
        <v>0</v>
      </c>
      <c r="R685" s="86">
        <v>0</v>
      </c>
      <c r="S685" s="86">
        <v>0</v>
      </c>
      <c r="T685" s="86">
        <v>0</v>
      </c>
      <c r="U685" s="86">
        <v>0</v>
      </c>
      <c r="V685" s="147">
        <v>0</v>
      </c>
      <c r="W685" s="84"/>
      <c r="X685" s="94" t="s">
        <v>37</v>
      </c>
    </row>
    <row r="686" spans="3:24" s="12" customFormat="1" ht="15.75" customHeight="1">
      <c r="C686" s="84"/>
      <c r="D686" s="94" t="s">
        <v>36</v>
      </c>
      <c r="E686" s="85">
        <v>346330</v>
      </c>
      <c r="F686" s="86">
        <v>0</v>
      </c>
      <c r="G686" s="86">
        <v>0</v>
      </c>
      <c r="H686" s="86">
        <v>0</v>
      </c>
      <c r="I686" s="86">
        <v>0</v>
      </c>
      <c r="J686" s="86">
        <v>0</v>
      </c>
      <c r="K686" s="86">
        <v>0</v>
      </c>
      <c r="L686" s="86">
        <v>0</v>
      </c>
      <c r="M686" s="86">
        <v>0</v>
      </c>
      <c r="N686" s="86">
        <v>0</v>
      </c>
      <c r="O686" s="86">
        <v>0</v>
      </c>
      <c r="P686" s="86">
        <v>0</v>
      </c>
      <c r="Q686" s="87">
        <v>346330</v>
      </c>
      <c r="R686" s="87">
        <v>0</v>
      </c>
      <c r="S686" s="87">
        <v>0</v>
      </c>
      <c r="T686" s="87">
        <v>0</v>
      </c>
      <c r="U686" s="87">
        <v>0</v>
      </c>
      <c r="V686" s="88">
        <v>0</v>
      </c>
      <c r="W686" s="84"/>
      <c r="X686" s="94" t="s">
        <v>36</v>
      </c>
    </row>
    <row r="687" spans="3:24" s="12" customFormat="1" ht="15.75" customHeight="1">
      <c r="C687" s="84"/>
      <c r="D687" s="94" t="s">
        <v>35</v>
      </c>
      <c r="E687" s="85">
        <v>0</v>
      </c>
      <c r="F687" s="86">
        <v>0</v>
      </c>
      <c r="G687" s="86">
        <v>0</v>
      </c>
      <c r="H687" s="86">
        <v>0</v>
      </c>
      <c r="I687" s="86">
        <v>0</v>
      </c>
      <c r="J687" s="86">
        <v>0</v>
      </c>
      <c r="K687" s="86">
        <v>0</v>
      </c>
      <c r="L687" s="86">
        <v>0</v>
      </c>
      <c r="M687" s="86">
        <v>0</v>
      </c>
      <c r="N687" s="86">
        <v>0</v>
      </c>
      <c r="O687" s="86">
        <v>0</v>
      </c>
      <c r="P687" s="86">
        <v>0</v>
      </c>
      <c r="Q687" s="87">
        <v>0</v>
      </c>
      <c r="R687" s="87">
        <v>0</v>
      </c>
      <c r="S687" s="87">
        <v>0</v>
      </c>
      <c r="T687" s="87">
        <v>0</v>
      </c>
      <c r="U687" s="87">
        <v>0</v>
      </c>
      <c r="V687" s="88">
        <v>0</v>
      </c>
      <c r="W687" s="84"/>
      <c r="X687" s="94" t="s">
        <v>35</v>
      </c>
    </row>
    <row r="688" spans="3:24" s="12" customFormat="1" ht="15.75" customHeight="1">
      <c r="C688" s="84"/>
      <c r="D688" s="84"/>
      <c r="E688" s="85"/>
      <c r="F688" s="86"/>
      <c r="G688" s="86"/>
      <c r="H688" s="86"/>
      <c r="I688" s="86"/>
      <c r="J688" s="86"/>
      <c r="K688" s="86"/>
      <c r="L688" s="86"/>
      <c r="M688" s="86"/>
      <c r="N688" s="86"/>
      <c r="O688" s="86"/>
      <c r="P688" s="86"/>
      <c r="Q688" s="87"/>
      <c r="R688" s="87"/>
      <c r="S688" s="87"/>
      <c r="T688" s="87"/>
      <c r="U688" s="87"/>
      <c r="V688" s="88"/>
      <c r="W688" s="84"/>
      <c r="X688" s="84"/>
    </row>
    <row r="689" spans="3:24" s="6" customFormat="1" ht="15.75" customHeight="1">
      <c r="C689" s="78" t="s">
        <v>222</v>
      </c>
      <c r="D689" s="78"/>
      <c r="E689" s="80">
        <v>346330</v>
      </c>
      <c r="F689" s="81">
        <v>0</v>
      </c>
      <c r="G689" s="81">
        <v>0</v>
      </c>
      <c r="H689" s="81">
        <v>0</v>
      </c>
      <c r="I689" s="81">
        <v>0</v>
      </c>
      <c r="J689" s="81">
        <v>0</v>
      </c>
      <c r="K689" s="81">
        <v>0</v>
      </c>
      <c r="L689" s="81">
        <v>0</v>
      </c>
      <c r="M689" s="81">
        <v>0</v>
      </c>
      <c r="N689" s="81">
        <v>0</v>
      </c>
      <c r="O689" s="81">
        <v>0</v>
      </c>
      <c r="P689" s="81">
        <v>0</v>
      </c>
      <c r="Q689" s="82">
        <v>346330</v>
      </c>
      <c r="R689" s="82">
        <v>0</v>
      </c>
      <c r="S689" s="82">
        <v>0</v>
      </c>
      <c r="T689" s="82">
        <v>0</v>
      </c>
      <c r="U689" s="82">
        <v>0</v>
      </c>
      <c r="V689" s="83">
        <v>0</v>
      </c>
      <c r="W689" s="78" t="s">
        <v>222</v>
      </c>
      <c r="X689" s="78"/>
    </row>
    <row r="690" spans="3:24" s="6" customFormat="1" ht="15.75" customHeight="1">
      <c r="C690" s="84"/>
      <c r="D690" s="84" t="s">
        <v>34</v>
      </c>
      <c r="E690" s="85">
        <v>0</v>
      </c>
      <c r="F690" s="86">
        <v>0</v>
      </c>
      <c r="G690" s="86">
        <v>0</v>
      </c>
      <c r="H690" s="86">
        <v>0</v>
      </c>
      <c r="I690" s="86">
        <v>0</v>
      </c>
      <c r="J690" s="86">
        <v>0</v>
      </c>
      <c r="K690" s="86">
        <v>0</v>
      </c>
      <c r="L690" s="86">
        <v>0</v>
      </c>
      <c r="M690" s="86">
        <v>0</v>
      </c>
      <c r="N690" s="86">
        <v>0</v>
      </c>
      <c r="O690" s="86">
        <v>0</v>
      </c>
      <c r="P690" s="86">
        <v>0</v>
      </c>
      <c r="Q690" s="87">
        <v>0</v>
      </c>
      <c r="R690" s="87">
        <v>0</v>
      </c>
      <c r="S690" s="86">
        <v>0</v>
      </c>
      <c r="T690" s="86">
        <v>0</v>
      </c>
      <c r="U690" s="86">
        <v>0</v>
      </c>
      <c r="V690" s="147">
        <v>0</v>
      </c>
      <c r="W690" s="84"/>
      <c r="X690" s="84" t="s">
        <v>34</v>
      </c>
    </row>
    <row r="691" spans="3:24" s="6" customFormat="1" ht="15.75" customHeight="1">
      <c r="C691" s="84"/>
      <c r="D691" s="84" t="s">
        <v>33</v>
      </c>
      <c r="E691" s="85">
        <v>0</v>
      </c>
      <c r="F691" s="86">
        <v>0</v>
      </c>
      <c r="G691" s="86">
        <v>0</v>
      </c>
      <c r="H691" s="86">
        <v>0</v>
      </c>
      <c r="I691" s="86">
        <v>0</v>
      </c>
      <c r="J691" s="86">
        <v>0</v>
      </c>
      <c r="K691" s="86">
        <v>0</v>
      </c>
      <c r="L691" s="86">
        <v>0</v>
      </c>
      <c r="M691" s="86">
        <v>0</v>
      </c>
      <c r="N691" s="86">
        <v>0</v>
      </c>
      <c r="O691" s="86">
        <v>0</v>
      </c>
      <c r="P691" s="86">
        <v>0</v>
      </c>
      <c r="Q691" s="87">
        <v>0</v>
      </c>
      <c r="R691" s="87">
        <v>0</v>
      </c>
      <c r="S691" s="87">
        <v>0</v>
      </c>
      <c r="T691" s="87">
        <v>0</v>
      </c>
      <c r="U691" s="87">
        <v>0</v>
      </c>
      <c r="V691" s="88">
        <v>0</v>
      </c>
      <c r="W691" s="84"/>
      <c r="X691" s="84" t="s">
        <v>33</v>
      </c>
    </row>
    <row r="692" spans="3:24" s="6" customFormat="1" ht="15.75" customHeight="1">
      <c r="C692" s="84"/>
      <c r="D692" s="84" t="s">
        <v>32</v>
      </c>
      <c r="E692" s="85">
        <v>0</v>
      </c>
      <c r="F692" s="86">
        <v>0</v>
      </c>
      <c r="G692" s="86">
        <v>0</v>
      </c>
      <c r="H692" s="86">
        <v>0</v>
      </c>
      <c r="I692" s="86">
        <v>0</v>
      </c>
      <c r="J692" s="86">
        <v>0</v>
      </c>
      <c r="K692" s="86">
        <v>0</v>
      </c>
      <c r="L692" s="86">
        <v>0</v>
      </c>
      <c r="M692" s="86">
        <v>0</v>
      </c>
      <c r="N692" s="86">
        <v>0</v>
      </c>
      <c r="O692" s="86">
        <v>0</v>
      </c>
      <c r="P692" s="86">
        <v>0</v>
      </c>
      <c r="Q692" s="87">
        <v>0</v>
      </c>
      <c r="R692" s="87">
        <v>0</v>
      </c>
      <c r="S692" s="87">
        <v>0</v>
      </c>
      <c r="T692" s="87">
        <v>0</v>
      </c>
      <c r="U692" s="87">
        <v>0</v>
      </c>
      <c r="V692" s="88">
        <v>0</v>
      </c>
      <c r="W692" s="84"/>
      <c r="X692" s="84" t="s">
        <v>32</v>
      </c>
    </row>
    <row r="693" spans="3:24" s="6" customFormat="1" ht="15.75" customHeight="1">
      <c r="C693" s="84"/>
      <c r="D693" s="84" t="s">
        <v>31</v>
      </c>
      <c r="E693" s="85">
        <v>0</v>
      </c>
      <c r="F693" s="86">
        <v>0</v>
      </c>
      <c r="G693" s="86">
        <v>0</v>
      </c>
      <c r="H693" s="86">
        <v>0</v>
      </c>
      <c r="I693" s="86">
        <v>0</v>
      </c>
      <c r="J693" s="86">
        <v>0</v>
      </c>
      <c r="K693" s="86">
        <v>0</v>
      </c>
      <c r="L693" s="86">
        <v>0</v>
      </c>
      <c r="M693" s="86">
        <v>0</v>
      </c>
      <c r="N693" s="86">
        <v>0</v>
      </c>
      <c r="O693" s="86">
        <v>0</v>
      </c>
      <c r="P693" s="86">
        <v>0</v>
      </c>
      <c r="Q693" s="87">
        <v>0</v>
      </c>
      <c r="R693" s="87">
        <v>0</v>
      </c>
      <c r="S693" s="87">
        <v>0</v>
      </c>
      <c r="T693" s="87">
        <v>0</v>
      </c>
      <c r="U693" s="87">
        <v>0</v>
      </c>
      <c r="V693" s="88">
        <v>0</v>
      </c>
      <c r="W693" s="84"/>
      <c r="X693" s="84" t="s">
        <v>31</v>
      </c>
    </row>
    <row r="694" spans="3:24" s="6" customFormat="1" ht="15.75" customHeight="1">
      <c r="C694" s="84"/>
      <c r="D694" s="84" t="s">
        <v>30</v>
      </c>
      <c r="E694" s="85">
        <v>0</v>
      </c>
      <c r="F694" s="86">
        <v>0</v>
      </c>
      <c r="G694" s="86">
        <v>0</v>
      </c>
      <c r="H694" s="86">
        <v>0</v>
      </c>
      <c r="I694" s="86">
        <v>0</v>
      </c>
      <c r="J694" s="86">
        <v>0</v>
      </c>
      <c r="K694" s="86">
        <v>0</v>
      </c>
      <c r="L694" s="86">
        <v>0</v>
      </c>
      <c r="M694" s="86">
        <v>0</v>
      </c>
      <c r="N694" s="86">
        <v>0</v>
      </c>
      <c r="O694" s="86">
        <v>0</v>
      </c>
      <c r="P694" s="86">
        <v>0</v>
      </c>
      <c r="Q694" s="87">
        <v>0</v>
      </c>
      <c r="R694" s="87">
        <v>0</v>
      </c>
      <c r="S694" s="87">
        <v>0</v>
      </c>
      <c r="T694" s="87">
        <v>0</v>
      </c>
      <c r="U694" s="87">
        <v>0</v>
      </c>
      <c r="V694" s="88">
        <v>0</v>
      </c>
      <c r="W694" s="84"/>
      <c r="X694" s="84" t="s">
        <v>30</v>
      </c>
    </row>
    <row r="695" spans="3:24" s="6" customFormat="1" ht="15.75" customHeight="1">
      <c r="C695" s="84"/>
      <c r="D695" s="84" t="s">
        <v>29</v>
      </c>
      <c r="E695" s="85">
        <v>0</v>
      </c>
      <c r="F695" s="86">
        <v>0</v>
      </c>
      <c r="G695" s="86">
        <v>0</v>
      </c>
      <c r="H695" s="86">
        <v>0</v>
      </c>
      <c r="I695" s="86">
        <v>0</v>
      </c>
      <c r="J695" s="86">
        <v>0</v>
      </c>
      <c r="K695" s="86">
        <v>0</v>
      </c>
      <c r="L695" s="86">
        <v>0</v>
      </c>
      <c r="M695" s="86">
        <v>0</v>
      </c>
      <c r="N695" s="86">
        <v>0</v>
      </c>
      <c r="O695" s="86">
        <v>0</v>
      </c>
      <c r="P695" s="86">
        <v>0</v>
      </c>
      <c r="Q695" s="87">
        <v>0</v>
      </c>
      <c r="R695" s="87">
        <v>0</v>
      </c>
      <c r="S695" s="87">
        <v>0</v>
      </c>
      <c r="T695" s="87">
        <v>0</v>
      </c>
      <c r="U695" s="87">
        <v>0</v>
      </c>
      <c r="V695" s="88">
        <v>0</v>
      </c>
      <c r="W695" s="84"/>
      <c r="X695" s="84" t="s">
        <v>29</v>
      </c>
    </row>
    <row r="696" spans="3:24" s="6" customFormat="1" ht="15.75" customHeight="1">
      <c r="C696" s="84"/>
      <c r="D696" s="84" t="s">
        <v>28</v>
      </c>
      <c r="E696" s="85">
        <v>0</v>
      </c>
      <c r="F696" s="86">
        <v>0</v>
      </c>
      <c r="G696" s="86">
        <v>0</v>
      </c>
      <c r="H696" s="86">
        <v>0</v>
      </c>
      <c r="I696" s="86">
        <v>0</v>
      </c>
      <c r="J696" s="86">
        <v>0</v>
      </c>
      <c r="K696" s="86">
        <v>0</v>
      </c>
      <c r="L696" s="86">
        <v>0</v>
      </c>
      <c r="M696" s="86">
        <v>0</v>
      </c>
      <c r="N696" s="86">
        <v>0</v>
      </c>
      <c r="O696" s="86">
        <v>0</v>
      </c>
      <c r="P696" s="86">
        <v>0</v>
      </c>
      <c r="Q696" s="87">
        <v>0</v>
      </c>
      <c r="R696" s="87">
        <v>0</v>
      </c>
      <c r="S696" s="87">
        <v>0</v>
      </c>
      <c r="T696" s="87">
        <v>0</v>
      </c>
      <c r="U696" s="87">
        <v>0</v>
      </c>
      <c r="V696" s="88">
        <v>0</v>
      </c>
      <c r="W696" s="84"/>
      <c r="X696" s="84" t="s">
        <v>28</v>
      </c>
    </row>
    <row r="697" spans="3:24" s="6" customFormat="1" ht="15.75" customHeight="1">
      <c r="C697" s="84"/>
      <c r="D697" s="84" t="s">
        <v>27</v>
      </c>
      <c r="E697" s="85">
        <v>0</v>
      </c>
      <c r="F697" s="86">
        <v>0</v>
      </c>
      <c r="G697" s="86">
        <v>0</v>
      </c>
      <c r="H697" s="86">
        <v>0</v>
      </c>
      <c r="I697" s="86">
        <v>0</v>
      </c>
      <c r="J697" s="86">
        <v>0</v>
      </c>
      <c r="K697" s="86">
        <v>0</v>
      </c>
      <c r="L697" s="86">
        <v>0</v>
      </c>
      <c r="M697" s="86">
        <v>0</v>
      </c>
      <c r="N697" s="86">
        <v>0</v>
      </c>
      <c r="O697" s="86">
        <v>0</v>
      </c>
      <c r="P697" s="86">
        <v>0</v>
      </c>
      <c r="Q697" s="87">
        <v>0</v>
      </c>
      <c r="R697" s="87">
        <v>0</v>
      </c>
      <c r="S697" s="87">
        <v>0</v>
      </c>
      <c r="T697" s="87">
        <v>0</v>
      </c>
      <c r="U697" s="87">
        <v>0</v>
      </c>
      <c r="V697" s="88">
        <v>0</v>
      </c>
      <c r="W697" s="84"/>
      <c r="X697" s="84" t="s">
        <v>27</v>
      </c>
    </row>
    <row r="698" spans="3:24" s="6" customFormat="1" ht="15.75" customHeight="1">
      <c r="C698" s="84"/>
      <c r="D698" s="84" t="s">
        <v>26</v>
      </c>
      <c r="E698" s="85">
        <v>0</v>
      </c>
      <c r="F698" s="86">
        <v>0</v>
      </c>
      <c r="G698" s="86">
        <v>0</v>
      </c>
      <c r="H698" s="86">
        <v>0</v>
      </c>
      <c r="I698" s="86">
        <v>0</v>
      </c>
      <c r="J698" s="86">
        <v>0</v>
      </c>
      <c r="K698" s="86">
        <v>0</v>
      </c>
      <c r="L698" s="86">
        <v>0</v>
      </c>
      <c r="M698" s="86">
        <v>0</v>
      </c>
      <c r="N698" s="86">
        <v>0</v>
      </c>
      <c r="O698" s="86">
        <v>0</v>
      </c>
      <c r="P698" s="86">
        <v>0</v>
      </c>
      <c r="Q698" s="87">
        <v>0</v>
      </c>
      <c r="R698" s="87">
        <v>0</v>
      </c>
      <c r="S698" s="87">
        <v>0</v>
      </c>
      <c r="T698" s="87">
        <v>0</v>
      </c>
      <c r="U698" s="87">
        <v>0</v>
      </c>
      <c r="V698" s="88">
        <v>0</v>
      </c>
      <c r="W698" s="84"/>
      <c r="X698" s="84" t="s">
        <v>26</v>
      </c>
    </row>
    <row r="699" spans="3:24" s="6" customFormat="1" ht="15.75" customHeight="1">
      <c r="C699" s="84"/>
      <c r="D699" s="84" t="s">
        <v>25</v>
      </c>
      <c r="E699" s="85">
        <v>0</v>
      </c>
      <c r="F699" s="86">
        <v>0</v>
      </c>
      <c r="G699" s="86">
        <v>0</v>
      </c>
      <c r="H699" s="86">
        <v>0</v>
      </c>
      <c r="I699" s="86">
        <v>0</v>
      </c>
      <c r="J699" s="86">
        <v>0</v>
      </c>
      <c r="K699" s="86">
        <v>0</v>
      </c>
      <c r="L699" s="86">
        <v>0</v>
      </c>
      <c r="M699" s="86">
        <v>0</v>
      </c>
      <c r="N699" s="86">
        <v>0</v>
      </c>
      <c r="O699" s="86">
        <v>0</v>
      </c>
      <c r="P699" s="86">
        <v>0</v>
      </c>
      <c r="Q699" s="87">
        <v>0</v>
      </c>
      <c r="R699" s="87">
        <v>0</v>
      </c>
      <c r="S699" s="87">
        <v>0</v>
      </c>
      <c r="T699" s="87">
        <v>0</v>
      </c>
      <c r="U699" s="87">
        <v>0</v>
      </c>
      <c r="V699" s="88">
        <v>0</v>
      </c>
      <c r="W699" s="84"/>
      <c r="X699" s="84" t="s">
        <v>25</v>
      </c>
    </row>
    <row r="700" spans="3:24" s="6" customFormat="1" ht="15.75" customHeight="1" thickBot="1">
      <c r="C700" s="96"/>
      <c r="D700" s="96" t="s">
        <v>24</v>
      </c>
      <c r="E700" s="97">
        <v>346330</v>
      </c>
      <c r="F700" s="98">
        <v>0</v>
      </c>
      <c r="G700" s="98">
        <v>0</v>
      </c>
      <c r="H700" s="98">
        <v>0</v>
      </c>
      <c r="I700" s="98">
        <v>0</v>
      </c>
      <c r="J700" s="98">
        <v>0</v>
      </c>
      <c r="K700" s="98">
        <v>0</v>
      </c>
      <c r="L700" s="98">
        <v>0</v>
      </c>
      <c r="M700" s="98">
        <v>0</v>
      </c>
      <c r="N700" s="98">
        <v>0</v>
      </c>
      <c r="O700" s="98">
        <v>0</v>
      </c>
      <c r="P700" s="98">
        <v>0</v>
      </c>
      <c r="Q700" s="99">
        <v>346330</v>
      </c>
      <c r="R700" s="99">
        <v>0</v>
      </c>
      <c r="S700" s="99">
        <v>0</v>
      </c>
      <c r="T700" s="99">
        <v>0</v>
      </c>
      <c r="U700" s="99">
        <v>0</v>
      </c>
      <c r="V700" s="100">
        <v>0</v>
      </c>
      <c r="W700" s="96"/>
      <c r="X700" s="96" t="s">
        <v>24</v>
      </c>
    </row>
    <row r="701" spans="3:24" s="6" customFormat="1" ht="15.75" customHeight="1">
      <c r="C701" s="84"/>
      <c r="D701" s="84"/>
      <c r="E701" s="101"/>
      <c r="F701" s="101"/>
      <c r="G701" s="101"/>
      <c r="H701" s="101"/>
      <c r="I701" s="101"/>
      <c r="J701" s="101"/>
      <c r="K701" s="101"/>
      <c r="L701" s="101"/>
      <c r="M701" s="101"/>
      <c r="N701" s="101"/>
      <c r="O701" s="262"/>
      <c r="P701" s="101"/>
      <c r="Q701" s="102"/>
      <c r="R701" s="102"/>
      <c r="S701" s="102"/>
      <c r="T701" s="102"/>
      <c r="U701" s="102"/>
      <c r="V701" s="102"/>
      <c r="W701" s="84"/>
      <c r="X701" s="84"/>
    </row>
    <row r="702" spans="3:24" s="7" customFormat="1" ht="15.75" customHeight="1">
      <c r="C702" s="103" t="s">
        <v>23</v>
      </c>
      <c r="D702" s="103"/>
      <c r="E702" s="103"/>
      <c r="F702" s="103"/>
      <c r="G702" s="103"/>
      <c r="H702" s="103"/>
      <c r="I702" s="103"/>
      <c r="J702" s="103"/>
      <c r="K702" s="103"/>
      <c r="L702" s="103"/>
      <c r="M702" s="103"/>
      <c r="N702" s="103"/>
      <c r="O702" s="6"/>
      <c r="P702" s="103"/>
      <c r="Q702" s="103"/>
      <c r="R702" s="103"/>
      <c r="S702" s="103"/>
      <c r="T702" s="103"/>
      <c r="U702" s="103"/>
      <c r="V702" s="103"/>
      <c r="W702" s="103"/>
      <c r="X702" s="103"/>
    </row>
  </sheetData>
  <mergeCells count="69">
    <mergeCell ref="C229:D230"/>
    <mergeCell ref="W229:X230"/>
    <mergeCell ref="V347:X347"/>
    <mergeCell ref="V357:X357"/>
    <mergeCell ref="V358:X358"/>
    <mergeCell ref="A263:C264"/>
    <mergeCell ref="V263:X264"/>
    <mergeCell ref="A286:C287"/>
    <mergeCell ref="V286:X287"/>
    <mergeCell ref="A309:C310"/>
    <mergeCell ref="V309:X310"/>
    <mergeCell ref="A311:C311"/>
    <mergeCell ref="V311:X311"/>
    <mergeCell ref="A312:C312"/>
    <mergeCell ref="V312:X312"/>
    <mergeCell ref="A320:C321"/>
    <mergeCell ref="C117:D118"/>
    <mergeCell ref="W117:X118"/>
    <mergeCell ref="C156:D157"/>
    <mergeCell ref="W156:X157"/>
    <mergeCell ref="C195:D196"/>
    <mergeCell ref="W195:X196"/>
    <mergeCell ref="C5:D6"/>
    <mergeCell ref="W5:X6"/>
    <mergeCell ref="C39:D40"/>
    <mergeCell ref="W39:X40"/>
    <mergeCell ref="C78:D79"/>
    <mergeCell ref="W78:X79"/>
    <mergeCell ref="V320:X321"/>
    <mergeCell ref="A344:C345"/>
    <mergeCell ref="V344:X345"/>
    <mergeCell ref="A346:C346"/>
    <mergeCell ref="A347:C347"/>
    <mergeCell ref="A355:C356"/>
    <mergeCell ref="V355:X356"/>
    <mergeCell ref="A357:C357"/>
    <mergeCell ref="A358:C358"/>
    <mergeCell ref="A366:C367"/>
    <mergeCell ref="V366:X367"/>
    <mergeCell ref="A390:C391"/>
    <mergeCell ref="V390:X391"/>
    <mergeCell ref="A413:C414"/>
    <mergeCell ref="V413:X414"/>
    <mergeCell ref="A436:C437"/>
    <mergeCell ref="V436:X437"/>
    <mergeCell ref="A459:C460"/>
    <mergeCell ref="V459:X460"/>
    <mergeCell ref="A483:C484"/>
    <mergeCell ref="V483:X484"/>
    <mergeCell ref="A501:C502"/>
    <mergeCell ref="V501:X502"/>
    <mergeCell ref="A525:C526"/>
    <mergeCell ref="V525:X526"/>
    <mergeCell ref="A549:C550"/>
    <mergeCell ref="V549:X550"/>
    <mergeCell ref="A574:C575"/>
    <mergeCell ref="V574:X575"/>
    <mergeCell ref="A576:C576"/>
    <mergeCell ref="V576:X576"/>
    <mergeCell ref="C629:D630"/>
    <mergeCell ref="C668:D669"/>
    <mergeCell ref="A577:C577"/>
    <mergeCell ref="V577:X577"/>
    <mergeCell ref="A586:C587"/>
    <mergeCell ref="V586:X587"/>
    <mergeCell ref="A610:C611"/>
    <mergeCell ref="V610:X611"/>
    <mergeCell ref="W629:X630"/>
    <mergeCell ref="W668:X669"/>
  </mergeCells>
  <phoneticPr fontId="8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C3BCB-F422-49E0-816B-936CD0A04335}">
  <dimension ref="A1:R26"/>
  <sheetViews>
    <sheetView workbookViewId="0">
      <selection activeCell="L15" sqref="L15"/>
    </sheetView>
  </sheetViews>
  <sheetFormatPr defaultColWidth="7.58203125" defaultRowHeight="17"/>
  <cols>
    <col min="1" max="1" width="10.83203125" customWidth="1"/>
    <col min="2" max="2" width="9.83203125" customWidth="1"/>
    <col min="3" max="3" width="9.58203125" customWidth="1"/>
    <col min="4" max="4" width="9.75" customWidth="1"/>
    <col min="5" max="5" width="9.5" customWidth="1"/>
    <col min="6" max="6" width="9.08203125" customWidth="1"/>
    <col min="7" max="7" width="9.33203125" customWidth="1"/>
    <col min="10" max="10" width="9.08203125" customWidth="1"/>
    <col min="11" max="11" width="10.08203125" customWidth="1"/>
    <col min="12" max="12" width="9.75" customWidth="1"/>
    <col min="13" max="13" width="10.58203125" customWidth="1"/>
    <col min="14" max="14" width="9.83203125" customWidth="1"/>
    <col min="15" max="15" width="9.75" customWidth="1"/>
    <col min="16" max="16" width="10.58203125" customWidth="1"/>
    <col min="17" max="17" width="11.08203125" customWidth="1"/>
  </cols>
  <sheetData>
    <row r="1" spans="1:10" ht="25.5" customHeight="1">
      <c r="A1" s="63" t="s">
        <v>165</v>
      </c>
    </row>
    <row r="3" spans="1:10">
      <c r="A3" s="280" t="s">
        <v>166</v>
      </c>
      <c r="B3" s="282">
        <v>2023</v>
      </c>
      <c r="C3" s="282" t="s">
        <v>253</v>
      </c>
      <c r="D3" s="282" t="s">
        <v>253</v>
      </c>
      <c r="E3" s="282" t="s">
        <v>253</v>
      </c>
      <c r="F3" s="282" t="s">
        <v>253</v>
      </c>
      <c r="G3" s="282" t="s">
        <v>253</v>
      </c>
      <c r="H3" s="282" t="s">
        <v>253</v>
      </c>
    </row>
    <row r="4" spans="1:10">
      <c r="A4" s="281" t="s">
        <v>166</v>
      </c>
      <c r="B4" s="264" t="s">
        <v>167</v>
      </c>
      <c r="C4" s="282" t="s">
        <v>168</v>
      </c>
      <c r="D4" s="282" t="s">
        <v>168</v>
      </c>
      <c r="E4" s="282" t="s">
        <v>169</v>
      </c>
      <c r="F4" s="282" t="s">
        <v>169</v>
      </c>
      <c r="G4" s="282" t="s">
        <v>170</v>
      </c>
      <c r="H4" s="282" t="s">
        <v>170</v>
      </c>
    </row>
    <row r="5" spans="1:10">
      <c r="A5" s="281" t="s">
        <v>166</v>
      </c>
      <c r="B5" s="264" t="s">
        <v>171</v>
      </c>
      <c r="C5" s="264" t="s">
        <v>172</v>
      </c>
      <c r="D5" s="264" t="s">
        <v>173</v>
      </c>
      <c r="E5" s="264" t="s">
        <v>174</v>
      </c>
      <c r="F5" s="264" t="s">
        <v>175</v>
      </c>
      <c r="G5" s="264" t="s">
        <v>176</v>
      </c>
      <c r="H5" s="264" t="s">
        <v>177</v>
      </c>
      <c r="I5" s="64" t="s">
        <v>178</v>
      </c>
      <c r="J5" s="64" t="s">
        <v>179</v>
      </c>
    </row>
    <row r="6" spans="1:10">
      <c r="A6" s="65" t="s">
        <v>79</v>
      </c>
      <c r="B6" s="265">
        <v>51325329</v>
      </c>
      <c r="C6" s="265">
        <v>47275100</v>
      </c>
      <c r="D6" s="265">
        <v>4050229</v>
      </c>
      <c r="E6" s="265">
        <v>46877443</v>
      </c>
      <c r="F6" s="265">
        <v>4447886</v>
      </c>
      <c r="G6" s="266">
        <v>92.11</v>
      </c>
      <c r="H6" s="266">
        <v>91.33</v>
      </c>
      <c r="I6">
        <f>G6/100</f>
        <v>0.92110000000000003</v>
      </c>
      <c r="J6">
        <f>1-I6</f>
        <v>7.889999999999997E-2</v>
      </c>
    </row>
    <row r="7" spans="1:10">
      <c r="A7" s="65" t="s">
        <v>180</v>
      </c>
      <c r="B7" s="265">
        <v>9386034</v>
      </c>
      <c r="C7" s="265">
        <v>9386034</v>
      </c>
      <c r="D7" s="265" t="s">
        <v>254</v>
      </c>
      <c r="E7" s="265">
        <v>9386034</v>
      </c>
      <c r="F7" s="265" t="s">
        <v>254</v>
      </c>
      <c r="G7" s="266">
        <v>100</v>
      </c>
      <c r="H7" s="266">
        <v>100</v>
      </c>
      <c r="I7">
        <f t="shared" ref="I7:I23" si="0">G7/100</f>
        <v>1</v>
      </c>
      <c r="J7">
        <f t="shared" ref="J7:J23" si="1">1-I7</f>
        <v>0</v>
      </c>
    </row>
    <row r="8" spans="1:10">
      <c r="A8" s="65" t="s">
        <v>181</v>
      </c>
      <c r="B8" s="265">
        <v>3293362</v>
      </c>
      <c r="C8" s="265">
        <v>3293362</v>
      </c>
      <c r="D8" s="265" t="s">
        <v>254</v>
      </c>
      <c r="E8" s="265">
        <v>3285679</v>
      </c>
      <c r="F8" s="265">
        <v>7683</v>
      </c>
      <c r="G8" s="266">
        <v>100</v>
      </c>
      <c r="H8" s="266">
        <v>99.77</v>
      </c>
      <c r="I8">
        <f t="shared" si="0"/>
        <v>1</v>
      </c>
      <c r="J8">
        <f t="shared" si="1"/>
        <v>0</v>
      </c>
    </row>
    <row r="9" spans="1:10">
      <c r="A9" s="65" t="s">
        <v>182</v>
      </c>
      <c r="B9" s="265">
        <v>2374960</v>
      </c>
      <c r="C9" s="265">
        <v>2352173</v>
      </c>
      <c r="D9" s="265">
        <v>22787</v>
      </c>
      <c r="E9" s="265">
        <v>2329979</v>
      </c>
      <c r="F9" s="265">
        <v>44981</v>
      </c>
      <c r="G9" s="266">
        <v>99.04</v>
      </c>
      <c r="H9" s="266">
        <v>98.11</v>
      </c>
      <c r="I9">
        <f t="shared" si="0"/>
        <v>0.99040000000000006</v>
      </c>
      <c r="J9">
        <f t="shared" si="1"/>
        <v>9.5999999999999419E-3</v>
      </c>
    </row>
    <row r="10" spans="1:10">
      <c r="A10" s="65" t="s">
        <v>183</v>
      </c>
      <c r="B10" s="265">
        <v>2997410</v>
      </c>
      <c r="C10" s="265">
        <v>2930599</v>
      </c>
      <c r="D10" s="265">
        <v>66811</v>
      </c>
      <c r="E10" s="265">
        <v>2930327</v>
      </c>
      <c r="F10" s="265">
        <v>67083</v>
      </c>
      <c r="G10" s="266">
        <v>97.77</v>
      </c>
      <c r="H10" s="266">
        <v>97.76</v>
      </c>
      <c r="I10">
        <f t="shared" si="0"/>
        <v>0.97770000000000001</v>
      </c>
      <c r="J10">
        <f t="shared" si="1"/>
        <v>2.2299999999999986E-2</v>
      </c>
    </row>
    <row r="11" spans="1:10">
      <c r="A11" s="65" t="s">
        <v>184</v>
      </c>
      <c r="B11" s="265">
        <v>1419237</v>
      </c>
      <c r="C11" s="265">
        <v>1419237</v>
      </c>
      <c r="D11" s="265" t="s">
        <v>254</v>
      </c>
      <c r="E11" s="265">
        <v>1419237</v>
      </c>
      <c r="F11" s="265" t="s">
        <v>254</v>
      </c>
      <c r="G11" s="266">
        <v>100</v>
      </c>
      <c r="H11" s="266">
        <v>100</v>
      </c>
      <c r="I11">
        <f t="shared" si="0"/>
        <v>1</v>
      </c>
      <c r="J11">
        <f t="shared" si="1"/>
        <v>0</v>
      </c>
    </row>
    <row r="12" spans="1:10">
      <c r="A12" s="65" t="s">
        <v>185</v>
      </c>
      <c r="B12" s="265">
        <v>1442216</v>
      </c>
      <c r="C12" s="265">
        <v>1442216</v>
      </c>
      <c r="D12" s="265" t="s">
        <v>254</v>
      </c>
      <c r="E12" s="265">
        <v>1442216</v>
      </c>
      <c r="F12" s="265" t="s">
        <v>254</v>
      </c>
      <c r="G12" s="266">
        <v>100</v>
      </c>
      <c r="H12" s="266">
        <v>100</v>
      </c>
      <c r="I12">
        <f t="shared" si="0"/>
        <v>1</v>
      </c>
      <c r="J12">
        <f t="shared" si="1"/>
        <v>0</v>
      </c>
    </row>
    <row r="13" spans="1:10">
      <c r="A13" s="65" t="s">
        <v>186</v>
      </c>
      <c r="B13" s="265">
        <v>1103661</v>
      </c>
      <c r="C13" s="265">
        <v>1101810</v>
      </c>
      <c r="D13" s="265">
        <v>1851</v>
      </c>
      <c r="E13" s="265">
        <v>1070817</v>
      </c>
      <c r="F13" s="265">
        <v>32844</v>
      </c>
      <c r="G13" s="266">
        <v>99.83</v>
      </c>
      <c r="H13" s="266">
        <v>97.02</v>
      </c>
      <c r="I13">
        <f t="shared" si="0"/>
        <v>0.99829999999999997</v>
      </c>
      <c r="J13">
        <f t="shared" si="1"/>
        <v>1.7000000000000348E-3</v>
      </c>
    </row>
    <row r="14" spans="1:10">
      <c r="A14" s="65" t="s">
        <v>187</v>
      </c>
      <c r="B14" s="265">
        <v>386525</v>
      </c>
      <c r="C14" s="265">
        <v>351737</v>
      </c>
      <c r="D14" s="265">
        <v>34788</v>
      </c>
      <c r="E14" s="265">
        <v>343026</v>
      </c>
      <c r="F14" s="265">
        <v>43499</v>
      </c>
      <c r="G14" s="266">
        <v>91</v>
      </c>
      <c r="H14" s="266">
        <v>88.75</v>
      </c>
      <c r="I14">
        <f t="shared" si="0"/>
        <v>0.91</v>
      </c>
      <c r="J14">
        <f t="shared" si="1"/>
        <v>8.9999999999999969E-2</v>
      </c>
    </row>
    <row r="15" spans="1:10">
      <c r="A15" s="65" t="s">
        <v>188</v>
      </c>
      <c r="B15" s="265">
        <v>13630821</v>
      </c>
      <c r="C15" s="265">
        <v>12523221</v>
      </c>
      <c r="D15" s="265">
        <v>1107600</v>
      </c>
      <c r="E15" s="265">
        <v>12929995</v>
      </c>
      <c r="F15" s="265">
        <v>700826</v>
      </c>
      <c r="G15" s="266">
        <v>91.87</v>
      </c>
      <c r="H15" s="266">
        <v>94.86</v>
      </c>
      <c r="I15">
        <f t="shared" si="0"/>
        <v>0.91870000000000007</v>
      </c>
      <c r="J15">
        <f t="shared" si="1"/>
        <v>8.1299999999999928E-2</v>
      </c>
    </row>
    <row r="16" spans="1:10">
      <c r="A16" s="65" t="s">
        <v>189</v>
      </c>
      <c r="B16" s="265">
        <v>1527807</v>
      </c>
      <c r="C16" s="265">
        <v>1273158</v>
      </c>
      <c r="D16" s="265">
        <v>254649</v>
      </c>
      <c r="E16" s="265">
        <v>1171885</v>
      </c>
      <c r="F16" s="265">
        <v>355922</v>
      </c>
      <c r="G16" s="266">
        <v>83.33</v>
      </c>
      <c r="H16" s="266">
        <v>76.7</v>
      </c>
      <c r="I16">
        <f t="shared" si="0"/>
        <v>0.83329999999999993</v>
      </c>
      <c r="J16">
        <f t="shared" si="1"/>
        <v>0.16670000000000007</v>
      </c>
    </row>
    <row r="17" spans="1:18">
      <c r="A17" s="65" t="s">
        <v>190</v>
      </c>
      <c r="B17" s="265">
        <v>1593469</v>
      </c>
      <c r="C17" s="265">
        <v>1311268</v>
      </c>
      <c r="D17" s="265">
        <v>282201</v>
      </c>
      <c r="E17" s="265">
        <v>1274625</v>
      </c>
      <c r="F17" s="265">
        <v>318844</v>
      </c>
      <c r="G17" s="266">
        <v>82.29</v>
      </c>
      <c r="H17" s="266">
        <v>79.989999999999995</v>
      </c>
      <c r="I17">
        <f t="shared" si="0"/>
        <v>0.82290000000000008</v>
      </c>
      <c r="J17">
        <f t="shared" si="1"/>
        <v>0.17709999999999992</v>
      </c>
    </row>
    <row r="18" spans="1:18">
      <c r="A18" s="65" t="s">
        <v>191</v>
      </c>
      <c r="B18" s="265">
        <v>2130119</v>
      </c>
      <c r="C18" s="265">
        <v>1600511</v>
      </c>
      <c r="D18" s="265">
        <v>529608</v>
      </c>
      <c r="E18" s="265">
        <v>1498739</v>
      </c>
      <c r="F18" s="265">
        <v>631380</v>
      </c>
      <c r="G18" s="266">
        <v>75.14</v>
      </c>
      <c r="H18" s="266">
        <v>70.36</v>
      </c>
      <c r="I18">
        <f t="shared" si="0"/>
        <v>0.75139999999999996</v>
      </c>
      <c r="J18">
        <f t="shared" si="1"/>
        <v>0.24860000000000004</v>
      </c>
    </row>
    <row r="19" spans="1:18">
      <c r="A19" s="65" t="s">
        <v>192</v>
      </c>
      <c r="B19" s="265">
        <v>1754757</v>
      </c>
      <c r="C19" s="265">
        <v>1438807</v>
      </c>
      <c r="D19" s="265">
        <v>315950</v>
      </c>
      <c r="E19" s="265">
        <v>1400322</v>
      </c>
      <c r="F19" s="265">
        <v>354435</v>
      </c>
      <c r="G19" s="266">
        <v>81.99</v>
      </c>
      <c r="H19" s="266">
        <v>79.8</v>
      </c>
      <c r="I19">
        <f t="shared" si="0"/>
        <v>0.81989999999999996</v>
      </c>
      <c r="J19">
        <f t="shared" si="1"/>
        <v>0.18010000000000004</v>
      </c>
    </row>
    <row r="20" spans="1:18">
      <c r="A20" s="65" t="s">
        <v>193</v>
      </c>
      <c r="B20" s="265">
        <v>1804217</v>
      </c>
      <c r="C20" s="265">
        <v>1352944</v>
      </c>
      <c r="D20" s="265">
        <v>451273</v>
      </c>
      <c r="E20" s="265">
        <v>1220730</v>
      </c>
      <c r="F20" s="265">
        <v>583487</v>
      </c>
      <c r="G20" s="266">
        <v>74.989999999999995</v>
      </c>
      <c r="H20" s="266">
        <v>67.66</v>
      </c>
      <c r="I20">
        <f t="shared" si="0"/>
        <v>0.7498999999999999</v>
      </c>
      <c r="J20">
        <f t="shared" si="1"/>
        <v>0.2501000000000001</v>
      </c>
    </row>
    <row r="21" spans="1:18">
      <c r="A21" s="65" t="s">
        <v>194</v>
      </c>
      <c r="B21" s="265">
        <v>2554324</v>
      </c>
      <c r="C21" s="265">
        <v>2042020</v>
      </c>
      <c r="D21" s="265">
        <v>512304</v>
      </c>
      <c r="E21" s="265">
        <v>1971364</v>
      </c>
      <c r="F21" s="265">
        <v>582960</v>
      </c>
      <c r="G21" s="266">
        <v>79.94</v>
      </c>
      <c r="H21" s="266">
        <v>77.180000000000007</v>
      </c>
      <c r="I21">
        <f t="shared" si="0"/>
        <v>0.7994</v>
      </c>
      <c r="J21">
        <f t="shared" si="1"/>
        <v>0.2006</v>
      </c>
    </row>
    <row r="22" spans="1:18">
      <c r="A22" s="65" t="s">
        <v>195</v>
      </c>
      <c r="B22" s="265">
        <v>3251158</v>
      </c>
      <c r="C22" s="265">
        <v>2843389</v>
      </c>
      <c r="D22" s="265">
        <v>407769</v>
      </c>
      <c r="E22" s="265">
        <v>2565122</v>
      </c>
      <c r="F22" s="265">
        <v>686036</v>
      </c>
      <c r="G22" s="266">
        <v>87.46</v>
      </c>
      <c r="H22" s="266">
        <v>78.900000000000006</v>
      </c>
      <c r="I22">
        <f t="shared" si="0"/>
        <v>0.87459999999999993</v>
      </c>
      <c r="J22">
        <f t="shared" si="1"/>
        <v>0.12540000000000007</v>
      </c>
    </row>
    <row r="23" spans="1:18">
      <c r="A23" s="66" t="s">
        <v>196</v>
      </c>
      <c r="B23" s="265">
        <v>675252</v>
      </c>
      <c r="C23" s="265">
        <v>612614</v>
      </c>
      <c r="D23" s="265">
        <v>62638</v>
      </c>
      <c r="E23" s="265">
        <v>637346</v>
      </c>
      <c r="F23" s="265">
        <v>37906</v>
      </c>
      <c r="G23" s="266">
        <v>90.72</v>
      </c>
      <c r="H23" s="266">
        <v>94.39</v>
      </c>
      <c r="I23">
        <f t="shared" si="0"/>
        <v>0.90720000000000001</v>
      </c>
      <c r="J23">
        <f t="shared" si="1"/>
        <v>9.2799999999999994E-2</v>
      </c>
    </row>
    <row r="24" spans="1:18" ht="20.25" customHeight="1">
      <c r="B24" s="31" t="s">
        <v>60</v>
      </c>
      <c r="C24" s="28" t="s">
        <v>59</v>
      </c>
      <c r="D24" s="28" t="s">
        <v>58</v>
      </c>
      <c r="E24" s="28" t="s">
        <v>57</v>
      </c>
      <c r="F24" s="30" t="s">
        <v>56</v>
      </c>
      <c r="G24" s="14" t="s">
        <v>55</v>
      </c>
      <c r="H24" s="14" t="s">
        <v>54</v>
      </c>
      <c r="I24" s="14" t="s">
        <v>53</v>
      </c>
      <c r="J24" s="14" t="s">
        <v>52</v>
      </c>
      <c r="K24" s="14" t="s">
        <v>51</v>
      </c>
      <c r="L24" s="14" t="s">
        <v>50</v>
      </c>
      <c r="M24" s="14" t="s">
        <v>49</v>
      </c>
      <c r="N24" s="14" t="s">
        <v>48</v>
      </c>
      <c r="O24" s="14" t="s">
        <v>47</v>
      </c>
      <c r="P24" s="14" t="s">
        <v>46</v>
      </c>
      <c r="Q24" s="14" t="s">
        <v>45</v>
      </c>
      <c r="R24" s="13" t="s">
        <v>44</v>
      </c>
    </row>
    <row r="25" spans="1:18">
      <c r="A25" s="67" t="s">
        <v>178</v>
      </c>
      <c r="B25">
        <f>I7</f>
        <v>1</v>
      </c>
      <c r="C25">
        <f>I8</f>
        <v>1</v>
      </c>
      <c r="D25">
        <f>I9</f>
        <v>0.99040000000000006</v>
      </c>
      <c r="E25">
        <f>I10</f>
        <v>0.97770000000000001</v>
      </c>
      <c r="F25">
        <f>I11</f>
        <v>1</v>
      </c>
      <c r="G25">
        <f>I12</f>
        <v>1</v>
      </c>
      <c r="H25">
        <f>I13</f>
        <v>0.99829999999999997</v>
      </c>
      <c r="I25">
        <f>I14</f>
        <v>0.91</v>
      </c>
      <c r="J25">
        <f>I15</f>
        <v>0.91870000000000007</v>
      </c>
      <c r="K25">
        <f>I16</f>
        <v>0.83329999999999993</v>
      </c>
      <c r="L25">
        <f>I17</f>
        <v>0.82290000000000008</v>
      </c>
      <c r="M25">
        <f>I18</f>
        <v>0.75139999999999996</v>
      </c>
      <c r="N25">
        <f>I19</f>
        <v>0.81989999999999996</v>
      </c>
      <c r="O25">
        <f>I20</f>
        <v>0.7498999999999999</v>
      </c>
      <c r="P25">
        <f>I21</f>
        <v>0.7994</v>
      </c>
      <c r="Q25">
        <f>I22</f>
        <v>0.87459999999999993</v>
      </c>
      <c r="R25">
        <f>I23</f>
        <v>0.90720000000000001</v>
      </c>
    </row>
    <row r="26" spans="1:18">
      <c r="A26" s="67" t="s">
        <v>179</v>
      </c>
      <c r="B26">
        <f>J7</f>
        <v>0</v>
      </c>
      <c r="C26">
        <f>J8</f>
        <v>0</v>
      </c>
      <c r="D26">
        <f>J9</f>
        <v>9.5999999999999419E-3</v>
      </c>
      <c r="E26">
        <f>J10</f>
        <v>2.2299999999999986E-2</v>
      </c>
      <c r="F26">
        <f>J11</f>
        <v>0</v>
      </c>
      <c r="G26">
        <f>J12</f>
        <v>0</v>
      </c>
      <c r="H26">
        <f>J13</f>
        <v>1.7000000000000348E-3</v>
      </c>
      <c r="I26">
        <f>J14</f>
        <v>8.9999999999999969E-2</v>
      </c>
      <c r="J26">
        <f>J15</f>
        <v>8.1299999999999928E-2</v>
      </c>
      <c r="K26">
        <f>J16</f>
        <v>0.16670000000000007</v>
      </c>
      <c r="L26">
        <f>J17</f>
        <v>0.17709999999999992</v>
      </c>
      <c r="M26">
        <f>J18</f>
        <v>0.24860000000000004</v>
      </c>
      <c r="N26">
        <f>J19</f>
        <v>0.18010000000000004</v>
      </c>
      <c r="O26">
        <f>J20</f>
        <v>0.2501000000000001</v>
      </c>
      <c r="P26">
        <f>J21</f>
        <v>0.2006</v>
      </c>
      <c r="Q26">
        <f>J22</f>
        <v>0.12540000000000007</v>
      </c>
      <c r="R26">
        <f>J23</f>
        <v>9.2799999999999994E-2</v>
      </c>
    </row>
  </sheetData>
  <mergeCells count="5">
    <mergeCell ref="A3:A5"/>
    <mergeCell ref="B3:H3"/>
    <mergeCell ref="C4:D4"/>
    <mergeCell ref="E4:F4"/>
    <mergeCell ref="G4:H4"/>
  </mergeCells>
  <phoneticPr fontId="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7AA65-F7BB-44AB-ACFE-8282F027B7E9}">
  <dimension ref="A1:Z80"/>
  <sheetViews>
    <sheetView zoomScale="85" zoomScaleNormal="85" workbookViewId="0">
      <selection activeCell="H5" sqref="H5"/>
    </sheetView>
  </sheetViews>
  <sheetFormatPr defaultColWidth="11.58203125" defaultRowHeight="17"/>
  <cols>
    <col min="1" max="1" width="26.58203125" customWidth="1"/>
    <col min="2" max="2" width="11.25" customWidth="1"/>
    <col min="3" max="3" width="11.58203125" customWidth="1"/>
    <col min="5" max="5" width="26.58203125" customWidth="1"/>
    <col min="9" max="26" width="17.58203125" customWidth="1"/>
  </cols>
  <sheetData>
    <row r="1" spans="3:8">
      <c r="C1" s="283" t="s">
        <v>164</v>
      </c>
      <c r="D1" s="283"/>
      <c r="E1" s="285">
        <f>About!A22</f>
        <v>2023</v>
      </c>
      <c r="F1" s="286" t="s">
        <v>146</v>
      </c>
      <c r="G1" s="286"/>
      <c r="H1" s="286"/>
    </row>
    <row r="2" spans="3:8">
      <c r="C2" s="283"/>
      <c r="D2" s="283"/>
      <c r="E2" s="285"/>
      <c r="F2" s="287" t="s">
        <v>145</v>
      </c>
      <c r="G2" s="287"/>
      <c r="H2" s="288" t="s">
        <v>131</v>
      </c>
    </row>
    <row r="3" spans="3:8">
      <c r="E3" s="6"/>
      <c r="F3" s="45" t="s">
        <v>144</v>
      </c>
      <c r="G3" s="44" t="s">
        <v>143</v>
      </c>
      <c r="H3" s="288"/>
    </row>
    <row r="4" spans="3:8">
      <c r="E4" s="52" t="s">
        <v>12</v>
      </c>
      <c r="F4" s="53">
        <v>0</v>
      </c>
      <c r="G4" s="53">
        <v>0</v>
      </c>
      <c r="H4" s="53">
        <v>0</v>
      </c>
    </row>
    <row r="5" spans="3:8">
      <c r="E5" s="54" t="s">
        <v>0</v>
      </c>
      <c r="F5" s="53">
        <v>0</v>
      </c>
      <c r="G5" s="53">
        <v>0</v>
      </c>
      <c r="H5" s="53">
        <v>0</v>
      </c>
    </row>
    <row r="6" spans="3:8">
      <c r="E6" s="54" t="s">
        <v>1</v>
      </c>
      <c r="F6" s="53">
        <v>0</v>
      </c>
      <c r="G6" s="53">
        <v>0</v>
      </c>
      <c r="H6" s="53">
        <v>0</v>
      </c>
    </row>
    <row r="7" spans="3:8">
      <c r="E7" s="33" t="s">
        <v>2</v>
      </c>
      <c r="F7" s="41">
        <f>F45</f>
        <v>0</v>
      </c>
      <c r="G7" s="41">
        <f>F46</f>
        <v>0.09</v>
      </c>
      <c r="H7" s="41">
        <f>F47</f>
        <v>1.079</v>
      </c>
    </row>
    <row r="8" spans="3:8">
      <c r="E8" s="33" t="s">
        <v>13</v>
      </c>
      <c r="F8" s="41">
        <f>F36</f>
        <v>0</v>
      </c>
      <c r="G8" s="41">
        <f>F37</f>
        <v>8.60351</v>
      </c>
      <c r="H8" s="41">
        <f>F38</f>
        <v>5.0520199999999997</v>
      </c>
    </row>
    <row r="9" spans="3:8">
      <c r="E9" s="33" t="s">
        <v>3</v>
      </c>
      <c r="F9" s="41">
        <f>F26</f>
        <v>2153.5204869029099</v>
      </c>
      <c r="G9" s="41">
        <f>F27</f>
        <v>358.12386349709004</v>
      </c>
      <c r="H9" s="41">
        <f>F28</f>
        <v>1335.48326537</v>
      </c>
    </row>
    <row r="10" spans="3:8">
      <c r="E10" s="52" t="s">
        <v>4</v>
      </c>
      <c r="F10" s="53">
        <v>0</v>
      </c>
      <c r="G10" s="53">
        <v>0</v>
      </c>
      <c r="H10" s="53">
        <v>0</v>
      </c>
    </row>
    <row r="11" spans="3:8">
      <c r="E11" s="54" t="s">
        <v>5</v>
      </c>
      <c r="F11" s="53">
        <v>0</v>
      </c>
      <c r="G11" s="53">
        <v>0</v>
      </c>
      <c r="H11" s="53">
        <v>0</v>
      </c>
    </row>
    <row r="12" spans="3:8">
      <c r="E12" s="54" t="s">
        <v>6</v>
      </c>
      <c r="F12" s="53">
        <v>0</v>
      </c>
      <c r="G12" s="53">
        <v>0</v>
      </c>
      <c r="H12" s="53">
        <v>0</v>
      </c>
    </row>
    <row r="13" spans="3:8">
      <c r="E13" s="54" t="s">
        <v>7</v>
      </c>
      <c r="F13" s="53">
        <v>0</v>
      </c>
      <c r="G13" s="53">
        <v>0</v>
      </c>
      <c r="H13" s="53">
        <v>0</v>
      </c>
    </row>
    <row r="14" spans="3:8">
      <c r="E14" s="54" t="s">
        <v>8</v>
      </c>
      <c r="F14" s="53">
        <v>0</v>
      </c>
      <c r="G14" s="53">
        <v>0</v>
      </c>
      <c r="H14" s="53">
        <v>0</v>
      </c>
    </row>
    <row r="15" spans="3:8">
      <c r="E15" s="54" t="s">
        <v>11</v>
      </c>
      <c r="F15" s="53">
        <v>0</v>
      </c>
      <c r="G15" s="53">
        <v>0</v>
      </c>
      <c r="H15" s="53">
        <v>0</v>
      </c>
    </row>
    <row r="16" spans="3:8">
      <c r="E16" s="54" t="s">
        <v>14</v>
      </c>
      <c r="F16" s="53">
        <v>0</v>
      </c>
      <c r="G16" s="53">
        <v>0</v>
      </c>
      <c r="H16" s="53">
        <v>0</v>
      </c>
    </row>
    <row r="17" spans="1:26">
      <c r="E17" s="54" t="s">
        <v>15</v>
      </c>
      <c r="F17" s="53">
        <v>0</v>
      </c>
      <c r="G17" s="53">
        <v>0</v>
      </c>
      <c r="H17" s="53">
        <v>0</v>
      </c>
    </row>
    <row r="18" spans="1:26">
      <c r="E18" s="54" t="s">
        <v>16</v>
      </c>
      <c r="F18" s="53">
        <v>0</v>
      </c>
      <c r="G18" s="53">
        <v>0</v>
      </c>
      <c r="H18" s="53">
        <v>0</v>
      </c>
    </row>
    <row r="19" spans="1:26">
      <c r="E19" s="54" t="s">
        <v>17</v>
      </c>
      <c r="F19" s="53">
        <v>0</v>
      </c>
      <c r="G19" s="53">
        <v>0</v>
      </c>
      <c r="H19" s="53">
        <v>0</v>
      </c>
      <c r="L19" s="41"/>
    </row>
    <row r="21" spans="1:26" ht="38.25" customHeight="1">
      <c r="E21" s="284" t="s">
        <v>157</v>
      </c>
      <c r="F21" s="284"/>
      <c r="G21" s="284"/>
      <c r="H21" s="284"/>
    </row>
    <row r="22" spans="1:26" ht="26">
      <c r="A22" s="43" t="s">
        <v>158</v>
      </c>
      <c r="L22" s="43"/>
    </row>
    <row r="23" spans="1:26" ht="21">
      <c r="A23" s="19" t="s">
        <v>142</v>
      </c>
      <c r="L23" s="19"/>
    </row>
    <row r="24" spans="1:26" ht="34">
      <c r="B24" s="37" t="s">
        <v>137</v>
      </c>
      <c r="F24" s="36" t="s">
        <v>137</v>
      </c>
      <c r="I24" s="62" t="s">
        <v>201</v>
      </c>
      <c r="J24" s="31" t="s">
        <v>60</v>
      </c>
      <c r="K24" s="28" t="s">
        <v>59</v>
      </c>
      <c r="L24" s="28" t="s">
        <v>58</v>
      </c>
      <c r="M24" s="28" t="s">
        <v>57</v>
      </c>
      <c r="N24" s="30" t="s">
        <v>56</v>
      </c>
      <c r="O24" s="14" t="s">
        <v>55</v>
      </c>
      <c r="P24" s="14" t="s">
        <v>54</v>
      </c>
      <c r="Q24" s="14" t="s">
        <v>53</v>
      </c>
      <c r="R24" s="14" t="s">
        <v>52</v>
      </c>
      <c r="S24" s="14" t="s">
        <v>51</v>
      </c>
      <c r="T24" s="14" t="s">
        <v>50</v>
      </c>
      <c r="U24" s="14" t="s">
        <v>49</v>
      </c>
      <c r="V24" s="14" t="s">
        <v>48</v>
      </c>
      <c r="W24" s="14" t="s">
        <v>47</v>
      </c>
      <c r="X24" s="14" t="s">
        <v>46</v>
      </c>
      <c r="Y24" s="14" t="s">
        <v>45</v>
      </c>
      <c r="Z24" s="13" t="s">
        <v>44</v>
      </c>
    </row>
    <row r="25" spans="1:26">
      <c r="A25" t="s">
        <v>135</v>
      </c>
      <c r="B25" t="s">
        <v>136</v>
      </c>
      <c r="E25" t="s">
        <v>135</v>
      </c>
      <c r="F25" s="33" t="s">
        <v>134</v>
      </c>
      <c r="I25" t="s">
        <v>133</v>
      </c>
      <c r="J25" s="68">
        <f>(KNREC!F$51+KNREC!F$58)*KOSIS!B25</f>
        <v>127895.04400000001</v>
      </c>
      <c r="K25" s="68">
        <f>(KNREC!G$51+KNREC!G$58)*KOSIS!C25</f>
        <v>52411.481999999996</v>
      </c>
      <c r="L25" s="68">
        <f>(KNREC!H$51+KNREC!H$58)*KOSIS!D25</f>
        <v>45453.5037648</v>
      </c>
      <c r="M25" s="68">
        <f>(KNREC!I$51+KNREC!I$58)*KOSIS!E25</f>
        <v>55839.723272699994</v>
      </c>
      <c r="N25" s="68">
        <f>(KNREC!J$51+KNREC!J$58)*KOSIS!F25</f>
        <v>51166.001000000004</v>
      </c>
      <c r="O25" s="68">
        <f>(KNREC!K$51+KNREC!K$58)*KOSIS!G25</f>
        <v>39268.275999999889</v>
      </c>
      <c r="P25" s="68">
        <f>(KNREC!L$51+KNREC!L$58)*KOSIS!H25</f>
        <v>41245.148845499993</v>
      </c>
      <c r="Q25" s="68">
        <f>(KNREC!M$51+KNREC!M$58)*KOSIS!I25</f>
        <v>16017.365</v>
      </c>
      <c r="R25" s="68">
        <f>(KNREC!N$51+KNREC!N$58)*KOSIS!J25</f>
        <v>356525.17774449999</v>
      </c>
      <c r="S25" s="68">
        <f>(KNREC!O$51+KNREC!O$58)*KOSIS!K25</f>
        <v>134245.51996440001</v>
      </c>
      <c r="T25" s="68">
        <f>(KNREC!P$51+KNREC!P$58)*KOSIS!L25</f>
        <v>163324.13248164</v>
      </c>
      <c r="U25" s="68">
        <f>(KNREC!Q$51+KNREC!Q$58)*KOSIS!M25</f>
        <v>187062.01959380001</v>
      </c>
      <c r="V25" s="68">
        <f>(KNREC!R$51+KNREC!R$58)*KOSIS!N25</f>
        <v>197942.34054599999</v>
      </c>
      <c r="W25" s="68">
        <f>(KNREC!S$51+KNREC!S$58)*KOSIS!O25</f>
        <v>206137.31983386996</v>
      </c>
      <c r="X25" s="68">
        <f>(KNREC!T$51+KNREC!T$58)*KOSIS!P25</f>
        <v>190978.43147040001</v>
      </c>
      <c r="Y25" s="68">
        <f>(KNREC!U$51+KNREC!U$58)*KOSIS!Q25</f>
        <v>235982.94568129996</v>
      </c>
      <c r="Z25" s="68">
        <f>(KNREC!V$51+KNREC!V$58)*KOSIS!R25</f>
        <v>52026.055703999999</v>
      </c>
    </row>
    <row r="26" spans="1:26">
      <c r="A26" t="s">
        <v>133</v>
      </c>
      <c r="B26" s="41">
        <f>SUM(J25:Z25)</f>
        <v>2153520.4869029098</v>
      </c>
      <c r="E26" s="35" t="s">
        <v>133</v>
      </c>
      <c r="F26" s="41">
        <f>B26/1000</f>
        <v>2153.5204869029099</v>
      </c>
      <c r="I26" t="s">
        <v>132</v>
      </c>
      <c r="J26" s="68">
        <f>(KNREC!F$51+KNREC!F$58)*KOSIS!B26</f>
        <v>0</v>
      </c>
      <c r="K26" s="68">
        <f>(KNREC!G$51+KNREC!G$58)*KOSIS!C26</f>
        <v>0</v>
      </c>
      <c r="L26" s="68">
        <f>(KNREC!H$51+KNREC!H$58)*KOSIS!D26</f>
        <v>440.58323519999732</v>
      </c>
      <c r="M26" s="68">
        <f>(KNREC!I$51+KNREC!I$58)*KOSIS!E26</f>
        <v>1273.6277272999992</v>
      </c>
      <c r="N26" s="68">
        <f>(KNREC!J$51+KNREC!J$58)*KOSIS!F26</f>
        <v>0</v>
      </c>
      <c r="O26" s="68">
        <f>(KNREC!K$51+KNREC!K$58)*KOSIS!G26</f>
        <v>0</v>
      </c>
      <c r="P26" s="68">
        <f>(KNREC!L$51+KNREC!L$58)*KOSIS!H26</f>
        <v>70.236154500001433</v>
      </c>
      <c r="Q26" s="68">
        <f>(KNREC!M$51+KNREC!M$58)*KOSIS!I26</f>
        <v>1584.1349999999995</v>
      </c>
      <c r="R26" s="68">
        <f>(KNREC!N$51+KNREC!N$58)*KOSIS!J26</f>
        <v>31550.557255499971</v>
      </c>
      <c r="S26" s="68">
        <f>(KNREC!O$51+KNREC!O$58)*KOSIS!K26</f>
        <v>26855.548035600015</v>
      </c>
      <c r="T26" s="68">
        <f>(KNREC!P$51+KNREC!P$58)*KOSIS!L26</f>
        <v>35149.719118359986</v>
      </c>
      <c r="U26" s="68">
        <f>(KNREC!Q$51+KNREC!Q$58)*KOSIS!M26</f>
        <v>61889.297406200014</v>
      </c>
      <c r="V26" s="68">
        <f>(KNREC!R$51+KNREC!R$58)*KOSIS!N26</f>
        <v>43480.199454000009</v>
      </c>
      <c r="W26" s="68">
        <f>(KNREC!S$51+KNREC!S$58)*KOSIS!O26</f>
        <v>68749.091466130019</v>
      </c>
      <c r="X26" s="68">
        <f>(KNREC!T$51+KNREC!T$58)*KOSIS!P26</f>
        <v>47923.784529600001</v>
      </c>
      <c r="Y26" s="68">
        <f>(KNREC!U$51+KNREC!U$58)*KOSIS!Q26</f>
        <v>33835.194818700016</v>
      </c>
      <c r="Z26" s="68">
        <f>(KNREC!V$51+KNREC!V$58)*KOSIS!R26</f>
        <v>5321.8892959999994</v>
      </c>
    </row>
    <row r="27" spans="1:26" ht="16.5" customHeight="1">
      <c r="A27" t="s">
        <v>132</v>
      </c>
      <c r="B27" s="41">
        <f>SUM(J26:Z26)</f>
        <v>358123.86349709006</v>
      </c>
      <c r="E27" s="5" t="s">
        <v>132</v>
      </c>
      <c r="F27" s="41">
        <f t="shared" ref="F27:F28" si="0">B27/1000</f>
        <v>358.12386349709004</v>
      </c>
      <c r="I27" t="s">
        <v>131</v>
      </c>
      <c r="J27" s="68">
        <f>SUM(KNREC!F$52:F$56)</f>
        <v>75018.303120000011</v>
      </c>
      <c r="K27" s="68">
        <f>SUM(KNREC!G$52:G$56)</f>
        <v>56428.560750000004</v>
      </c>
      <c r="L27" s="68">
        <f>SUM(KNREC!H$52:H$56)</f>
        <v>57722.055749999992</v>
      </c>
      <c r="M27" s="68">
        <f>SUM(KNREC!I$52:I$56)</f>
        <v>71891.925749999995</v>
      </c>
      <c r="N27" s="68">
        <f>SUM(KNREC!J$52:J$56)</f>
        <v>34804.416749999989</v>
      </c>
      <c r="O27" s="68">
        <f>SUM(KNREC!K$52:K$56)</f>
        <v>38988.455750000001</v>
      </c>
      <c r="P27" s="68">
        <f>SUM(KNREC!L$52:L$56)</f>
        <v>21266.026750000001</v>
      </c>
      <c r="Q27" s="68">
        <f>SUM(KNREC!M$52:M$56)</f>
        <v>19529.884999999987</v>
      </c>
      <c r="R27" s="68">
        <f>SUM(KNREC!N$52:N$56)</f>
        <v>236288.04974999989</v>
      </c>
      <c r="S27" s="68">
        <f>SUM(KNREC!O$52:O$56)</f>
        <v>72929.347750000001</v>
      </c>
      <c r="T27" s="68">
        <f>SUM(KNREC!P$52:P$56)</f>
        <v>98220.145750000011</v>
      </c>
      <c r="U27" s="68">
        <f>SUM(KNREC!Q$52:Q$56)</f>
        <v>92009.908750000002</v>
      </c>
      <c r="V27" s="68">
        <f>SUM(KNREC!R$52:R$56)</f>
        <v>77008.938750000001</v>
      </c>
      <c r="W27" s="68">
        <f>SUM(KNREC!S$52:S$56)</f>
        <v>102519.72875000001</v>
      </c>
      <c r="X27" s="68">
        <f>SUM(KNREC!T$52:T$56)</f>
        <v>105926.72074999999</v>
      </c>
      <c r="Y27" s="68">
        <f>SUM(KNREC!U$52:U$56)</f>
        <v>137848.47875000001</v>
      </c>
      <c r="Z27" s="68">
        <f>SUM(KNREC!V$52:V$56)</f>
        <v>37082.316750000005</v>
      </c>
    </row>
    <row r="28" spans="1:26">
      <c r="A28" t="s">
        <v>131</v>
      </c>
      <c r="B28" s="41">
        <f>SUM(J27:Z27)</f>
        <v>1335483.2653699999</v>
      </c>
      <c r="E28" s="34" t="s">
        <v>131</v>
      </c>
      <c r="F28" s="41">
        <f t="shared" si="0"/>
        <v>1335.48326537</v>
      </c>
      <c r="L28" s="2"/>
      <c r="M28" s="55"/>
      <c r="N28" s="53"/>
      <c r="O28" s="53"/>
      <c r="P28" s="53"/>
    </row>
    <row r="29" spans="1:26">
      <c r="B29" s="46"/>
      <c r="E29" s="49"/>
    </row>
    <row r="30" spans="1:26">
      <c r="E30" s="40" t="s">
        <v>207</v>
      </c>
      <c r="F30" s="58">
        <f>KNREC!E42*1000/(KNREC!E43*365*24)*100</f>
        <v>13.534297128131525</v>
      </c>
      <c r="G30" s="59"/>
    </row>
    <row r="31" spans="1:26">
      <c r="E31" s="39" t="s">
        <v>200</v>
      </c>
    </row>
    <row r="33" spans="1:16" ht="20.25" customHeight="1">
      <c r="A33" s="19" t="s">
        <v>141</v>
      </c>
      <c r="B33" s="38" t="s">
        <v>140</v>
      </c>
      <c r="C33" s="6"/>
      <c r="L33" s="2"/>
      <c r="M33" s="55"/>
      <c r="N33" s="53"/>
      <c r="O33" s="53"/>
      <c r="P33" s="53"/>
    </row>
    <row r="34" spans="1:16" ht="34">
      <c r="B34" s="37" t="s">
        <v>137</v>
      </c>
      <c r="F34" s="36" t="s">
        <v>137</v>
      </c>
      <c r="L34" s="2"/>
      <c r="M34" s="55"/>
      <c r="N34" s="53"/>
      <c r="O34" s="53"/>
      <c r="P34" s="53"/>
    </row>
    <row r="35" spans="1:16">
      <c r="A35" t="s">
        <v>135</v>
      </c>
      <c r="B35" t="s">
        <v>136</v>
      </c>
      <c r="E35" t="s">
        <v>135</v>
      </c>
      <c r="F35" s="33" t="s">
        <v>134</v>
      </c>
      <c r="L35" s="2"/>
      <c r="M35" s="55"/>
      <c r="N35" s="53"/>
      <c r="O35" s="53"/>
      <c r="P35" s="53"/>
    </row>
    <row r="36" spans="1:16">
      <c r="A36" t="s">
        <v>133</v>
      </c>
      <c r="B36" s="41">
        <f>(KNREC!E90+KNREC!E97)*Calculations!F39</f>
        <v>0</v>
      </c>
      <c r="E36" s="35" t="s">
        <v>133</v>
      </c>
      <c r="F36" s="41">
        <f>B36/1000</f>
        <v>0</v>
      </c>
      <c r="L36" s="2"/>
      <c r="M36" s="55"/>
      <c r="N36" s="53"/>
      <c r="O36" s="53"/>
      <c r="P36" s="53"/>
    </row>
    <row r="37" spans="1:16">
      <c r="A37" t="s">
        <v>132</v>
      </c>
      <c r="B37" s="41">
        <f>(KNREC!E90+KNREC!E97)*(1-Calculations!F39)</f>
        <v>8603.51</v>
      </c>
      <c r="E37" s="5" t="s">
        <v>132</v>
      </c>
      <c r="F37" s="41">
        <f>B37/1000</f>
        <v>8.60351</v>
      </c>
      <c r="L37" s="2"/>
      <c r="M37" s="55"/>
      <c r="N37" s="53"/>
      <c r="O37" s="53"/>
      <c r="P37" s="53"/>
    </row>
    <row r="38" spans="1:16">
      <c r="A38" t="s">
        <v>131</v>
      </c>
      <c r="B38" s="42">
        <f>SUM(KNREC!E91:E95)</f>
        <v>5052.0199999999995</v>
      </c>
      <c r="E38" s="34" t="s">
        <v>131</v>
      </c>
      <c r="F38" s="41">
        <f>B38/1000</f>
        <v>5.0520199999999997</v>
      </c>
      <c r="L38" s="2"/>
      <c r="M38" s="55"/>
      <c r="N38" s="53"/>
      <c r="O38" s="53"/>
      <c r="P38" s="53"/>
    </row>
    <row r="39" spans="1:16">
      <c r="E39" s="40" t="s">
        <v>138</v>
      </c>
      <c r="F39" s="57">
        <f>0</f>
        <v>0</v>
      </c>
      <c r="G39" s="38" t="s">
        <v>197</v>
      </c>
      <c r="L39" s="2"/>
      <c r="M39" s="55"/>
      <c r="N39" s="53"/>
      <c r="O39" s="53"/>
      <c r="P39" s="53"/>
    </row>
    <row r="40" spans="1:16">
      <c r="E40" s="40" t="s">
        <v>207</v>
      </c>
      <c r="F40" s="58">
        <f>KNREC!E81*1000/(KNREC!E82*365*24)*100</f>
        <v>17.888388478608512</v>
      </c>
      <c r="G40" s="39" t="s">
        <v>198</v>
      </c>
      <c r="L40" s="2"/>
      <c r="M40" s="55"/>
      <c r="N40" s="53"/>
      <c r="O40" s="53"/>
      <c r="P40" s="53"/>
    </row>
    <row r="41" spans="1:16">
      <c r="E41" s="39"/>
      <c r="L41" s="2"/>
      <c r="M41" s="55"/>
      <c r="N41" s="53"/>
      <c r="O41" s="53"/>
      <c r="P41" s="53"/>
    </row>
    <row r="42" spans="1:16" ht="21">
      <c r="A42" s="19" t="s">
        <v>139</v>
      </c>
    </row>
    <row r="43" spans="1:16" ht="34">
      <c r="B43" s="37" t="s">
        <v>137</v>
      </c>
      <c r="F43" s="36" t="s">
        <v>137</v>
      </c>
    </row>
    <row r="44" spans="1:16">
      <c r="A44" t="s">
        <v>135</v>
      </c>
      <c r="B44" s="56" t="s">
        <v>136</v>
      </c>
      <c r="E44" t="s">
        <v>135</v>
      </c>
      <c r="F44" s="33" t="s">
        <v>134</v>
      </c>
    </row>
    <row r="45" spans="1:16">
      <c r="A45" t="s">
        <v>133</v>
      </c>
      <c r="B45" s="41">
        <f>(KNREC!E129+KNREC!E136)*Calculations!F48</f>
        <v>0</v>
      </c>
      <c r="E45" s="35" t="s">
        <v>133</v>
      </c>
      <c r="F45" s="41">
        <f>B45/1000</f>
        <v>0</v>
      </c>
    </row>
    <row r="46" spans="1:16">
      <c r="A46" t="s">
        <v>132</v>
      </c>
      <c r="B46" s="41">
        <f>(KNREC!E129+KNREC!E136)*(1-Calculations!F48)</f>
        <v>90</v>
      </c>
      <c r="E46" s="5" t="s">
        <v>132</v>
      </c>
      <c r="F46" s="41">
        <f>B46/1000</f>
        <v>0.09</v>
      </c>
    </row>
    <row r="47" spans="1:16">
      <c r="A47" t="s">
        <v>131</v>
      </c>
      <c r="B47" s="42">
        <f>SUM(KNREC!E130:E134)</f>
        <v>1079</v>
      </c>
      <c r="E47" s="34" t="s">
        <v>131</v>
      </c>
      <c r="F47" s="41">
        <f>B47/1000</f>
        <v>1.079</v>
      </c>
      <c r="G47" s="59"/>
    </row>
    <row r="48" spans="1:16">
      <c r="E48" s="40" t="s">
        <v>138</v>
      </c>
      <c r="F48" s="57">
        <f>0</f>
        <v>0</v>
      </c>
      <c r="G48" s="38" t="s">
        <v>199</v>
      </c>
    </row>
    <row r="49" spans="1:20">
      <c r="E49" s="40" t="s">
        <v>207</v>
      </c>
      <c r="F49" s="58">
        <f>KNREC!E120*1000/(KNREC!E121*365*24)*100</f>
        <v>23.364218552867349</v>
      </c>
      <c r="G49" s="39" t="s">
        <v>198</v>
      </c>
    </row>
    <row r="50" spans="1:20">
      <c r="E50" s="39"/>
    </row>
    <row r="56" spans="1:20" ht="16.5" customHeight="1">
      <c r="L56" s="43"/>
    </row>
    <row r="57" spans="1:20" ht="16.5" customHeight="1">
      <c r="G57" s="59"/>
      <c r="L57" s="19"/>
    </row>
    <row r="58" spans="1:20">
      <c r="L58" s="32"/>
      <c r="M58" s="32"/>
      <c r="N58" s="32"/>
      <c r="O58" s="32"/>
      <c r="Q58" s="32"/>
      <c r="R58" s="32"/>
      <c r="S58" s="32"/>
      <c r="T58" s="32"/>
    </row>
    <row r="59" spans="1:20" ht="21">
      <c r="A59" s="61"/>
      <c r="L59" s="2"/>
      <c r="M59" s="41"/>
      <c r="N59" s="41"/>
      <c r="O59" s="41"/>
      <c r="Q59" s="32"/>
    </row>
    <row r="60" spans="1:20">
      <c r="B60" s="37"/>
      <c r="F60" s="37"/>
      <c r="Q60" s="32"/>
    </row>
    <row r="61" spans="1:20">
      <c r="F61" s="33"/>
    </row>
    <row r="62" spans="1:20">
      <c r="B62" s="53"/>
      <c r="F62" s="53"/>
    </row>
    <row r="63" spans="1:20">
      <c r="B63" s="53"/>
      <c r="F63" s="53"/>
    </row>
    <row r="64" spans="1:20">
      <c r="B64" s="53"/>
      <c r="F64" s="53"/>
    </row>
    <row r="65" spans="1:7">
      <c r="E65" s="49"/>
      <c r="F65" s="49"/>
      <c r="G65" s="49"/>
    </row>
    <row r="66" spans="1:7" ht="21">
      <c r="A66" s="61"/>
    </row>
    <row r="67" spans="1:7">
      <c r="B67" s="37"/>
      <c r="F67" s="37"/>
    </row>
    <row r="68" spans="1:7">
      <c r="F68" s="33"/>
    </row>
    <row r="69" spans="1:7">
      <c r="B69" s="53"/>
      <c r="F69" s="53"/>
    </row>
    <row r="70" spans="1:7">
      <c r="B70" s="53"/>
      <c r="F70" s="53"/>
    </row>
    <row r="71" spans="1:7">
      <c r="B71" s="53"/>
      <c r="F71" s="53"/>
    </row>
    <row r="73" spans="1:7" ht="21">
      <c r="A73" s="61"/>
      <c r="B73" s="38"/>
    </row>
    <row r="74" spans="1:7">
      <c r="B74" s="37"/>
      <c r="F74" s="37"/>
    </row>
    <row r="75" spans="1:7">
      <c r="F75" s="33"/>
    </row>
    <row r="76" spans="1:7">
      <c r="B76" s="53"/>
      <c r="F76" s="53"/>
    </row>
    <row r="77" spans="1:7">
      <c r="B77" s="53"/>
      <c r="F77" s="53"/>
    </row>
    <row r="78" spans="1:7">
      <c r="B78" s="53"/>
      <c r="F78" s="53"/>
    </row>
    <row r="80" spans="1:7">
      <c r="A80" s="33"/>
    </row>
  </sheetData>
  <mergeCells count="6">
    <mergeCell ref="C1:D2"/>
    <mergeCell ref="E21:H21"/>
    <mergeCell ref="E1:E2"/>
    <mergeCell ref="F1:H1"/>
    <mergeCell ref="F2:G2"/>
    <mergeCell ref="H2:H3"/>
  </mergeCells>
  <phoneticPr fontId="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D25"/>
  <sheetViews>
    <sheetView tabSelected="1" workbookViewId="0">
      <selection activeCell="D8" sqref="D8"/>
    </sheetView>
  </sheetViews>
  <sheetFormatPr defaultRowHeight="17"/>
  <cols>
    <col min="1" max="4" width="23.33203125" customWidth="1"/>
  </cols>
  <sheetData>
    <row r="1" spans="1:4">
      <c r="A1" t="s">
        <v>18</v>
      </c>
      <c r="B1" s="4" t="s">
        <v>19</v>
      </c>
      <c r="C1" s="4" t="s">
        <v>20</v>
      </c>
      <c r="D1" s="4" t="s">
        <v>21</v>
      </c>
    </row>
    <row r="2" spans="1:4">
      <c r="A2" s="5" t="s">
        <v>12</v>
      </c>
      <c r="B2" s="46">
        <f>Calculations!F4</f>
        <v>0</v>
      </c>
      <c r="C2" s="46">
        <f>Calculations!G4</f>
        <v>0</v>
      </c>
      <c r="D2" s="46">
        <f>Calculations!H4</f>
        <v>0</v>
      </c>
    </row>
    <row r="3" spans="1:4">
      <c r="A3" s="6" t="s">
        <v>255</v>
      </c>
      <c r="B3" s="46">
        <f>Calculations!F5</f>
        <v>0</v>
      </c>
      <c r="C3" s="46">
        <f>Calculations!G5</f>
        <v>0</v>
      </c>
      <c r="D3" s="46">
        <f>Calculations!H5</f>
        <v>0</v>
      </c>
    </row>
    <row r="4" spans="1:4">
      <c r="A4" s="6" t="s">
        <v>256</v>
      </c>
      <c r="B4" s="46">
        <v>0</v>
      </c>
      <c r="C4" s="46">
        <v>0</v>
      </c>
      <c r="D4" s="46">
        <v>0</v>
      </c>
    </row>
    <row r="5" spans="1:4">
      <c r="A5" s="5" t="s">
        <v>1</v>
      </c>
      <c r="B5" s="46">
        <f>Calculations!F6</f>
        <v>0</v>
      </c>
      <c r="C5" s="46">
        <f>Calculations!G6</f>
        <v>0</v>
      </c>
      <c r="D5" s="46">
        <f>Calculations!H6</f>
        <v>0</v>
      </c>
    </row>
    <row r="6" spans="1:4">
      <c r="A6" s="5" t="s">
        <v>2</v>
      </c>
      <c r="B6" s="46">
        <f>Calculations!F7</f>
        <v>0</v>
      </c>
      <c r="C6" s="46">
        <f>Calculations!G7</f>
        <v>0.09</v>
      </c>
      <c r="D6" s="46">
        <f>Calculations!H7</f>
        <v>1.079</v>
      </c>
    </row>
    <row r="7" spans="1:4">
      <c r="A7" s="5" t="s">
        <v>13</v>
      </c>
      <c r="B7" s="46">
        <f>Calculations!F8</f>
        <v>0</v>
      </c>
      <c r="C7" s="46">
        <f>Calculations!G8</f>
        <v>8.60351</v>
      </c>
      <c r="D7" s="46">
        <f>Calculations!H8</f>
        <v>5.0520199999999997</v>
      </c>
    </row>
    <row r="8" spans="1:4">
      <c r="A8" s="5" t="s">
        <v>3</v>
      </c>
      <c r="B8" s="46">
        <f>Calculations!F9</f>
        <v>2153.5204869029099</v>
      </c>
      <c r="C8" s="46">
        <f>Calculations!G9</f>
        <v>358.12386349709004</v>
      </c>
      <c r="D8" s="289">
        <f>Calculations!H9</f>
        <v>1335.48326537</v>
      </c>
    </row>
    <row r="9" spans="1:4">
      <c r="A9" s="5" t="s">
        <v>4</v>
      </c>
      <c r="B9" s="46">
        <f>Calculations!F10</f>
        <v>0</v>
      </c>
      <c r="C9" s="46">
        <f>Calculations!G10</f>
        <v>0</v>
      </c>
      <c r="D9" s="46">
        <f>Calculations!H10</f>
        <v>0</v>
      </c>
    </row>
    <row r="10" spans="1:4">
      <c r="A10" s="5" t="s">
        <v>5</v>
      </c>
      <c r="B10" s="46">
        <f>Calculations!F11</f>
        <v>0</v>
      </c>
      <c r="C10" s="46">
        <f>Calculations!G11</f>
        <v>0</v>
      </c>
      <c r="D10" s="46">
        <f>Calculations!H11</f>
        <v>0</v>
      </c>
    </row>
    <row r="11" spans="1:4">
      <c r="A11" s="5" t="s">
        <v>6</v>
      </c>
      <c r="B11" s="46">
        <f>Calculations!F12</f>
        <v>0</v>
      </c>
      <c r="C11" s="46">
        <f>Calculations!G12</f>
        <v>0</v>
      </c>
      <c r="D11" s="46">
        <f>Calculations!H12</f>
        <v>0</v>
      </c>
    </row>
    <row r="12" spans="1:4">
      <c r="A12" s="5" t="s">
        <v>7</v>
      </c>
      <c r="B12" s="46">
        <f>Calculations!F13</f>
        <v>0</v>
      </c>
      <c r="C12" s="46">
        <f>Calculations!G13</f>
        <v>0</v>
      </c>
      <c r="D12" s="46">
        <f>Calculations!H13</f>
        <v>0</v>
      </c>
    </row>
    <row r="13" spans="1:4">
      <c r="A13" s="5" t="s">
        <v>8</v>
      </c>
      <c r="B13" s="46">
        <f>Calculations!F14</f>
        <v>0</v>
      </c>
      <c r="C13" s="46">
        <f>Calculations!G14</f>
        <v>0</v>
      </c>
      <c r="D13" s="46">
        <f>Calculations!H14</f>
        <v>0</v>
      </c>
    </row>
    <row r="14" spans="1:4">
      <c r="A14" s="5" t="s">
        <v>11</v>
      </c>
      <c r="B14" s="46">
        <f>Calculations!F15</f>
        <v>0</v>
      </c>
      <c r="C14" s="46">
        <f>Calculations!G15</f>
        <v>0</v>
      </c>
      <c r="D14" s="46">
        <f>Calculations!H15</f>
        <v>0</v>
      </c>
    </row>
    <row r="15" spans="1:4">
      <c r="A15" s="5" t="s">
        <v>14</v>
      </c>
      <c r="B15" s="46">
        <f>Calculations!F16</f>
        <v>0</v>
      </c>
      <c r="C15" s="46">
        <f>Calculations!G16</f>
        <v>0</v>
      </c>
      <c r="D15" s="46">
        <f>Calculations!H16</f>
        <v>0</v>
      </c>
    </row>
    <row r="16" spans="1:4">
      <c r="A16" s="5" t="s">
        <v>15</v>
      </c>
      <c r="B16" s="46">
        <f>Calculations!F17</f>
        <v>0</v>
      </c>
      <c r="C16" s="46">
        <f>Calculations!G17</f>
        <v>0</v>
      </c>
      <c r="D16" s="46">
        <f>Calculations!H17</f>
        <v>0</v>
      </c>
    </row>
    <row r="17" spans="1:4">
      <c r="A17" s="5" t="s">
        <v>16</v>
      </c>
      <c r="B17" s="46">
        <f>Calculations!F18</f>
        <v>0</v>
      </c>
      <c r="C17" s="46">
        <f>Calculations!G18</f>
        <v>0</v>
      </c>
      <c r="D17" s="46">
        <f>Calculations!H18</f>
        <v>0</v>
      </c>
    </row>
    <row r="18" spans="1:4">
      <c r="A18" s="5" t="s">
        <v>17</v>
      </c>
      <c r="B18" s="46">
        <f>Calculations!F19</f>
        <v>0</v>
      </c>
      <c r="C18" s="46">
        <f>Calculations!G19</f>
        <v>0</v>
      </c>
      <c r="D18" s="46">
        <f>Calculations!H19</f>
        <v>0</v>
      </c>
    </row>
    <row r="19" spans="1:4">
      <c r="A19" s="6" t="s">
        <v>257</v>
      </c>
      <c r="B19" s="46">
        <v>0</v>
      </c>
      <c r="C19" s="46">
        <v>0</v>
      </c>
      <c r="D19" s="46">
        <v>0</v>
      </c>
    </row>
    <row r="20" spans="1:4">
      <c r="A20" s="6" t="s">
        <v>258</v>
      </c>
      <c r="B20" s="46">
        <v>0</v>
      </c>
      <c r="C20" s="46">
        <v>0</v>
      </c>
      <c r="D20" s="46">
        <v>0</v>
      </c>
    </row>
    <row r="21" spans="1:4">
      <c r="A21" s="6" t="s">
        <v>259</v>
      </c>
      <c r="B21" s="46">
        <v>0</v>
      </c>
      <c r="C21" s="46">
        <v>0</v>
      </c>
      <c r="D21" s="46">
        <v>0</v>
      </c>
    </row>
    <row r="22" spans="1:4">
      <c r="A22" s="6" t="s">
        <v>260</v>
      </c>
      <c r="B22" s="46">
        <v>0</v>
      </c>
      <c r="C22" s="46">
        <v>0</v>
      </c>
      <c r="D22" s="46">
        <v>0</v>
      </c>
    </row>
    <row r="23" spans="1:4">
      <c r="A23" s="6" t="s">
        <v>261</v>
      </c>
      <c r="B23" s="46">
        <v>0</v>
      </c>
      <c r="C23" s="46">
        <v>0</v>
      </c>
      <c r="D23" s="46">
        <v>0</v>
      </c>
    </row>
    <row r="24" spans="1:4">
      <c r="A24" s="6" t="s">
        <v>262</v>
      </c>
      <c r="B24" s="46">
        <v>0</v>
      </c>
      <c r="C24" s="46">
        <v>0</v>
      </c>
      <c r="D24" s="46">
        <v>0</v>
      </c>
    </row>
    <row r="25" spans="1:4">
      <c r="A25" s="6" t="s">
        <v>263</v>
      </c>
      <c r="B25" s="46">
        <v>0</v>
      </c>
      <c r="C25" s="46">
        <v>0</v>
      </c>
      <c r="D25" s="46">
        <v>0</v>
      </c>
    </row>
  </sheetData>
  <phoneticPr fontId="8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5081983-C054-4D21-B9DE-295F402E9DEA}"/>
</file>

<file path=customXml/itemProps2.xml><?xml version="1.0" encoding="utf-8"?>
<ds:datastoreItem xmlns:ds="http://schemas.openxmlformats.org/officeDocument/2006/customXml" ds:itemID="{C13E5099-7325-43F2-B9AF-DDA913304CE9}"/>
</file>

<file path=customXml/itemProps3.xml><?xml version="1.0" encoding="utf-8"?>
<ds:datastoreItem xmlns:ds="http://schemas.openxmlformats.org/officeDocument/2006/customXml" ds:itemID="{9E0DFE3B-646D-4DF2-B7F0-FAF7606D29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About</vt:lpstr>
      <vt:lpstr>KNREC</vt:lpstr>
      <vt:lpstr>KOSIS</vt:lpstr>
      <vt:lpstr>Calculations</vt:lpstr>
      <vt:lpstr>SYDEC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공용계정2</cp:lastModifiedBy>
  <dcterms:created xsi:type="dcterms:W3CDTF">2016-01-26T19:10:58Z</dcterms:created>
  <dcterms:modified xsi:type="dcterms:W3CDTF">2025-03-09T07:33:38Z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