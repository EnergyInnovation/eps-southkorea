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bldgs\SYDEC\"/>
    </mc:Choice>
  </mc:AlternateContent>
  <xr:revisionPtr revIDLastSave="0" documentId="13_ncr:1_{FDBC171E-D6DA-4041-999C-970B4400D067}" xr6:coauthVersionLast="47" xr6:coauthVersionMax="47" xr10:uidLastSave="{00000000-0000-0000-0000-000000000000}"/>
  <bookViews>
    <workbookView xWindow="2400" yWindow="2400" windowWidth="21735" windowHeight="13530" tabRatio="670" activeTab="4" xr2:uid="{00000000-000D-0000-FFFF-FFFF00000000}"/>
  </bookViews>
  <sheets>
    <sheet name="About" sheetId="23" r:id="rId1"/>
    <sheet name="KNREC" sheetId="24" r:id="rId2"/>
    <sheet name="KOSIS" sheetId="27" r:id="rId3"/>
    <sheet name="Calculations" sheetId="26" r:id="rId4"/>
    <sheet name="SYDEC" sheetId="6" r:id="rId5"/>
  </sheets>
  <externalReferences>
    <externalReference r:id="rId6"/>
  </externalReferences>
  <definedNames>
    <definedName name="billion_kw_to_MW" localSheetId="2">[1]About!#REF!</definedName>
    <definedName name="billion_kw_to_MW">#REF!</definedName>
    <definedName name="gigwatt_to_megawatt" localSheetId="2">[1]About!#REF!</definedName>
    <definedName name="gigwatt_to_megawatt">#REF!</definedName>
    <definedName name="GW_to_MW">#REF!</definedName>
    <definedName name="Percent_rural" localSheetId="2">[1]About!#REF!</definedName>
    <definedName name="Percent_rural">#REF!</definedName>
    <definedName name="Percent_Urban" localSheetId="2">[1]About!#REF!</definedName>
    <definedName name="Percent_Urb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7" i="27" l="1"/>
  <c r="D27" i="27"/>
  <c r="E27" i="27"/>
  <c r="F27" i="27"/>
  <c r="G27" i="27"/>
  <c r="H27" i="27"/>
  <c r="I27" i="27"/>
  <c r="J27" i="27"/>
  <c r="K27" i="27"/>
  <c r="L27" i="27"/>
  <c r="M27" i="27"/>
  <c r="N27" i="27"/>
  <c r="O27" i="27"/>
  <c r="P27" i="27"/>
  <c r="Q27" i="27"/>
  <c r="R27" i="27"/>
  <c r="C28" i="27"/>
  <c r="D28" i="27"/>
  <c r="E28" i="27"/>
  <c r="F28" i="27"/>
  <c r="G28" i="27"/>
  <c r="H28" i="27"/>
  <c r="I28" i="27"/>
  <c r="J28" i="27"/>
  <c r="K28" i="27"/>
  <c r="L28" i="27"/>
  <c r="M28" i="27"/>
  <c r="N28" i="27"/>
  <c r="O28" i="27"/>
  <c r="P28" i="27"/>
  <c r="Q28" i="27"/>
  <c r="R28" i="27"/>
  <c r="B27" i="27"/>
  <c r="B28" i="27"/>
  <c r="I8" i="27" l="1"/>
  <c r="J8" i="27" s="1"/>
  <c r="K26" i="26" s="1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J27" i="26"/>
  <c r="F48" i="26"/>
  <c r="F39" i="26"/>
  <c r="B36" i="26" s="1"/>
  <c r="F36" i="26" s="1"/>
  <c r="F8" i="26" s="1"/>
  <c r="B7" i="6" s="1"/>
  <c r="I23" i="27"/>
  <c r="Z25" i="26" s="1"/>
  <c r="I22" i="27"/>
  <c r="J22" i="27" s="1"/>
  <c r="Y26" i="26" s="1"/>
  <c r="I21" i="27"/>
  <c r="J21" i="27" s="1"/>
  <c r="X26" i="26" s="1"/>
  <c r="I20" i="27"/>
  <c r="J20" i="27" s="1"/>
  <c r="W26" i="26" s="1"/>
  <c r="I19" i="27"/>
  <c r="J19" i="27" s="1"/>
  <c r="V26" i="26" s="1"/>
  <c r="I18" i="27"/>
  <c r="J18" i="27" s="1"/>
  <c r="U26" i="26" s="1"/>
  <c r="I17" i="27"/>
  <c r="J17" i="27" s="1"/>
  <c r="T26" i="26" s="1"/>
  <c r="I16" i="27"/>
  <c r="S25" i="26" s="1"/>
  <c r="I15" i="27"/>
  <c r="R25" i="26" s="1"/>
  <c r="I14" i="27"/>
  <c r="Q25" i="26" s="1"/>
  <c r="I13" i="27"/>
  <c r="P25" i="26" s="1"/>
  <c r="I12" i="27"/>
  <c r="O25" i="26" s="1"/>
  <c r="I11" i="27"/>
  <c r="N25" i="26" s="1"/>
  <c r="I10" i="27"/>
  <c r="J10" i="27" s="1"/>
  <c r="M26" i="26" s="1"/>
  <c r="I9" i="27"/>
  <c r="J9" i="27" s="1"/>
  <c r="L26" i="26" s="1"/>
  <c r="I7" i="27"/>
  <c r="J7" i="27" s="1"/>
  <c r="J26" i="26" s="1"/>
  <c r="I6" i="27"/>
  <c r="B45" i="26"/>
  <c r="F45" i="26" s="1"/>
  <c r="F7" i="26" s="1"/>
  <c r="B6" i="6" s="1"/>
  <c r="B46" i="26"/>
  <c r="F46" i="26" s="1"/>
  <c r="G7" i="26" s="1"/>
  <c r="C6" i="6" s="1"/>
  <c r="B47" i="26"/>
  <c r="F47" i="26" s="1"/>
  <c r="H7" i="26" s="1"/>
  <c r="D6" i="6" s="1"/>
  <c r="F49" i="26"/>
  <c r="E1" i="26"/>
  <c r="C2" i="6"/>
  <c r="D2" i="6"/>
  <c r="C3" i="6"/>
  <c r="D3" i="6"/>
  <c r="C5" i="6"/>
  <c r="D5" i="6"/>
  <c r="B37" i="26"/>
  <c r="F37" i="26" s="1"/>
  <c r="G8" i="26" s="1"/>
  <c r="C7" i="6" s="1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B3" i="6"/>
  <c r="B5" i="6"/>
  <c r="B9" i="6"/>
  <c r="B10" i="6"/>
  <c r="B11" i="6"/>
  <c r="B12" i="6"/>
  <c r="B13" i="6"/>
  <c r="B14" i="6"/>
  <c r="B15" i="6"/>
  <c r="B16" i="6"/>
  <c r="B17" i="6"/>
  <c r="B18" i="6"/>
  <c r="B2" i="6"/>
  <c r="F40" i="26"/>
  <c r="B38" i="26"/>
  <c r="F38" i="26" s="1"/>
  <c r="H8" i="26" s="1"/>
  <c r="D7" i="6" s="1"/>
  <c r="F30" i="26"/>
  <c r="J6" i="27" l="1"/>
  <c r="C13" i="23"/>
  <c r="X25" i="26"/>
  <c r="Y25" i="26"/>
  <c r="W25" i="26"/>
  <c r="V25" i="26"/>
  <c r="L25" i="26"/>
  <c r="M25" i="26"/>
  <c r="K25" i="26"/>
  <c r="J25" i="26"/>
  <c r="B28" i="26"/>
  <c r="F28" i="26" s="1"/>
  <c r="H9" i="26" s="1"/>
  <c r="D8" i="6" s="1"/>
  <c r="T25" i="26"/>
  <c r="J11" i="27"/>
  <c r="N26" i="26" s="1"/>
  <c r="J23" i="27"/>
  <c r="Z26" i="26" s="1"/>
  <c r="U25" i="26"/>
  <c r="J12" i="27"/>
  <c r="O26" i="26" s="1"/>
  <c r="J13" i="27"/>
  <c r="P26" i="26" s="1"/>
  <c r="J14" i="27"/>
  <c r="Q26" i="26" s="1"/>
  <c r="J15" i="27"/>
  <c r="R26" i="26" s="1"/>
  <c r="J16" i="27"/>
  <c r="S26" i="26" s="1"/>
  <c r="B27" i="26" l="1"/>
  <c r="F27" i="26" s="1"/>
  <c r="G9" i="26" s="1"/>
  <c r="C8" i="6" s="1"/>
  <c r="B26" i="26"/>
  <c r="F26" i="26" s="1"/>
  <c r="F9" i="26" s="1"/>
  <c r="B8" i="6" s="1"/>
</calcChain>
</file>

<file path=xl/sharedStrings.xml><?xml version="1.0" encoding="utf-8"?>
<sst xmlns="http://schemas.openxmlformats.org/spreadsheetml/2006/main" count="2226" uniqueCount="304">
  <si>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</si>
  <si>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</si>
  <si>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</si>
  <si>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</si>
  <si>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</si>
  <si>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</si>
  <si>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</si>
  <si>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</si>
  <si>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</si>
  <si>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</si>
  <si>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Sources: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</si>
  <si>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</si>
  <si>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</si>
  <si>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</si>
  <si>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</si>
  <si>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</si>
  <si>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</si>
  <si>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</si>
  <si>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MW</t>
  </si>
  <si>
    <t>urban residential</t>
  </si>
  <si>
    <t>rural residential</t>
  </si>
  <si>
    <t>commercial</t>
  </si>
  <si>
    <t>Total</t>
  </si>
  <si>
    <t>주) 누적 보급용량 사업용은 각 연도별 신설, 증·감설, 해지를 반영한 용량임</t>
  </si>
  <si>
    <t>20,000kW 초과</t>
  </si>
  <si>
    <t>10,000~20,000kW 이하</t>
  </si>
  <si>
    <t>5,000~10,000kW 이하</t>
  </si>
  <si>
    <t>1,000~5,000kW 이하</t>
  </si>
  <si>
    <t>500~1,000kW 이하</t>
  </si>
  <si>
    <t>100~500kW 이하</t>
  </si>
  <si>
    <t>50~100kW 이하</t>
  </si>
  <si>
    <t>10~50kW 이하</t>
  </si>
  <si>
    <t>3~10kW 이하</t>
  </si>
  <si>
    <t>1~3kW 이하</t>
  </si>
  <si>
    <t>1kW 이하</t>
  </si>
  <si>
    <t>기타</t>
  </si>
  <si>
    <t>발전사업용</t>
  </si>
  <si>
    <t>상업시설</t>
  </si>
  <si>
    <t>산업시설</t>
  </si>
  <si>
    <t>사회복지시설</t>
  </si>
  <si>
    <t>교육시설</t>
  </si>
  <si>
    <t>공공시설</t>
  </si>
  <si>
    <t>가정용</t>
  </si>
  <si>
    <t>최근 3년간 신규 보급용량(kW)</t>
  </si>
  <si>
    <t>Jeju</t>
  </si>
  <si>
    <t>Gyeongnam</t>
  </si>
  <si>
    <t>Gyeongbuk</t>
  </si>
  <si>
    <t>Jeonnam</t>
  </si>
  <si>
    <t>Jeonbuk</t>
  </si>
  <si>
    <t>Chungnam</t>
  </si>
  <si>
    <t>Chungbuk</t>
  </si>
  <si>
    <t>Gangwon</t>
  </si>
  <si>
    <t>Gyeonggi</t>
  </si>
  <si>
    <t>Sejong</t>
  </si>
  <si>
    <t>Ulsan</t>
  </si>
  <si>
    <t>Daejeon</t>
  </si>
  <si>
    <t>Gwangju</t>
  </si>
  <si>
    <t>Incheon</t>
  </si>
  <si>
    <t>Daegu</t>
  </si>
  <si>
    <t>Busan</t>
  </si>
  <si>
    <t>Seoul</t>
  </si>
  <si>
    <t>구 분</t>
  </si>
  <si>
    <t>제주</t>
  </si>
  <si>
    <t>경남</t>
  </si>
  <si>
    <t>경북</t>
  </si>
  <si>
    <t>전남</t>
  </si>
  <si>
    <t>전북</t>
  </si>
  <si>
    <t>충남</t>
  </si>
  <si>
    <t>충북</t>
  </si>
  <si>
    <t>강원</t>
  </si>
  <si>
    <t>경기</t>
  </si>
  <si>
    <t>세종</t>
  </si>
  <si>
    <t>울산</t>
  </si>
  <si>
    <t>대전</t>
  </si>
  <si>
    <t>광주</t>
  </si>
  <si>
    <t>인천</t>
  </si>
  <si>
    <t>대구</t>
  </si>
  <si>
    <t>부산</t>
  </si>
  <si>
    <t>서울</t>
  </si>
  <si>
    <t>전국</t>
  </si>
  <si>
    <t xml:space="preserve">  4.27 IGCC</t>
    <phoneticPr fontId="15" type="noConversion"/>
  </si>
  <si>
    <t>주) 누적 보급용량 사업용은 각 연도별 신설, 증·감설, 해지를 반영한 용량이며, 자가용은 각 연도별 설치용량의 단순합계임</t>
    <phoneticPr fontId="15" type="noConversion"/>
  </si>
  <si>
    <t xml:space="preserve">  4.26 연료전지</t>
    <phoneticPr fontId="15" type="noConversion"/>
  </si>
  <si>
    <t>주3) 신에너지 및 재생에너지 개발∙이용∙보급 촉진법 개정('19.10.01 시행)에 따라 폐기물에너지 중 비재생폐기물은 제외</t>
    <phoneticPr fontId="15" type="noConversion"/>
  </si>
  <si>
    <t>주2) 최근 3년간 신규 보급용량은 각 연도별로 설치된 가동설비 용량임</t>
  </si>
  <si>
    <t>전기(kW)</t>
  </si>
  <si>
    <t>최근 3년간 신규 보급용량</t>
  </si>
  <si>
    <t>열(증기톤/시간)</t>
  </si>
  <si>
    <t>주4) 신에너지 및 재생에너지 개발∙이용∙보급 촉진법 개정('19.10.01 시행)에 따라 폐기물에너지 중 비재생폐기물은 제외</t>
    <phoneticPr fontId="15" type="noConversion"/>
  </si>
  <si>
    <t>주3) '15년부터 대형도시쓰레기는 생활폐기물로 포함</t>
    <phoneticPr fontId="15" type="noConversion"/>
  </si>
  <si>
    <t xml:space="preserve">  4.19 바이오에너지 - 바이오중유</t>
    <phoneticPr fontId="15" type="noConversion"/>
  </si>
  <si>
    <t>주3) '14년부터 우드칩, 목재펠릿 중 일부는 Bio-SRF로 대체 분류</t>
  </si>
  <si>
    <t xml:space="preserve">  4.18 바이오에너지 - Bio SRF</t>
    <phoneticPr fontId="15" type="noConversion"/>
  </si>
  <si>
    <t xml:space="preserve">  4.17 바이오에너지 - 하수슬러지고형연료</t>
    <phoneticPr fontId="15" type="noConversion"/>
  </si>
  <si>
    <t xml:space="preserve">  4.16 바이오에너지 - 흑액</t>
    <phoneticPr fontId="15" type="noConversion"/>
  </si>
  <si>
    <t xml:space="preserve">  4.15 바이오에너지 - 폐목재</t>
    <phoneticPr fontId="15" type="noConversion"/>
  </si>
  <si>
    <t xml:space="preserve">  4.14 바이오에너지 - 목재펠릿</t>
    <phoneticPr fontId="15" type="noConversion"/>
  </si>
  <si>
    <t>주2) '17년부터 임산연료는 행정자료 제공 기관(산림청 : 임산통계연보)의 통계수집 방법 변경</t>
    <phoneticPr fontId="15" type="noConversion"/>
  </si>
  <si>
    <t xml:space="preserve">  4.13 바이오에너지 - 임산연료</t>
    <phoneticPr fontId="15" type="noConversion"/>
  </si>
  <si>
    <t xml:space="preserve">  4.12 바이오에너지 - 성형탄</t>
    <phoneticPr fontId="15" type="noConversion"/>
  </si>
  <si>
    <t>(단위 : toe)</t>
  </si>
  <si>
    <t xml:space="preserve">  4.11 바이오에너지 - 우드칩</t>
    <phoneticPr fontId="15" type="noConversion"/>
  </si>
  <si>
    <t xml:space="preserve">  4.10 바이오에너지 - 바이오디젤</t>
    <phoneticPr fontId="15" type="noConversion"/>
  </si>
  <si>
    <t xml:space="preserve">  4.9 바이오에너지 - 매립지가스</t>
    <phoneticPr fontId="15" type="noConversion"/>
  </si>
  <si>
    <t xml:space="preserve">  4.8 바이오에너지 - 바이오가스</t>
    <phoneticPr fontId="15" type="noConversion"/>
  </si>
  <si>
    <t>주2) 통계의 1RT는 3.5kW로 계산함</t>
  </si>
  <si>
    <t>3,000kW 초과</t>
  </si>
  <si>
    <t>1,000~3,000kW 이하</t>
  </si>
  <si>
    <t>200~500kW 이하</t>
  </si>
  <si>
    <t>100~200kW 이하</t>
  </si>
  <si>
    <t>17.5~100kW 이하</t>
  </si>
  <si>
    <t>17.5kW 이하</t>
  </si>
  <si>
    <t xml:space="preserve">  4.7 수열</t>
    <phoneticPr fontId="15" type="noConversion"/>
  </si>
  <si>
    <t xml:space="preserve">  4.6 지열</t>
    <phoneticPr fontId="15" type="noConversion"/>
  </si>
  <si>
    <t xml:space="preserve">  4.5 해양</t>
    <phoneticPr fontId="15" type="noConversion"/>
  </si>
  <si>
    <t xml:space="preserve">  4.4 수력</t>
    <phoneticPr fontId="15" type="noConversion"/>
  </si>
  <si>
    <t xml:space="preserve">  4.3 풍력</t>
    <phoneticPr fontId="15" type="noConversion"/>
  </si>
  <si>
    <t xml:space="preserve">  4.2 태양에너지 - 태양광</t>
    <phoneticPr fontId="15" type="noConversion"/>
  </si>
  <si>
    <t>10,000㎡ 초과</t>
  </si>
  <si>
    <t>5,000~10,000㎡ 이하</t>
  </si>
  <si>
    <t>1,500~5,000㎡ 이하</t>
  </si>
  <si>
    <t>1,000~1,500㎡ 이하</t>
  </si>
  <si>
    <t>500~1,000㎡ 이하</t>
  </si>
  <si>
    <t>100~500㎡ 이하</t>
  </si>
  <si>
    <t>20~100㎡ 이하</t>
  </si>
  <si>
    <t>20㎡ 이하</t>
  </si>
  <si>
    <t>최근 3년간 신규 보급용량(㎡)</t>
  </si>
  <si>
    <t>** rural-residential zone : Sejong, Gyeonggi, Gangwon, Chungbuk, Chungnam, Jeonbuk, Jeonnam, Gyeongbuk, Gyeongnam, Jeju</t>
    <phoneticPr fontId="8" type="noConversion"/>
  </si>
  <si>
    <t>* urban-residential zone : Seoul, Busan, Daegu, Incheon, Gwangju, Daejeon, Ulsan</t>
    <phoneticPr fontId="8" type="noConversion"/>
  </si>
  <si>
    <t>commercial</t>
    <phoneticPr fontId="8" type="noConversion"/>
  </si>
  <si>
    <t>rural residential</t>
    <phoneticPr fontId="8" type="noConversion"/>
  </si>
  <si>
    <t>urban residential</t>
    <phoneticPr fontId="8" type="noConversion"/>
  </si>
  <si>
    <t>MW</t>
    <phoneticPr fontId="8" type="noConversion"/>
  </si>
  <si>
    <t>unit</t>
    <phoneticPr fontId="8" type="noConversion"/>
  </si>
  <si>
    <t>kW</t>
    <phoneticPr fontId="8" type="noConversion"/>
  </si>
  <si>
    <t>Generation Capacity</t>
    <phoneticPr fontId="8" type="noConversion"/>
  </si>
  <si>
    <t>Urban population rate (2019)</t>
    <phoneticPr fontId="8" type="noConversion"/>
  </si>
  <si>
    <t>Hydro</t>
    <phoneticPr fontId="15" type="noConversion"/>
  </si>
  <si>
    <t>* Assumed '풍력'(in korean) has only onshore wind power</t>
    <phoneticPr fontId="8" type="noConversion"/>
  </si>
  <si>
    <t>Wind</t>
    <phoneticPr fontId="15" type="noConversion"/>
  </si>
  <si>
    <t>Solar PV</t>
    <phoneticPr fontId="15" type="noConversion"/>
  </si>
  <si>
    <t>rural</t>
    <phoneticPr fontId="8" type="noConversion"/>
  </si>
  <si>
    <t>urban</t>
    <phoneticPr fontId="8" type="noConversion"/>
  </si>
  <si>
    <t>residential</t>
    <phoneticPr fontId="8" type="noConversion"/>
  </si>
  <si>
    <t>Generation Capacity (MW)</t>
    <phoneticPr fontId="8" type="noConversion"/>
  </si>
  <si>
    <t>Electricity Output/Capacity</t>
    <phoneticPr fontId="8" type="noConversion"/>
  </si>
  <si>
    <t>KNREC</t>
    <phoneticPr fontId="8" type="noConversion"/>
  </si>
  <si>
    <t>Urban/Rural Proportion</t>
    <phoneticPr fontId="8" type="noConversion"/>
  </si>
  <si>
    <t>1toe to kWh</t>
    <phoneticPr fontId="8" type="noConversion"/>
  </si>
  <si>
    <t>BDEQ BAU Electricity Output from Distributed Sources</t>
  </si>
  <si>
    <t>BDEQ BAU Distributed Electricity Source Capacity</t>
  </si>
  <si>
    <t>Urban Population Rate</t>
    <phoneticPr fontId="8" type="noConversion"/>
  </si>
  <si>
    <t>(Perc)</t>
    <phoneticPr fontId="8" type="noConversion"/>
  </si>
  <si>
    <t>* Assumed future urban population rate is constant</t>
    <phoneticPr fontId="8" type="noConversion"/>
  </si>
  <si>
    <t>** Geothermal and solar thermal are excluded because they are used only as heat sources.</t>
    <phoneticPr fontId="8" type="noConversion"/>
  </si>
  <si>
    <r>
      <t xml:space="preserve">* We assumed </t>
    </r>
    <r>
      <rPr>
        <b/>
        <sz val="11"/>
        <rFont val="Calibri"/>
        <family val="3"/>
        <charset val="129"/>
        <scheme val="minor"/>
      </rPr>
      <t>red one is connected to grid</t>
    </r>
    <r>
      <rPr>
        <sz val="11"/>
        <rFont val="Calibri"/>
        <family val="3"/>
        <charset val="129"/>
        <scheme val="minor"/>
      </rPr>
      <t>, so it equals zero in BDEQ.                  ** BCEU deals with electricity conneted to grid</t>
    </r>
    <phoneticPr fontId="8" type="noConversion"/>
  </si>
  <si>
    <t># KNREC</t>
    <phoneticPr fontId="15" type="noConversion"/>
  </si>
  <si>
    <t>The start year is the year before the first simulated year.</t>
  </si>
  <si>
    <t>This can be adjusted using the yellow field below.</t>
  </si>
  <si>
    <t>The start year is:</t>
  </si>
  <si>
    <t>The variable "Start Year Distributed Electricity Capacity" includes only "generated on-site"</t>
    <phoneticPr fontId="8" type="noConversion"/>
  </si>
  <si>
    <t>(i.e. that which buildings don't get electricity from the grid)</t>
    <phoneticPr fontId="8" type="noConversion"/>
  </si>
  <si>
    <t>Start Year</t>
    <phoneticPr fontId="8" type="noConversion"/>
  </si>
  <si>
    <t>소재지(시군구)별(1)</t>
  </si>
  <si>
    <t>용도지역기준 (명)</t>
  </si>
  <si>
    <t>행정구역기준 (명)</t>
  </si>
  <si>
    <t>도시지역 인구비율 (%)</t>
  </si>
  <si>
    <t>urban rate</t>
    <phoneticPr fontId="8" type="noConversion"/>
  </si>
  <si>
    <t>rural rate</t>
    <phoneticPr fontId="8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</si>
  <si>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</si>
  <si>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</si>
  <si>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</si>
  <si>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</si>
  <si>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</si>
  <si>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</si>
  <si>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</si>
  <si>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</si>
  <si>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</si>
  <si>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</si>
  <si>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</si>
  <si>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</si>
  <si>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</si>
  <si>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</si>
  <si>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</si>
  <si>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* Assumed urban rate of Wind turbine 0</t>
    <phoneticPr fontId="8" type="noConversion"/>
  </si>
  <si>
    <t>** calculation formula : "Energy Output" = "Generating Capacity" * (365days) * (24hours) * Capacity factor(%)/100</t>
    <phoneticPr fontId="8" type="noConversion"/>
  </si>
  <si>
    <t>* Assumed urban rate of Hydro energy 0</t>
    <phoneticPr fontId="8" type="noConversion"/>
  </si>
  <si>
    <t>* calculation formula : "Energy Output" = "Generating Capacity" * (365days) * (24hours) * Capacity factor(%)/100</t>
    <phoneticPr fontId="8" type="noConversion"/>
  </si>
  <si>
    <t>generation capacity</t>
    <phoneticPr fontId="8" type="noConversion"/>
  </si>
  <si>
    <t>and used capacity factor to calculate the amount of the on-site generation.</t>
    <phoneticPr fontId="8" type="noConversion"/>
  </si>
  <si>
    <t>So we assumed Solar PV, Hydro, and Wind turbine (for distributed generation) are the only sources that generate on-site,</t>
    <phoneticPr fontId="8" type="noConversion"/>
  </si>
  <si>
    <t xml:space="preserve">We could not find the generation capacity data distinguished "purchsed" or "generated on-site" generations. </t>
    <phoneticPr fontId="8" type="noConversion"/>
  </si>
  <si>
    <t xml:space="preserve">* Assumed biomass, fuel cell, and others are not for distributed generation. </t>
    <phoneticPr fontId="8" type="noConversion"/>
  </si>
  <si>
    <t>Index Korea</t>
    <phoneticPr fontId="8" type="noConversion"/>
  </si>
  <si>
    <t>Capacity factor(%)</t>
    <phoneticPr fontId="8" type="noConversion"/>
  </si>
  <si>
    <t>2023_Urban Population Rate</t>
    <phoneticPr fontId="8" type="noConversion"/>
  </si>
  <si>
    <t>2023 Renewable energy statistics</t>
    <phoneticPr fontId="8" type="noConversion"/>
  </si>
  <si>
    <t>주) 누적 보급용량은 각 연도별 신설, 해지를 반영한 용량임</t>
    <phoneticPr fontId="15" type="noConversion"/>
  </si>
  <si>
    <t>주) 누적 보급용량은 각 연도별 신설, 증·감설, 해지를 반영한 용량임</t>
    <phoneticPr fontId="15" type="noConversion"/>
  </si>
  <si>
    <t>https://www.knrec.or.kr/biz/pds/statistic/view.do?no=390</t>
    <phoneticPr fontId="8" type="noConversion"/>
  </si>
  <si>
    <t>주1) 누적 보급용량은 각 연도별 신설, 해지를 반영한 용량임</t>
    <phoneticPr fontId="15" type="noConversion"/>
  </si>
  <si>
    <t>주1) 누적 보급용량은 2023년 기준 가동설비 누적용량임</t>
    <phoneticPr fontId="15" type="noConversion"/>
  </si>
  <si>
    <t>주1) 바이오디젤 보급용량은 2023년 기준 생산능력임</t>
    <phoneticPr fontId="15" type="noConversion"/>
  </si>
  <si>
    <t>주2) 전국 경유 자동차수(자동차등록현황보고, 경유자동차 현황_국토교통부, 2023년 기준)를 지역별로 비례배분하여 그 비율로 바이오디젤 에너지생산량 및 보급용량을 재배분함</t>
    <phoneticPr fontId="15" type="noConversion"/>
  </si>
  <si>
    <t>주1) 누적 보급용량은 2022년 기준 가동설비 누적용량임</t>
  </si>
  <si>
    <t>주1) 성형탄 보급용량은 2023년 기준 생산량(판매량)임</t>
    <phoneticPr fontId="15" type="noConversion"/>
  </si>
  <si>
    <t>주2) 전국 인구수(주민등록인구통계_행정자치부, 2023년 기준), 음식점수(전국사업체조사 한식 육류요리 전문점 현황_통계청, 2022년 기준)를 지역별 비례배분하여 그 비율로 성형탄 에너지생산량 및 보급용량을 재배분함</t>
    <phoneticPr fontId="15" type="noConversion"/>
  </si>
  <si>
    <t>주3) 2023년 전국사업체조사 결과 미공표로 2022년 전국사업체조사 한식 육류요리 전문점 현황 통계 활용</t>
    <phoneticPr fontId="15" type="noConversion"/>
  </si>
  <si>
    <t>주1) 임산 보급용량은 2023년 기준 연료 생산량(판매량)임</t>
    <phoneticPr fontId="15" type="noConversion"/>
  </si>
  <si>
    <t xml:space="preserve">  4.20 폐기물에너지</t>
    <phoneticPr fontId="15" type="noConversion"/>
  </si>
  <si>
    <t xml:space="preserve">  4.21 폐기물에너지 - 산업폐기물</t>
    <phoneticPr fontId="15" type="noConversion"/>
  </si>
  <si>
    <t xml:space="preserve">  4.22 폐기물에너지 - 생활폐기물</t>
    <phoneticPr fontId="15" type="noConversion"/>
  </si>
  <si>
    <t xml:space="preserve">  4.23 폐기물에너지 - 시멘트킬른보조연료</t>
    <phoneticPr fontId="15" type="noConversion"/>
  </si>
  <si>
    <t xml:space="preserve">  4.24 폐기물에너지 - SRF</t>
    <phoneticPr fontId="15" type="noConversion"/>
  </si>
  <si>
    <t xml:space="preserve">  4.25 폐기물에너지 - 정제연료유</t>
    <phoneticPr fontId="15" type="noConversion"/>
  </si>
  <si>
    <t>-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</si>
  <si>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</si>
  <si>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</si>
  <si>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</si>
  <si>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</si>
  <si>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</si>
  <si>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</si>
  <si>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</si>
  <si>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</si>
  <si>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</si>
  <si>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2020년 에너지생산량(toe)</t>
    <phoneticPr fontId="15" type="noConversion"/>
  </si>
  <si>
    <t>2020년 에너지생산량(toe)</t>
  </si>
  <si>
    <t>2020년 누적 보급용량(㎡)</t>
    <phoneticPr fontId="15" type="noConversion"/>
  </si>
  <si>
    <t>2020년 누적 보급용량(㎡)</t>
  </si>
  <si>
    <t>'20</t>
    <phoneticPr fontId="15" type="noConversion"/>
  </si>
  <si>
    <t>'19</t>
  </si>
  <si>
    <t>'18</t>
  </si>
  <si>
    <t>2020년 용도별 누적 보급용량(㎡)</t>
    <phoneticPr fontId="15" type="noConversion"/>
  </si>
  <si>
    <t>2020년 용도별 누적 보급용량(㎡)</t>
  </si>
  <si>
    <t>2020년 용량별 누적 보급용량(㎡)</t>
    <phoneticPr fontId="15" type="noConversion"/>
  </si>
  <si>
    <t>2020년 용량별 누적 보급용량(㎡)</t>
  </si>
  <si>
    <t>2020년 발전량(MWh)</t>
    <phoneticPr fontId="15" type="noConversion"/>
  </si>
  <si>
    <t>2020년 발전량(MWh)</t>
  </si>
  <si>
    <t>2020년 누적 보급용량(kW)</t>
    <phoneticPr fontId="15" type="noConversion"/>
  </si>
  <si>
    <t>2020년 누적 보급용량(kW)</t>
  </si>
  <si>
    <t>'20</t>
  </si>
  <si>
    <t>2020년 용도별 누적 보급용량(kW)</t>
    <phoneticPr fontId="15" type="noConversion"/>
  </si>
  <si>
    <t>2020년 용도별 누적 보급용량(kW)</t>
  </si>
  <si>
    <t>2020년 용량별 누적 보급용량(kW)</t>
    <phoneticPr fontId="15" type="noConversion"/>
  </si>
  <si>
    <t>2020년 용량별 누적 보급용량(kW)</t>
  </si>
  <si>
    <t>'18</t>
    <phoneticPr fontId="15" type="noConversion"/>
  </si>
  <si>
    <t>2020년 누적 보급용량 - 열(kW)</t>
  </si>
  <si>
    <t>2020년 누적 보급용량 - 열(kW)</t>
    <phoneticPr fontId="15" type="noConversion"/>
  </si>
  <si>
    <t>2020년 누적 보급용량</t>
    <phoneticPr fontId="15" type="noConversion"/>
  </si>
  <si>
    <t>2020년 누적 보급용량</t>
  </si>
  <si>
    <t>2020년 보급용량(㎘/년)</t>
    <phoneticPr fontId="15" type="noConversion"/>
  </si>
  <si>
    <t>2020년 보급용량(톤/년)</t>
    <phoneticPr fontId="15" type="noConversion"/>
  </si>
  <si>
    <t>2020년 보급용량(톤/년)</t>
  </si>
  <si>
    <t>2020년 에너지생산량
(toe)</t>
    <phoneticPr fontId="15" type="noConversion"/>
  </si>
  <si>
    <t>2020년 에너지생산량
(toe)</t>
  </si>
  <si>
    <t>주1) 누적 보급용량은 2020년 기준 가동설비 누적용량임</t>
    <phoneticPr fontId="15" type="noConversion"/>
  </si>
  <si>
    <t>'19</t>
    <phoneticPr fontId="15" type="noConversion"/>
  </si>
  <si>
    <t>https://kosis.kr/statHtml/statHtml.do?orgId=460&amp;tblId=TX_315_2009_H1001&amp;conn_path=I2</t>
    <phoneticPr fontId="8" type="noConversion"/>
  </si>
  <si>
    <t>2020</t>
  </si>
  <si>
    <t>강원특별자치도</t>
  </si>
  <si>
    <t>전북특별자치도</t>
  </si>
  <si>
    <t>4. 원별 세부자료 -  Detailed data by source</t>
  </si>
  <si>
    <t xml:space="preserve">  4.1 태양에너지 - 태양열 - Solar Energy - Solar Thermal</t>
  </si>
  <si>
    <t>Division</t>
  </si>
  <si>
    <t># 도시지역 인구현황 - Urban area population status</t>
  </si>
  <si>
    <t>소재지(시군구)별(1) - By location (city/county/district) (1)</t>
  </si>
  <si>
    <t>전체인구(A) (명) - Total population (A) (persons)</t>
  </si>
  <si>
    <t xml:space="preserve">행정구역기준 (명) - Administrative district standard (person) </t>
  </si>
  <si>
    <t xml:space="preserve">용도지역기준 (명) - Land use criteria (persons) </t>
  </si>
  <si>
    <t>도시지역 인구비율 (%) - Urban area population ratio (%)</t>
  </si>
  <si>
    <t>2020 Energy Production (toe)</t>
  </si>
  <si>
    <t>2020 Cumulative Supply Capacity (㎡)</t>
  </si>
  <si>
    <t>New supply capacity (㎡) in the past 3 years</t>
  </si>
  <si>
    <t>Cumulative supply capacity by purpose in 2020 (㎡)</t>
  </si>
  <si>
    <t>Residential</t>
  </si>
  <si>
    <t>Public Facilities</t>
  </si>
  <si>
    <t>Educational Facilities</t>
  </si>
  <si>
    <t>Social Welfare Facilities</t>
  </si>
  <si>
    <t>Industrial Facilities</t>
  </si>
  <si>
    <t>Commercial Facilities</t>
  </si>
  <si>
    <t>Other</t>
  </si>
  <si>
    <t>Cumulative supply capacity by capacity in 2020 (㎡)</t>
  </si>
  <si>
    <t>Note) The cumulative supply capacity reflects new installations and cancellations each year.</t>
  </si>
  <si>
    <t>4.2 Solar Energy - Solar Power</t>
  </si>
  <si>
    <t xml:space="preserve"> 2020 Power Generation (MWh) </t>
  </si>
  <si>
    <t>2020 Cumulative Supply Capacity (kW)</t>
  </si>
  <si>
    <t>New supply capacity (kW) in the past 3 years</t>
  </si>
  <si>
    <t>Cumulative distribution capacity by purpose in 2020 (kW)</t>
  </si>
  <si>
    <t>For residential use</t>
  </si>
  <si>
    <t>Public facilities</t>
  </si>
  <si>
    <t>Educational facilities</t>
  </si>
  <si>
    <t>Social welfare facilities</t>
  </si>
  <si>
    <t>Industrial facilities</t>
  </si>
  <si>
    <t>Commercial facilities</t>
  </si>
  <si>
    <t>Power generation facilities</t>
  </si>
  <si>
    <t>Cumulative distribution capacity by capacity in 2020 (kW)</t>
  </si>
  <si>
    <t>Note) The cumulative supply capacity reflects new installations, increases/decrease, and cancellations each year.</t>
  </si>
  <si>
    <t>소계 - subtotal</t>
  </si>
  <si>
    <t>도시인구(B) - Urban population (B)</t>
  </si>
  <si>
    <t>비도시인구(C=A-B) - Non-urban population (C=A-B)</t>
  </si>
  <si>
    <t>도시인구(D) - Urban population (D)</t>
  </si>
  <si>
    <t>농촌인구(E=A-D) - Rural population (E=A-D)</t>
  </si>
  <si>
    <t>용도지역 인구기준(B/A*100) - Population standard for land use area (B/A*100)</t>
  </si>
  <si>
    <t>행정구역 인구기준(D/A*100) - 
Administrative district population standard (D/A*100)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</si>
</sst>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* #,##0.00_-;\-* #,##0.00_-;_-* &quot;-&quot;??_-;_-@_-"/>
    <numFmt numFmtId="166" formatCode="0.00_ "/>
    <numFmt numFmtId="167" formatCode="#,##0.00_ "/>
    <numFmt numFmtId="168" formatCode="_(* #,##0_);_(* \(#,##0\);_(* &quot;-&quot;??_);_(@_)"/>
    <numFmt numFmtId="170" formatCode="0.0%"/>
  </numFmts>
  <fonts count="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indexed="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FF0000"/>
      <name val="Calibri"/>
      <family val="3"/>
      <charset val="129"/>
      <scheme val="minor"/>
    </font>
    <font>
      <u/>
      <sz val="11"/>
      <color rgb="FFFF0000"/>
      <name val="Calibri"/>
      <family val="3"/>
      <charset val="129"/>
      <scheme val="minor"/>
    </font>
    <font>
      <sz val="11"/>
      <color theme="1" tint="4.9989318521683403E-2"/>
      <name val="Calibri"/>
      <family val="3"/>
      <charset val="129"/>
      <scheme val="minor"/>
    </font>
    <font>
      <sz val="10"/>
      <color theme="1" tint="4.9989318521683403E-2"/>
      <name val="Calibri"/>
      <family val="3"/>
      <charset val="129"/>
      <scheme val="minor"/>
    </font>
    <font>
      <sz val="10"/>
      <color rgb="FF000000"/>
      <name val="돋움"/>
      <family val="3"/>
      <charset val="129"/>
    </font>
    <font>
      <b/>
      <sz val="16"/>
      <color rgb="FFFF0000"/>
      <name val="Calibri"/>
      <family val="3"/>
      <charset val="129"/>
      <scheme val="minor"/>
    </font>
    <font>
      <b/>
      <sz val="11"/>
      <color rgb="FF000000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sz val="17"/>
      <color rgb="FF1F1F1F"/>
      <name val="Inherit"/>
    </font>
    <font>
      <sz val="17"/>
      <color rgb="FF1F1F1F"/>
      <name val="Roboto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FAFA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thin">
        <color indexed="64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indexed="64"/>
      </left>
      <right style="hair">
        <color theme="0" tint="-0.499984740745262"/>
      </right>
      <top/>
      <bottom/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/>
      <right style="thin">
        <color indexed="64"/>
      </right>
      <top/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 style="hair">
        <color rgb="FF000000"/>
      </left>
      <right style="thin">
        <color theme="1" tint="0.34998626667073579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hair">
        <color indexed="64"/>
      </left>
      <right style="hair">
        <color indexed="64"/>
      </right>
      <top/>
      <bottom style="medium">
        <color theme="1" tint="0.34998626667073579"/>
      </bottom>
      <diagonal/>
    </border>
    <border>
      <left style="hair">
        <color indexed="64"/>
      </left>
      <right/>
      <top/>
      <bottom style="medium">
        <color theme="1" tint="0.34998626667073579"/>
      </bottom>
      <diagonal/>
    </border>
    <border>
      <left style="hair">
        <color indexed="64"/>
      </left>
      <right style="thin">
        <color theme="1" tint="0.34998626667073579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 style="thin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 style="hair">
        <color indexed="64"/>
      </left>
      <right style="hair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hair">
        <color indexed="64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/>
      <right style="hair">
        <color indexed="64"/>
      </right>
      <top/>
      <bottom style="medium">
        <color theme="1" tint="0.34998626667073579"/>
      </bottom>
      <diagonal/>
    </border>
    <border>
      <left/>
      <right style="hair">
        <color indexed="64"/>
      </right>
      <top/>
      <bottom/>
      <diagonal/>
    </border>
    <border>
      <left style="hair">
        <color theme="1" tint="0.34998626667073579"/>
      </left>
      <right style="thin">
        <color indexed="64"/>
      </right>
      <top/>
      <bottom/>
      <diagonal/>
    </border>
    <border>
      <left/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indexed="64"/>
      </right>
      <top/>
      <bottom/>
      <diagonal/>
    </border>
    <border>
      <left style="hair">
        <color indexed="64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indexed="64"/>
      </right>
      <top style="thin">
        <color theme="1" tint="0.34998626667073579"/>
      </top>
      <bottom/>
      <diagonal/>
    </border>
    <border>
      <left/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indexed="64"/>
      </right>
      <top/>
      <bottom style="thin">
        <color theme="1" tint="0.34998626667073579"/>
      </bottom>
      <diagonal/>
    </border>
    <border>
      <left/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indexed="64"/>
      </right>
      <top style="medium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hair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6" fillId="0" borderId="5" applyNumberFormat="0" applyProtection="0">
      <alignment horizontal="left" wrapText="1"/>
    </xf>
    <xf numFmtId="164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3" fillId="0" borderId="0" applyNumberFormat="0" applyFill="0" applyBorder="0" applyAlignment="0" applyProtection="0"/>
    <xf numFmtId="0" fontId="25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33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64" fontId="0" fillId="0" borderId="0" xfId="0" applyNumberFormat="1" applyAlignment="1">
      <alignment vertical="center"/>
    </xf>
    <xf numFmtId="164" fontId="14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5" borderId="16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13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4" fontId="19" fillId="0" borderId="0" xfId="9" applyFont="1">
      <alignment vertical="center"/>
    </xf>
    <xf numFmtId="164" fontId="19" fillId="0" borderId="6" xfId="9" applyFont="1" applyBorder="1">
      <alignment vertical="center"/>
    </xf>
    <xf numFmtId="164" fontId="18" fillId="0" borderId="6" xfId="9" applyFont="1" applyBorder="1">
      <alignment vertical="center"/>
    </xf>
    <xf numFmtId="0" fontId="20" fillId="0" borderId="0" xfId="0" applyFont="1" applyAlignment="1">
      <alignment vertical="center"/>
    </xf>
    <xf numFmtId="0" fontId="0" fillId="0" borderId="6" xfId="0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13" fillId="0" borderId="6" xfId="0" applyFont="1" applyBorder="1" applyAlignment="1">
      <alignment horizontal="right" vertical="center"/>
    </xf>
    <xf numFmtId="0" fontId="14" fillId="5" borderId="45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4" fillId="5" borderId="59" xfId="0" applyFont="1" applyFill="1" applyBorder="1" applyAlignment="1">
      <alignment horizontal="center" vertical="center" wrapText="1"/>
    </xf>
    <xf numFmtId="0" fontId="14" fillId="5" borderId="6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0" xfId="0" applyFont="1"/>
    <xf numFmtId="0" fontId="0" fillId="9" borderId="0" xfId="0" applyFill="1"/>
    <xf numFmtId="0" fontId="0" fillId="10" borderId="0" xfId="0" applyFill="1"/>
    <xf numFmtId="0" fontId="21" fillId="4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0" fillId="4" borderId="0" xfId="0" applyFill="1" applyAlignment="1">
      <alignment horizontal="center"/>
    </xf>
    <xf numFmtId="11" fontId="0" fillId="0" borderId="0" xfId="0" applyNumberFormat="1"/>
    <xf numFmtId="164" fontId="0" fillId="0" borderId="0" xfId="0" applyNumberFormat="1"/>
    <xf numFmtId="0" fontId="22" fillId="0" borderId="0" xfId="0" applyFont="1" applyAlignment="1">
      <alignment vertical="center"/>
    </xf>
    <xf numFmtId="0" fontId="0" fillId="3" borderId="0" xfId="0" applyFill="1" applyAlignment="1">
      <alignment horizontal="center"/>
    </xf>
    <xf numFmtId="0" fontId="0" fillId="10" borderId="0" xfId="0" applyFill="1" applyAlignment="1">
      <alignment horizontal="center"/>
    </xf>
    <xf numFmtId="167" fontId="0" fillId="0" borderId="0" xfId="0" applyNumberFormat="1"/>
    <xf numFmtId="0" fontId="23" fillId="0" borderId="0" xfId="11"/>
    <xf numFmtId="0" fontId="19" fillId="0" borderId="0" xfId="0" applyFont="1" applyAlignment="1">
      <alignment horizontal="left"/>
    </xf>
    <xf numFmtId="0" fontId="0" fillId="0" borderId="0" xfId="0" applyAlignment="1">
      <alignment horizontal="center"/>
    </xf>
    <xf numFmtId="168" fontId="0" fillId="0" borderId="0" xfId="0" applyNumberFormat="1"/>
    <xf numFmtId="0" fontId="13" fillId="0" borderId="0" xfId="0" applyFont="1" applyAlignment="1">
      <alignment horizontal="left"/>
    </xf>
    <xf numFmtId="0" fontId="24" fillId="0" borderId="0" xfId="0" applyFont="1"/>
    <xf numFmtId="11" fontId="24" fillId="0" borderId="0" xfId="0" applyNumberFormat="1" applyFont="1"/>
    <xf numFmtId="0" fontId="18" fillId="0" borderId="0" xfId="0" applyFont="1"/>
    <xf numFmtId="0" fontId="26" fillId="0" borderId="0" xfId="12" applyFont="1" applyAlignment="1">
      <alignment horizontal="center" vertical="center"/>
    </xf>
    <xf numFmtId="0" fontId="19" fillId="0" borderId="0" xfId="0" applyFont="1"/>
    <xf numFmtId="0" fontId="0" fillId="6" borderId="0" xfId="0" applyFill="1"/>
    <xf numFmtId="166" fontId="0" fillId="6" borderId="0" xfId="0" applyNumberFormat="1" applyFill="1"/>
    <xf numFmtId="166" fontId="0" fillId="0" borderId="0" xfId="0" applyNumberFormat="1"/>
    <xf numFmtId="0" fontId="0" fillId="3" borderId="63" xfId="0" applyFill="1" applyBorder="1"/>
    <xf numFmtId="0" fontId="2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13" borderId="64" xfId="10" applyFill="1" applyBorder="1" applyAlignment="1"/>
    <xf numFmtId="0" fontId="10" fillId="14" borderId="0" xfId="10" applyFill="1" applyAlignment="1"/>
    <xf numFmtId="165" fontId="0" fillId="0" borderId="0" xfId="0" applyNumberFormat="1"/>
    <xf numFmtId="0" fontId="24" fillId="0" borderId="0" xfId="0" applyFont="1" applyAlignment="1">
      <alignment horizontal="left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164" fontId="29" fillId="0" borderId="0" xfId="0" applyNumberFormat="1" applyFont="1" applyAlignment="1">
      <alignment horizontal="right" vertical="center"/>
    </xf>
    <xf numFmtId="164" fontId="29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11" applyFont="1"/>
    <xf numFmtId="38" fontId="29" fillId="0" borderId="0" xfId="0" applyNumberFormat="1" applyFont="1" applyAlignment="1">
      <alignment horizontal="right" vertical="center"/>
    </xf>
    <xf numFmtId="38" fontId="30" fillId="0" borderId="0" xfId="0" applyNumberFormat="1" applyFont="1" applyAlignment="1">
      <alignment vertical="center"/>
    </xf>
    <xf numFmtId="164" fontId="29" fillId="0" borderId="0" xfId="9" applyFont="1" applyBorder="1" applyAlignment="1">
      <alignment horizontal="right" vertical="center"/>
    </xf>
    <xf numFmtId="0" fontId="29" fillId="0" borderId="2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64" fontId="29" fillId="0" borderId="20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5" borderId="25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164" fontId="13" fillId="4" borderId="12" xfId="0" applyNumberFormat="1" applyFont="1" applyFill="1" applyBorder="1" applyAlignment="1">
      <alignment horizontal="right" vertical="center"/>
    </xf>
    <xf numFmtId="164" fontId="13" fillId="4" borderId="11" xfId="0" applyNumberFormat="1" applyFont="1" applyFill="1" applyBorder="1" applyAlignment="1">
      <alignment horizontal="right" vertical="center"/>
    </xf>
    <xf numFmtId="164" fontId="13" fillId="4" borderId="11" xfId="0" applyNumberFormat="1" applyFont="1" applyFill="1" applyBorder="1" applyAlignment="1">
      <alignment vertical="center"/>
    </xf>
    <xf numFmtId="164" fontId="13" fillId="4" borderId="10" xfId="0" applyNumberFormat="1" applyFont="1" applyFill="1" applyBorder="1" applyAlignment="1">
      <alignment vertical="center"/>
    </xf>
    <xf numFmtId="0" fontId="14" fillId="0" borderId="0" xfId="0" applyFont="1" applyAlignment="1">
      <alignment horizontal="left" vertical="center"/>
    </xf>
    <xf numFmtId="164" fontId="18" fillId="0" borderId="12" xfId="0" applyNumberFormat="1" applyFont="1" applyBorder="1" applyAlignment="1">
      <alignment horizontal="right" vertical="center"/>
    </xf>
    <xf numFmtId="164" fontId="18" fillId="0" borderId="11" xfId="0" applyNumberFormat="1" applyFont="1" applyBorder="1" applyAlignment="1">
      <alignment horizontal="right" vertical="center"/>
    </xf>
    <xf numFmtId="164" fontId="18" fillId="0" borderId="11" xfId="0" applyNumberFormat="1" applyFont="1" applyBorder="1" applyAlignment="1">
      <alignment vertical="center"/>
    </xf>
    <xf numFmtId="164" fontId="18" fillId="0" borderId="10" xfId="0" applyNumberFormat="1" applyFont="1" applyBorder="1" applyAlignment="1">
      <alignment vertical="center"/>
    </xf>
    <xf numFmtId="0" fontId="14" fillId="4" borderId="0" xfId="0" applyFont="1" applyFill="1" applyAlignment="1">
      <alignment horizontal="left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1" xfId="0" applyNumberFormat="1" applyFill="1" applyBorder="1" applyAlignment="1">
      <alignment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0" xfId="0" applyNumberFormat="1" applyFill="1" applyBorder="1" applyAlignment="1">
      <alignment horizontal="right" vertical="center"/>
    </xf>
    <xf numFmtId="0" fontId="13" fillId="0" borderId="0" xfId="0" quotePrefix="1" applyFont="1" applyAlignment="1">
      <alignment horizontal="left" vertical="center"/>
    </xf>
    <xf numFmtId="164" fontId="13" fillId="0" borderId="12" xfId="0" applyNumberFormat="1" applyFont="1" applyBorder="1" applyAlignment="1">
      <alignment horizontal="right" vertical="center"/>
    </xf>
    <xf numFmtId="164" fontId="13" fillId="0" borderId="11" xfId="0" applyNumberFormat="1" applyFont="1" applyBorder="1" applyAlignment="1">
      <alignment horizontal="right" vertical="center"/>
    </xf>
    <xf numFmtId="164" fontId="13" fillId="0" borderId="0" xfId="9" applyFont="1" applyFill="1" applyBorder="1">
      <alignment vertical="center"/>
    </xf>
    <xf numFmtId="164" fontId="13" fillId="0" borderId="11" xfId="9" applyFont="1" applyFill="1" applyBorder="1" applyAlignment="1">
      <alignment horizontal="right" vertical="center"/>
    </xf>
    <xf numFmtId="164" fontId="13" fillId="0" borderId="11" xfId="0" applyNumberFormat="1" applyFont="1" applyBorder="1" applyAlignment="1">
      <alignment vertical="center"/>
    </xf>
    <xf numFmtId="164" fontId="13" fillId="0" borderId="10" xfId="0" applyNumberFormat="1" applyFont="1" applyBorder="1" applyAlignment="1">
      <alignment vertical="center"/>
    </xf>
    <xf numFmtId="0" fontId="14" fillId="0" borderId="0" xfId="0" quotePrefix="1" applyFont="1" applyAlignment="1">
      <alignment horizontal="left" vertical="center"/>
    </xf>
    <xf numFmtId="164" fontId="0" fillId="0" borderId="11" xfId="0" applyNumberFormat="1" applyBorder="1" applyAlignment="1">
      <alignment horizontal="right" vertical="center"/>
    </xf>
    <xf numFmtId="164" fontId="0" fillId="0" borderId="0" xfId="9" applyFont="1" applyFill="1" applyBorder="1">
      <alignment vertical="center"/>
    </xf>
    <xf numFmtId="164" fontId="0" fillId="0" borderId="11" xfId="9" applyFont="1" applyFill="1" applyBorder="1" applyAlignment="1">
      <alignment horizontal="right" vertical="center"/>
    </xf>
    <xf numFmtId="164" fontId="0" fillId="0" borderId="11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64" fontId="0" fillId="0" borderId="12" xfId="0" applyNumberFormat="1" applyBorder="1" applyAlignment="1">
      <alignment horizontal="right" vertical="center"/>
    </xf>
    <xf numFmtId="0" fontId="13" fillId="0" borderId="0" xfId="0" applyFont="1" applyAlignment="1">
      <alignment horizontal="justify" vertical="center"/>
    </xf>
    <xf numFmtId="164" fontId="13" fillId="0" borderId="11" xfId="9" applyFont="1" applyBorder="1" applyAlignment="1">
      <alignment horizontal="right" vertical="center"/>
    </xf>
    <xf numFmtId="0" fontId="13" fillId="0" borderId="6" xfId="0" applyFont="1" applyBorder="1" applyAlignment="1">
      <alignment horizontal="left" vertical="center"/>
    </xf>
    <xf numFmtId="164" fontId="13" fillId="0" borderId="9" xfId="0" applyNumberFormat="1" applyFont="1" applyBorder="1" applyAlignment="1">
      <alignment horizontal="right" vertical="center"/>
    </xf>
    <xf numFmtId="164" fontId="13" fillId="0" borderId="8" xfId="0" applyNumberFormat="1" applyFont="1" applyBorder="1" applyAlignment="1">
      <alignment horizontal="right" vertical="center"/>
    </xf>
    <xf numFmtId="164" fontId="13" fillId="0" borderId="8" xfId="0" applyNumberFormat="1" applyFont="1" applyBorder="1" applyAlignment="1">
      <alignment vertical="center"/>
    </xf>
    <xf numFmtId="164" fontId="13" fillId="0" borderId="7" xfId="0" applyNumberFormat="1" applyFont="1" applyBorder="1" applyAlignment="1">
      <alignment vertical="center"/>
    </xf>
    <xf numFmtId="0" fontId="33" fillId="5" borderId="62" xfId="0" applyFont="1" applyFill="1" applyBorder="1" applyAlignment="1">
      <alignment horizontal="center" vertical="center" wrapText="1"/>
    </xf>
    <xf numFmtId="0" fontId="33" fillId="5" borderId="47" xfId="0" applyFont="1" applyFill="1" applyBorder="1" applyAlignment="1">
      <alignment horizontal="center" vertical="center" wrapText="1"/>
    </xf>
    <xf numFmtId="0" fontId="33" fillId="5" borderId="61" xfId="0" applyFont="1" applyFill="1" applyBorder="1" applyAlignment="1">
      <alignment horizontal="center" vertical="center" wrapText="1"/>
    </xf>
    <xf numFmtId="164" fontId="13" fillId="4" borderId="56" xfId="0" applyNumberFormat="1" applyFont="1" applyFill="1" applyBorder="1" applyAlignment="1">
      <alignment horizontal="right" vertical="center"/>
    </xf>
    <xf numFmtId="164" fontId="13" fillId="4" borderId="38" xfId="0" applyNumberFormat="1" applyFont="1" applyFill="1" applyBorder="1" applyAlignment="1">
      <alignment horizontal="right" vertical="center"/>
    </xf>
    <xf numFmtId="164" fontId="13" fillId="4" borderId="55" xfId="0" applyNumberFormat="1" applyFont="1" applyFill="1" applyBorder="1" applyAlignment="1">
      <alignment horizontal="right" vertical="center"/>
    </xf>
    <xf numFmtId="164" fontId="13" fillId="4" borderId="58" xfId="0" applyNumberFormat="1" applyFont="1" applyFill="1" applyBorder="1" applyAlignment="1">
      <alignment vertical="center"/>
    </xf>
    <xf numFmtId="164" fontId="13" fillId="4" borderId="55" xfId="0" applyNumberFormat="1" applyFont="1" applyFill="1" applyBorder="1" applyAlignment="1">
      <alignment vertical="center"/>
    </xf>
    <xf numFmtId="164" fontId="13" fillId="4" borderId="13" xfId="0" applyNumberFormat="1" applyFont="1" applyFill="1" applyBorder="1" applyAlignment="1">
      <alignment vertical="center"/>
    </xf>
    <xf numFmtId="0" fontId="13" fillId="4" borderId="68" xfId="0" applyFont="1" applyFill="1" applyBorder="1" applyAlignment="1">
      <alignment horizontal="left" vertical="center"/>
    </xf>
    <xf numFmtId="164" fontId="13" fillId="4" borderId="57" xfId="0" applyNumberFormat="1" applyFont="1" applyFill="1" applyBorder="1" applyAlignment="1">
      <alignment horizontal="right" vertical="center"/>
    </xf>
    <xf numFmtId="164" fontId="13" fillId="4" borderId="56" xfId="0" applyNumberFormat="1" applyFont="1" applyFill="1" applyBorder="1" applyAlignment="1">
      <alignment vertical="center"/>
    </xf>
    <xf numFmtId="164" fontId="13" fillId="4" borderId="38" xfId="0" applyNumberFormat="1" applyFont="1" applyFill="1" applyBorder="1" applyAlignment="1">
      <alignment vertical="center"/>
    </xf>
    <xf numFmtId="164" fontId="13" fillId="4" borderId="53" xfId="0" applyNumberFormat="1" applyFont="1" applyFill="1" applyBorder="1" applyAlignment="1">
      <alignment vertical="center"/>
    </xf>
    <xf numFmtId="164" fontId="13" fillId="4" borderId="0" xfId="0" applyNumberFormat="1" applyFont="1" applyFill="1" applyAlignment="1">
      <alignment vertical="center"/>
    </xf>
    <xf numFmtId="0" fontId="13" fillId="4" borderId="66" xfId="0" applyFont="1" applyFill="1" applyBorder="1" applyAlignment="1">
      <alignment horizontal="left" vertical="center"/>
    </xf>
    <xf numFmtId="164" fontId="13" fillId="4" borderId="56" xfId="9" applyFont="1" applyFill="1" applyBorder="1">
      <alignment vertical="center"/>
    </xf>
    <xf numFmtId="164" fontId="13" fillId="4" borderId="38" xfId="9" applyFont="1" applyFill="1" applyBorder="1">
      <alignment vertical="center"/>
    </xf>
    <xf numFmtId="164" fontId="13" fillId="4" borderId="53" xfId="9" applyFont="1" applyFill="1" applyBorder="1" applyAlignment="1">
      <alignment horizontal="right" vertical="center"/>
    </xf>
    <xf numFmtId="164" fontId="13" fillId="4" borderId="38" xfId="9" applyFont="1" applyFill="1" applyBorder="1" applyAlignment="1">
      <alignment horizontal="right" vertical="center"/>
    </xf>
    <xf numFmtId="164" fontId="13" fillId="4" borderId="0" xfId="9" applyFont="1" applyFill="1" applyBorder="1" applyAlignment="1">
      <alignment horizontal="right" vertical="center"/>
    </xf>
    <xf numFmtId="164" fontId="13" fillId="0" borderId="56" xfId="9" applyFont="1" applyFill="1" applyBorder="1">
      <alignment vertical="center"/>
    </xf>
    <xf numFmtId="164" fontId="13" fillId="0" borderId="38" xfId="9" applyFont="1" applyFill="1" applyBorder="1">
      <alignment vertical="center"/>
    </xf>
    <xf numFmtId="164" fontId="13" fillId="0" borderId="53" xfId="9" applyFont="1" applyFill="1" applyBorder="1" applyAlignment="1">
      <alignment horizontal="right" vertical="center"/>
    </xf>
    <xf numFmtId="164" fontId="13" fillId="0" borderId="38" xfId="9" applyFont="1" applyFill="1" applyBorder="1" applyAlignment="1">
      <alignment horizontal="right" vertical="center"/>
    </xf>
    <xf numFmtId="164" fontId="13" fillId="0" borderId="0" xfId="9" applyFont="1" applyFill="1" applyBorder="1" applyAlignment="1">
      <alignment horizontal="right" vertical="center"/>
    </xf>
    <xf numFmtId="0" fontId="13" fillId="0" borderId="66" xfId="0" applyFont="1" applyBorder="1" applyAlignment="1">
      <alignment horizontal="left" vertical="center"/>
    </xf>
    <xf numFmtId="164" fontId="13" fillId="4" borderId="12" xfId="9" applyFont="1" applyFill="1" applyBorder="1" applyAlignment="1">
      <alignment horizontal="right" vertical="center"/>
    </xf>
    <xf numFmtId="0" fontId="13" fillId="4" borderId="56" xfId="0" applyFont="1" applyFill="1" applyBorder="1" applyAlignment="1">
      <alignment vertical="center"/>
    </xf>
    <xf numFmtId="0" fontId="13" fillId="4" borderId="38" xfId="0" applyFont="1" applyFill="1" applyBorder="1" applyAlignment="1">
      <alignment vertical="center"/>
    </xf>
    <xf numFmtId="0" fontId="13" fillId="4" borderId="53" xfId="0" applyFont="1" applyFill="1" applyBorder="1" applyAlignment="1">
      <alignment vertical="center"/>
    </xf>
    <xf numFmtId="164" fontId="13" fillId="0" borderId="56" xfId="0" applyNumberFormat="1" applyFont="1" applyBorder="1" applyAlignment="1">
      <alignment horizontal="right" vertical="center"/>
    </xf>
    <xf numFmtId="164" fontId="13" fillId="0" borderId="38" xfId="0" applyNumberFormat="1" applyFont="1" applyBorder="1" applyAlignment="1">
      <alignment horizontal="right" vertical="center"/>
    </xf>
    <xf numFmtId="164" fontId="13" fillId="0" borderId="53" xfId="0" applyNumberFormat="1" applyFont="1" applyBorder="1" applyAlignment="1">
      <alignment horizontal="right" vertical="center"/>
    </xf>
    <xf numFmtId="164" fontId="13" fillId="0" borderId="53" xfId="0" applyNumberFormat="1" applyFont="1" applyBorder="1" applyAlignment="1">
      <alignment vertical="center"/>
    </xf>
    <xf numFmtId="164" fontId="13" fillId="0" borderId="38" xfId="0" applyNumberFormat="1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164" fontId="0" fillId="0" borderId="56" xfId="0" applyNumberFormat="1" applyBorder="1" applyAlignment="1">
      <alignment horizontal="right" vertical="center"/>
    </xf>
    <xf numFmtId="164" fontId="0" fillId="0" borderId="38" xfId="0" applyNumberFormat="1" applyBorder="1" applyAlignment="1">
      <alignment horizontal="right" vertical="center"/>
    </xf>
    <xf numFmtId="164" fontId="0" fillId="0" borderId="53" xfId="0" applyNumberFormat="1" applyBorder="1" applyAlignment="1">
      <alignment horizontal="right" vertical="center"/>
    </xf>
    <xf numFmtId="164" fontId="0" fillId="0" borderId="53" xfId="0" applyNumberFormat="1" applyBorder="1" applyAlignment="1">
      <alignment vertical="center"/>
    </xf>
    <xf numFmtId="164" fontId="0" fillId="0" borderId="38" xfId="0" applyNumberFormat="1" applyBorder="1" applyAlignment="1">
      <alignment vertical="center"/>
    </xf>
    <xf numFmtId="164" fontId="0" fillId="0" borderId="55" xfId="0" applyNumberFormat="1" applyBorder="1" applyAlignment="1">
      <alignment vertical="center"/>
    </xf>
    <xf numFmtId="164" fontId="0" fillId="0" borderId="56" xfId="0" applyNumberFormat="1" applyBorder="1" applyAlignment="1">
      <alignment vertical="center"/>
    </xf>
    <xf numFmtId="164" fontId="13" fillId="0" borderId="57" xfId="0" applyNumberFormat="1" applyFont="1" applyBorder="1" applyAlignment="1">
      <alignment horizontal="right" vertical="center"/>
    </xf>
    <xf numFmtId="164" fontId="13" fillId="0" borderId="55" xfId="0" applyNumberFormat="1" applyFont="1" applyBorder="1" applyAlignment="1">
      <alignment horizontal="right" vertical="center"/>
    </xf>
    <xf numFmtId="164" fontId="13" fillId="0" borderId="56" xfId="0" applyNumberFormat="1" applyFont="1" applyBorder="1" applyAlignment="1">
      <alignment vertical="center"/>
    </xf>
    <xf numFmtId="164" fontId="13" fillId="0" borderId="55" xfId="0" applyNumberFormat="1" applyFont="1" applyBorder="1" applyAlignment="1">
      <alignment vertical="center"/>
    </xf>
    <xf numFmtId="0" fontId="13" fillId="0" borderId="66" xfId="0" applyFont="1" applyBorder="1" applyAlignment="1">
      <alignment vertical="center"/>
    </xf>
    <xf numFmtId="164" fontId="13" fillId="0" borderId="13" xfId="0" applyNumberFormat="1" applyFont="1" applyBorder="1" applyAlignment="1">
      <alignment vertical="center"/>
    </xf>
    <xf numFmtId="164" fontId="13" fillId="0" borderId="13" xfId="0" applyNumberFormat="1" applyFont="1" applyBorder="1" applyAlignment="1">
      <alignment horizontal="right" vertical="center"/>
    </xf>
    <xf numFmtId="164" fontId="13" fillId="4" borderId="37" xfId="0" applyNumberFormat="1" applyFont="1" applyFill="1" applyBorder="1" applyAlignment="1">
      <alignment horizontal="right" vertical="center"/>
    </xf>
    <xf numFmtId="164" fontId="13" fillId="0" borderId="0" xfId="9" applyFont="1">
      <alignment vertical="center"/>
    </xf>
    <xf numFmtId="164" fontId="13" fillId="0" borderId="54" xfId="0" applyNumberFormat="1" applyFont="1" applyBorder="1" applyAlignment="1">
      <alignment vertical="center"/>
    </xf>
    <xf numFmtId="164" fontId="13" fillId="0" borderId="54" xfId="0" applyNumberFormat="1" applyFont="1" applyBorder="1" applyAlignment="1">
      <alignment horizontal="right" vertical="center"/>
    </xf>
    <xf numFmtId="164" fontId="13" fillId="0" borderId="10" xfId="0" applyNumberFormat="1" applyFont="1" applyBorder="1" applyAlignment="1">
      <alignment horizontal="right" vertical="center"/>
    </xf>
    <xf numFmtId="164" fontId="13" fillId="4" borderId="40" xfId="0" applyNumberFormat="1" applyFont="1" applyFill="1" applyBorder="1" applyAlignment="1">
      <alignment horizontal="right" vertical="center"/>
    </xf>
    <xf numFmtId="164" fontId="13" fillId="4" borderId="53" xfId="0" applyNumberFormat="1" applyFont="1" applyFill="1" applyBorder="1" applyAlignment="1">
      <alignment horizontal="right" vertical="center"/>
    </xf>
    <xf numFmtId="164" fontId="13" fillId="4" borderId="36" xfId="0" applyNumberFormat="1" applyFont="1" applyFill="1" applyBorder="1" applyAlignment="1">
      <alignment vertical="center"/>
    </xf>
    <xf numFmtId="164" fontId="13" fillId="4" borderId="35" xfId="0" applyNumberFormat="1" applyFont="1" applyFill="1" applyBorder="1" applyAlignment="1">
      <alignment vertical="center"/>
    </xf>
    <xf numFmtId="164" fontId="13" fillId="0" borderId="40" xfId="0" applyNumberFormat="1" applyFont="1" applyBorder="1" applyAlignment="1">
      <alignment horizontal="right" vertical="center"/>
    </xf>
    <xf numFmtId="164" fontId="13" fillId="0" borderId="37" xfId="0" applyNumberFormat="1" applyFont="1" applyBorder="1" applyAlignment="1">
      <alignment horizontal="right" vertical="center"/>
    </xf>
    <xf numFmtId="164" fontId="13" fillId="0" borderId="36" xfId="0" applyNumberFormat="1" applyFont="1" applyBorder="1" applyAlignment="1">
      <alignment vertical="center"/>
    </xf>
    <xf numFmtId="164" fontId="13" fillId="0" borderId="35" xfId="0" applyNumberFormat="1" applyFont="1" applyBorder="1" applyAlignment="1">
      <alignment vertical="center"/>
    </xf>
    <xf numFmtId="164" fontId="0" fillId="4" borderId="40" xfId="0" applyNumberFormat="1" applyFill="1" applyBorder="1" applyAlignment="1">
      <alignment horizontal="right" vertical="center"/>
    </xf>
    <xf numFmtId="164" fontId="0" fillId="4" borderId="38" xfId="0" applyNumberFormat="1" applyFill="1" applyBorder="1" applyAlignment="1">
      <alignment vertical="center"/>
    </xf>
    <xf numFmtId="164" fontId="0" fillId="4" borderId="53" xfId="0" applyNumberFormat="1" applyFill="1" applyBorder="1" applyAlignment="1">
      <alignment horizontal="right" vertical="center"/>
    </xf>
    <xf numFmtId="164" fontId="0" fillId="4" borderId="38" xfId="0" applyNumberFormat="1" applyFill="1" applyBorder="1" applyAlignment="1">
      <alignment horizontal="right" vertical="center"/>
    </xf>
    <xf numFmtId="164" fontId="0" fillId="4" borderId="37" xfId="0" applyNumberFormat="1" applyFill="1" applyBorder="1" applyAlignment="1">
      <alignment horizontal="right" vertical="center"/>
    </xf>
    <xf numFmtId="164" fontId="0" fillId="4" borderId="36" xfId="0" applyNumberFormat="1" applyFill="1" applyBorder="1" applyAlignment="1">
      <alignment horizontal="right" vertical="center"/>
    </xf>
    <xf numFmtId="164" fontId="0" fillId="4" borderId="35" xfId="0" applyNumberFormat="1" applyFill="1" applyBorder="1" applyAlignment="1">
      <alignment horizontal="right" vertical="center"/>
    </xf>
    <xf numFmtId="164" fontId="13" fillId="0" borderId="44" xfId="0" applyNumberFormat="1" applyFont="1" applyBorder="1" applyAlignment="1">
      <alignment vertical="center"/>
    </xf>
    <xf numFmtId="164" fontId="13" fillId="4" borderId="44" xfId="0" applyNumberFormat="1" applyFont="1" applyFill="1" applyBorder="1" applyAlignment="1">
      <alignment vertical="center"/>
    </xf>
    <xf numFmtId="164" fontId="13" fillId="0" borderId="44" xfId="0" applyNumberFormat="1" applyFont="1" applyBorder="1" applyAlignment="1">
      <alignment horizontal="right" vertical="center"/>
    </xf>
    <xf numFmtId="164" fontId="13" fillId="0" borderId="39" xfId="0" applyNumberFormat="1" applyFont="1" applyBorder="1" applyAlignment="1">
      <alignment horizontal="right" vertical="center"/>
    </xf>
    <xf numFmtId="164" fontId="13" fillId="0" borderId="42" xfId="0" applyNumberFormat="1" applyFont="1" applyBorder="1" applyAlignment="1">
      <alignment horizontal="right" vertical="center"/>
    </xf>
    <xf numFmtId="164" fontId="13" fillId="0" borderId="52" xfId="0" applyNumberFormat="1" applyFont="1" applyBorder="1" applyAlignment="1">
      <alignment horizontal="right" vertical="center"/>
    </xf>
    <xf numFmtId="164" fontId="13" fillId="0" borderId="42" xfId="0" applyNumberFormat="1" applyFont="1" applyBorder="1" applyAlignment="1">
      <alignment vertical="center"/>
    </xf>
    <xf numFmtId="164" fontId="13" fillId="0" borderId="41" xfId="0" applyNumberFormat="1" applyFont="1" applyBorder="1" applyAlignment="1">
      <alignment vertical="center"/>
    </xf>
    <xf numFmtId="0" fontId="14" fillId="0" borderId="6" xfId="0" applyFont="1" applyBorder="1" applyAlignment="1">
      <alignment horizontal="left" vertical="center"/>
    </xf>
    <xf numFmtId="164" fontId="13" fillId="4" borderId="27" xfId="0" applyNumberFormat="1" applyFont="1" applyFill="1" applyBorder="1" applyAlignment="1">
      <alignment horizontal="right" vertical="center"/>
    </xf>
    <xf numFmtId="164" fontId="13" fillId="4" borderId="26" xfId="0" applyNumberFormat="1" applyFont="1" applyFill="1" applyBorder="1" applyAlignment="1">
      <alignment horizontal="right" vertical="center"/>
    </xf>
    <xf numFmtId="164" fontId="13" fillId="0" borderId="10" xfId="9" applyFont="1" applyBorder="1" applyAlignment="1">
      <alignment horizontal="right" vertical="center"/>
    </xf>
    <xf numFmtId="164" fontId="13" fillId="0" borderId="9" xfId="9" applyFont="1" applyBorder="1" applyAlignment="1">
      <alignment horizontal="right" vertical="center"/>
    </xf>
    <xf numFmtId="164" fontId="13" fillId="0" borderId="8" xfId="9" applyFont="1" applyBorder="1" applyAlignment="1">
      <alignment horizontal="right" vertical="center"/>
    </xf>
    <xf numFmtId="164" fontId="13" fillId="0" borderId="7" xfId="9" applyFont="1" applyBorder="1" applyAlignment="1">
      <alignment horizontal="right" vertical="center"/>
    </xf>
    <xf numFmtId="0" fontId="13" fillId="4" borderId="31" xfId="0" applyFont="1" applyFill="1" applyBorder="1" applyAlignment="1">
      <alignment vertical="center"/>
    </xf>
    <xf numFmtId="164" fontId="13" fillId="4" borderId="13" xfId="0" applyNumberFormat="1" applyFont="1" applyFill="1" applyBorder="1" applyAlignment="1">
      <alignment horizontal="right" vertical="center"/>
    </xf>
    <xf numFmtId="164" fontId="13" fillId="0" borderId="67" xfId="9" applyFont="1" applyBorder="1" applyAlignment="1">
      <alignment horizontal="right" vertical="center"/>
    </xf>
    <xf numFmtId="0" fontId="13" fillId="0" borderId="29" xfId="0" applyFont="1" applyBorder="1" applyAlignment="1">
      <alignment horizontal="left" vertical="center"/>
    </xf>
    <xf numFmtId="0" fontId="14" fillId="5" borderId="11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left" vertical="center"/>
    </xf>
    <xf numFmtId="164" fontId="13" fillId="4" borderId="51" xfId="0" applyNumberFormat="1" applyFont="1" applyFill="1" applyBorder="1" applyAlignment="1">
      <alignment horizontal="right" vertical="center"/>
    </xf>
    <xf numFmtId="164" fontId="13" fillId="4" borderId="50" xfId="0" applyNumberFormat="1" applyFont="1" applyFill="1" applyBorder="1" applyAlignment="1">
      <alignment horizontal="right" vertical="center"/>
    </xf>
    <xf numFmtId="164" fontId="13" fillId="4" borderId="50" xfId="0" applyNumberFormat="1" applyFont="1" applyFill="1" applyBorder="1" applyAlignment="1">
      <alignment vertical="center"/>
    </xf>
    <xf numFmtId="164" fontId="13" fillId="4" borderId="49" xfId="0" applyNumberFormat="1" applyFont="1" applyFill="1" applyBorder="1" applyAlignment="1">
      <alignment vertical="center"/>
    </xf>
    <xf numFmtId="0" fontId="13" fillId="6" borderId="0" xfId="0" applyFont="1" applyFill="1" applyAlignment="1">
      <alignment horizontal="left" vertical="center"/>
    </xf>
    <xf numFmtId="0" fontId="13" fillId="6" borderId="0" xfId="0" applyFont="1" applyFill="1" applyAlignment="1">
      <alignment vertical="center"/>
    </xf>
    <xf numFmtId="164" fontId="13" fillId="8" borderId="12" xfId="0" applyNumberFormat="1" applyFont="1" applyFill="1" applyBorder="1" applyAlignment="1">
      <alignment horizontal="right" vertical="center"/>
    </xf>
    <xf numFmtId="164" fontId="13" fillId="8" borderId="11" xfId="0" applyNumberFormat="1" applyFont="1" applyFill="1" applyBorder="1" applyAlignment="1">
      <alignment horizontal="right" vertical="center"/>
    </xf>
    <xf numFmtId="164" fontId="13" fillId="8" borderId="10" xfId="0" applyNumberFormat="1" applyFont="1" applyFill="1" applyBorder="1" applyAlignment="1">
      <alignment horizontal="right" vertical="center"/>
    </xf>
    <xf numFmtId="164" fontId="13" fillId="6" borderId="12" xfId="0" applyNumberFormat="1" applyFont="1" applyFill="1" applyBorder="1" applyAlignment="1">
      <alignment horizontal="right" vertical="center"/>
    </xf>
    <xf numFmtId="164" fontId="13" fillId="6" borderId="11" xfId="0" applyNumberFormat="1" applyFont="1" applyFill="1" applyBorder="1" applyAlignment="1">
      <alignment horizontal="right" vertical="center"/>
    </xf>
    <xf numFmtId="164" fontId="13" fillId="6" borderId="10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quotePrefix="1" applyFont="1" applyAlignment="1">
      <alignment horizontal="distributed" vertical="center"/>
    </xf>
    <xf numFmtId="0" fontId="13" fillId="4" borderId="0" xfId="0" quotePrefix="1" applyFont="1" applyFill="1" applyAlignment="1">
      <alignment horizontal="distributed" vertical="center"/>
    </xf>
    <xf numFmtId="0" fontId="13" fillId="0" borderId="0" xfId="0" quotePrefix="1" applyFont="1" applyAlignment="1">
      <alignment horizontal="center" vertical="center"/>
    </xf>
    <xf numFmtId="0" fontId="33" fillId="5" borderId="48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34" xfId="0" applyFont="1" applyFill="1" applyBorder="1" applyAlignment="1">
      <alignment horizontal="center" vertical="center" wrapText="1"/>
    </xf>
    <xf numFmtId="0" fontId="14" fillId="5" borderId="46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33" xfId="0" applyFont="1" applyFill="1" applyBorder="1" applyAlignment="1">
      <alignment horizontal="center" vertical="center" wrapText="1"/>
    </xf>
    <xf numFmtId="164" fontId="13" fillId="6" borderId="40" xfId="0" applyNumberFormat="1" applyFont="1" applyFill="1" applyBorder="1" applyAlignment="1">
      <alignment horizontal="right" vertical="center"/>
    </xf>
    <xf numFmtId="164" fontId="13" fillId="6" borderId="38" xfId="0" applyNumberFormat="1" applyFont="1" applyFill="1" applyBorder="1" applyAlignment="1">
      <alignment horizontal="right" vertical="center"/>
    </xf>
    <xf numFmtId="164" fontId="13" fillId="6" borderId="37" xfId="0" applyNumberFormat="1" applyFont="1" applyFill="1" applyBorder="1" applyAlignment="1">
      <alignment horizontal="right" vertical="center"/>
    </xf>
    <xf numFmtId="164" fontId="13" fillId="6" borderId="44" xfId="0" applyNumberFormat="1" applyFont="1" applyFill="1" applyBorder="1" applyAlignment="1">
      <alignment horizontal="right" vertical="center"/>
    </xf>
    <xf numFmtId="164" fontId="13" fillId="6" borderId="38" xfId="0" applyNumberFormat="1" applyFont="1" applyFill="1" applyBorder="1" applyAlignment="1">
      <alignment vertical="center"/>
    </xf>
    <xf numFmtId="0" fontId="13" fillId="0" borderId="0" xfId="0" quotePrefix="1" applyFont="1" applyAlignment="1">
      <alignment horizontal="distributed" vertical="center"/>
    </xf>
    <xf numFmtId="164" fontId="18" fillId="0" borderId="40" xfId="0" applyNumberFormat="1" applyFont="1" applyBorder="1" applyAlignment="1">
      <alignment horizontal="right" vertical="center"/>
    </xf>
    <xf numFmtId="164" fontId="18" fillId="0" borderId="38" xfId="0" applyNumberFormat="1" applyFont="1" applyBorder="1" applyAlignment="1">
      <alignment horizontal="right" vertical="center"/>
    </xf>
    <xf numFmtId="164" fontId="18" fillId="0" borderId="37" xfId="0" applyNumberFormat="1" applyFont="1" applyBorder="1" applyAlignment="1">
      <alignment horizontal="right" vertical="center"/>
    </xf>
    <xf numFmtId="164" fontId="18" fillId="0" borderId="38" xfId="0" applyNumberFormat="1" applyFont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164" fontId="13" fillId="0" borderId="43" xfId="0" applyNumberFormat="1" applyFont="1" applyBorder="1" applyAlignment="1">
      <alignment horizontal="right" vertical="center"/>
    </xf>
    <xf numFmtId="164" fontId="13" fillId="6" borderId="11" xfId="0" applyNumberFormat="1" applyFont="1" applyFill="1" applyBorder="1" applyAlignment="1">
      <alignment vertical="center"/>
    </xf>
    <xf numFmtId="0" fontId="14" fillId="4" borderId="0" xfId="0" quotePrefix="1" applyFont="1" applyFill="1" applyAlignment="1">
      <alignment horizontal="distributed" vertical="center"/>
    </xf>
    <xf numFmtId="164" fontId="0" fillId="4" borderId="10" xfId="0" applyNumberForma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164" fontId="0" fillId="0" borderId="9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164" fontId="0" fillId="0" borderId="8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13" fillId="4" borderId="10" xfId="0" applyNumberFormat="1" applyFont="1" applyFill="1" applyBorder="1" applyAlignment="1">
      <alignment horizontal="right" vertical="center"/>
    </xf>
    <xf numFmtId="0" fontId="14" fillId="0" borderId="20" xfId="0" applyFont="1" applyBorder="1" applyAlignment="1">
      <alignment horizontal="left" vertical="center"/>
    </xf>
    <xf numFmtId="164" fontId="0" fillId="0" borderId="10" xfId="0" applyNumberFormat="1" applyBorder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0" fontId="14" fillId="0" borderId="20" xfId="0" applyFont="1" applyBorder="1" applyAlignment="1">
      <alignment horizontal="center"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164" fontId="14" fillId="0" borderId="9" xfId="0" applyNumberFormat="1" applyFont="1" applyBorder="1" applyAlignment="1">
      <alignment horizontal="right" vertical="center"/>
    </xf>
    <xf numFmtId="164" fontId="14" fillId="0" borderId="11" xfId="0" applyNumberFormat="1" applyFont="1" applyBorder="1" applyAlignment="1">
      <alignment horizontal="right" vertical="center"/>
    </xf>
    <xf numFmtId="0" fontId="13" fillId="0" borderId="20" xfId="0" applyFont="1" applyBorder="1" applyAlignment="1">
      <alignment horizontal="center" vertical="center"/>
    </xf>
    <xf numFmtId="164" fontId="13" fillId="6" borderId="10" xfId="0" applyNumberFormat="1" applyFont="1" applyFill="1" applyBorder="1" applyAlignment="1">
      <alignment vertical="center"/>
    </xf>
    <xf numFmtId="0" fontId="13" fillId="7" borderId="0" xfId="0" applyFont="1" applyFill="1" applyAlignment="1">
      <alignment vertical="center"/>
    </xf>
    <xf numFmtId="164" fontId="13" fillId="7" borderId="12" xfId="0" applyNumberFormat="1" applyFont="1" applyFill="1" applyBorder="1" applyAlignment="1">
      <alignment horizontal="right" vertical="center"/>
    </xf>
    <xf numFmtId="164" fontId="13" fillId="7" borderId="11" xfId="0" applyNumberFormat="1" applyFont="1" applyFill="1" applyBorder="1" applyAlignment="1">
      <alignment horizontal="right" vertical="center"/>
    </xf>
    <xf numFmtId="164" fontId="13" fillId="7" borderId="11" xfId="0" applyNumberFormat="1" applyFont="1" applyFill="1" applyBorder="1" applyAlignment="1">
      <alignment vertical="center"/>
    </xf>
    <xf numFmtId="164" fontId="13" fillId="7" borderId="10" xfId="0" applyNumberFormat="1" applyFont="1" applyFill="1" applyBorder="1" applyAlignment="1">
      <alignment vertical="center"/>
    </xf>
    <xf numFmtId="49" fontId="14" fillId="0" borderId="2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164" fontId="34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vertical="center"/>
    </xf>
    <xf numFmtId="164" fontId="13" fillId="4" borderId="12" xfId="0" applyNumberFormat="1" applyFont="1" applyFill="1" applyBorder="1" applyAlignment="1">
      <alignment vertical="center"/>
    </xf>
    <xf numFmtId="164" fontId="13" fillId="0" borderId="28" xfId="0" applyNumberFormat="1" applyFont="1" applyBorder="1" applyAlignment="1">
      <alignment horizontal="right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7" xfId="0" applyNumberFormat="1" applyFont="1" applyBorder="1" applyAlignment="1">
      <alignment vertical="center"/>
    </xf>
    <xf numFmtId="164" fontId="13" fillId="0" borderId="26" xfId="0" applyNumberFormat="1" applyFont="1" applyBorder="1" applyAlignment="1">
      <alignment vertical="center"/>
    </xf>
    <xf numFmtId="164" fontId="13" fillId="4" borderId="28" xfId="0" applyNumberFormat="1" applyFont="1" applyFill="1" applyBorder="1" applyAlignment="1">
      <alignment horizontal="right" vertical="center"/>
    </xf>
    <xf numFmtId="164" fontId="13" fillId="0" borderId="26" xfId="0" applyNumberFormat="1" applyFont="1" applyBorder="1" applyAlignment="1">
      <alignment horizontal="right" vertical="center"/>
    </xf>
    <xf numFmtId="0" fontId="33" fillId="5" borderId="24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23" fillId="0" borderId="0" xfId="11" applyAlignment="1">
      <alignment horizontal="left"/>
    </xf>
    <xf numFmtId="3" fontId="10" fillId="0" borderId="64" xfId="10" applyNumberFormat="1" applyBorder="1" applyAlignment="1">
      <alignment horizontal="right"/>
    </xf>
    <xf numFmtId="4" fontId="10" fillId="0" borderId="64" xfId="10" applyNumberFormat="1" applyBorder="1" applyAlignment="1">
      <alignment horizontal="right"/>
    </xf>
    <xf numFmtId="0" fontId="10" fillId="14" borderId="65" xfId="10" applyFill="1" applyBorder="1" applyAlignment="1"/>
    <xf numFmtId="0" fontId="10" fillId="14" borderId="64" xfId="10" applyFill="1" applyBorder="1" applyAlignment="1"/>
    <xf numFmtId="170" fontId="24" fillId="3" borderId="0" xfId="13" applyNumberFormat="1" applyFont="1" applyFill="1" applyAlignment="1"/>
    <xf numFmtId="3" fontId="10" fillId="0" borderId="65" xfId="10" applyNumberFormat="1" applyBorder="1" applyAlignment="1">
      <alignment horizontal="right"/>
    </xf>
    <xf numFmtId="4" fontId="10" fillId="0" borderId="65" xfId="10" applyNumberFormat="1" applyBorder="1" applyAlignment="1">
      <alignment horizontal="right"/>
    </xf>
    <xf numFmtId="0" fontId="10" fillId="15" borderId="0" xfId="10" applyFill="1" applyAlignment="1"/>
    <xf numFmtId="0" fontId="0" fillId="15" borderId="0" xfId="0" applyFill="1"/>
    <xf numFmtId="0" fontId="35" fillId="0" borderId="0" xfId="0" applyFont="1" applyAlignment="1">
      <alignment horizontal="left" vertical="center"/>
    </xf>
    <xf numFmtId="0" fontId="10" fillId="13" borderId="64" xfId="10" applyFill="1" applyBorder="1" applyAlignment="1">
      <alignment wrapText="1"/>
    </xf>
    <xf numFmtId="0" fontId="35" fillId="16" borderId="0" xfId="0" applyFont="1" applyFill="1" applyAlignment="1">
      <alignment horizontal="left" vertical="center"/>
    </xf>
    <xf numFmtId="0" fontId="36" fillId="0" borderId="0" xfId="0" applyFont="1"/>
    <xf numFmtId="0" fontId="33" fillId="5" borderId="20" xfId="0" applyFont="1" applyFill="1" applyBorder="1" applyAlignment="1">
      <alignment horizontal="center" vertical="center"/>
    </xf>
    <xf numFmtId="0" fontId="33" fillId="5" borderId="14" xfId="0" applyFont="1" applyFill="1" applyBorder="1" applyAlignment="1">
      <alignment horizontal="center" vertical="center"/>
    </xf>
    <xf numFmtId="0" fontId="33" fillId="5" borderId="21" xfId="0" applyFont="1" applyFill="1" applyBorder="1" applyAlignment="1">
      <alignment horizontal="center" vertical="center"/>
    </xf>
    <xf numFmtId="0" fontId="33" fillId="5" borderId="15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4" borderId="31" xfId="0" applyFont="1" applyFill="1" applyBorder="1" applyAlignment="1">
      <alignment horizontal="left" vertical="center" wrapText="1"/>
    </xf>
    <xf numFmtId="0" fontId="13" fillId="4" borderId="32" xfId="0" applyFont="1" applyFill="1" applyBorder="1" applyAlignment="1">
      <alignment horizontal="left" vertical="center" wrapText="1"/>
    </xf>
    <xf numFmtId="0" fontId="13" fillId="4" borderId="68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33" fillId="5" borderId="34" xfId="0" applyFont="1" applyFill="1" applyBorder="1" applyAlignment="1">
      <alignment horizontal="center" vertical="center"/>
    </xf>
    <xf numFmtId="0" fontId="33" fillId="5" borderId="33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left" vertical="center"/>
    </xf>
    <xf numFmtId="0" fontId="13" fillId="4" borderId="32" xfId="0" applyFont="1" applyFill="1" applyBorder="1" applyAlignment="1">
      <alignment horizontal="left" vertical="center"/>
    </xf>
    <xf numFmtId="0" fontId="13" fillId="4" borderId="68" xfId="0" applyFont="1" applyFill="1" applyBorder="1" applyAlignment="1">
      <alignment horizontal="left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0" fillId="12" borderId="65" xfId="10" applyFill="1" applyBorder="1">
      <alignment vertical="center"/>
    </xf>
    <xf numFmtId="0" fontId="10" fillId="12" borderId="69" xfId="10" applyFill="1" applyBorder="1">
      <alignment vertical="center"/>
    </xf>
    <xf numFmtId="0" fontId="10" fillId="12" borderId="70" xfId="10" applyFill="1" applyBorder="1">
      <alignment vertical="center"/>
    </xf>
    <xf numFmtId="0" fontId="10" fillId="13" borderId="64" xfId="10" applyFill="1" applyBorder="1" applyAlignment="1"/>
    <xf numFmtId="0" fontId="10" fillId="13" borderId="64" xfId="10" applyFill="1" applyBorder="1" applyAlignment="1">
      <alignment wrapText="1"/>
    </xf>
    <xf numFmtId="0" fontId="9" fillId="11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vertical="center"/>
    </xf>
  </cellXfs>
  <cellStyles count="14">
    <cellStyle name="Body: normal cell" xfId="5" xr:uid="{00000000-0005-0000-0000-000000000000}"/>
    <cellStyle name="Comma [0]" xfId="9" builtinId="6"/>
    <cellStyle name="Font: Calibri, 9pt regular" xfId="1" xr:uid="{00000000-0005-0000-0000-000001000000}"/>
    <cellStyle name="Footnotes: top row" xfId="6" xr:uid="{00000000-0005-0000-0000-000002000000}"/>
    <cellStyle name="Header: bottom row" xfId="2" xr:uid="{00000000-0005-0000-0000-000003000000}"/>
    <cellStyle name="Header: top rows" xfId="8" xr:uid="{00000000-0005-0000-0000-000004000000}"/>
    <cellStyle name="Hyperlink" xfId="11" builtinId="8"/>
    <cellStyle name="Normal" xfId="0" builtinId="0"/>
    <cellStyle name="Normal 2" xfId="7" xr:uid="{00000000-0005-0000-0000-000006000000}"/>
    <cellStyle name="Parent row" xfId="4" xr:uid="{00000000-0005-0000-0000-000007000000}"/>
    <cellStyle name="Percent" xfId="13" builtinId="5"/>
    <cellStyle name="Table title" xfId="3" xr:uid="{00000000-0005-0000-0000-000009000000}"/>
    <cellStyle name="표준 2" xfId="10" xr:uid="{DE05B990-2924-4931-9EDF-3EEC26F286F8}"/>
    <cellStyle name="표준 4" xfId="12" xr:uid="{DAAD85BD-8C63-49E9-B5C2-89FAD7254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gws/Documents/Dropbox/Energy%20Innovation/InputData_RevisionRequest/bldgs/BDEQ/BAU%20Distribued%20Electricity%20Quant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KNREC"/>
      <sheetName val="KOSIS"/>
      <sheetName val="MOTIE"/>
      <sheetName val="StartYear_Cal"/>
      <sheetName val="Calculations_residential"/>
      <sheetName val="Calculations_commercial"/>
      <sheetName val="Calculations"/>
      <sheetName val="BDEQ-BEOfDS-urban-residential"/>
      <sheetName val="BDEQ-BEOfDS-rural-residential"/>
      <sheetName val="BDEQ-BEOfDS-commercial"/>
      <sheetName val="BDEQ-BDESC-urban-residential"/>
      <sheetName val="BDEQ-BDESC-rural-residential"/>
      <sheetName val="BDEQ-BDESC-commer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nrec.or.kr/biz/pds/statistic/view.do?no=390" TargetMode="External"/><Relationship Id="rId1" Type="http://schemas.openxmlformats.org/officeDocument/2006/relationships/hyperlink" Target="https://kosis.kr/statHtml/statHtml.do?orgId=460&amp;tblId=TX_315_2009_H1001&amp;conn_path=I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5FF6-49F8-4752-902B-BDC955084312}">
  <dimension ref="A1:F77"/>
  <sheetViews>
    <sheetView workbookViewId="0">
      <selection activeCell="B43" sqref="B43"/>
    </sheetView>
  </sheetViews>
  <sheetFormatPr defaultRowHeight="14.4"/>
  <cols>
    <col min="1" max="1" width="17.109375" customWidth="1"/>
    <col min="2" max="2" width="51" customWidth="1"/>
    <col min="4" max="4" width="14.33203125" bestFit="1" customWidth="1"/>
    <col min="5" max="5" width="10.88671875" bestFit="1" customWidth="1"/>
  </cols>
  <sheetData>
    <row r="1" spans="1:6">
      <c r="A1" s="1" t="s">
        <v>149</v>
      </c>
    </row>
    <row r="2" spans="1:6">
      <c r="A2" s="1" t="s">
        <v>150</v>
      </c>
    </row>
    <row r="4" spans="1:6">
      <c r="A4" s="1" t="s">
        <v>10</v>
      </c>
      <c r="B4" s="3" t="s">
        <v>145</v>
      </c>
      <c r="F4" s="47"/>
    </row>
    <row r="5" spans="1:6">
      <c r="B5" t="s">
        <v>146</v>
      </c>
    </row>
    <row r="6" spans="1:6">
      <c r="B6" s="67">
        <v>2025</v>
      </c>
    </row>
    <row r="7" spans="1:6">
      <c r="B7" s="52" t="s">
        <v>196</v>
      </c>
    </row>
    <row r="8" spans="1:6">
      <c r="B8" s="73" t="s">
        <v>199</v>
      </c>
    </row>
    <row r="10" spans="1:6">
      <c r="B10" s="3" t="s">
        <v>147</v>
      </c>
    </row>
    <row r="11" spans="1:6">
      <c r="B11" s="48" t="s">
        <v>193</v>
      </c>
    </row>
    <row r="12" spans="1:6">
      <c r="B12" s="67" t="s">
        <v>195</v>
      </c>
    </row>
    <row r="13" spans="1:6">
      <c r="B13" s="2" t="s">
        <v>151</v>
      </c>
      <c r="C13" s="295">
        <f>KOSIS!I6</f>
        <v>0.91780000000000006</v>
      </c>
      <c r="D13" s="5" t="s">
        <v>152</v>
      </c>
    </row>
    <row r="14" spans="1:6">
      <c r="B14" s="290" t="s">
        <v>257</v>
      </c>
    </row>
    <row r="15" spans="1:6">
      <c r="B15" s="2" t="s">
        <v>153</v>
      </c>
    </row>
    <row r="18" spans="1:2">
      <c r="A18" s="1" t="s">
        <v>9</v>
      </c>
    </row>
    <row r="19" spans="1:2">
      <c r="A19" t="s">
        <v>157</v>
      </c>
    </row>
    <row r="20" spans="1:2">
      <c r="A20" t="s">
        <v>158</v>
      </c>
    </row>
    <row r="21" spans="1:2" ht="15" thickBot="1">
      <c r="A21" t="s">
        <v>159</v>
      </c>
    </row>
    <row r="22" spans="1:2" ht="15" thickBot="1">
      <c r="A22" s="60">
        <v>2020</v>
      </c>
    </row>
    <row r="23" spans="1:2">
      <c r="A23" s="1"/>
    </row>
    <row r="24" spans="1:2">
      <c r="A24" t="s">
        <v>160</v>
      </c>
      <c r="B24" s="48"/>
    </row>
    <row r="25" spans="1:2">
      <c r="A25" t="s">
        <v>161</v>
      </c>
      <c r="B25" s="48"/>
    </row>
    <row r="26" spans="1:2">
      <c r="B26" s="48"/>
    </row>
    <row r="27" spans="1:2">
      <c r="A27" s="48" t="s">
        <v>191</v>
      </c>
      <c r="B27" s="48"/>
    </row>
    <row r="28" spans="1:2">
      <c r="A28" s="48" t="s">
        <v>190</v>
      </c>
      <c r="B28" s="48"/>
    </row>
    <row r="29" spans="1:2">
      <c r="A29" s="48" t="s">
        <v>189</v>
      </c>
      <c r="B29" s="48"/>
    </row>
    <row r="31" spans="1:2">
      <c r="A31" s="48" t="s">
        <v>192</v>
      </c>
    </row>
    <row r="32" spans="1:2">
      <c r="A32" s="48" t="s">
        <v>154</v>
      </c>
    </row>
    <row r="35" spans="1:6">
      <c r="A35" t="s">
        <v>148</v>
      </c>
      <c r="F35" s="50"/>
    </row>
    <row r="36" spans="1:6">
      <c r="B36" s="2">
        <v>11630</v>
      </c>
    </row>
    <row r="45" spans="1:6">
      <c r="B45" s="2"/>
    </row>
    <row r="46" spans="1:6">
      <c r="B46" s="2"/>
    </row>
    <row r="47" spans="1:6">
      <c r="B47" s="47"/>
    </row>
    <row r="77" spans="1:2">
      <c r="A77" s="48"/>
      <c r="B77" s="51"/>
    </row>
  </sheetData>
  <phoneticPr fontId="8" type="noConversion"/>
  <hyperlinks>
    <hyperlink ref="B14" r:id="rId1" xr:uid="{169219C5-28DB-4A92-9CAA-68D8D7F49BEC}"/>
    <hyperlink ref="B8" r:id="rId2" xr:uid="{8CC065BE-2050-4338-8E7F-EC7CFB32C91E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CA25-AEBA-4E14-BF02-109840382943}">
  <dimension ref="A1:AE702"/>
  <sheetViews>
    <sheetView topLeftCell="A84" zoomScale="75" zoomScaleNormal="75" workbookViewId="0">
      <selection activeCell="C76" sqref="C76"/>
    </sheetView>
  </sheetViews>
  <sheetFormatPr defaultRowHeight="14.4"/>
  <cols>
    <col min="1" max="1" width="6.6640625" customWidth="1"/>
    <col min="2" max="2" width="2.44140625" customWidth="1"/>
    <col min="3" max="3" width="17.88671875" customWidth="1"/>
    <col min="4" max="4" width="26.6640625" customWidth="1"/>
    <col min="5" max="22" width="11.6640625" customWidth="1"/>
    <col min="23" max="23" width="4.109375" customWidth="1"/>
    <col min="24" max="24" width="26.6640625" customWidth="1"/>
    <col min="25" max="26" width="11.6640625" customWidth="1"/>
  </cols>
  <sheetData>
    <row r="1" spans="3:24" s="6" customFormat="1" ht="21">
      <c r="C1" s="81" t="s">
        <v>261</v>
      </c>
      <c r="D1" s="20"/>
    </row>
    <row r="2" spans="3:24" s="6" customFormat="1" ht="15.75" customHeight="1">
      <c r="G2" s="6" t="s">
        <v>128</v>
      </c>
    </row>
    <row r="3" spans="3:24" s="6" customFormat="1" ht="15.75" customHeight="1">
      <c r="C3" s="19" t="s">
        <v>262</v>
      </c>
      <c r="D3" s="26"/>
      <c r="G3" s="6" t="s">
        <v>127</v>
      </c>
    </row>
    <row r="4" spans="3:24" s="6" customFormat="1" ht="15.75" customHeight="1" thickBot="1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5"/>
    </row>
    <row r="5" spans="3:24" s="6" customFormat="1" ht="15.75" customHeight="1">
      <c r="C5" s="304" t="s">
        <v>263</v>
      </c>
      <c r="D5" s="304"/>
      <c r="E5" s="82" t="s">
        <v>79</v>
      </c>
      <c r="F5" s="83" t="s">
        <v>78</v>
      </c>
      <c r="G5" s="83" t="s">
        <v>77</v>
      </c>
      <c r="H5" s="83" t="s">
        <v>76</v>
      </c>
      <c r="I5" s="83" t="s">
        <v>75</v>
      </c>
      <c r="J5" s="83" t="s">
        <v>74</v>
      </c>
      <c r="K5" s="83" t="s">
        <v>73</v>
      </c>
      <c r="L5" s="83" t="s">
        <v>72</v>
      </c>
      <c r="M5" s="83" t="s">
        <v>71</v>
      </c>
      <c r="N5" s="83" t="s">
        <v>70</v>
      </c>
      <c r="O5" s="83" t="s">
        <v>69</v>
      </c>
      <c r="P5" s="83" t="s">
        <v>68</v>
      </c>
      <c r="Q5" s="83" t="s">
        <v>67</v>
      </c>
      <c r="R5" s="83" t="s">
        <v>66</v>
      </c>
      <c r="S5" s="83" t="s">
        <v>65</v>
      </c>
      <c r="T5" s="83" t="s">
        <v>64</v>
      </c>
      <c r="U5" s="83" t="s">
        <v>63</v>
      </c>
      <c r="V5" s="84" t="s">
        <v>62</v>
      </c>
      <c r="W5" s="306" t="s">
        <v>61</v>
      </c>
      <c r="X5" s="304"/>
    </row>
    <row r="6" spans="3:24" s="6" customFormat="1" ht="15.75" customHeight="1">
      <c r="C6" s="305"/>
      <c r="D6" s="305"/>
      <c r="E6" s="85" t="s">
        <v>22</v>
      </c>
      <c r="F6" s="14" t="s">
        <v>60</v>
      </c>
      <c r="G6" s="14" t="s">
        <v>59</v>
      </c>
      <c r="H6" s="14" t="s">
        <v>58</v>
      </c>
      <c r="I6" s="14" t="s">
        <v>57</v>
      </c>
      <c r="J6" s="14" t="s">
        <v>56</v>
      </c>
      <c r="K6" s="14" t="s">
        <v>55</v>
      </c>
      <c r="L6" s="14" t="s">
        <v>54</v>
      </c>
      <c r="M6" s="14" t="s">
        <v>53</v>
      </c>
      <c r="N6" s="14" t="s">
        <v>52</v>
      </c>
      <c r="O6" s="14" t="s">
        <v>51</v>
      </c>
      <c r="P6" s="14" t="s">
        <v>50</v>
      </c>
      <c r="Q6" s="14" t="s">
        <v>49</v>
      </c>
      <c r="R6" s="14" t="s">
        <v>48</v>
      </c>
      <c r="S6" s="14" t="s">
        <v>47</v>
      </c>
      <c r="T6" s="14" t="s">
        <v>46</v>
      </c>
      <c r="U6" s="14" t="s">
        <v>45</v>
      </c>
      <c r="V6" s="13" t="s">
        <v>44</v>
      </c>
      <c r="W6" s="307"/>
      <c r="X6" s="305"/>
    </row>
    <row r="7" spans="3:24" s="12" customFormat="1" ht="15.75" customHeight="1">
      <c r="C7" s="86" t="s">
        <v>226</v>
      </c>
      <c r="D7" s="300" t="s">
        <v>270</v>
      </c>
      <c r="E7" s="88">
        <v>26389.797337600154</v>
      </c>
      <c r="F7" s="89">
        <v>630.28549120000025</v>
      </c>
      <c r="G7" s="89">
        <v>777.37103999999908</v>
      </c>
      <c r="H7" s="89">
        <v>845.28017279999801</v>
      </c>
      <c r="I7" s="89">
        <v>617.95209599999998</v>
      </c>
      <c r="J7" s="89">
        <v>591.65139200000135</v>
      </c>
      <c r="K7" s="89">
        <v>631.29996800000004</v>
      </c>
      <c r="L7" s="89">
        <v>331.82417280000004</v>
      </c>
      <c r="M7" s="89">
        <v>116.44246400000002</v>
      </c>
      <c r="N7" s="89">
        <v>2478.4595776000479</v>
      </c>
      <c r="O7" s="89">
        <v>2896.4781632000249</v>
      </c>
      <c r="P7" s="89">
        <v>1330.2450240000014</v>
      </c>
      <c r="Q7" s="90">
        <v>2301.9992320000101</v>
      </c>
      <c r="R7" s="90">
        <v>1254.8489919999988</v>
      </c>
      <c r="S7" s="90">
        <v>3102.5063679999503</v>
      </c>
      <c r="T7" s="90">
        <v>4186.9724096000728</v>
      </c>
      <c r="U7" s="90">
        <v>3956.4157504000455</v>
      </c>
      <c r="V7" s="91">
        <v>339.76502399999987</v>
      </c>
      <c r="W7" s="86" t="s">
        <v>226</v>
      </c>
      <c r="X7" s="87"/>
    </row>
    <row r="8" spans="3:24" s="12" customFormat="1" ht="15.75" customHeight="1">
      <c r="C8" s="86" t="s">
        <v>227</v>
      </c>
      <c r="D8" s="302" t="s">
        <v>271</v>
      </c>
      <c r="E8" s="88">
        <v>1941505.9639999967</v>
      </c>
      <c r="F8" s="89">
        <v>177272.31433362927</v>
      </c>
      <c r="G8" s="89">
        <v>51257.799999999886</v>
      </c>
      <c r="H8" s="89">
        <v>80385.05478260832</v>
      </c>
      <c r="I8" s="89">
        <v>63828.569999999934</v>
      </c>
      <c r="J8" s="89">
        <v>62262.927551020548</v>
      </c>
      <c r="K8" s="89">
        <v>65928.721898846517</v>
      </c>
      <c r="L8" s="89">
        <v>36360.34756521738</v>
      </c>
      <c r="M8" s="89">
        <v>2390.5500000000002</v>
      </c>
      <c r="N8" s="89">
        <v>372993.34765395609</v>
      </c>
      <c r="O8" s="89">
        <v>140185.13378349398</v>
      </c>
      <c r="P8" s="89">
        <v>99789.160204081461</v>
      </c>
      <c r="Q8" s="90">
        <v>161207.96452528809</v>
      </c>
      <c r="R8" s="90">
        <v>107164.03008873067</v>
      </c>
      <c r="S8" s="90">
        <v>134340.66510203929</v>
      </c>
      <c r="T8" s="90">
        <v>155069.31853770922</v>
      </c>
      <c r="U8" s="90">
        <v>189811.3504223557</v>
      </c>
      <c r="V8" s="91">
        <v>41258.707551020401</v>
      </c>
      <c r="W8" s="86" t="s">
        <v>228</v>
      </c>
      <c r="X8" s="86"/>
    </row>
    <row r="9" spans="3:24" s="6" customFormat="1" ht="15.75" customHeight="1">
      <c r="C9" s="92"/>
      <c r="D9" s="92"/>
      <c r="E9" s="93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5"/>
      <c r="R9" s="95"/>
      <c r="S9" s="95"/>
      <c r="T9" s="95"/>
      <c r="U9" s="95"/>
      <c r="V9" s="96"/>
      <c r="W9" s="92"/>
      <c r="X9" s="92"/>
    </row>
    <row r="10" spans="3:24" s="6" customFormat="1" ht="15.75" customHeight="1">
      <c r="C10" s="97" t="s">
        <v>126</v>
      </c>
      <c r="D10" s="300" t="s">
        <v>272</v>
      </c>
      <c r="E10" s="98"/>
      <c r="F10" s="99"/>
      <c r="G10" s="99"/>
      <c r="H10" s="99"/>
      <c r="I10" s="99"/>
      <c r="J10" s="99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1"/>
      <c r="W10" s="97" t="s">
        <v>126</v>
      </c>
      <c r="X10" s="97"/>
    </row>
    <row r="11" spans="3:24" s="12" customFormat="1" ht="15.75" customHeight="1">
      <c r="C11" s="9"/>
      <c r="D11" s="102" t="s">
        <v>229</v>
      </c>
      <c r="E11" s="103">
        <v>23297.080000000016</v>
      </c>
      <c r="F11" s="104">
        <v>17.939999999999998</v>
      </c>
      <c r="G11" s="104">
        <v>428.52</v>
      </c>
      <c r="H11" s="104">
        <v>0</v>
      </c>
      <c r="I11" s="104">
        <v>79.669999999999987</v>
      </c>
      <c r="J11" s="104">
        <v>162.36999999999998</v>
      </c>
      <c r="K11" s="104">
        <v>0</v>
      </c>
      <c r="L11" s="104">
        <v>97.44</v>
      </c>
      <c r="M11" s="104">
        <v>0</v>
      </c>
      <c r="N11" s="104">
        <v>913.35</v>
      </c>
      <c r="O11" s="104">
        <v>967.32</v>
      </c>
      <c r="P11" s="105">
        <v>3296.98</v>
      </c>
      <c r="Q11" s="106">
        <v>1984.879999999999</v>
      </c>
      <c r="R11" s="107">
        <v>621.99</v>
      </c>
      <c r="S11" s="107">
        <v>4741.2599999999948</v>
      </c>
      <c r="T11" s="107">
        <v>6612.7200000000048</v>
      </c>
      <c r="U11" s="107">
        <v>3372.6400000000176</v>
      </c>
      <c r="V11" s="108">
        <v>0</v>
      </c>
      <c r="W11" s="9"/>
      <c r="X11" s="102" t="s">
        <v>229</v>
      </c>
    </row>
    <row r="12" spans="3:24" s="6" customFormat="1" ht="15.75" customHeight="1">
      <c r="C12" s="92"/>
      <c r="D12" s="109" t="s">
        <v>230</v>
      </c>
      <c r="E12" s="103">
        <v>27053.910000000014</v>
      </c>
      <c r="F12" s="110">
        <v>245.82</v>
      </c>
      <c r="G12" s="110">
        <v>165.36</v>
      </c>
      <c r="H12" s="110">
        <v>20.399999999999999</v>
      </c>
      <c r="I12" s="110">
        <v>47.879999999999995</v>
      </c>
      <c r="J12" s="110">
        <v>523.77999999999986</v>
      </c>
      <c r="K12" s="110">
        <v>0</v>
      </c>
      <c r="L12" s="110">
        <v>65.16</v>
      </c>
      <c r="M12" s="110">
        <v>68</v>
      </c>
      <c r="N12" s="110">
        <v>439.76</v>
      </c>
      <c r="O12" s="110">
        <v>1955.7800000000002</v>
      </c>
      <c r="P12" s="111">
        <v>3113.9299999999994</v>
      </c>
      <c r="Q12" s="112">
        <v>1210.7500000000014</v>
      </c>
      <c r="R12" s="113">
        <v>1285.2900000000002</v>
      </c>
      <c r="S12" s="113">
        <v>6676.3199999999943</v>
      </c>
      <c r="T12" s="113">
        <v>6330.9000000000124</v>
      </c>
      <c r="U12" s="113">
        <v>4898.8100000000059</v>
      </c>
      <c r="V12" s="114">
        <v>5.97</v>
      </c>
      <c r="W12" s="92"/>
      <c r="X12" s="109" t="s">
        <v>230</v>
      </c>
    </row>
    <row r="13" spans="3:24" s="6" customFormat="1" ht="15.75" customHeight="1">
      <c r="C13" s="92"/>
      <c r="D13" s="109" t="s">
        <v>231</v>
      </c>
      <c r="E13" s="103">
        <v>20470.220000000012</v>
      </c>
      <c r="F13" s="110">
        <v>192.25</v>
      </c>
      <c r="G13" s="110">
        <v>20.399999999999999</v>
      </c>
      <c r="H13" s="110">
        <v>0</v>
      </c>
      <c r="I13" s="110">
        <v>540.73</v>
      </c>
      <c r="J13" s="110">
        <v>632.78</v>
      </c>
      <c r="K13" s="110">
        <v>181.2</v>
      </c>
      <c r="L13" s="110">
        <v>0</v>
      </c>
      <c r="M13" s="110">
        <v>0</v>
      </c>
      <c r="N13" s="110">
        <v>712.04</v>
      </c>
      <c r="O13" s="110">
        <v>1651.9900000000005</v>
      </c>
      <c r="P13" s="110">
        <v>273.39999999999998</v>
      </c>
      <c r="Q13" s="113">
        <v>1706.9300000000003</v>
      </c>
      <c r="R13" s="113">
        <v>1367.1699999999976</v>
      </c>
      <c r="S13" s="113">
        <v>3398.1999999999921</v>
      </c>
      <c r="T13" s="113">
        <v>5343.7100000000155</v>
      </c>
      <c r="U13" s="113">
        <v>4437.2400000000061</v>
      </c>
      <c r="V13" s="114">
        <v>12.18</v>
      </c>
      <c r="W13" s="92"/>
      <c r="X13" s="109" t="s">
        <v>231</v>
      </c>
    </row>
    <row r="14" spans="3:24" s="6" customFormat="1" ht="15.75" customHeight="1">
      <c r="C14" s="92"/>
      <c r="D14" s="92"/>
      <c r="E14" s="115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3"/>
      <c r="R14" s="113"/>
      <c r="S14" s="113"/>
      <c r="T14" s="113"/>
      <c r="U14" s="113"/>
      <c r="V14" s="114"/>
      <c r="W14" s="92"/>
      <c r="X14" s="92"/>
    </row>
    <row r="15" spans="3:24" s="12" customFormat="1" ht="15.75" customHeight="1">
      <c r="C15" s="86" t="s">
        <v>232</v>
      </c>
      <c r="D15" s="303" t="s">
        <v>273</v>
      </c>
      <c r="E15" s="88">
        <v>1941505.9639999939</v>
      </c>
      <c r="F15" s="89">
        <v>177272.31433362915</v>
      </c>
      <c r="G15" s="89">
        <v>51257.799999999967</v>
      </c>
      <c r="H15" s="89">
        <v>80385.054782608597</v>
      </c>
      <c r="I15" s="89">
        <v>63828.569999999912</v>
      </c>
      <c r="J15" s="89">
        <v>62262.927551020533</v>
      </c>
      <c r="K15" s="89">
        <v>65928.721898846517</v>
      </c>
      <c r="L15" s="89">
        <v>36360.347565217395</v>
      </c>
      <c r="M15" s="89">
        <v>2390.5500000000002</v>
      </c>
      <c r="N15" s="89">
        <v>372993.34765395697</v>
      </c>
      <c r="O15" s="89">
        <v>140185.1337834945</v>
      </c>
      <c r="P15" s="89">
        <v>99789.160204081432</v>
      </c>
      <c r="Q15" s="89">
        <v>161207.96452528692</v>
      </c>
      <c r="R15" s="89">
        <v>107164.03008873062</v>
      </c>
      <c r="S15" s="89">
        <v>134340.66510203842</v>
      </c>
      <c r="T15" s="89">
        <v>155069.31853770779</v>
      </c>
      <c r="U15" s="89">
        <v>189811.35042235453</v>
      </c>
      <c r="V15" s="91">
        <v>41258.707551020401</v>
      </c>
      <c r="W15" s="86" t="s">
        <v>233</v>
      </c>
      <c r="X15" s="87"/>
    </row>
    <row r="16" spans="3:24" s="12" customFormat="1" ht="15.75" customHeight="1">
      <c r="D16" s="300" t="s">
        <v>274</v>
      </c>
      <c r="E16" s="103">
        <v>1452121.3719999942</v>
      </c>
      <c r="F16" s="104">
        <v>156161.30000000002</v>
      </c>
      <c r="G16" s="104">
        <v>34247.759999999966</v>
      </c>
      <c r="H16" s="104">
        <v>59363.929999999891</v>
      </c>
      <c r="I16" s="104">
        <v>47831.80999999991</v>
      </c>
      <c r="J16" s="104">
        <v>48540.71000000013</v>
      </c>
      <c r="K16" s="104">
        <v>49682.830000000024</v>
      </c>
      <c r="L16" s="104">
        <v>30904.100000000002</v>
      </c>
      <c r="M16" s="104">
        <v>415.84000000000009</v>
      </c>
      <c r="N16" s="104">
        <v>305226.94200000842</v>
      </c>
      <c r="O16" s="104">
        <v>106679.4999999985</v>
      </c>
      <c r="P16" s="104">
        <v>66825.889999999796</v>
      </c>
      <c r="Q16" s="107">
        <v>111003.92999999857</v>
      </c>
      <c r="R16" s="107">
        <v>82229.529999999475</v>
      </c>
      <c r="S16" s="107">
        <v>94852.179999997636</v>
      </c>
      <c r="T16" s="107">
        <v>88565.119999997522</v>
      </c>
      <c r="U16" s="107">
        <v>143532.94999999425</v>
      </c>
      <c r="V16" s="108">
        <v>26057.049999999992</v>
      </c>
      <c r="X16" s="116" t="s">
        <v>42</v>
      </c>
    </row>
    <row r="17" spans="3:24" s="12" customFormat="1" ht="15.75" customHeight="1">
      <c r="C17" s="9"/>
      <c r="D17" s="300" t="s">
        <v>275</v>
      </c>
      <c r="E17" s="103">
        <v>89369.059999999969</v>
      </c>
      <c r="F17" s="104">
        <v>4282.1620000000003</v>
      </c>
      <c r="G17" s="104">
        <v>2446.5700000000006</v>
      </c>
      <c r="H17" s="104">
        <v>7841.2600000000011</v>
      </c>
      <c r="I17" s="104">
        <v>4197.3699999999972</v>
      </c>
      <c r="J17" s="104">
        <v>3014.4600000000005</v>
      </c>
      <c r="K17" s="104">
        <v>6344.3899999999985</v>
      </c>
      <c r="L17" s="104">
        <v>2055.46</v>
      </c>
      <c r="M17" s="104">
        <v>1147.5</v>
      </c>
      <c r="N17" s="104">
        <v>8383.58</v>
      </c>
      <c r="O17" s="104">
        <v>5651.1399999999958</v>
      </c>
      <c r="P17" s="104">
        <v>6297.11</v>
      </c>
      <c r="Q17" s="107">
        <v>7614.3499999999949</v>
      </c>
      <c r="R17" s="107">
        <v>4260.9000000000005</v>
      </c>
      <c r="S17" s="107">
        <v>6459.0799999999981</v>
      </c>
      <c r="T17" s="107">
        <v>10070.669999999998</v>
      </c>
      <c r="U17" s="107">
        <v>6742.4979999999996</v>
      </c>
      <c r="V17" s="108">
        <v>2560.5600000000004</v>
      </c>
      <c r="W17" s="9"/>
      <c r="X17" s="116" t="s">
        <v>41</v>
      </c>
    </row>
    <row r="18" spans="3:24" s="12" customFormat="1" ht="15.75" customHeight="1">
      <c r="C18" s="9"/>
      <c r="D18" s="300" t="s">
        <v>276</v>
      </c>
      <c r="E18" s="103">
        <v>31528.109999999997</v>
      </c>
      <c r="F18" s="104">
        <v>4269.26</v>
      </c>
      <c r="G18" s="104">
        <v>1200.02</v>
      </c>
      <c r="H18" s="104">
        <v>1985.1899999999998</v>
      </c>
      <c r="I18" s="104">
        <v>1363.94</v>
      </c>
      <c r="J18" s="104">
        <v>1124.32</v>
      </c>
      <c r="K18" s="104">
        <v>623.62</v>
      </c>
      <c r="L18" s="104">
        <v>704.9</v>
      </c>
      <c r="M18" s="117">
        <v>180.19</v>
      </c>
      <c r="N18" s="104">
        <v>5625.83</v>
      </c>
      <c r="O18" s="104">
        <v>861.04</v>
      </c>
      <c r="P18" s="104">
        <v>1071.44</v>
      </c>
      <c r="Q18" s="107">
        <v>3926.67</v>
      </c>
      <c r="R18" s="107">
        <v>1497.77</v>
      </c>
      <c r="S18" s="107">
        <v>1003.2800000000001</v>
      </c>
      <c r="T18" s="107">
        <v>3435.65</v>
      </c>
      <c r="U18" s="107">
        <v>2589.7099999999996</v>
      </c>
      <c r="V18" s="108">
        <v>65.28</v>
      </c>
      <c r="W18" s="9"/>
      <c r="X18" s="116" t="s">
        <v>40</v>
      </c>
    </row>
    <row r="19" spans="3:24" s="12" customFormat="1" ht="15.75" customHeight="1">
      <c r="C19" s="9"/>
      <c r="D19" s="300" t="s">
        <v>277</v>
      </c>
      <c r="E19" s="103">
        <v>126062.28399999952</v>
      </c>
      <c r="F19" s="104">
        <v>3238.7999999999993</v>
      </c>
      <c r="G19" s="104">
        <v>8127.3599999999988</v>
      </c>
      <c r="H19" s="104">
        <v>4416.8600000000006</v>
      </c>
      <c r="I19" s="104">
        <v>4008.94</v>
      </c>
      <c r="J19" s="104">
        <v>3080.49</v>
      </c>
      <c r="K19" s="104">
        <v>4945.8700000000008</v>
      </c>
      <c r="L19" s="104">
        <v>484.94800000000004</v>
      </c>
      <c r="M19" s="104">
        <v>61.2</v>
      </c>
      <c r="N19" s="104">
        <v>6965.2160000000022</v>
      </c>
      <c r="O19" s="104">
        <v>9930.7899999999936</v>
      </c>
      <c r="P19" s="104">
        <v>3959.2</v>
      </c>
      <c r="Q19" s="107">
        <v>10239.459999999981</v>
      </c>
      <c r="R19" s="107">
        <v>4728.7000000000007</v>
      </c>
      <c r="S19" s="107">
        <v>8558.0899999999965</v>
      </c>
      <c r="T19" s="107">
        <v>35564.259999999529</v>
      </c>
      <c r="U19" s="107">
        <v>14592.130000000023</v>
      </c>
      <c r="V19" s="108">
        <v>3159.9699999999993</v>
      </c>
      <c r="W19" s="9"/>
      <c r="X19" s="116" t="s">
        <v>39</v>
      </c>
    </row>
    <row r="20" spans="3:24" s="12" customFormat="1" ht="15.75" customHeight="1">
      <c r="C20" s="9"/>
      <c r="D20" s="300" t="s">
        <v>278</v>
      </c>
      <c r="E20" s="103">
        <v>30347.62</v>
      </c>
      <c r="F20" s="104">
        <v>35.64</v>
      </c>
      <c r="G20" s="104">
        <v>262.51</v>
      </c>
      <c r="H20" s="104">
        <v>586.6</v>
      </c>
      <c r="I20" s="104">
        <v>305.36</v>
      </c>
      <c r="J20" s="104">
        <v>760.27</v>
      </c>
      <c r="K20" s="104">
        <v>483.65</v>
      </c>
      <c r="L20" s="104">
        <v>529.83000000000004</v>
      </c>
      <c r="M20" s="104">
        <v>410.72</v>
      </c>
      <c r="N20" s="104">
        <v>3655.75</v>
      </c>
      <c r="O20" s="104">
        <v>2006.44</v>
      </c>
      <c r="P20" s="104">
        <v>8226.27</v>
      </c>
      <c r="Q20" s="107">
        <v>5336.5900000000011</v>
      </c>
      <c r="R20" s="107">
        <v>3517.66</v>
      </c>
      <c r="S20" s="107">
        <v>715.26</v>
      </c>
      <c r="T20" s="107">
        <v>1895.3200000000002</v>
      </c>
      <c r="U20" s="107">
        <v>1479.56</v>
      </c>
      <c r="V20" s="108">
        <v>140.19</v>
      </c>
      <c r="W20" s="9"/>
      <c r="X20" s="116" t="s">
        <v>38</v>
      </c>
    </row>
    <row r="21" spans="3:24" s="12" customFormat="1" ht="15.75" customHeight="1">
      <c r="C21" s="9"/>
      <c r="D21" s="300" t="s">
        <v>279</v>
      </c>
      <c r="E21" s="103">
        <v>46822.552000000011</v>
      </c>
      <c r="F21" s="104">
        <v>1780.14</v>
      </c>
      <c r="G21" s="104">
        <v>282.24</v>
      </c>
      <c r="H21" s="104">
        <v>1098</v>
      </c>
      <c r="I21" s="104">
        <v>855.86999999999989</v>
      </c>
      <c r="J21" s="104">
        <v>958.12</v>
      </c>
      <c r="K21" s="104">
        <v>1304.2399999999998</v>
      </c>
      <c r="L21" s="104">
        <v>859.54</v>
      </c>
      <c r="M21" s="104">
        <v>154.5</v>
      </c>
      <c r="N21" s="104">
        <v>6305.8600000000015</v>
      </c>
      <c r="O21" s="104">
        <v>5973.3319999999994</v>
      </c>
      <c r="P21" s="104">
        <v>4940.5799999999981</v>
      </c>
      <c r="Q21" s="107">
        <v>8459.6200000000008</v>
      </c>
      <c r="R21" s="107">
        <v>1136.05</v>
      </c>
      <c r="S21" s="107">
        <v>3901.5200000000004</v>
      </c>
      <c r="T21" s="107">
        <v>2858.4</v>
      </c>
      <c r="U21" s="107">
        <v>4859.4100000000017</v>
      </c>
      <c r="V21" s="108">
        <v>1095.1300000000001</v>
      </c>
      <c r="W21" s="9"/>
      <c r="X21" s="116" t="s">
        <v>37</v>
      </c>
    </row>
    <row r="22" spans="3:24" s="12" customFormat="1" ht="15.75" customHeight="1">
      <c r="C22" s="9"/>
      <c r="D22" s="302" t="s">
        <v>280</v>
      </c>
      <c r="E22" s="103">
        <v>165254.96599999999</v>
      </c>
      <c r="F22" s="104">
        <v>7505.0123336291044</v>
      </c>
      <c r="G22" s="104">
        <v>4691.340000000002</v>
      </c>
      <c r="H22" s="104">
        <v>5093.2147826086957</v>
      </c>
      <c r="I22" s="104">
        <v>5265.2799999999988</v>
      </c>
      <c r="J22" s="104">
        <v>4784.5575510204089</v>
      </c>
      <c r="K22" s="104">
        <v>2544.1218988464948</v>
      </c>
      <c r="L22" s="104">
        <v>821.5695652173913</v>
      </c>
      <c r="M22" s="104">
        <v>20.6</v>
      </c>
      <c r="N22" s="104">
        <v>36830.169653948498</v>
      </c>
      <c r="O22" s="104">
        <v>9082.8917834960102</v>
      </c>
      <c r="P22" s="104">
        <v>8468.6702040816326</v>
      </c>
      <c r="Q22" s="107">
        <v>14627.344525288378</v>
      </c>
      <c r="R22" s="107">
        <v>9793.4200887311436</v>
      </c>
      <c r="S22" s="107">
        <v>18851.255102040795</v>
      </c>
      <c r="T22" s="107">
        <v>12679.89853771074</v>
      </c>
      <c r="U22" s="107">
        <v>16015.092422360252</v>
      </c>
      <c r="V22" s="108">
        <v>8180.5275510204101</v>
      </c>
      <c r="W22" s="9"/>
      <c r="X22" s="116" t="s">
        <v>35</v>
      </c>
    </row>
    <row r="23" spans="3:24" s="12" customFormat="1" ht="15.75" customHeight="1">
      <c r="C23" s="9"/>
      <c r="D23" s="9"/>
      <c r="E23" s="103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7"/>
      <c r="R23" s="107"/>
      <c r="S23" s="107"/>
      <c r="T23" s="107"/>
      <c r="U23" s="107"/>
      <c r="V23" s="108"/>
      <c r="W23" s="9"/>
      <c r="X23" s="9"/>
    </row>
    <row r="24" spans="3:24" s="12" customFormat="1" ht="15.75" customHeight="1">
      <c r="C24" s="86" t="s">
        <v>234</v>
      </c>
      <c r="D24" s="300" t="s">
        <v>281</v>
      </c>
      <c r="E24" s="88">
        <v>1941505.963999999</v>
      </c>
      <c r="F24" s="89">
        <v>177272.3143336291</v>
      </c>
      <c r="G24" s="89">
        <v>51257.8</v>
      </c>
      <c r="H24" s="89">
        <v>80385.054782608699</v>
      </c>
      <c r="I24" s="89">
        <v>63828.570000000007</v>
      </c>
      <c r="J24" s="89">
        <v>62262.927551020402</v>
      </c>
      <c r="K24" s="89">
        <v>65928.721898846503</v>
      </c>
      <c r="L24" s="89">
        <v>36360.347565217395</v>
      </c>
      <c r="M24" s="89">
        <v>2390.5500000000002</v>
      </c>
      <c r="N24" s="89">
        <v>372993.34765394859</v>
      </c>
      <c r="O24" s="89">
        <v>140185.13378349604</v>
      </c>
      <c r="P24" s="89">
        <v>99789.160204081636</v>
      </c>
      <c r="Q24" s="89">
        <v>161207.96452528838</v>
      </c>
      <c r="R24" s="89">
        <v>107164.03008873119</v>
      </c>
      <c r="S24" s="89">
        <v>134340.66510204072</v>
      </c>
      <c r="T24" s="89">
        <v>155069.3185377093</v>
      </c>
      <c r="U24" s="89">
        <v>189811.35042236059</v>
      </c>
      <c r="V24" s="91">
        <v>41258.707551020401</v>
      </c>
      <c r="W24" s="86" t="s">
        <v>235</v>
      </c>
      <c r="X24" s="86"/>
    </row>
    <row r="25" spans="3:24" s="12" customFormat="1" ht="15.75" customHeight="1">
      <c r="C25" s="9"/>
      <c r="D25" s="9" t="s">
        <v>125</v>
      </c>
      <c r="E25" s="103">
        <v>133152.5760000002</v>
      </c>
      <c r="F25" s="104">
        <v>1178.4400000000007</v>
      </c>
      <c r="G25" s="104">
        <v>2258.3200000000024</v>
      </c>
      <c r="H25" s="104">
        <v>868.56399999999962</v>
      </c>
      <c r="I25" s="104">
        <v>1898.1400000000015</v>
      </c>
      <c r="J25" s="104">
        <v>3324.7099999999941</v>
      </c>
      <c r="K25" s="104">
        <v>264.89000000000004</v>
      </c>
      <c r="L25" s="104">
        <v>2600.3700000000017</v>
      </c>
      <c r="M25" s="104">
        <v>81.960000000000008</v>
      </c>
      <c r="N25" s="104">
        <v>10814.23200000004</v>
      </c>
      <c r="O25" s="104">
        <v>11082.920000000049</v>
      </c>
      <c r="P25" s="104">
        <v>1839.76</v>
      </c>
      <c r="Q25" s="107">
        <v>10964.070000000032</v>
      </c>
      <c r="R25" s="107">
        <v>7829.3200000000388</v>
      </c>
      <c r="S25" s="107">
        <v>34110.429999999658</v>
      </c>
      <c r="T25" s="107">
        <v>12495.010000000178</v>
      </c>
      <c r="U25" s="107">
        <v>31153.900000000212</v>
      </c>
      <c r="V25" s="108">
        <v>387.53999999999991</v>
      </c>
      <c r="W25" s="9"/>
      <c r="X25" s="9" t="s">
        <v>125</v>
      </c>
    </row>
    <row r="26" spans="3:24" s="12" customFormat="1" ht="15.75" customHeight="1">
      <c r="C26" s="9"/>
      <c r="D26" s="9" t="s">
        <v>124</v>
      </c>
      <c r="E26" s="103">
        <v>258030.51820408032</v>
      </c>
      <c r="F26" s="104">
        <v>5532.039551020408</v>
      </c>
      <c r="G26" s="104">
        <v>7817.6799999999976</v>
      </c>
      <c r="H26" s="104">
        <v>11094.641999999993</v>
      </c>
      <c r="I26" s="104">
        <v>9863.9300000000039</v>
      </c>
      <c r="J26" s="104">
        <v>3859.2475510204104</v>
      </c>
      <c r="K26" s="104">
        <v>3389.327551020408</v>
      </c>
      <c r="L26" s="104">
        <v>2160.9580000000005</v>
      </c>
      <c r="M26" s="104">
        <v>610.22000000000014</v>
      </c>
      <c r="N26" s="104">
        <v>22107.510000000013</v>
      </c>
      <c r="O26" s="104">
        <v>41829.231999999975</v>
      </c>
      <c r="P26" s="104">
        <v>4383.2700000000004</v>
      </c>
      <c r="Q26" s="107">
        <v>21167.359999999971</v>
      </c>
      <c r="R26" s="107">
        <v>8234.0100000000075</v>
      </c>
      <c r="S26" s="107">
        <v>20175.390000000218</v>
      </c>
      <c r="T26" s="107">
        <v>57242.275999998383</v>
      </c>
      <c r="U26" s="107">
        <v>35765.708000000122</v>
      </c>
      <c r="V26" s="108">
        <v>2797.7175510204065</v>
      </c>
      <c r="W26" s="9"/>
      <c r="X26" s="9" t="s">
        <v>124</v>
      </c>
    </row>
    <row r="27" spans="3:24" s="12" customFormat="1" ht="15.75" customHeight="1">
      <c r="C27" s="9"/>
      <c r="D27" s="9" t="s">
        <v>123</v>
      </c>
      <c r="E27" s="103">
        <v>223559.25744454298</v>
      </c>
      <c r="F27" s="104">
        <v>13056.834782608692</v>
      </c>
      <c r="G27" s="104">
        <v>11270.160000000002</v>
      </c>
      <c r="H27" s="104">
        <v>11054.528782608699</v>
      </c>
      <c r="I27" s="104">
        <v>7594.1000000000013</v>
      </c>
      <c r="J27" s="104">
        <v>8951.75</v>
      </c>
      <c r="K27" s="104">
        <v>11283.140000000001</v>
      </c>
      <c r="L27" s="104">
        <v>5505.0195652173916</v>
      </c>
      <c r="M27" s="104">
        <v>1698.37</v>
      </c>
      <c r="N27" s="104">
        <v>26337.061306122443</v>
      </c>
      <c r="O27" s="104">
        <v>19828.842653061223</v>
      </c>
      <c r="P27" s="104">
        <v>15839.690204081633</v>
      </c>
      <c r="Q27" s="107">
        <v>20059.159999999993</v>
      </c>
      <c r="R27" s="107">
        <v>12673.260088731144</v>
      </c>
      <c r="S27" s="107">
        <v>12963.045102040818</v>
      </c>
      <c r="T27" s="107">
        <v>18141.392537710733</v>
      </c>
      <c r="U27" s="107">
        <v>18998.252422360245</v>
      </c>
      <c r="V27" s="108">
        <v>8304.65</v>
      </c>
      <c r="W27" s="9"/>
      <c r="X27" s="9" t="s">
        <v>123</v>
      </c>
    </row>
    <row r="28" spans="3:24" s="12" customFormat="1" ht="15.75" customHeight="1">
      <c r="C28" s="9"/>
      <c r="D28" s="9" t="s">
        <v>122</v>
      </c>
      <c r="E28" s="103">
        <v>114080.07800354925</v>
      </c>
      <c r="F28" s="104">
        <v>5464.6</v>
      </c>
      <c r="G28" s="104">
        <v>4747.24</v>
      </c>
      <c r="H28" s="104">
        <v>7827.2</v>
      </c>
      <c r="I28" s="104">
        <v>2688</v>
      </c>
      <c r="J28" s="104">
        <v>5084.82</v>
      </c>
      <c r="K28" s="104">
        <v>2912.3643478260874</v>
      </c>
      <c r="L28" s="104">
        <v>0</v>
      </c>
      <c r="M28" s="104">
        <v>0</v>
      </c>
      <c r="N28" s="104">
        <v>14181.680000000002</v>
      </c>
      <c r="O28" s="104">
        <v>7357.9391304347828</v>
      </c>
      <c r="P28" s="104">
        <v>10821.6</v>
      </c>
      <c r="Q28" s="107">
        <v>12596.88452528838</v>
      </c>
      <c r="R28" s="107">
        <v>8221.7999999999993</v>
      </c>
      <c r="S28" s="107">
        <v>9137.5999999999985</v>
      </c>
      <c r="T28" s="107">
        <v>8215.7999999999993</v>
      </c>
      <c r="U28" s="107">
        <v>11547.55</v>
      </c>
      <c r="V28" s="108">
        <v>3275</v>
      </c>
      <c r="W28" s="9"/>
      <c r="X28" s="9" t="s">
        <v>122</v>
      </c>
    </row>
    <row r="29" spans="3:24" s="12" customFormat="1" ht="15.75" customHeight="1">
      <c r="C29" s="9"/>
      <c r="D29" s="9" t="s">
        <v>121</v>
      </c>
      <c r="E29" s="103">
        <v>65312.140000000007</v>
      </c>
      <c r="F29" s="104">
        <v>2142</v>
      </c>
      <c r="G29" s="104">
        <v>2328</v>
      </c>
      <c r="H29" s="104">
        <v>4863.7199999999993</v>
      </c>
      <c r="I29" s="104">
        <v>3414</v>
      </c>
      <c r="J29" s="104">
        <v>2216</v>
      </c>
      <c r="K29" s="104">
        <v>3853</v>
      </c>
      <c r="L29" s="104">
        <v>0</v>
      </c>
      <c r="M29" s="104">
        <v>0</v>
      </c>
      <c r="N29" s="104">
        <v>7158</v>
      </c>
      <c r="O29" s="104">
        <v>3376</v>
      </c>
      <c r="P29" s="104">
        <v>7294.8</v>
      </c>
      <c r="Q29" s="107">
        <v>2418</v>
      </c>
      <c r="R29" s="107">
        <v>5821.4400000000005</v>
      </c>
      <c r="S29" s="107">
        <v>3610.8</v>
      </c>
      <c r="T29" s="107">
        <v>3079.64</v>
      </c>
      <c r="U29" s="107">
        <v>10167.14</v>
      </c>
      <c r="V29" s="108">
        <v>3569.6</v>
      </c>
      <c r="W29" s="9"/>
      <c r="X29" s="9" t="s">
        <v>121</v>
      </c>
    </row>
    <row r="30" spans="3:24" s="12" customFormat="1" ht="15.75" customHeight="1">
      <c r="C30" s="9"/>
      <c r="D30" s="9" t="s">
        <v>120</v>
      </c>
      <c r="E30" s="103">
        <v>171478.7943478261</v>
      </c>
      <c r="F30" s="104">
        <v>13410.4</v>
      </c>
      <c r="G30" s="104">
        <v>8076.4</v>
      </c>
      <c r="H30" s="104">
        <v>7926.4</v>
      </c>
      <c r="I30" s="104">
        <v>4230.3999999999996</v>
      </c>
      <c r="J30" s="104">
        <v>4938.3999999999996</v>
      </c>
      <c r="K30" s="104">
        <v>1770</v>
      </c>
      <c r="L30" s="104">
        <v>0</v>
      </c>
      <c r="M30" s="104">
        <v>0</v>
      </c>
      <c r="N30" s="104">
        <v>38084.864347826086</v>
      </c>
      <c r="O30" s="104">
        <v>9736.2000000000007</v>
      </c>
      <c r="P30" s="104">
        <v>8748.0400000000009</v>
      </c>
      <c r="Q30" s="107">
        <v>12402.490000000002</v>
      </c>
      <c r="R30" s="107">
        <v>8014.2000000000007</v>
      </c>
      <c r="S30" s="107">
        <v>7016.8000000000011</v>
      </c>
      <c r="T30" s="107">
        <v>19547.2</v>
      </c>
      <c r="U30" s="107">
        <v>20000.800000000003</v>
      </c>
      <c r="V30" s="108">
        <v>7576.2000000000007</v>
      </c>
      <c r="W30" s="9"/>
      <c r="X30" s="9" t="s">
        <v>120</v>
      </c>
    </row>
    <row r="31" spans="3:24" s="12" customFormat="1" ht="15.75" customHeight="1">
      <c r="C31" s="9"/>
      <c r="D31" s="9" t="s">
        <v>119</v>
      </c>
      <c r="E31" s="103">
        <v>169294.6</v>
      </c>
      <c r="F31" s="104">
        <v>37632</v>
      </c>
      <c r="G31" s="104">
        <v>14760</v>
      </c>
      <c r="H31" s="104">
        <v>14712</v>
      </c>
      <c r="I31" s="104">
        <v>5388</v>
      </c>
      <c r="J31" s="104">
        <v>8058</v>
      </c>
      <c r="K31" s="104">
        <v>0</v>
      </c>
      <c r="L31" s="104">
        <v>0</v>
      </c>
      <c r="M31" s="104">
        <v>0</v>
      </c>
      <c r="N31" s="104">
        <v>0</v>
      </c>
      <c r="O31" s="104">
        <v>6408</v>
      </c>
      <c r="P31" s="104">
        <v>5778</v>
      </c>
      <c r="Q31" s="107">
        <v>15264</v>
      </c>
      <c r="R31" s="107">
        <v>10896</v>
      </c>
      <c r="S31" s="107">
        <v>23398.6</v>
      </c>
      <c r="T31" s="107">
        <v>0</v>
      </c>
      <c r="U31" s="107">
        <v>11652</v>
      </c>
      <c r="V31" s="108">
        <v>15348</v>
      </c>
      <c r="W31" s="9"/>
      <c r="X31" s="9" t="s">
        <v>119</v>
      </c>
    </row>
    <row r="32" spans="3:24" s="12" customFormat="1" ht="15.75" customHeight="1" thickBot="1">
      <c r="C32" s="118"/>
      <c r="D32" s="118" t="s">
        <v>118</v>
      </c>
      <c r="E32" s="119">
        <v>806598</v>
      </c>
      <c r="F32" s="120">
        <v>98856</v>
      </c>
      <c r="G32" s="120">
        <v>0</v>
      </c>
      <c r="H32" s="120">
        <v>22038</v>
      </c>
      <c r="I32" s="120">
        <v>28752</v>
      </c>
      <c r="J32" s="120">
        <v>25830</v>
      </c>
      <c r="K32" s="120">
        <v>42456</v>
      </c>
      <c r="L32" s="120">
        <v>26094</v>
      </c>
      <c r="M32" s="120">
        <v>0</v>
      </c>
      <c r="N32" s="120">
        <v>254310</v>
      </c>
      <c r="O32" s="120">
        <v>40566</v>
      </c>
      <c r="P32" s="120">
        <v>45084</v>
      </c>
      <c r="Q32" s="121">
        <v>66336</v>
      </c>
      <c r="R32" s="121">
        <v>45474</v>
      </c>
      <c r="S32" s="121">
        <v>23928</v>
      </c>
      <c r="T32" s="121">
        <v>36348</v>
      </c>
      <c r="U32" s="121">
        <v>50526</v>
      </c>
      <c r="V32" s="122">
        <v>0</v>
      </c>
      <c r="W32" s="118"/>
      <c r="X32" s="118" t="s">
        <v>118</v>
      </c>
    </row>
    <row r="33" spans="3:31" s="6" customFormat="1" ht="15.75" customHeight="1">
      <c r="C33" s="68"/>
      <c r="D33" s="68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1"/>
      <c r="R33" s="71"/>
      <c r="S33" s="71"/>
      <c r="T33" s="71"/>
      <c r="U33" s="71"/>
      <c r="V33" s="71"/>
      <c r="W33" s="68"/>
      <c r="X33" s="68"/>
    </row>
    <row r="34" spans="3:31" s="6" customFormat="1" ht="15.75" customHeight="1">
      <c r="C34" s="72" t="s">
        <v>197</v>
      </c>
      <c r="D34" s="303" t="s">
        <v>282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</row>
    <row r="37" spans="3:31" s="6" customFormat="1" ht="21">
      <c r="C37" s="19" t="s">
        <v>117</v>
      </c>
      <c r="D37" s="300" t="s">
        <v>283</v>
      </c>
    </row>
    <row r="38" spans="3:31" s="6" customFormat="1" ht="15.75" customHeight="1" thickBo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X38" s="29"/>
    </row>
    <row r="39" spans="3:31" s="6" customFormat="1" ht="15.75" customHeight="1">
      <c r="C39" s="304" t="s">
        <v>263</v>
      </c>
      <c r="D39" s="304"/>
      <c r="E39" s="82" t="s">
        <v>79</v>
      </c>
      <c r="F39" s="123" t="s">
        <v>78</v>
      </c>
      <c r="G39" s="124" t="s">
        <v>77</v>
      </c>
      <c r="H39" s="124" t="s">
        <v>76</v>
      </c>
      <c r="I39" s="125" t="s">
        <v>75</v>
      </c>
      <c r="J39" s="83" t="s">
        <v>74</v>
      </c>
      <c r="K39" s="83" t="s">
        <v>73</v>
      </c>
      <c r="L39" s="83" t="s">
        <v>72</v>
      </c>
      <c r="M39" s="83" t="s">
        <v>71</v>
      </c>
      <c r="N39" s="83" t="s">
        <v>70</v>
      </c>
      <c r="O39" s="83" t="s">
        <v>69</v>
      </c>
      <c r="P39" s="83" t="s">
        <v>68</v>
      </c>
      <c r="Q39" s="83" t="s">
        <v>67</v>
      </c>
      <c r="R39" s="83" t="s">
        <v>66</v>
      </c>
      <c r="S39" s="83" t="s">
        <v>65</v>
      </c>
      <c r="T39" s="83" t="s">
        <v>64</v>
      </c>
      <c r="U39" s="83" t="s">
        <v>63</v>
      </c>
      <c r="V39" s="84" t="s">
        <v>62</v>
      </c>
      <c r="W39" s="306" t="s">
        <v>61</v>
      </c>
      <c r="X39" s="304"/>
      <c r="AA39"/>
      <c r="AB39"/>
      <c r="AC39"/>
      <c r="AD39"/>
      <c r="AE39"/>
    </row>
    <row r="40" spans="3:31" s="6" customFormat="1" ht="15.75" customHeight="1">
      <c r="C40" s="305"/>
      <c r="D40" s="305"/>
      <c r="E40" s="85" t="s">
        <v>22</v>
      </c>
      <c r="F40" s="31" t="s">
        <v>60</v>
      </c>
      <c r="G40" s="28" t="s">
        <v>59</v>
      </c>
      <c r="H40" s="28" t="s">
        <v>58</v>
      </c>
      <c r="I40" s="28" t="s">
        <v>57</v>
      </c>
      <c r="J40" s="30" t="s">
        <v>56</v>
      </c>
      <c r="K40" s="14" t="s">
        <v>55</v>
      </c>
      <c r="L40" s="14" t="s">
        <v>54</v>
      </c>
      <c r="M40" s="14" t="s">
        <v>53</v>
      </c>
      <c r="N40" s="14" t="s">
        <v>52</v>
      </c>
      <c r="O40" s="14" t="s">
        <v>51</v>
      </c>
      <c r="P40" s="14" t="s">
        <v>50</v>
      </c>
      <c r="Q40" s="14" t="s">
        <v>49</v>
      </c>
      <c r="R40" s="14" t="s">
        <v>48</v>
      </c>
      <c r="S40" s="14" t="s">
        <v>47</v>
      </c>
      <c r="T40" s="14" t="s">
        <v>46</v>
      </c>
      <c r="U40" s="14" t="s">
        <v>45</v>
      </c>
      <c r="V40" s="13" t="s">
        <v>44</v>
      </c>
      <c r="W40" s="307"/>
      <c r="X40" s="305"/>
    </row>
    <row r="41" spans="3:31" s="12" customFormat="1" ht="15.75" customHeight="1">
      <c r="C41" s="86" t="s">
        <v>225</v>
      </c>
      <c r="D41" s="303" t="s">
        <v>270</v>
      </c>
      <c r="E41" s="88">
        <v>4155968.7257422796</v>
      </c>
      <c r="F41" s="126">
        <v>51483.988962978328</v>
      </c>
      <c r="G41" s="127">
        <v>49896.21004187833</v>
      </c>
      <c r="H41" s="127">
        <v>37300.036516680288</v>
      </c>
      <c r="I41" s="127">
        <v>41476.585821756104</v>
      </c>
      <c r="J41" s="128">
        <v>62948.497431767457</v>
      </c>
      <c r="K41" s="89">
        <v>20155.941906301417</v>
      </c>
      <c r="L41" s="89">
        <v>27194.543697516394</v>
      </c>
      <c r="M41" s="89">
        <v>18642.792844186024</v>
      </c>
      <c r="N41" s="89">
        <v>310544.38389915903</v>
      </c>
      <c r="O41" s="89">
        <v>302731.28441019298</v>
      </c>
      <c r="P41" s="89">
        <v>240147.28817523053</v>
      </c>
      <c r="Q41" s="90">
        <v>531764.34233321436</v>
      </c>
      <c r="R41" s="90">
        <v>693751.73354302812</v>
      </c>
      <c r="S41" s="90">
        <v>849985.34248828213</v>
      </c>
      <c r="T41" s="129">
        <v>497059.72187898436</v>
      </c>
      <c r="U41" s="130">
        <v>315377.20073226176</v>
      </c>
      <c r="V41" s="131">
        <v>105508.83105886129</v>
      </c>
      <c r="W41" s="132" t="s">
        <v>226</v>
      </c>
      <c r="X41" s="87"/>
    </row>
    <row r="42" spans="3:31" s="12" customFormat="1" ht="15.75" customHeight="1">
      <c r="C42" s="86" t="s">
        <v>236</v>
      </c>
      <c r="D42" s="87" t="s">
        <v>284</v>
      </c>
      <c r="E42" s="88">
        <v>19297853.596039835</v>
      </c>
      <c r="F42" s="126">
        <v>227866.04597331374</v>
      </c>
      <c r="G42" s="127">
        <v>227442.09715880209</v>
      </c>
      <c r="H42" s="127">
        <v>169861.89541879564</v>
      </c>
      <c r="I42" s="127">
        <v>188044.0784130501</v>
      </c>
      <c r="J42" s="133">
        <v>290920.8576453735</v>
      </c>
      <c r="K42" s="126">
        <v>90592.847879394772</v>
      </c>
      <c r="L42" s="127">
        <v>123674.47834583095</v>
      </c>
      <c r="M42" s="127">
        <v>85366.360026943541</v>
      </c>
      <c r="N42" s="128">
        <v>1424396.9835968548</v>
      </c>
      <c r="O42" s="126">
        <v>1408162.6074268308</v>
      </c>
      <c r="P42" s="128">
        <v>1109875.1780600019</v>
      </c>
      <c r="Q42" s="134">
        <v>2478947.3740582704</v>
      </c>
      <c r="R42" s="135">
        <v>3240492.5623587798</v>
      </c>
      <c r="S42" s="135">
        <v>3969762.1520437645</v>
      </c>
      <c r="T42" s="136">
        <v>2316120.3555445634</v>
      </c>
      <c r="U42" s="136">
        <v>1456698.5322186071</v>
      </c>
      <c r="V42" s="137">
        <v>489629.18987065804</v>
      </c>
      <c r="W42" s="138" t="s">
        <v>237</v>
      </c>
      <c r="X42" s="87"/>
    </row>
    <row r="43" spans="3:31" s="12" customFormat="1" ht="15.75" customHeight="1">
      <c r="C43" s="86" t="s">
        <v>238</v>
      </c>
      <c r="D43" s="86" t="s">
        <v>285</v>
      </c>
      <c r="E43" s="88">
        <v>17322703.494999949</v>
      </c>
      <c r="F43" s="139">
        <v>187109.58874995151</v>
      </c>
      <c r="G43" s="140">
        <v>186930.18074999982</v>
      </c>
      <c r="H43" s="140">
        <v>144470.90974999973</v>
      </c>
      <c r="I43" s="140">
        <v>163889.73274999997</v>
      </c>
      <c r="J43" s="140">
        <v>242983.39074999999</v>
      </c>
      <c r="K43" s="141">
        <v>77167.368749998801</v>
      </c>
      <c r="L43" s="142">
        <v>103982.43174999999</v>
      </c>
      <c r="M43" s="142">
        <v>72827.859999999986</v>
      </c>
      <c r="N43" s="142">
        <v>1288753.3457499971</v>
      </c>
      <c r="O43" s="141">
        <v>1311677.736750003</v>
      </c>
      <c r="P43" s="142">
        <v>1012650.1477499973</v>
      </c>
      <c r="Q43" s="141">
        <v>2201374.2057500114</v>
      </c>
      <c r="R43" s="142">
        <v>2903799.6947499998</v>
      </c>
      <c r="S43" s="142">
        <v>3637726.614749982</v>
      </c>
      <c r="T43" s="141">
        <v>2035301.1567500054</v>
      </c>
      <c r="U43" s="141">
        <v>1281609.287750005</v>
      </c>
      <c r="V43" s="143">
        <v>470449.84175000002</v>
      </c>
      <c r="W43" s="138" t="s">
        <v>239</v>
      </c>
      <c r="X43" s="86"/>
    </row>
    <row r="44" spans="3:31" s="6" customFormat="1" ht="15.75" customHeight="1">
      <c r="C44" s="9"/>
      <c r="E44" s="103"/>
      <c r="F44" s="144"/>
      <c r="G44" s="145"/>
      <c r="H44" s="145"/>
      <c r="I44" s="145"/>
      <c r="J44" s="145"/>
      <c r="K44" s="146"/>
      <c r="L44" s="147"/>
      <c r="M44" s="147"/>
      <c r="N44" s="147"/>
      <c r="O44" s="146"/>
      <c r="P44" s="147"/>
      <c r="Q44" s="146"/>
      <c r="R44" s="147"/>
      <c r="S44" s="147"/>
      <c r="T44" s="146"/>
      <c r="U44" s="146"/>
      <c r="V44" s="148"/>
      <c r="W44" s="149"/>
      <c r="X44" s="9"/>
    </row>
    <row r="45" spans="3:31" s="6" customFormat="1" ht="15.75" customHeight="1">
      <c r="C45" s="86" t="s">
        <v>43</v>
      </c>
      <c r="D45" s="300" t="s">
        <v>286</v>
      </c>
      <c r="E45" s="150"/>
      <c r="F45" s="151"/>
      <c r="G45" s="152"/>
      <c r="H45" s="152"/>
      <c r="I45" s="152"/>
      <c r="J45" s="152"/>
      <c r="K45" s="153"/>
      <c r="L45" s="152"/>
      <c r="M45" s="152"/>
      <c r="N45" s="152"/>
      <c r="O45" s="153"/>
      <c r="P45" s="152"/>
      <c r="Q45" s="153"/>
      <c r="R45" s="152"/>
      <c r="S45" s="152"/>
      <c r="T45" s="153"/>
      <c r="U45" s="153"/>
      <c r="V45" s="87"/>
      <c r="W45" s="138" t="s">
        <v>43</v>
      </c>
      <c r="X45" s="86"/>
    </row>
    <row r="46" spans="3:31" s="12" customFormat="1" ht="15.75" customHeight="1">
      <c r="C46" s="9"/>
      <c r="D46" s="102" t="s">
        <v>229</v>
      </c>
      <c r="E46" s="103">
        <v>4658156.609000003</v>
      </c>
      <c r="F46" s="154">
        <v>18153.018000001692</v>
      </c>
      <c r="G46" s="155">
        <v>25541.988999999961</v>
      </c>
      <c r="H46" s="155">
        <v>23490.839999999993</v>
      </c>
      <c r="I46" s="155">
        <v>27991.219999999958</v>
      </c>
      <c r="J46" s="155">
        <v>27801.036999999928</v>
      </c>
      <c r="K46" s="156">
        <v>7874.1199999999144</v>
      </c>
      <c r="L46" s="155">
        <v>21337.440000000002</v>
      </c>
      <c r="M46" s="155">
        <v>12034.96</v>
      </c>
      <c r="N46" s="155">
        <v>291396.60599999782</v>
      </c>
      <c r="O46" s="156">
        <v>363506.27100000007</v>
      </c>
      <c r="P46" s="155">
        <v>261764.48599999989</v>
      </c>
      <c r="Q46" s="157">
        <v>589625.80400000035</v>
      </c>
      <c r="R46" s="158">
        <v>805539.12000000209</v>
      </c>
      <c r="S46" s="158">
        <v>1207676.6700000004</v>
      </c>
      <c r="T46" s="157">
        <v>546281.71499999985</v>
      </c>
      <c r="U46" s="157">
        <v>300625.82300000102</v>
      </c>
      <c r="V46" s="159">
        <v>127515.48999999999</v>
      </c>
      <c r="W46" s="149"/>
      <c r="X46" s="102" t="s">
        <v>240</v>
      </c>
    </row>
    <row r="47" spans="3:31" s="6" customFormat="1" ht="15.75" customHeight="1">
      <c r="C47" s="9"/>
      <c r="D47" s="102" t="s">
        <v>230</v>
      </c>
      <c r="E47" s="103">
        <v>3917131.8030000087</v>
      </c>
      <c r="F47" s="154">
        <v>31894.491000000166</v>
      </c>
      <c r="G47" s="155">
        <v>24043.764999999992</v>
      </c>
      <c r="H47" s="155">
        <v>25627.181000000004</v>
      </c>
      <c r="I47" s="155">
        <v>26752.170000000056</v>
      </c>
      <c r="J47" s="155">
        <v>53050.094999999987</v>
      </c>
      <c r="K47" s="156">
        <v>13225.630000000046</v>
      </c>
      <c r="L47" s="155">
        <v>18091.327999999998</v>
      </c>
      <c r="M47" s="155">
        <v>12674.859999999999</v>
      </c>
      <c r="N47" s="155">
        <v>320638.54100000008</v>
      </c>
      <c r="O47" s="156">
        <v>280870.10999999969</v>
      </c>
      <c r="P47" s="155">
        <v>256148.41099999921</v>
      </c>
      <c r="Q47" s="157">
        <v>613939.70500000345</v>
      </c>
      <c r="R47" s="158">
        <v>688546.85300000478</v>
      </c>
      <c r="S47" s="158">
        <v>701530.35500000091</v>
      </c>
      <c r="T47" s="157">
        <v>462322.26200000051</v>
      </c>
      <c r="U47" s="157">
        <v>269358.5359999995</v>
      </c>
      <c r="V47" s="159">
        <v>118417.51000000004</v>
      </c>
      <c r="W47" s="149"/>
      <c r="X47" s="102" t="s">
        <v>230</v>
      </c>
    </row>
    <row r="48" spans="3:31" s="6" customFormat="1" ht="15.75" customHeight="1">
      <c r="C48" s="9"/>
      <c r="D48" s="102" t="s">
        <v>231</v>
      </c>
      <c r="E48" s="103">
        <v>2589137.4059999986</v>
      </c>
      <c r="F48" s="154">
        <v>37030.33000000006</v>
      </c>
      <c r="G48" s="155">
        <v>32342.524999999987</v>
      </c>
      <c r="H48" s="155">
        <v>23212.305</v>
      </c>
      <c r="I48" s="155">
        <v>25557.840000000022</v>
      </c>
      <c r="J48" s="155">
        <v>43296.423999999999</v>
      </c>
      <c r="K48" s="156">
        <v>11985.63</v>
      </c>
      <c r="L48" s="155">
        <v>14430.01</v>
      </c>
      <c r="M48" s="155">
        <v>11923.34</v>
      </c>
      <c r="N48" s="155">
        <v>227266.45999999993</v>
      </c>
      <c r="O48" s="156">
        <v>276977.29100000003</v>
      </c>
      <c r="P48" s="155">
        <v>149136.21399999995</v>
      </c>
      <c r="Q48" s="157">
        <v>274488.71999999991</v>
      </c>
      <c r="R48" s="158">
        <v>471509.51699999889</v>
      </c>
      <c r="S48" s="158">
        <v>414747.21999999956</v>
      </c>
      <c r="T48" s="157">
        <v>312002.54000000015</v>
      </c>
      <c r="U48" s="157">
        <v>193150.37</v>
      </c>
      <c r="V48" s="159">
        <v>70080.67</v>
      </c>
      <c r="W48" s="149"/>
      <c r="X48" s="102" t="s">
        <v>231</v>
      </c>
    </row>
    <row r="49" spans="3:24" s="6" customFormat="1" ht="15.75" customHeight="1">
      <c r="C49" s="9"/>
      <c r="D49" s="9"/>
      <c r="E49" s="115"/>
      <c r="F49" s="160"/>
      <c r="G49" s="161"/>
      <c r="H49" s="161"/>
      <c r="I49" s="161"/>
      <c r="J49" s="161"/>
      <c r="K49" s="162"/>
      <c r="L49" s="161"/>
      <c r="M49" s="161"/>
      <c r="N49" s="161"/>
      <c r="O49" s="162"/>
      <c r="P49" s="161"/>
      <c r="Q49" s="163"/>
      <c r="R49" s="164"/>
      <c r="S49" s="164"/>
      <c r="T49" s="165"/>
      <c r="U49" s="166"/>
      <c r="V49" s="10"/>
      <c r="W49" s="149"/>
      <c r="X49" s="9"/>
    </row>
    <row r="50" spans="3:24" s="12" customFormat="1" ht="15.75" customHeight="1">
      <c r="C50" s="86" t="s">
        <v>241</v>
      </c>
      <c r="D50" s="303" t="s">
        <v>287</v>
      </c>
      <c r="E50" s="88">
        <v>17322703.494999997</v>
      </c>
      <c r="F50" s="126">
        <v>187109.58875000145</v>
      </c>
      <c r="G50" s="126">
        <v>186930.18074999988</v>
      </c>
      <c r="H50" s="126">
        <v>144470.9097500002</v>
      </c>
      <c r="I50" s="126">
        <v>163889.73275000002</v>
      </c>
      <c r="J50" s="126">
        <v>242983.39075000028</v>
      </c>
      <c r="K50" s="126">
        <v>77167.368750000081</v>
      </c>
      <c r="L50" s="126">
        <v>103982.43175000009</v>
      </c>
      <c r="M50" s="126">
        <v>72827.859999999986</v>
      </c>
      <c r="N50" s="126">
        <v>1288753.3457499966</v>
      </c>
      <c r="O50" s="126">
        <v>1311677.736750003</v>
      </c>
      <c r="P50" s="126">
        <v>1012650.1477499985</v>
      </c>
      <c r="Q50" s="126">
        <v>2201374.2057500109</v>
      </c>
      <c r="R50" s="126">
        <v>2903799.6947499984</v>
      </c>
      <c r="S50" s="126">
        <v>3637726.6147499811</v>
      </c>
      <c r="T50" s="126">
        <v>2035301.1567500031</v>
      </c>
      <c r="U50" s="126">
        <v>1281609.2877500022</v>
      </c>
      <c r="V50" s="137">
        <v>470449.84175000014</v>
      </c>
      <c r="W50" s="138" t="s">
        <v>242</v>
      </c>
      <c r="X50" s="87"/>
    </row>
    <row r="51" spans="3:24" s="12" customFormat="1" ht="15.75" customHeight="1">
      <c r="D51" s="300" t="s">
        <v>288</v>
      </c>
      <c r="E51" s="103">
        <v>1544773.99</v>
      </c>
      <c r="F51" s="154">
        <v>96035.205000001428</v>
      </c>
      <c r="G51" s="155">
        <v>38214.851999999919</v>
      </c>
      <c r="H51" s="155">
        <v>27198.066000000174</v>
      </c>
      <c r="I51" s="155">
        <v>35656.681000000033</v>
      </c>
      <c r="J51" s="167">
        <v>27382.271000000284</v>
      </c>
      <c r="K51" s="154">
        <v>22953.571000000076</v>
      </c>
      <c r="L51" s="155">
        <v>27843.34000000008</v>
      </c>
      <c r="M51" s="168">
        <v>10939.97</v>
      </c>
      <c r="N51" s="104">
        <v>245711.62999999683</v>
      </c>
      <c r="O51" s="104">
        <v>97772.742000000042</v>
      </c>
      <c r="P51" s="104">
        <v>124343.9150000004</v>
      </c>
      <c r="Q51" s="169">
        <v>139889.05699999988</v>
      </c>
      <c r="R51" s="170">
        <v>143117.78599999921</v>
      </c>
      <c r="S51" s="107">
        <v>162504.98599999989</v>
      </c>
      <c r="T51" s="107">
        <v>130932.69200000071</v>
      </c>
      <c r="U51" s="169">
        <v>176980.97100000118</v>
      </c>
      <c r="V51" s="159">
        <v>37296.255000000034</v>
      </c>
      <c r="W51" s="171"/>
      <c r="X51" s="116" t="s">
        <v>42</v>
      </c>
    </row>
    <row r="52" spans="3:24" s="12" customFormat="1" ht="15.75" customHeight="1">
      <c r="C52" s="9"/>
      <c r="D52" s="300" t="s">
        <v>289</v>
      </c>
      <c r="E52" s="103">
        <v>324808.45000000007</v>
      </c>
      <c r="F52" s="154">
        <v>23657.667750000015</v>
      </c>
      <c r="G52" s="155">
        <v>12948.604749999995</v>
      </c>
      <c r="H52" s="155">
        <v>13958.333750000002</v>
      </c>
      <c r="I52" s="155">
        <v>21320.525750000023</v>
      </c>
      <c r="J52" s="167">
        <v>5968.141749999998</v>
      </c>
      <c r="K52" s="154">
        <v>10609.256749999993</v>
      </c>
      <c r="L52" s="155">
        <v>6344.6167499999938</v>
      </c>
      <c r="M52" s="168">
        <v>5251.59</v>
      </c>
      <c r="N52" s="104">
        <v>36406.633750000045</v>
      </c>
      <c r="O52" s="104">
        <v>21055.912750000003</v>
      </c>
      <c r="P52" s="104">
        <v>24216.390749999999</v>
      </c>
      <c r="Q52" s="107">
        <v>24404.409750000028</v>
      </c>
      <c r="R52" s="107">
        <v>19751.996749999988</v>
      </c>
      <c r="S52" s="107">
        <v>27284.269750000007</v>
      </c>
      <c r="T52" s="107">
        <v>27832.317749999973</v>
      </c>
      <c r="U52" s="169">
        <v>32854.283750000031</v>
      </c>
      <c r="V52" s="159">
        <v>10943.49775</v>
      </c>
      <c r="W52" s="149"/>
      <c r="X52" s="116" t="s">
        <v>41</v>
      </c>
    </row>
    <row r="53" spans="3:24" s="12" customFormat="1" ht="15.75" customHeight="1">
      <c r="C53" s="9"/>
      <c r="D53" s="300" t="s">
        <v>290</v>
      </c>
      <c r="E53" s="103">
        <v>184913.26800000001</v>
      </c>
      <c r="F53" s="154">
        <v>13024.684999999992</v>
      </c>
      <c r="G53" s="155">
        <v>12145.580000000002</v>
      </c>
      <c r="H53" s="155">
        <v>11909.630000000003</v>
      </c>
      <c r="I53" s="155">
        <v>11462.467999999999</v>
      </c>
      <c r="J53" s="167">
        <v>5280.1520000000019</v>
      </c>
      <c r="K53" s="154">
        <v>5423.7660000000051</v>
      </c>
      <c r="L53" s="155">
        <v>5560</v>
      </c>
      <c r="M53" s="168">
        <v>4777.7099999999991</v>
      </c>
      <c r="N53" s="104">
        <v>45868.490999999995</v>
      </c>
      <c r="O53" s="104">
        <v>6654.9770000000017</v>
      </c>
      <c r="P53" s="104">
        <v>11169.684999999992</v>
      </c>
      <c r="Q53" s="107">
        <v>8291.3289999999997</v>
      </c>
      <c r="R53" s="107">
        <v>4058.7699999999991</v>
      </c>
      <c r="S53" s="107">
        <v>7493.125</v>
      </c>
      <c r="T53" s="107">
        <v>12702.483</v>
      </c>
      <c r="U53" s="169">
        <v>13534.863000000001</v>
      </c>
      <c r="V53" s="159">
        <v>5555.5539999999983</v>
      </c>
      <c r="W53" s="149"/>
      <c r="X53" s="116" t="s">
        <v>40</v>
      </c>
    </row>
    <row r="54" spans="3:24" s="12" customFormat="1" ht="15.75" customHeight="1">
      <c r="C54" s="9"/>
      <c r="D54" s="300" t="s">
        <v>291</v>
      </c>
      <c r="E54" s="103">
        <v>57278.28100000001</v>
      </c>
      <c r="F54" s="154">
        <v>1964.6160000000002</v>
      </c>
      <c r="G54" s="155">
        <v>890.02400000000011</v>
      </c>
      <c r="H54" s="155">
        <v>1093.7099999999998</v>
      </c>
      <c r="I54" s="155">
        <v>1445.7599999999993</v>
      </c>
      <c r="J54" s="167">
        <v>1549.7499999999998</v>
      </c>
      <c r="K54" s="154">
        <v>319.44500000000005</v>
      </c>
      <c r="L54" s="168">
        <v>338.95</v>
      </c>
      <c r="M54" s="104">
        <v>1247.3799999999997</v>
      </c>
      <c r="N54" s="104">
        <v>5995.8370000000032</v>
      </c>
      <c r="O54" s="104">
        <v>2668.6950000000006</v>
      </c>
      <c r="P54" s="104">
        <v>10932.749999999998</v>
      </c>
      <c r="Q54" s="107">
        <v>5292.0650000000032</v>
      </c>
      <c r="R54" s="107">
        <v>2718.4169999999981</v>
      </c>
      <c r="S54" s="107">
        <v>3776.2589999999987</v>
      </c>
      <c r="T54" s="107">
        <v>3667.5879999999979</v>
      </c>
      <c r="U54" s="107">
        <v>11576.415000000006</v>
      </c>
      <c r="V54" s="172">
        <v>1800.6200000000019</v>
      </c>
      <c r="W54" s="149"/>
      <c r="X54" s="116" t="s">
        <v>39</v>
      </c>
    </row>
    <row r="55" spans="3:24" s="12" customFormat="1" ht="15.75" customHeight="1">
      <c r="C55" s="9"/>
      <c r="D55" s="300" t="s">
        <v>292</v>
      </c>
      <c r="E55" s="103">
        <v>47521.601999999992</v>
      </c>
      <c r="F55" s="154">
        <v>770.55000000000007</v>
      </c>
      <c r="G55" s="155">
        <v>3150.2499999999995</v>
      </c>
      <c r="H55" s="155">
        <v>2188.59</v>
      </c>
      <c r="I55" s="155">
        <v>1084.0700000000002</v>
      </c>
      <c r="J55" s="167">
        <v>2226.2900000000004</v>
      </c>
      <c r="K55" s="154">
        <v>925.41</v>
      </c>
      <c r="L55" s="168">
        <v>933.8</v>
      </c>
      <c r="M55" s="104">
        <v>472.96</v>
      </c>
      <c r="N55" s="104">
        <v>9220.9649999999983</v>
      </c>
      <c r="O55" s="104">
        <v>2857.6200000000003</v>
      </c>
      <c r="P55" s="104">
        <v>4288.5249999999996</v>
      </c>
      <c r="Q55" s="104">
        <v>4323.7800000000007</v>
      </c>
      <c r="R55" s="104">
        <v>2424.4599999999996</v>
      </c>
      <c r="S55" s="104">
        <v>4582.2999999999993</v>
      </c>
      <c r="T55" s="104">
        <v>3985.982</v>
      </c>
      <c r="U55" s="104">
        <v>3429.7299999999996</v>
      </c>
      <c r="V55" s="173">
        <v>656.31999999999994</v>
      </c>
      <c r="W55" s="149"/>
      <c r="X55" s="116" t="s">
        <v>38</v>
      </c>
    </row>
    <row r="56" spans="3:24" s="12" customFormat="1" ht="15.75" customHeight="1">
      <c r="C56" s="9"/>
      <c r="D56" s="300" t="s">
        <v>293</v>
      </c>
      <c r="E56" s="103">
        <v>179944.15400000004</v>
      </c>
      <c r="F56" s="154">
        <v>10830.105</v>
      </c>
      <c r="G56" s="155">
        <v>7493.4799999999968</v>
      </c>
      <c r="H56" s="155">
        <v>2826.14</v>
      </c>
      <c r="I56" s="155">
        <v>5558.1279999999988</v>
      </c>
      <c r="J56" s="167">
        <v>6337.66</v>
      </c>
      <c r="K56" s="154">
        <v>2842.97</v>
      </c>
      <c r="L56" s="168">
        <v>3217.87</v>
      </c>
      <c r="M56" s="104">
        <v>979.5</v>
      </c>
      <c r="N56" s="104">
        <v>24394.524000000016</v>
      </c>
      <c r="O56" s="104">
        <v>12721.886999999995</v>
      </c>
      <c r="P56" s="104">
        <v>10198.105000000005</v>
      </c>
      <c r="Q56" s="107">
        <v>13705.510000000004</v>
      </c>
      <c r="R56" s="104">
        <v>13518.44</v>
      </c>
      <c r="S56" s="104">
        <v>23342.035000000029</v>
      </c>
      <c r="T56" s="104">
        <v>15173.934999999999</v>
      </c>
      <c r="U56" s="104">
        <v>20969.095000000001</v>
      </c>
      <c r="V56" s="173">
        <v>5834.7699999999986</v>
      </c>
      <c r="W56" s="149"/>
      <c r="X56" s="116" t="s">
        <v>37</v>
      </c>
    </row>
    <row r="57" spans="3:24" s="12" customFormat="1" ht="15.75" customHeight="1">
      <c r="C57" s="9"/>
      <c r="D57" s="300" t="s">
        <v>294</v>
      </c>
      <c r="E57" s="103">
        <v>14910941.664999994</v>
      </c>
      <c r="F57" s="154">
        <v>36986.899999999994</v>
      </c>
      <c r="G57" s="155">
        <v>110771.12999999999</v>
      </c>
      <c r="H57" s="155">
        <v>83659.500000000015</v>
      </c>
      <c r="I57" s="155">
        <v>86052.549999999988</v>
      </c>
      <c r="J57" s="167">
        <v>192160.40100000001</v>
      </c>
      <c r="K57" s="154">
        <v>32825.33</v>
      </c>
      <c r="L57" s="168">
        <v>59123.865000000013</v>
      </c>
      <c r="M57" s="104">
        <v>48725.049999999988</v>
      </c>
      <c r="N57" s="104">
        <v>911204.49499999965</v>
      </c>
      <c r="O57" s="104">
        <v>1163643.2820000029</v>
      </c>
      <c r="P57" s="104">
        <v>816224.08599999803</v>
      </c>
      <c r="Q57" s="107">
        <v>1998902.010000011</v>
      </c>
      <c r="R57" s="107">
        <v>2712482.0799999991</v>
      </c>
      <c r="S57" s="107">
        <v>3399217.3599999812</v>
      </c>
      <c r="T57" s="107">
        <v>1835326.2260000026</v>
      </c>
      <c r="U57" s="107">
        <v>1017155.3200000008</v>
      </c>
      <c r="V57" s="172">
        <v>406482.08000000013</v>
      </c>
      <c r="W57" s="149"/>
      <c r="X57" s="116" t="s">
        <v>36</v>
      </c>
    </row>
    <row r="58" spans="3:24" s="12" customFormat="1" ht="15.75" customHeight="1">
      <c r="C58" s="9"/>
      <c r="D58" s="302" t="s">
        <v>280</v>
      </c>
      <c r="E58" s="103">
        <v>72522.084999999977</v>
      </c>
      <c r="F58" s="154">
        <v>3839.8600000000015</v>
      </c>
      <c r="G58" s="155">
        <v>1316.2599999999998</v>
      </c>
      <c r="H58" s="155">
        <v>1636.9399999999998</v>
      </c>
      <c r="I58" s="155">
        <v>1309.5499999999997</v>
      </c>
      <c r="J58" s="167">
        <v>2078.7250000000004</v>
      </c>
      <c r="K58" s="154">
        <v>1267.6200000000001</v>
      </c>
      <c r="L58" s="168">
        <v>619.9899999999999</v>
      </c>
      <c r="M58" s="104">
        <v>433.70000000000005</v>
      </c>
      <c r="N58" s="104">
        <v>9950.7700000000023</v>
      </c>
      <c r="O58" s="104">
        <v>4302.6209999999992</v>
      </c>
      <c r="P58" s="104">
        <v>11276.69099999999</v>
      </c>
      <c r="Q58" s="107">
        <v>6566.0449999999992</v>
      </c>
      <c r="R58" s="107">
        <v>5727.7449999999972</v>
      </c>
      <c r="S58" s="107">
        <v>9526.2799999999988</v>
      </c>
      <c r="T58" s="107">
        <v>5679.9329999999964</v>
      </c>
      <c r="U58" s="107">
        <v>5108.6100000000024</v>
      </c>
      <c r="V58" s="172">
        <v>1880.7450000000015</v>
      </c>
      <c r="W58" s="149"/>
      <c r="X58" s="116" t="s">
        <v>35</v>
      </c>
    </row>
    <row r="59" spans="3:24" s="6" customFormat="1" ht="15.75" customHeight="1">
      <c r="C59" s="9"/>
      <c r="D59" s="9"/>
      <c r="E59" s="103"/>
      <c r="F59" s="154"/>
      <c r="G59" s="155"/>
      <c r="H59" s="155"/>
      <c r="I59" s="155"/>
      <c r="J59" s="167"/>
      <c r="K59" s="154"/>
      <c r="L59" s="168"/>
      <c r="M59" s="104"/>
      <c r="N59" s="104"/>
      <c r="O59" s="104"/>
      <c r="P59" s="104"/>
      <c r="Q59" s="107"/>
      <c r="R59" s="107"/>
      <c r="S59" s="107"/>
      <c r="T59" s="107"/>
      <c r="U59" s="107"/>
      <c r="V59" s="172"/>
      <c r="W59" s="149"/>
      <c r="X59" s="9"/>
    </row>
    <row r="60" spans="3:24" s="6" customFormat="1" ht="15.75" customHeight="1">
      <c r="C60" s="86" t="s">
        <v>243</v>
      </c>
      <c r="D60" s="300" t="s">
        <v>295</v>
      </c>
      <c r="E60" s="88">
        <v>17322703.495000042</v>
      </c>
      <c r="F60" s="127">
        <v>187109.58875000814</v>
      </c>
      <c r="G60" s="127">
        <v>186930.18075</v>
      </c>
      <c r="H60" s="127">
        <v>144470.90974999996</v>
      </c>
      <c r="I60" s="127">
        <v>163889.73274999997</v>
      </c>
      <c r="J60" s="127">
        <v>242983.39075000002</v>
      </c>
      <c r="K60" s="127">
        <v>77167.368750000052</v>
      </c>
      <c r="L60" s="127">
        <v>103982.43174999999</v>
      </c>
      <c r="M60" s="127">
        <v>72827.86</v>
      </c>
      <c r="N60" s="127">
        <v>1288753.345750001</v>
      </c>
      <c r="O60" s="127">
        <v>1311677.7367499997</v>
      </c>
      <c r="P60" s="127">
        <v>1012650.1477499997</v>
      </c>
      <c r="Q60" s="127">
        <v>2201374.2057500067</v>
      </c>
      <c r="R60" s="127">
        <v>2903799.6947500193</v>
      </c>
      <c r="S60" s="127">
        <v>3637726.6147500034</v>
      </c>
      <c r="T60" s="127">
        <v>2035301.1567500022</v>
      </c>
      <c r="U60" s="127">
        <v>1281609.2877500004</v>
      </c>
      <c r="V60" s="174">
        <v>470449.84174999996</v>
      </c>
      <c r="W60" s="138" t="s">
        <v>244</v>
      </c>
      <c r="X60" s="86"/>
    </row>
    <row r="61" spans="3:24" s="6" customFormat="1" ht="15.75" customHeight="1">
      <c r="C61" s="9"/>
      <c r="D61" s="9" t="s">
        <v>34</v>
      </c>
      <c r="E61" s="103">
        <v>31333.432000008139</v>
      </c>
      <c r="F61" s="154">
        <v>23978.144000008069</v>
      </c>
      <c r="G61" s="155">
        <v>408.97499999999468</v>
      </c>
      <c r="H61" s="155">
        <v>345.91599999999784</v>
      </c>
      <c r="I61" s="155">
        <v>479.75700000001063</v>
      </c>
      <c r="J61" s="167">
        <v>424.9409999999969</v>
      </c>
      <c r="K61" s="154">
        <v>1053.9750000000518</v>
      </c>
      <c r="L61" s="168">
        <v>104.78999999999989</v>
      </c>
      <c r="M61" s="104">
        <v>0.89999999999999991</v>
      </c>
      <c r="N61" s="104">
        <v>1457.6590000000774</v>
      </c>
      <c r="O61" s="104">
        <v>137.84900000000033</v>
      </c>
      <c r="P61" s="104">
        <v>4.5760000000000005</v>
      </c>
      <c r="Q61" s="107">
        <v>395.12499999999909</v>
      </c>
      <c r="R61" s="107">
        <v>696.97999999999149</v>
      </c>
      <c r="S61" s="104">
        <v>534.86000000000422</v>
      </c>
      <c r="T61" s="104">
        <v>84.657000000000124</v>
      </c>
      <c r="U61" s="104">
        <v>1213.6779999999369</v>
      </c>
      <c r="V61" s="173">
        <v>10.649999999999999</v>
      </c>
      <c r="W61" s="149"/>
      <c r="X61" s="9" t="s">
        <v>34</v>
      </c>
    </row>
    <row r="62" spans="3:24" s="6" customFormat="1" ht="15.75" customHeight="1">
      <c r="C62" s="9"/>
      <c r="D62" s="9" t="s">
        <v>33</v>
      </c>
      <c r="E62" s="103">
        <v>1221898.3570000022</v>
      </c>
      <c r="F62" s="154">
        <v>51296.680999999997</v>
      </c>
      <c r="G62" s="155">
        <v>35189.407000000014</v>
      </c>
      <c r="H62" s="155">
        <v>23597.679999999989</v>
      </c>
      <c r="I62" s="155">
        <v>27783.805999999997</v>
      </c>
      <c r="J62" s="167">
        <v>21763.235000000004</v>
      </c>
      <c r="K62" s="154">
        <v>18522.475999999995</v>
      </c>
      <c r="L62" s="168">
        <v>22932.04</v>
      </c>
      <c r="M62" s="104">
        <v>8882.7199999999993</v>
      </c>
      <c r="N62" s="104">
        <v>198775.74900000039</v>
      </c>
      <c r="O62" s="104">
        <v>78000.847000000023</v>
      </c>
      <c r="P62" s="104">
        <v>102137.56000000029</v>
      </c>
      <c r="Q62" s="107">
        <v>108786.72700000007</v>
      </c>
      <c r="R62" s="107">
        <v>108183.77599999981</v>
      </c>
      <c r="S62" s="107">
        <v>127215.44600000029</v>
      </c>
      <c r="T62" s="107">
        <v>99561.888000000632</v>
      </c>
      <c r="U62" s="107">
        <v>157182.66900000052</v>
      </c>
      <c r="V62" s="172">
        <v>32085.65</v>
      </c>
      <c r="W62" s="149"/>
      <c r="X62" s="9" t="s">
        <v>33</v>
      </c>
    </row>
    <row r="63" spans="3:24" s="6" customFormat="1" ht="15.75" customHeight="1">
      <c r="C63" s="9"/>
      <c r="D63" s="9" t="s">
        <v>32</v>
      </c>
      <c r="E63" s="103">
        <v>280528.20999999996</v>
      </c>
      <c r="F63" s="154">
        <v>10885.744499999999</v>
      </c>
      <c r="G63" s="155">
        <v>8604.4624999999778</v>
      </c>
      <c r="H63" s="155">
        <v>4541.2524999999978</v>
      </c>
      <c r="I63" s="155">
        <v>7424.4224999999733</v>
      </c>
      <c r="J63" s="167">
        <v>8486.1764999999978</v>
      </c>
      <c r="K63" s="154">
        <v>3655.6774999999998</v>
      </c>
      <c r="L63" s="168">
        <v>4952.722499999998</v>
      </c>
      <c r="M63" s="104">
        <v>1786.21</v>
      </c>
      <c r="N63" s="104">
        <v>45333.990500000051</v>
      </c>
      <c r="O63" s="104">
        <v>18271.056500000024</v>
      </c>
      <c r="P63" s="104">
        <v>17632.397500000006</v>
      </c>
      <c r="Q63" s="107">
        <v>23139.7235</v>
      </c>
      <c r="R63" s="107">
        <v>25627.583500000001</v>
      </c>
      <c r="S63" s="107">
        <v>31397.582500000004</v>
      </c>
      <c r="T63" s="107">
        <v>27725.577499999919</v>
      </c>
      <c r="U63" s="107">
        <v>29902.81850000003</v>
      </c>
      <c r="V63" s="172">
        <v>11160.811499999989</v>
      </c>
      <c r="W63" s="149"/>
      <c r="X63" s="9" t="s">
        <v>32</v>
      </c>
    </row>
    <row r="64" spans="3:24" s="6" customFormat="1" ht="15.75" customHeight="1">
      <c r="C64" s="9"/>
      <c r="D64" s="9" t="s">
        <v>31</v>
      </c>
      <c r="E64" s="103">
        <v>814767.8180000002</v>
      </c>
      <c r="F64" s="154">
        <v>28109.901249999992</v>
      </c>
      <c r="G64" s="155">
        <v>19948.401249999995</v>
      </c>
      <c r="H64" s="155">
        <v>13745.216249999998</v>
      </c>
      <c r="I64" s="155">
        <v>18262.425249999997</v>
      </c>
      <c r="J64" s="167">
        <v>19926.90625</v>
      </c>
      <c r="K64" s="154">
        <v>12675.204249999997</v>
      </c>
      <c r="L64" s="168">
        <v>8634.2442499999961</v>
      </c>
      <c r="M64" s="104">
        <v>6362.9500000000025</v>
      </c>
      <c r="N64" s="104">
        <v>107338.02224999995</v>
      </c>
      <c r="O64" s="104">
        <v>49144.255249999987</v>
      </c>
      <c r="P64" s="104">
        <v>84550.578250000122</v>
      </c>
      <c r="Q64" s="107">
        <v>81371.756249999991</v>
      </c>
      <c r="R64" s="107">
        <v>125853.19825000009</v>
      </c>
      <c r="S64" s="107">
        <v>87236.986250000016</v>
      </c>
      <c r="T64" s="107">
        <v>75167.254249999984</v>
      </c>
      <c r="U64" s="107">
        <v>64247.363250000002</v>
      </c>
      <c r="V64" s="172">
        <v>12193.15525</v>
      </c>
      <c r="W64" s="149"/>
      <c r="X64" s="9" t="s">
        <v>31</v>
      </c>
    </row>
    <row r="65" spans="3:24" s="6" customFormat="1" ht="15.75" customHeight="1">
      <c r="C65" s="9"/>
      <c r="D65" s="9" t="s">
        <v>30</v>
      </c>
      <c r="E65" s="103">
        <v>4886736.3200000292</v>
      </c>
      <c r="F65" s="154">
        <v>21463.406999999992</v>
      </c>
      <c r="G65" s="155">
        <v>16783.98</v>
      </c>
      <c r="H65" s="155">
        <v>19751.399999999991</v>
      </c>
      <c r="I65" s="155">
        <v>23981.322000000004</v>
      </c>
      <c r="J65" s="167">
        <v>39300.099000000009</v>
      </c>
      <c r="K65" s="154">
        <v>13906.185999999998</v>
      </c>
      <c r="L65" s="168">
        <v>11256.18</v>
      </c>
      <c r="M65" s="104">
        <v>12139.95</v>
      </c>
      <c r="N65" s="104">
        <v>311458.84900000039</v>
      </c>
      <c r="O65" s="104">
        <v>312299.88400000019</v>
      </c>
      <c r="P65" s="104">
        <v>290401.30599999934</v>
      </c>
      <c r="Q65" s="107">
        <v>721274.49500000663</v>
      </c>
      <c r="R65" s="107">
        <v>1410507.5470000193</v>
      </c>
      <c r="S65" s="107">
        <v>789385.37500000233</v>
      </c>
      <c r="T65" s="107">
        <v>567579.11900000123</v>
      </c>
      <c r="U65" s="107">
        <v>261970.92099999986</v>
      </c>
      <c r="V65" s="172">
        <v>63276.300000000068</v>
      </c>
      <c r="W65" s="149"/>
      <c r="X65" s="9" t="s">
        <v>30</v>
      </c>
    </row>
    <row r="66" spans="3:24" s="6" customFormat="1" ht="15.75" customHeight="1">
      <c r="C66" s="9"/>
      <c r="D66" s="9" t="s">
        <v>29</v>
      </c>
      <c r="E66" s="103">
        <v>3749379.7070000009</v>
      </c>
      <c r="F66" s="154">
        <v>20698.901000000034</v>
      </c>
      <c r="G66" s="155">
        <v>33531.404999999999</v>
      </c>
      <c r="H66" s="155">
        <v>40374.145000000004</v>
      </c>
      <c r="I66" s="155">
        <v>33102.67</v>
      </c>
      <c r="J66" s="167">
        <v>82317.802000000025</v>
      </c>
      <c r="K66" s="154">
        <v>8479.4399999999987</v>
      </c>
      <c r="L66" s="168">
        <v>23082.239999999998</v>
      </c>
      <c r="M66" s="104">
        <v>19052.849999999999</v>
      </c>
      <c r="N66" s="104">
        <v>287900.24600000004</v>
      </c>
      <c r="O66" s="104">
        <v>243444.06999999966</v>
      </c>
      <c r="P66" s="104">
        <v>203801.62999999983</v>
      </c>
      <c r="Q66" s="107">
        <v>412456.43399999989</v>
      </c>
      <c r="R66" s="107">
        <v>662287.58500000031</v>
      </c>
      <c r="S66" s="107">
        <v>751322.03500000003</v>
      </c>
      <c r="T66" s="107">
        <v>472836.04100000055</v>
      </c>
      <c r="U66" s="107">
        <v>295296.65799999976</v>
      </c>
      <c r="V66" s="172">
        <v>159395.55499999996</v>
      </c>
      <c r="W66" s="149"/>
      <c r="X66" s="9" t="s">
        <v>29</v>
      </c>
    </row>
    <row r="67" spans="3:24" s="6" customFormat="1" ht="15.75" customHeight="1">
      <c r="C67" s="9"/>
      <c r="D67" s="9" t="s">
        <v>28</v>
      </c>
      <c r="E67" s="103">
        <v>3323023.2460000012</v>
      </c>
      <c r="F67" s="154">
        <v>12663.349999999991</v>
      </c>
      <c r="G67" s="155">
        <v>20632.039999999997</v>
      </c>
      <c r="H67" s="155">
        <v>17704.98</v>
      </c>
      <c r="I67" s="155">
        <v>21193.059999999998</v>
      </c>
      <c r="J67" s="168">
        <v>37209.740999999995</v>
      </c>
      <c r="K67" s="104">
        <v>7978.4100000000008</v>
      </c>
      <c r="L67" s="104">
        <v>11038.7</v>
      </c>
      <c r="M67" s="104">
        <v>6015.25</v>
      </c>
      <c r="N67" s="104">
        <v>179189.215</v>
      </c>
      <c r="O67" s="104">
        <v>354311.78999999992</v>
      </c>
      <c r="P67" s="104">
        <v>157942.07000000012</v>
      </c>
      <c r="Q67" s="107">
        <v>329141.63500000013</v>
      </c>
      <c r="R67" s="107">
        <v>435130.34500000009</v>
      </c>
      <c r="S67" s="107">
        <v>775764.08000000101</v>
      </c>
      <c r="T67" s="107">
        <v>521494.89999999985</v>
      </c>
      <c r="U67" s="107">
        <v>299485.87000000017</v>
      </c>
      <c r="V67" s="172">
        <v>136127.80999999994</v>
      </c>
      <c r="W67" s="149"/>
      <c r="X67" s="9" t="s">
        <v>28</v>
      </c>
    </row>
    <row r="68" spans="3:24" s="6" customFormat="1" ht="15.75" customHeight="1">
      <c r="C68" s="9"/>
      <c r="D68" s="9" t="s">
        <v>27</v>
      </c>
      <c r="E68" s="103">
        <v>2057141.01</v>
      </c>
      <c r="F68" s="154">
        <v>18013.460000000036</v>
      </c>
      <c r="G68" s="155">
        <v>25831.51</v>
      </c>
      <c r="H68" s="155">
        <v>18438.32</v>
      </c>
      <c r="I68" s="155">
        <v>31662.27</v>
      </c>
      <c r="J68" s="168">
        <v>28030.489999999998</v>
      </c>
      <c r="K68" s="104">
        <v>10896</v>
      </c>
      <c r="L68" s="104">
        <v>16835.915000000001</v>
      </c>
      <c r="M68" s="104">
        <v>18587.03</v>
      </c>
      <c r="N68" s="104">
        <v>142115.27499999999</v>
      </c>
      <c r="O68" s="104">
        <v>217241.98499999996</v>
      </c>
      <c r="P68" s="104">
        <v>156180.02999999991</v>
      </c>
      <c r="Q68" s="107">
        <v>352641.11500000028</v>
      </c>
      <c r="R68" s="107">
        <v>95983.96</v>
      </c>
      <c r="S68" s="107">
        <v>461128.75</v>
      </c>
      <c r="T68" s="107">
        <v>246694.72000000003</v>
      </c>
      <c r="U68" s="107">
        <v>160660.26999999993</v>
      </c>
      <c r="V68" s="172">
        <v>56199.909999999989</v>
      </c>
      <c r="W68" s="149"/>
      <c r="X68" s="9" t="s">
        <v>27</v>
      </c>
    </row>
    <row r="69" spans="3:24" s="6" customFormat="1" ht="15.75" customHeight="1">
      <c r="C69" s="9"/>
      <c r="D69" s="9" t="s">
        <v>26</v>
      </c>
      <c r="E69" s="103">
        <v>273203.61</v>
      </c>
      <c r="F69" s="154">
        <v>0</v>
      </c>
      <c r="G69" s="155">
        <v>15000</v>
      </c>
      <c r="H69" s="155">
        <v>5972</v>
      </c>
      <c r="I69" s="155">
        <v>0</v>
      </c>
      <c r="J69" s="168">
        <v>5524</v>
      </c>
      <c r="K69" s="104">
        <v>0</v>
      </c>
      <c r="L69" s="104">
        <v>5145.6000000000004</v>
      </c>
      <c r="M69" s="104">
        <v>0</v>
      </c>
      <c r="N69" s="104">
        <v>15184.34</v>
      </c>
      <c r="O69" s="104">
        <v>8237</v>
      </c>
      <c r="P69" s="104">
        <v>0</v>
      </c>
      <c r="Q69" s="107">
        <v>55154.474999999999</v>
      </c>
      <c r="R69" s="107">
        <v>9968.4</v>
      </c>
      <c r="S69" s="107">
        <v>117211.755</v>
      </c>
      <c r="T69" s="107">
        <v>24157</v>
      </c>
      <c r="U69" s="107">
        <v>11649.04</v>
      </c>
      <c r="V69" s="172">
        <v>0</v>
      </c>
      <c r="W69" s="149"/>
      <c r="X69" s="9" t="s">
        <v>26</v>
      </c>
    </row>
    <row r="70" spans="3:24" s="6" customFormat="1" ht="15.75" customHeight="1">
      <c r="C70" s="9"/>
      <c r="D70" s="9" t="s">
        <v>25</v>
      </c>
      <c r="E70" s="103">
        <v>282027.67499999999</v>
      </c>
      <c r="F70" s="154">
        <v>0</v>
      </c>
      <c r="G70" s="155">
        <v>11000</v>
      </c>
      <c r="H70" s="155">
        <v>0</v>
      </c>
      <c r="I70" s="155">
        <v>0</v>
      </c>
      <c r="J70" s="168">
        <v>0</v>
      </c>
      <c r="K70" s="104">
        <v>0</v>
      </c>
      <c r="L70" s="104">
        <v>0</v>
      </c>
      <c r="M70" s="104">
        <v>0</v>
      </c>
      <c r="N70" s="104">
        <v>0</v>
      </c>
      <c r="O70" s="104">
        <v>30589</v>
      </c>
      <c r="P70" s="104">
        <v>0</v>
      </c>
      <c r="Q70" s="107">
        <v>27060.400000000001</v>
      </c>
      <c r="R70" s="107">
        <v>29560.32</v>
      </c>
      <c r="S70" s="107">
        <v>183817.95499999999</v>
      </c>
      <c r="T70" s="107">
        <v>0</v>
      </c>
      <c r="U70" s="107">
        <v>0</v>
      </c>
      <c r="V70" s="172">
        <v>0</v>
      </c>
      <c r="W70" s="149"/>
      <c r="X70" s="9" t="s">
        <v>25</v>
      </c>
    </row>
    <row r="71" spans="3:24" s="6" customFormat="1" ht="15.75" customHeight="1">
      <c r="C71" s="9"/>
      <c r="D71" s="9" t="s">
        <v>24</v>
      </c>
      <c r="E71" s="103">
        <v>402664.11000000004</v>
      </c>
      <c r="F71" s="154">
        <v>0</v>
      </c>
      <c r="G71" s="155">
        <v>0</v>
      </c>
      <c r="H71" s="155">
        <v>0</v>
      </c>
      <c r="I71" s="155">
        <v>0</v>
      </c>
      <c r="J71" s="168">
        <v>0</v>
      </c>
      <c r="K71" s="104">
        <v>0</v>
      </c>
      <c r="L71" s="104">
        <v>0</v>
      </c>
      <c r="M71" s="104">
        <v>0</v>
      </c>
      <c r="N71" s="104">
        <v>0</v>
      </c>
      <c r="O71" s="104">
        <v>0</v>
      </c>
      <c r="P71" s="104">
        <v>0</v>
      </c>
      <c r="Q71" s="107">
        <v>89952.320000000007</v>
      </c>
      <c r="R71" s="107">
        <v>0</v>
      </c>
      <c r="S71" s="107">
        <v>312711.79000000004</v>
      </c>
      <c r="T71" s="107">
        <v>0</v>
      </c>
      <c r="U71" s="107">
        <v>0</v>
      </c>
      <c r="V71" s="172">
        <v>0</v>
      </c>
      <c r="W71" s="149"/>
      <c r="X71" s="9" t="s">
        <v>24</v>
      </c>
    </row>
    <row r="72" spans="3:24" s="6" customFormat="1" ht="15.75" customHeight="1">
      <c r="C72" s="68"/>
      <c r="D72" s="68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1"/>
      <c r="R72" s="71"/>
      <c r="S72" s="71"/>
      <c r="T72" s="71"/>
      <c r="U72" s="71"/>
      <c r="V72" s="71"/>
      <c r="W72" s="68"/>
      <c r="X72" s="68"/>
    </row>
    <row r="73" spans="3:24" s="6" customFormat="1" ht="15.75" customHeight="1">
      <c r="C73" s="72" t="s">
        <v>198</v>
      </c>
      <c r="D73" s="303" t="s">
        <v>296</v>
      </c>
      <c r="E73" s="71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</row>
    <row r="76" spans="3:24" s="6" customFormat="1" ht="18">
      <c r="C76" s="19" t="s">
        <v>116</v>
      </c>
      <c r="D76" s="26"/>
      <c r="N76" s="12"/>
      <c r="O76" s="12"/>
      <c r="P76" s="12"/>
    </row>
    <row r="77" spans="3:24" s="6" customFormat="1" ht="15.75" customHeight="1" thickBot="1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  <c r="O77" s="17"/>
      <c r="P77" s="17"/>
      <c r="Q77" s="16"/>
      <c r="R77" s="16"/>
      <c r="S77" s="16"/>
      <c r="T77" s="16"/>
      <c r="U77" s="16"/>
      <c r="X77" s="29"/>
    </row>
    <row r="78" spans="3:24" s="6" customFormat="1" ht="15.75" customHeight="1">
      <c r="C78" s="304" t="s">
        <v>61</v>
      </c>
      <c r="D78" s="304"/>
      <c r="E78" s="82" t="s">
        <v>79</v>
      </c>
      <c r="F78" s="83" t="s">
        <v>78</v>
      </c>
      <c r="G78" s="83" t="s">
        <v>77</v>
      </c>
      <c r="H78" s="83" t="s">
        <v>76</v>
      </c>
      <c r="I78" s="83" t="s">
        <v>75</v>
      </c>
      <c r="J78" s="83" t="s">
        <v>74</v>
      </c>
      <c r="K78" s="83" t="s">
        <v>73</v>
      </c>
      <c r="L78" s="83" t="s">
        <v>72</v>
      </c>
      <c r="M78" s="83" t="s">
        <v>71</v>
      </c>
      <c r="N78" s="83" t="s">
        <v>70</v>
      </c>
      <c r="O78" s="83" t="s">
        <v>69</v>
      </c>
      <c r="P78" s="83" t="s">
        <v>68</v>
      </c>
      <c r="Q78" s="83" t="s">
        <v>67</v>
      </c>
      <c r="R78" s="83" t="s">
        <v>66</v>
      </c>
      <c r="S78" s="83" t="s">
        <v>65</v>
      </c>
      <c r="T78" s="83" t="s">
        <v>64</v>
      </c>
      <c r="U78" s="83" t="s">
        <v>63</v>
      </c>
      <c r="V78" s="84" t="s">
        <v>62</v>
      </c>
      <c r="W78" s="306" t="s">
        <v>61</v>
      </c>
      <c r="X78" s="304"/>
    </row>
    <row r="79" spans="3:24" s="6" customFormat="1" ht="15.75" customHeight="1">
      <c r="C79" s="305"/>
      <c r="D79" s="305"/>
      <c r="E79" s="85" t="s">
        <v>22</v>
      </c>
      <c r="F79" s="14" t="s">
        <v>60</v>
      </c>
      <c r="G79" s="14" t="s">
        <v>59</v>
      </c>
      <c r="H79" s="14" t="s">
        <v>58</v>
      </c>
      <c r="I79" s="14" t="s">
        <v>57</v>
      </c>
      <c r="J79" s="14" t="s">
        <v>56</v>
      </c>
      <c r="K79" s="14" t="s">
        <v>55</v>
      </c>
      <c r="L79" s="14" t="s">
        <v>54</v>
      </c>
      <c r="M79" s="14" t="s">
        <v>53</v>
      </c>
      <c r="N79" s="14" t="s">
        <v>52</v>
      </c>
      <c r="O79" s="14" t="s">
        <v>51</v>
      </c>
      <c r="P79" s="14" t="s">
        <v>50</v>
      </c>
      <c r="Q79" s="14" t="s">
        <v>49</v>
      </c>
      <c r="R79" s="14" t="s">
        <v>48</v>
      </c>
      <c r="S79" s="14" t="s">
        <v>47</v>
      </c>
      <c r="T79" s="14" t="s">
        <v>46</v>
      </c>
      <c r="U79" s="14" t="s">
        <v>45</v>
      </c>
      <c r="V79" s="13" t="s">
        <v>44</v>
      </c>
      <c r="W79" s="307"/>
      <c r="X79" s="305"/>
    </row>
    <row r="80" spans="3:24" s="12" customFormat="1" ht="15.75" customHeight="1">
      <c r="C80" s="86" t="s">
        <v>226</v>
      </c>
      <c r="D80" s="87"/>
      <c r="E80" s="88">
        <v>671072.19053714699</v>
      </c>
      <c r="F80" s="89">
        <v>45.997950911264617</v>
      </c>
      <c r="G80" s="89">
        <v>55.581054431892696</v>
      </c>
      <c r="H80" s="89">
        <v>6.0662644172083642</v>
      </c>
      <c r="I80" s="89">
        <v>11255.298736729981</v>
      </c>
      <c r="J80" s="89">
        <v>0.45542525654717447</v>
      </c>
      <c r="K80" s="89">
        <v>91.085051309434888</v>
      </c>
      <c r="L80" s="89">
        <v>322.60958029321137</v>
      </c>
      <c r="M80" s="89">
        <v>0</v>
      </c>
      <c r="N80" s="89">
        <v>1198.9595070242267</v>
      </c>
      <c r="O80" s="89">
        <v>166652.52676762475</v>
      </c>
      <c r="P80" s="89">
        <v>3.6434020523773958</v>
      </c>
      <c r="Q80" s="90">
        <v>636.94484659796615</v>
      </c>
      <c r="R80" s="90">
        <v>27947.274137484845</v>
      </c>
      <c r="S80" s="90">
        <v>122786.78378926918</v>
      </c>
      <c r="T80" s="90">
        <v>201089.63277659164</v>
      </c>
      <c r="U80" s="90">
        <v>15826.219135299038</v>
      </c>
      <c r="V80" s="91">
        <v>123153.11211185344</v>
      </c>
      <c r="W80" s="86" t="s">
        <v>226</v>
      </c>
      <c r="X80" s="87"/>
    </row>
    <row r="81" spans="3:24" s="12" customFormat="1" ht="15.75" customHeight="1">
      <c r="C81" s="86" t="s">
        <v>237</v>
      </c>
      <c r="D81" s="87"/>
      <c r="E81" s="88">
        <v>3149798.1862850431</v>
      </c>
      <c r="F81" s="89">
        <v>200.86441445967083</v>
      </c>
      <c r="G81" s="89">
        <v>252.89178759778468</v>
      </c>
      <c r="H81" s="89">
        <v>26.490237629730849</v>
      </c>
      <c r="I81" s="89">
        <v>52827.586040986811</v>
      </c>
      <c r="J81" s="89">
        <v>1.9887565788086221</v>
      </c>
      <c r="K81" s="89">
        <v>397.75131576172441</v>
      </c>
      <c r="L81" s="89">
        <v>1513.6129934201369</v>
      </c>
      <c r="M81" s="89">
        <v>0</v>
      </c>
      <c r="N81" s="89">
        <v>5625.0337290490243</v>
      </c>
      <c r="O81" s="89">
        <v>782253.70159696369</v>
      </c>
      <c r="P81" s="89">
        <v>15.910052630468977</v>
      </c>
      <c r="Q81" s="90">
        <v>2986.4464986810754</v>
      </c>
      <c r="R81" s="90">
        <v>131205.17077741856</v>
      </c>
      <c r="S81" s="90">
        <v>576229.41036683484</v>
      </c>
      <c r="T81" s="90">
        <v>944024.40131199837</v>
      </c>
      <c r="U81" s="90">
        <v>74178.191645148618</v>
      </c>
      <c r="V81" s="91">
        <v>578058.73475988396</v>
      </c>
      <c r="W81" s="86" t="s">
        <v>237</v>
      </c>
      <c r="X81" s="87"/>
    </row>
    <row r="82" spans="3:24" s="12" customFormat="1" ht="15.75" customHeight="1">
      <c r="C82" s="86" t="s">
        <v>239</v>
      </c>
      <c r="D82" s="86"/>
      <c r="E82" s="88">
        <v>1645305.42</v>
      </c>
      <c r="F82" s="89">
        <v>101</v>
      </c>
      <c r="G82" s="89">
        <v>811.9</v>
      </c>
      <c r="H82" s="89">
        <v>13.32</v>
      </c>
      <c r="I82" s="89">
        <v>49095</v>
      </c>
      <c r="J82" s="89">
        <v>1</v>
      </c>
      <c r="K82" s="89">
        <v>200</v>
      </c>
      <c r="L82" s="89">
        <v>1656.6</v>
      </c>
      <c r="M82" s="89">
        <v>0</v>
      </c>
      <c r="N82" s="89">
        <v>5352</v>
      </c>
      <c r="O82" s="89">
        <v>408311</v>
      </c>
      <c r="P82" s="89">
        <v>8</v>
      </c>
      <c r="Q82" s="90">
        <v>2042.6</v>
      </c>
      <c r="R82" s="90">
        <v>82818</v>
      </c>
      <c r="S82" s="90">
        <v>329643.8</v>
      </c>
      <c r="T82" s="90">
        <v>419390.8</v>
      </c>
      <c r="U82" s="90">
        <v>46834.400000000001</v>
      </c>
      <c r="V82" s="91">
        <v>299026</v>
      </c>
      <c r="W82" s="86" t="s">
        <v>239</v>
      </c>
      <c r="X82" s="86"/>
    </row>
    <row r="83" spans="3:24" s="6" customFormat="1" ht="15.75" customHeight="1">
      <c r="C83" s="9"/>
      <c r="D83" s="92"/>
      <c r="E83" s="115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3"/>
      <c r="R83" s="113"/>
      <c r="S83" s="113"/>
      <c r="T83" s="113"/>
      <c r="U83" s="113"/>
      <c r="V83" s="114"/>
      <c r="W83" s="9"/>
      <c r="X83" s="92"/>
    </row>
    <row r="84" spans="3:24" s="6" customFormat="1" ht="15.75" customHeight="1">
      <c r="C84" s="97" t="s">
        <v>43</v>
      </c>
      <c r="D84" s="86"/>
      <c r="E84" s="98"/>
      <c r="F84" s="99"/>
      <c r="G84" s="99"/>
      <c r="H84" s="99"/>
      <c r="I84" s="99"/>
      <c r="J84" s="99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1"/>
      <c r="W84" s="97" t="s">
        <v>43</v>
      </c>
      <c r="X84" s="86"/>
    </row>
    <row r="85" spans="3:24" s="12" customFormat="1" ht="15.75" customHeight="1">
      <c r="C85" s="9"/>
      <c r="D85" s="102" t="s">
        <v>229</v>
      </c>
      <c r="E85" s="103">
        <v>160136</v>
      </c>
      <c r="F85" s="104">
        <v>0</v>
      </c>
      <c r="G85" s="104">
        <v>0</v>
      </c>
      <c r="H85" s="104">
        <v>0</v>
      </c>
      <c r="I85" s="104">
        <v>0</v>
      </c>
      <c r="J85" s="104">
        <v>0</v>
      </c>
      <c r="K85" s="104">
        <v>0</v>
      </c>
      <c r="L85" s="104">
        <v>0</v>
      </c>
      <c r="M85" s="104">
        <v>0</v>
      </c>
      <c r="N85" s="104">
        <v>0</v>
      </c>
      <c r="O85" s="104">
        <v>85580</v>
      </c>
      <c r="P85" s="104">
        <v>0</v>
      </c>
      <c r="Q85" s="107">
        <v>0</v>
      </c>
      <c r="R85" s="107">
        <v>60000</v>
      </c>
      <c r="S85" s="107">
        <v>0</v>
      </c>
      <c r="T85" s="107">
        <v>11550</v>
      </c>
      <c r="U85" s="107">
        <v>6</v>
      </c>
      <c r="V85" s="108">
        <v>3000</v>
      </c>
      <c r="W85" s="9"/>
      <c r="X85" s="102" t="s">
        <v>240</v>
      </c>
    </row>
    <row r="86" spans="3:24" s="6" customFormat="1" ht="15.75" customHeight="1">
      <c r="C86" s="92"/>
      <c r="D86" s="109" t="s">
        <v>230</v>
      </c>
      <c r="E86" s="115">
        <v>191221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  <c r="L86" s="110">
        <v>0</v>
      </c>
      <c r="M86" s="110">
        <v>0</v>
      </c>
      <c r="N86" s="110">
        <v>76</v>
      </c>
      <c r="O86" s="110">
        <v>0</v>
      </c>
      <c r="P86" s="110">
        <v>0</v>
      </c>
      <c r="Q86" s="113">
        <v>0</v>
      </c>
      <c r="R86" s="113">
        <v>0</v>
      </c>
      <c r="S86" s="113">
        <v>17425</v>
      </c>
      <c r="T86" s="113">
        <v>148500</v>
      </c>
      <c r="U86" s="113">
        <v>0</v>
      </c>
      <c r="V86" s="114">
        <v>25220</v>
      </c>
      <c r="W86" s="92"/>
      <c r="X86" s="109" t="s">
        <v>230</v>
      </c>
    </row>
    <row r="87" spans="3:24" s="6" customFormat="1" ht="15.75" customHeight="1">
      <c r="C87" s="92"/>
      <c r="D87" s="109" t="s">
        <v>231</v>
      </c>
      <c r="E87" s="115">
        <v>161309</v>
      </c>
      <c r="F87" s="110">
        <v>0</v>
      </c>
      <c r="G87" s="110">
        <v>8</v>
      </c>
      <c r="H87" s="110">
        <v>0</v>
      </c>
      <c r="I87" s="110">
        <v>0</v>
      </c>
      <c r="J87" s="110">
        <v>0</v>
      </c>
      <c r="K87" s="110">
        <v>0</v>
      </c>
      <c r="L87" s="110">
        <v>0</v>
      </c>
      <c r="M87" s="110">
        <v>0</v>
      </c>
      <c r="N87" s="110">
        <v>0</v>
      </c>
      <c r="O87" s="110">
        <v>36848</v>
      </c>
      <c r="P87" s="110">
        <v>0</v>
      </c>
      <c r="Q87" s="113">
        <v>0</v>
      </c>
      <c r="R87" s="113">
        <v>0</v>
      </c>
      <c r="S87" s="113">
        <v>104500</v>
      </c>
      <c r="T87" s="113">
        <v>19200</v>
      </c>
      <c r="U87" s="113">
        <v>753</v>
      </c>
      <c r="V87" s="114">
        <v>0</v>
      </c>
      <c r="W87" s="92"/>
      <c r="X87" s="109" t="s">
        <v>231</v>
      </c>
    </row>
    <row r="88" spans="3:24" s="6" customFormat="1" ht="15.75" customHeight="1">
      <c r="C88" s="92"/>
      <c r="D88" s="92"/>
      <c r="E88" s="115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3"/>
      <c r="R88" s="113"/>
      <c r="S88" s="113"/>
      <c r="T88" s="113"/>
      <c r="U88" s="113"/>
      <c r="V88" s="114"/>
      <c r="W88" s="92"/>
      <c r="X88" s="92"/>
    </row>
    <row r="89" spans="3:24" s="12" customFormat="1" ht="15.75" customHeight="1">
      <c r="C89" s="86" t="s">
        <v>241</v>
      </c>
      <c r="D89" s="87"/>
      <c r="E89" s="88">
        <v>1645305.42</v>
      </c>
      <c r="F89" s="89">
        <v>101</v>
      </c>
      <c r="G89" s="89">
        <v>811.9</v>
      </c>
      <c r="H89" s="89">
        <v>13.32</v>
      </c>
      <c r="I89" s="89">
        <v>49095</v>
      </c>
      <c r="J89" s="89">
        <v>1</v>
      </c>
      <c r="K89" s="89">
        <v>200</v>
      </c>
      <c r="L89" s="89">
        <v>1656.6</v>
      </c>
      <c r="M89" s="89">
        <v>0</v>
      </c>
      <c r="N89" s="89">
        <v>5352</v>
      </c>
      <c r="O89" s="89">
        <v>408311</v>
      </c>
      <c r="P89" s="89">
        <v>8</v>
      </c>
      <c r="Q89" s="89">
        <v>2042.6</v>
      </c>
      <c r="R89" s="89">
        <v>82818</v>
      </c>
      <c r="S89" s="89">
        <v>329643.8</v>
      </c>
      <c r="T89" s="89">
        <v>419390.8</v>
      </c>
      <c r="U89" s="89">
        <v>46834.400000000001</v>
      </c>
      <c r="V89" s="91">
        <v>299026</v>
      </c>
      <c r="W89" s="86" t="s">
        <v>242</v>
      </c>
      <c r="X89" s="87"/>
    </row>
    <row r="90" spans="3:24" s="12" customFormat="1" ht="15.75" customHeight="1">
      <c r="D90" s="116" t="s">
        <v>42</v>
      </c>
      <c r="E90" s="103">
        <v>1053</v>
      </c>
      <c r="F90" s="104">
        <v>1</v>
      </c>
      <c r="G90" s="104">
        <v>4.8</v>
      </c>
      <c r="H90" s="104">
        <v>0</v>
      </c>
      <c r="I90" s="104">
        <v>0</v>
      </c>
      <c r="J90" s="104">
        <v>0</v>
      </c>
      <c r="K90" s="104">
        <v>0</v>
      </c>
      <c r="L90" s="104">
        <v>4.8</v>
      </c>
      <c r="M90" s="175">
        <v>0</v>
      </c>
      <c r="N90" s="104">
        <v>2.4</v>
      </c>
      <c r="O90" s="104">
        <v>2</v>
      </c>
      <c r="P90" s="104">
        <v>3</v>
      </c>
      <c r="Q90" s="104">
        <v>9.6</v>
      </c>
      <c r="R90" s="104">
        <v>0</v>
      </c>
      <c r="S90" s="107">
        <v>482.4</v>
      </c>
      <c r="T90" s="107">
        <v>1</v>
      </c>
      <c r="U90" s="107">
        <v>23.999999999999996</v>
      </c>
      <c r="V90" s="176">
        <v>518</v>
      </c>
      <c r="X90" s="116" t="s">
        <v>42</v>
      </c>
    </row>
    <row r="91" spans="3:24" s="12" customFormat="1" ht="15.75" customHeight="1">
      <c r="C91" s="9"/>
      <c r="D91" s="116" t="s">
        <v>41</v>
      </c>
      <c r="E91" s="103">
        <v>4274.5199999999995</v>
      </c>
      <c r="F91" s="104">
        <v>0</v>
      </c>
      <c r="G91" s="104">
        <v>46.1</v>
      </c>
      <c r="H91" s="104">
        <v>6.32</v>
      </c>
      <c r="I91" s="104">
        <v>34</v>
      </c>
      <c r="J91" s="104">
        <v>0</v>
      </c>
      <c r="K91" s="104">
        <v>0</v>
      </c>
      <c r="L91" s="104">
        <v>0</v>
      </c>
      <c r="M91" s="175">
        <v>0</v>
      </c>
      <c r="N91" s="104">
        <v>10</v>
      </c>
      <c r="O91" s="104">
        <v>198</v>
      </c>
      <c r="P91" s="104">
        <v>0</v>
      </c>
      <c r="Q91" s="104">
        <v>10</v>
      </c>
      <c r="R91" s="107">
        <v>3007</v>
      </c>
      <c r="S91" s="107">
        <v>784.9</v>
      </c>
      <c r="T91" s="107">
        <v>15.200000000000001</v>
      </c>
      <c r="U91" s="107">
        <v>9</v>
      </c>
      <c r="V91" s="176">
        <v>154</v>
      </c>
      <c r="W91" s="9"/>
      <c r="X91" s="116" t="s">
        <v>41</v>
      </c>
    </row>
    <row r="92" spans="3:24" s="12" customFormat="1" ht="15.75" customHeight="1">
      <c r="C92" s="9"/>
      <c r="D92" s="116" t="s">
        <v>40</v>
      </c>
      <c r="E92" s="103">
        <v>61.8</v>
      </c>
      <c r="F92" s="104">
        <v>0</v>
      </c>
      <c r="G92" s="104">
        <v>3</v>
      </c>
      <c r="H92" s="104">
        <v>0</v>
      </c>
      <c r="I92" s="104">
        <v>0</v>
      </c>
      <c r="J92" s="104">
        <v>1</v>
      </c>
      <c r="K92" s="104">
        <v>0</v>
      </c>
      <c r="L92" s="104">
        <v>0.8</v>
      </c>
      <c r="M92" s="175">
        <v>0</v>
      </c>
      <c r="N92" s="104">
        <v>1</v>
      </c>
      <c r="O92" s="104">
        <v>1</v>
      </c>
      <c r="P92" s="104">
        <v>1</v>
      </c>
      <c r="Q92" s="104">
        <v>0</v>
      </c>
      <c r="R92" s="107">
        <v>1</v>
      </c>
      <c r="S92" s="107">
        <v>19</v>
      </c>
      <c r="T92" s="107">
        <v>34</v>
      </c>
      <c r="U92" s="104">
        <v>0</v>
      </c>
      <c r="V92" s="177">
        <v>0</v>
      </c>
      <c r="W92" s="9"/>
      <c r="X92" s="116" t="s">
        <v>40</v>
      </c>
    </row>
    <row r="93" spans="3:24" s="12" customFormat="1" ht="15.75" customHeight="1">
      <c r="C93" s="9"/>
      <c r="D93" s="116" t="s">
        <v>39</v>
      </c>
      <c r="E93" s="103">
        <v>40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75">
        <v>0</v>
      </c>
      <c r="N93" s="104">
        <v>0</v>
      </c>
      <c r="O93" s="104">
        <v>0</v>
      </c>
      <c r="P93" s="104">
        <v>0</v>
      </c>
      <c r="Q93" s="104">
        <v>20</v>
      </c>
      <c r="R93" s="104">
        <v>0</v>
      </c>
      <c r="S93" s="107">
        <v>20</v>
      </c>
      <c r="T93" s="104">
        <v>0</v>
      </c>
      <c r="U93" s="104">
        <v>0</v>
      </c>
      <c r="V93" s="177">
        <v>0</v>
      </c>
      <c r="W93" s="9"/>
      <c r="X93" s="116" t="s">
        <v>39</v>
      </c>
    </row>
    <row r="94" spans="3:24" s="12" customFormat="1" ht="15.75" customHeight="1">
      <c r="C94" s="9"/>
      <c r="D94" s="116" t="s">
        <v>38</v>
      </c>
      <c r="E94" s="103">
        <v>330</v>
      </c>
      <c r="F94" s="104">
        <v>0</v>
      </c>
      <c r="G94" s="104">
        <v>0</v>
      </c>
      <c r="H94" s="104">
        <v>7</v>
      </c>
      <c r="I94" s="104">
        <v>20</v>
      </c>
      <c r="J94" s="104">
        <v>0</v>
      </c>
      <c r="K94" s="104">
        <v>0</v>
      </c>
      <c r="L94" s="104">
        <v>0</v>
      </c>
      <c r="M94" s="175">
        <v>0</v>
      </c>
      <c r="N94" s="104">
        <v>10</v>
      </c>
      <c r="O94" s="104">
        <v>11</v>
      </c>
      <c r="P94" s="104">
        <v>0</v>
      </c>
      <c r="Q94" s="104">
        <v>0</v>
      </c>
      <c r="R94" s="104">
        <v>6</v>
      </c>
      <c r="S94" s="104">
        <v>21</v>
      </c>
      <c r="T94" s="104">
        <v>238.6</v>
      </c>
      <c r="U94" s="104">
        <v>13.4</v>
      </c>
      <c r="V94" s="177">
        <v>3</v>
      </c>
      <c r="W94" s="9"/>
      <c r="X94" s="116" t="s">
        <v>38</v>
      </c>
    </row>
    <row r="95" spans="3:24" s="12" customFormat="1" ht="15.75" customHeight="1">
      <c r="C95" s="9"/>
      <c r="D95" s="116" t="s">
        <v>37</v>
      </c>
      <c r="E95" s="103">
        <v>66</v>
      </c>
      <c r="F95" s="104">
        <v>0</v>
      </c>
      <c r="G95" s="104">
        <v>0</v>
      </c>
      <c r="H95" s="104">
        <v>0</v>
      </c>
      <c r="I95" s="104">
        <v>1</v>
      </c>
      <c r="J95" s="104">
        <v>0</v>
      </c>
      <c r="K95" s="104">
        <v>0</v>
      </c>
      <c r="L95" s="104">
        <v>0</v>
      </c>
      <c r="M95" s="175">
        <v>0</v>
      </c>
      <c r="N95" s="104">
        <v>1</v>
      </c>
      <c r="O95" s="104">
        <v>13</v>
      </c>
      <c r="P95" s="104">
        <v>4</v>
      </c>
      <c r="Q95" s="104">
        <v>3</v>
      </c>
      <c r="R95" s="107">
        <v>1</v>
      </c>
      <c r="S95" s="104">
        <v>20</v>
      </c>
      <c r="T95" s="104">
        <v>2</v>
      </c>
      <c r="U95" s="104">
        <v>20</v>
      </c>
      <c r="V95" s="177">
        <v>1</v>
      </c>
      <c r="W95" s="9"/>
      <c r="X95" s="116" t="s">
        <v>37</v>
      </c>
    </row>
    <row r="96" spans="3:24" s="12" customFormat="1" ht="15.75" customHeight="1">
      <c r="C96" s="9"/>
      <c r="D96" s="116" t="s">
        <v>36</v>
      </c>
      <c r="E96" s="103">
        <v>1632055</v>
      </c>
      <c r="F96" s="104">
        <v>0</v>
      </c>
      <c r="G96" s="104">
        <v>758</v>
      </c>
      <c r="H96" s="104">
        <v>0</v>
      </c>
      <c r="I96" s="104">
        <v>49000</v>
      </c>
      <c r="J96" s="104">
        <v>0</v>
      </c>
      <c r="K96" s="104">
        <v>0</v>
      </c>
      <c r="L96" s="104">
        <v>1650</v>
      </c>
      <c r="M96" s="175">
        <v>0</v>
      </c>
      <c r="N96" s="104">
        <v>5326</v>
      </c>
      <c r="O96" s="104">
        <v>407250</v>
      </c>
      <c r="P96" s="104">
        <v>0</v>
      </c>
      <c r="Q96" s="104">
        <v>2000</v>
      </c>
      <c r="R96" s="107">
        <v>79800</v>
      </c>
      <c r="S96" s="107">
        <v>328075</v>
      </c>
      <c r="T96" s="107">
        <v>419000</v>
      </c>
      <c r="U96" s="107">
        <v>46006</v>
      </c>
      <c r="V96" s="176">
        <v>293190</v>
      </c>
      <c r="W96" s="9"/>
      <c r="X96" s="116" t="s">
        <v>36</v>
      </c>
    </row>
    <row r="97" spans="3:24" s="12" customFormat="1" ht="15.75" customHeight="1">
      <c r="C97" s="9"/>
      <c r="D97" s="116" t="s">
        <v>35</v>
      </c>
      <c r="E97" s="103">
        <v>7425.1</v>
      </c>
      <c r="F97" s="104">
        <v>100</v>
      </c>
      <c r="G97" s="104">
        <v>0</v>
      </c>
      <c r="H97" s="104">
        <v>0</v>
      </c>
      <c r="I97" s="104">
        <v>40</v>
      </c>
      <c r="J97" s="104">
        <v>0</v>
      </c>
      <c r="K97" s="104">
        <v>200</v>
      </c>
      <c r="L97" s="104">
        <v>1</v>
      </c>
      <c r="M97" s="104">
        <v>0</v>
      </c>
      <c r="N97" s="104">
        <v>1.6</v>
      </c>
      <c r="O97" s="104">
        <v>836</v>
      </c>
      <c r="P97" s="104">
        <v>0</v>
      </c>
      <c r="Q97" s="104">
        <v>0</v>
      </c>
      <c r="R97" s="107">
        <v>3</v>
      </c>
      <c r="S97" s="107">
        <v>221.5</v>
      </c>
      <c r="T97" s="107">
        <v>100</v>
      </c>
      <c r="U97" s="107">
        <v>762</v>
      </c>
      <c r="V97" s="176">
        <v>5160</v>
      </c>
      <c r="W97" s="9"/>
      <c r="X97" s="116" t="s">
        <v>35</v>
      </c>
    </row>
    <row r="98" spans="3:24" s="12" customFormat="1" ht="15.75" customHeight="1">
      <c r="C98" s="9"/>
      <c r="D98" s="9"/>
      <c r="E98" s="103"/>
      <c r="F98" s="104"/>
      <c r="G98" s="104"/>
      <c r="H98" s="104"/>
      <c r="I98" s="104"/>
      <c r="J98" s="104"/>
      <c r="K98" s="104"/>
      <c r="L98" s="104"/>
      <c r="N98" s="104"/>
      <c r="O98" s="104"/>
      <c r="P98" s="104"/>
      <c r="Q98" s="104"/>
      <c r="R98" s="107"/>
      <c r="S98" s="107"/>
      <c r="T98" s="107"/>
      <c r="U98" s="107"/>
      <c r="V98" s="176"/>
      <c r="W98" s="9"/>
      <c r="X98" s="9"/>
    </row>
    <row r="99" spans="3:24" s="12" customFormat="1" ht="15.75" customHeight="1">
      <c r="C99" s="86" t="s">
        <v>243</v>
      </c>
      <c r="D99" s="86"/>
      <c r="E99" s="88">
        <v>1645305.42</v>
      </c>
      <c r="F99" s="89">
        <v>101</v>
      </c>
      <c r="G99" s="89">
        <v>811.9</v>
      </c>
      <c r="H99" s="89">
        <v>13.32</v>
      </c>
      <c r="I99" s="89">
        <v>49095</v>
      </c>
      <c r="J99" s="89">
        <v>1</v>
      </c>
      <c r="K99" s="89">
        <v>200</v>
      </c>
      <c r="L99" s="89">
        <v>1656.6</v>
      </c>
      <c r="M99" s="89">
        <v>0</v>
      </c>
      <c r="N99" s="89">
        <v>5352</v>
      </c>
      <c r="O99" s="89">
        <v>408311</v>
      </c>
      <c r="P99" s="89">
        <v>8</v>
      </c>
      <c r="Q99" s="89">
        <v>2042.6</v>
      </c>
      <c r="R99" s="89">
        <v>82818</v>
      </c>
      <c r="S99" s="89">
        <v>329643.8</v>
      </c>
      <c r="T99" s="89">
        <v>419390.8</v>
      </c>
      <c r="U99" s="89">
        <v>46834.400000000001</v>
      </c>
      <c r="V99" s="91">
        <v>299026</v>
      </c>
      <c r="W99" s="86" t="s">
        <v>244</v>
      </c>
      <c r="X99" s="86"/>
    </row>
    <row r="100" spans="3:24" s="12" customFormat="1" ht="15.75" customHeight="1">
      <c r="C100" s="9"/>
      <c r="D100" s="9" t="s">
        <v>34</v>
      </c>
      <c r="E100" s="103">
        <v>31.5</v>
      </c>
      <c r="F100" s="104">
        <v>1</v>
      </c>
      <c r="G100" s="104">
        <v>0</v>
      </c>
      <c r="H100" s="104">
        <v>1</v>
      </c>
      <c r="I100" s="104">
        <v>2</v>
      </c>
      <c r="J100" s="104">
        <v>1</v>
      </c>
      <c r="K100" s="104">
        <v>0</v>
      </c>
      <c r="L100" s="104">
        <v>1.8</v>
      </c>
      <c r="M100" s="104">
        <v>0</v>
      </c>
      <c r="N100" s="104">
        <v>2.4</v>
      </c>
      <c r="O100" s="104">
        <v>4</v>
      </c>
      <c r="P100" s="104">
        <v>1</v>
      </c>
      <c r="Q100" s="107">
        <v>1</v>
      </c>
      <c r="R100" s="107">
        <v>3</v>
      </c>
      <c r="S100" s="104">
        <v>3.5</v>
      </c>
      <c r="T100" s="104">
        <v>5.8</v>
      </c>
      <c r="U100" s="104">
        <v>2</v>
      </c>
      <c r="V100" s="178">
        <v>2</v>
      </c>
      <c r="W100" s="9"/>
      <c r="X100" s="9" t="s">
        <v>34</v>
      </c>
    </row>
    <row r="101" spans="3:24" s="12" customFormat="1" ht="15.75" customHeight="1">
      <c r="C101" s="9"/>
      <c r="D101" s="9" t="s">
        <v>33</v>
      </c>
      <c r="E101" s="103">
        <v>165.60000000000002</v>
      </c>
      <c r="F101" s="104">
        <v>0</v>
      </c>
      <c r="G101" s="104">
        <v>14.9</v>
      </c>
      <c r="H101" s="104">
        <v>0</v>
      </c>
      <c r="I101" s="104">
        <v>0</v>
      </c>
      <c r="J101" s="104">
        <v>0</v>
      </c>
      <c r="K101" s="104">
        <v>0</v>
      </c>
      <c r="L101" s="104">
        <v>4.8</v>
      </c>
      <c r="M101" s="104">
        <v>0</v>
      </c>
      <c r="N101" s="104">
        <v>3.6</v>
      </c>
      <c r="O101" s="104">
        <v>3</v>
      </c>
      <c r="P101" s="104">
        <v>3</v>
      </c>
      <c r="Q101" s="107">
        <v>11.600000000000001</v>
      </c>
      <c r="R101" s="107">
        <v>3</v>
      </c>
      <c r="S101" s="107">
        <v>48.9</v>
      </c>
      <c r="T101" s="107">
        <v>4.4000000000000004</v>
      </c>
      <c r="U101" s="107">
        <v>35.399999999999991</v>
      </c>
      <c r="V101" s="108">
        <v>33</v>
      </c>
      <c r="W101" s="9"/>
      <c r="X101" s="9" t="s">
        <v>33</v>
      </c>
    </row>
    <row r="102" spans="3:24" s="12" customFormat="1" ht="15.75" customHeight="1">
      <c r="C102" s="9"/>
      <c r="D102" s="9" t="s">
        <v>32</v>
      </c>
      <c r="E102" s="103">
        <v>210.92</v>
      </c>
      <c r="F102" s="104">
        <v>0</v>
      </c>
      <c r="G102" s="104">
        <v>8</v>
      </c>
      <c r="H102" s="104">
        <v>12.32</v>
      </c>
      <c r="I102" s="104">
        <v>0</v>
      </c>
      <c r="J102" s="104">
        <v>0</v>
      </c>
      <c r="K102" s="104">
        <v>0</v>
      </c>
      <c r="L102" s="104">
        <v>0</v>
      </c>
      <c r="M102" s="104">
        <v>0</v>
      </c>
      <c r="N102" s="104">
        <v>20</v>
      </c>
      <c r="O102" s="104">
        <v>36</v>
      </c>
      <c r="P102" s="104">
        <v>4</v>
      </c>
      <c r="Q102" s="107">
        <v>10</v>
      </c>
      <c r="R102" s="107">
        <v>12</v>
      </c>
      <c r="S102" s="107">
        <v>22</v>
      </c>
      <c r="T102" s="107">
        <v>23.6</v>
      </c>
      <c r="U102" s="107">
        <v>27</v>
      </c>
      <c r="V102" s="108">
        <v>36</v>
      </c>
      <c r="W102" s="9"/>
      <c r="X102" s="9" t="s">
        <v>32</v>
      </c>
    </row>
    <row r="103" spans="3:24" s="12" customFormat="1" ht="15.75" customHeight="1">
      <c r="C103" s="9"/>
      <c r="D103" s="9" t="s">
        <v>31</v>
      </c>
      <c r="E103" s="103">
        <v>652.4</v>
      </c>
      <c r="F103" s="104">
        <v>0</v>
      </c>
      <c r="G103" s="104">
        <v>39</v>
      </c>
      <c r="H103" s="104">
        <v>0</v>
      </c>
      <c r="I103" s="104">
        <v>93</v>
      </c>
      <c r="J103" s="104">
        <v>0</v>
      </c>
      <c r="K103" s="104">
        <v>0</v>
      </c>
      <c r="L103" s="104">
        <v>0</v>
      </c>
      <c r="M103" s="104">
        <v>0</v>
      </c>
      <c r="N103" s="104">
        <v>21</v>
      </c>
      <c r="O103" s="104">
        <v>188</v>
      </c>
      <c r="P103" s="104">
        <v>0</v>
      </c>
      <c r="Q103" s="107">
        <v>20</v>
      </c>
      <c r="R103" s="107">
        <v>0</v>
      </c>
      <c r="S103" s="107">
        <v>174.4</v>
      </c>
      <c r="T103" s="107">
        <v>32</v>
      </c>
      <c r="U103" s="107">
        <v>20</v>
      </c>
      <c r="V103" s="108">
        <v>65</v>
      </c>
      <c r="W103" s="9"/>
      <c r="X103" s="9" t="s">
        <v>31</v>
      </c>
    </row>
    <row r="104" spans="3:24" s="12" customFormat="1" ht="15.75" customHeight="1">
      <c r="C104" s="9"/>
      <c r="D104" s="9" t="s">
        <v>30</v>
      </c>
      <c r="E104" s="103">
        <v>735</v>
      </c>
      <c r="F104" s="104">
        <v>100</v>
      </c>
      <c r="G104" s="104">
        <v>0</v>
      </c>
      <c r="H104" s="104">
        <v>0</v>
      </c>
      <c r="I104" s="104">
        <v>0</v>
      </c>
      <c r="J104" s="104">
        <v>0</v>
      </c>
      <c r="K104" s="104">
        <v>200</v>
      </c>
      <c r="L104" s="104">
        <v>0</v>
      </c>
      <c r="M104" s="104">
        <v>0</v>
      </c>
      <c r="N104" s="104">
        <v>55</v>
      </c>
      <c r="O104" s="104">
        <v>80</v>
      </c>
      <c r="P104" s="104">
        <v>0</v>
      </c>
      <c r="Q104" s="107">
        <v>0</v>
      </c>
      <c r="R104" s="107">
        <v>0</v>
      </c>
      <c r="S104" s="107">
        <v>0</v>
      </c>
      <c r="T104" s="107">
        <v>100</v>
      </c>
      <c r="U104" s="107">
        <v>0</v>
      </c>
      <c r="V104" s="108">
        <v>200</v>
      </c>
      <c r="W104" s="9"/>
      <c r="X104" s="9" t="s">
        <v>30</v>
      </c>
    </row>
    <row r="105" spans="3:24" s="12" customFormat="1" ht="15.75" customHeight="1">
      <c r="C105" s="9"/>
      <c r="D105" s="9" t="s">
        <v>29</v>
      </c>
      <c r="E105" s="103">
        <v>1295</v>
      </c>
      <c r="F105" s="104">
        <v>0</v>
      </c>
      <c r="G105" s="104">
        <v>0</v>
      </c>
      <c r="H105" s="104">
        <v>0</v>
      </c>
      <c r="I105" s="104">
        <v>0</v>
      </c>
      <c r="J105" s="104">
        <v>0</v>
      </c>
      <c r="K105" s="104">
        <v>0</v>
      </c>
      <c r="L105" s="104">
        <v>0</v>
      </c>
      <c r="M105" s="104">
        <v>0</v>
      </c>
      <c r="N105" s="104">
        <v>0</v>
      </c>
      <c r="O105" s="104">
        <v>0</v>
      </c>
      <c r="P105" s="104">
        <v>0</v>
      </c>
      <c r="Q105" s="107">
        <v>0</v>
      </c>
      <c r="R105" s="107">
        <v>0</v>
      </c>
      <c r="S105" s="107">
        <v>570</v>
      </c>
      <c r="T105" s="107">
        <v>225</v>
      </c>
      <c r="U105" s="107">
        <v>0</v>
      </c>
      <c r="V105" s="108">
        <v>500</v>
      </c>
      <c r="W105" s="9"/>
      <c r="X105" s="9" t="s">
        <v>29</v>
      </c>
    </row>
    <row r="106" spans="3:24" s="12" customFormat="1" ht="15.75" customHeight="1">
      <c r="C106" s="9"/>
      <c r="D106" s="9" t="s">
        <v>28</v>
      </c>
      <c r="E106" s="103">
        <v>5160</v>
      </c>
      <c r="F106" s="104">
        <v>0</v>
      </c>
      <c r="G106" s="104">
        <v>750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750</v>
      </c>
      <c r="P106" s="104">
        <v>0</v>
      </c>
      <c r="Q106" s="107">
        <v>0</v>
      </c>
      <c r="R106" s="107">
        <v>0</v>
      </c>
      <c r="S106" s="107">
        <v>750</v>
      </c>
      <c r="T106" s="107">
        <v>0</v>
      </c>
      <c r="U106" s="107">
        <v>1500</v>
      </c>
      <c r="V106" s="108">
        <v>1410</v>
      </c>
      <c r="W106" s="9"/>
      <c r="X106" s="9" t="s">
        <v>28</v>
      </c>
    </row>
    <row r="107" spans="3:24" s="12" customFormat="1" ht="15.75" customHeight="1">
      <c r="C107" s="9"/>
      <c r="D107" s="9" t="s">
        <v>27</v>
      </c>
      <c r="E107" s="103">
        <v>136480</v>
      </c>
      <c r="F107" s="104">
        <v>0</v>
      </c>
      <c r="G107" s="104">
        <v>0</v>
      </c>
      <c r="H107" s="104">
        <v>0</v>
      </c>
      <c r="I107" s="104">
        <v>3000</v>
      </c>
      <c r="J107" s="104">
        <v>0</v>
      </c>
      <c r="K107" s="104">
        <v>0</v>
      </c>
      <c r="L107" s="104">
        <v>1650</v>
      </c>
      <c r="M107" s="104">
        <v>0</v>
      </c>
      <c r="N107" s="104">
        <v>5250</v>
      </c>
      <c r="O107" s="104">
        <v>40450</v>
      </c>
      <c r="P107" s="104">
        <v>0</v>
      </c>
      <c r="Q107" s="107">
        <v>2000</v>
      </c>
      <c r="R107" s="107">
        <v>14900</v>
      </c>
      <c r="S107" s="107">
        <v>23650</v>
      </c>
      <c r="T107" s="107">
        <v>3500</v>
      </c>
      <c r="U107" s="107">
        <v>5000</v>
      </c>
      <c r="V107" s="108">
        <v>37080</v>
      </c>
      <c r="W107" s="9"/>
      <c r="X107" s="9" t="s">
        <v>27</v>
      </c>
    </row>
    <row r="108" spans="3:24" s="12" customFormat="1" ht="15.75" customHeight="1">
      <c r="C108" s="9"/>
      <c r="D108" s="9" t="s">
        <v>26</v>
      </c>
      <c r="E108" s="103">
        <v>51600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5100</v>
      </c>
      <c r="P108" s="104">
        <v>0</v>
      </c>
      <c r="Q108" s="107">
        <v>0</v>
      </c>
      <c r="R108" s="107">
        <v>7900</v>
      </c>
      <c r="S108" s="107">
        <v>9000</v>
      </c>
      <c r="T108" s="107">
        <v>14100</v>
      </c>
      <c r="U108" s="107">
        <v>7500</v>
      </c>
      <c r="V108" s="108">
        <v>8000</v>
      </c>
      <c r="W108" s="9"/>
      <c r="X108" s="9" t="s">
        <v>26</v>
      </c>
    </row>
    <row r="109" spans="3:24" s="12" customFormat="1" ht="15.75" customHeight="1">
      <c r="C109" s="9"/>
      <c r="D109" s="9" t="s">
        <v>25</v>
      </c>
      <c r="E109" s="103">
        <v>600225</v>
      </c>
      <c r="F109" s="104">
        <v>0</v>
      </c>
      <c r="G109" s="104">
        <v>0</v>
      </c>
      <c r="H109" s="104">
        <v>0</v>
      </c>
      <c r="I109" s="104">
        <v>0</v>
      </c>
      <c r="J109" s="104">
        <v>0</v>
      </c>
      <c r="K109" s="104">
        <v>0</v>
      </c>
      <c r="L109" s="104">
        <v>0</v>
      </c>
      <c r="M109" s="104">
        <v>0</v>
      </c>
      <c r="N109" s="104">
        <v>0</v>
      </c>
      <c r="O109" s="104">
        <v>165800</v>
      </c>
      <c r="P109" s="104">
        <v>0</v>
      </c>
      <c r="Q109" s="107">
        <v>0</v>
      </c>
      <c r="R109" s="107">
        <v>0</v>
      </c>
      <c r="S109" s="107">
        <v>187625</v>
      </c>
      <c r="T109" s="107">
        <v>106350</v>
      </c>
      <c r="U109" s="107">
        <v>32750</v>
      </c>
      <c r="V109" s="108">
        <v>107700</v>
      </c>
      <c r="W109" s="9"/>
      <c r="X109" s="9" t="s">
        <v>25</v>
      </c>
    </row>
    <row r="110" spans="3:24" s="12" customFormat="1" ht="15.75" customHeight="1" thickBot="1">
      <c r="C110" s="118"/>
      <c r="D110" s="118" t="s">
        <v>24</v>
      </c>
      <c r="E110" s="119">
        <v>848750</v>
      </c>
      <c r="F110" s="120">
        <v>0</v>
      </c>
      <c r="G110" s="120">
        <v>0</v>
      </c>
      <c r="H110" s="120">
        <v>0</v>
      </c>
      <c r="I110" s="120">
        <v>46000</v>
      </c>
      <c r="J110" s="120">
        <v>0</v>
      </c>
      <c r="K110" s="120">
        <v>0</v>
      </c>
      <c r="L110" s="120">
        <v>0</v>
      </c>
      <c r="M110" s="120">
        <v>0</v>
      </c>
      <c r="N110" s="120">
        <v>0</v>
      </c>
      <c r="O110" s="120">
        <v>195900</v>
      </c>
      <c r="P110" s="120">
        <v>0</v>
      </c>
      <c r="Q110" s="121">
        <v>0</v>
      </c>
      <c r="R110" s="121">
        <v>60000</v>
      </c>
      <c r="S110" s="121">
        <v>107800</v>
      </c>
      <c r="T110" s="121">
        <v>295050</v>
      </c>
      <c r="U110" s="121">
        <v>0</v>
      </c>
      <c r="V110" s="122">
        <v>144000</v>
      </c>
      <c r="W110" s="118"/>
      <c r="X110" s="118" t="s">
        <v>24</v>
      </c>
    </row>
    <row r="111" spans="3:24" s="6" customFormat="1" ht="15.75" customHeight="1">
      <c r="C111" s="68"/>
      <c r="D111" s="68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1"/>
      <c r="R111" s="71"/>
      <c r="S111" s="71"/>
      <c r="T111" s="71"/>
      <c r="U111" s="71"/>
      <c r="V111" s="71"/>
      <c r="W111" s="68"/>
      <c r="X111" s="68"/>
    </row>
    <row r="112" spans="3:24" s="7" customFormat="1" ht="15.75" customHeight="1">
      <c r="C112" s="72" t="s">
        <v>198</v>
      </c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</row>
    <row r="115" spans="3:24" s="6" customFormat="1" ht="18">
      <c r="C115" s="19" t="s">
        <v>115</v>
      </c>
      <c r="D115" s="26"/>
      <c r="E115" s="10"/>
      <c r="F115" s="10"/>
    </row>
    <row r="116" spans="3:24" s="6" customFormat="1" ht="15" thickBot="1"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X116" s="29"/>
    </row>
    <row r="117" spans="3:24" s="6" customFormat="1" ht="33" customHeight="1">
      <c r="C117" s="304" t="s">
        <v>61</v>
      </c>
      <c r="D117" s="304"/>
      <c r="E117" s="82" t="s">
        <v>79</v>
      </c>
      <c r="F117" s="83" t="s">
        <v>78</v>
      </c>
      <c r="G117" s="83" t="s">
        <v>77</v>
      </c>
      <c r="H117" s="83" t="s">
        <v>76</v>
      </c>
      <c r="I117" s="83" t="s">
        <v>75</v>
      </c>
      <c r="J117" s="83" t="s">
        <v>74</v>
      </c>
      <c r="K117" s="83" t="s">
        <v>73</v>
      </c>
      <c r="L117" s="83" t="s">
        <v>72</v>
      </c>
      <c r="M117" s="83" t="s">
        <v>71</v>
      </c>
      <c r="N117" s="83" t="s">
        <v>70</v>
      </c>
      <c r="O117" s="83" t="s">
        <v>69</v>
      </c>
      <c r="P117" s="83" t="s">
        <v>68</v>
      </c>
      <c r="Q117" s="83" t="s">
        <v>67</v>
      </c>
      <c r="R117" s="83" t="s">
        <v>66</v>
      </c>
      <c r="S117" s="83" t="s">
        <v>65</v>
      </c>
      <c r="T117" s="83" t="s">
        <v>64</v>
      </c>
      <c r="U117" s="83" t="s">
        <v>63</v>
      </c>
      <c r="V117" s="84" t="s">
        <v>62</v>
      </c>
      <c r="W117" s="306" t="s">
        <v>61</v>
      </c>
      <c r="X117" s="304"/>
    </row>
    <row r="118" spans="3:24" s="6" customFormat="1" ht="49.5" customHeight="1">
      <c r="C118" s="305"/>
      <c r="D118" s="305"/>
      <c r="E118" s="85" t="s">
        <v>22</v>
      </c>
      <c r="F118" s="14" t="s">
        <v>60</v>
      </c>
      <c r="G118" s="14" t="s">
        <v>59</v>
      </c>
      <c r="H118" s="14" t="s">
        <v>58</v>
      </c>
      <c r="I118" s="14" t="s">
        <v>57</v>
      </c>
      <c r="J118" s="14" t="s">
        <v>56</v>
      </c>
      <c r="K118" s="14" t="s">
        <v>55</v>
      </c>
      <c r="L118" s="14" t="s">
        <v>54</v>
      </c>
      <c r="M118" s="14" t="s">
        <v>53</v>
      </c>
      <c r="N118" s="14" t="s">
        <v>52</v>
      </c>
      <c r="O118" s="14" t="s">
        <v>51</v>
      </c>
      <c r="P118" s="14" t="s">
        <v>50</v>
      </c>
      <c r="Q118" s="14" t="s">
        <v>49</v>
      </c>
      <c r="R118" s="14" t="s">
        <v>48</v>
      </c>
      <c r="S118" s="14" t="s">
        <v>47</v>
      </c>
      <c r="T118" s="14" t="s">
        <v>46</v>
      </c>
      <c r="U118" s="14" t="s">
        <v>45</v>
      </c>
      <c r="V118" s="13" t="s">
        <v>44</v>
      </c>
      <c r="W118" s="307"/>
      <c r="X118" s="305"/>
    </row>
    <row r="119" spans="3:24" s="12" customFormat="1">
      <c r="C119" s="86" t="s">
        <v>225</v>
      </c>
      <c r="D119" s="87"/>
      <c r="E119" s="88">
        <v>826343.805432391</v>
      </c>
      <c r="F119" s="89">
        <v>236.90988899999999</v>
      </c>
      <c r="G119" s="89">
        <v>20.752234999999999</v>
      </c>
      <c r="H119" s="89">
        <v>2758.6648732140002</v>
      </c>
      <c r="I119" s="89">
        <v>8430.8628178449981</v>
      </c>
      <c r="J119" s="89">
        <v>1660.3972812</v>
      </c>
      <c r="K119" s="89">
        <v>55.210068000000007</v>
      </c>
      <c r="L119" s="89">
        <v>310.25983145099997</v>
      </c>
      <c r="M119" s="89">
        <v>0</v>
      </c>
      <c r="N119" s="89">
        <v>138451.96304859201</v>
      </c>
      <c r="O119" s="89">
        <v>226263.71796766203</v>
      </c>
      <c r="P119" s="89">
        <v>215135.50890334803</v>
      </c>
      <c r="Q119" s="90">
        <v>13122.135091628001</v>
      </c>
      <c r="R119" s="90">
        <v>60871.922236962004</v>
      </c>
      <c r="S119" s="90">
        <v>24307.577621703007</v>
      </c>
      <c r="T119" s="90">
        <v>67950.075907227001</v>
      </c>
      <c r="U119" s="90">
        <v>66039.833637669013</v>
      </c>
      <c r="V119" s="91">
        <v>728.01402188999998</v>
      </c>
      <c r="W119" s="86" t="s">
        <v>226</v>
      </c>
      <c r="X119" s="87"/>
    </row>
    <row r="120" spans="3:24" s="12" customFormat="1">
      <c r="C120" s="86" t="s">
        <v>236</v>
      </c>
      <c r="D120" s="87"/>
      <c r="E120" s="88">
        <v>3879382.5393070001</v>
      </c>
      <c r="F120" s="89">
        <v>1112.2529999999999</v>
      </c>
      <c r="G120" s="89">
        <v>93.278999999999996</v>
      </c>
      <c r="H120" s="89">
        <v>12951.478278000002</v>
      </c>
      <c r="I120" s="89">
        <v>39579.028064999999</v>
      </c>
      <c r="J120" s="89">
        <v>7795.2923999999994</v>
      </c>
      <c r="K120" s="89">
        <v>241.09200000000001</v>
      </c>
      <c r="L120" s="89">
        <v>1456.618927</v>
      </c>
      <c r="M120" s="89">
        <v>0</v>
      </c>
      <c r="N120" s="89">
        <v>649894.683984</v>
      </c>
      <c r="O120" s="89">
        <v>1062270.9763739998</v>
      </c>
      <c r="P120" s="89">
        <v>1010025.8633960002</v>
      </c>
      <c r="Q120" s="90">
        <v>61598.744956000002</v>
      </c>
      <c r="R120" s="90">
        <v>285783.67247400002</v>
      </c>
      <c r="S120" s="90">
        <v>114120.082731</v>
      </c>
      <c r="T120" s="90">
        <v>319014.44087899977</v>
      </c>
      <c r="U120" s="90">
        <v>310046.16731299995</v>
      </c>
      <c r="V120" s="91">
        <v>3398.8655299999996</v>
      </c>
      <c r="W120" s="86" t="s">
        <v>237</v>
      </c>
      <c r="X120" s="87"/>
    </row>
    <row r="121" spans="3:24" s="12" customFormat="1">
      <c r="C121" s="86" t="s">
        <v>238</v>
      </c>
      <c r="D121" s="86"/>
      <c r="E121" s="88">
        <v>1807291.15</v>
      </c>
      <c r="F121" s="89">
        <v>316</v>
      </c>
      <c r="G121" s="89">
        <v>65</v>
      </c>
      <c r="H121" s="89">
        <v>3560</v>
      </c>
      <c r="I121" s="89">
        <v>12919</v>
      </c>
      <c r="J121" s="89">
        <v>1830</v>
      </c>
      <c r="K121" s="89">
        <v>100</v>
      </c>
      <c r="L121" s="89">
        <v>300</v>
      </c>
      <c r="M121" s="89">
        <v>2310</v>
      </c>
      <c r="N121" s="89">
        <v>277028</v>
      </c>
      <c r="O121" s="89">
        <v>520143</v>
      </c>
      <c r="P121" s="89">
        <v>514006.75</v>
      </c>
      <c r="Q121" s="90">
        <v>32865</v>
      </c>
      <c r="R121" s="90">
        <v>83037</v>
      </c>
      <c r="S121" s="90">
        <v>36471</v>
      </c>
      <c r="T121" s="90">
        <v>179965</v>
      </c>
      <c r="U121" s="90">
        <v>141469</v>
      </c>
      <c r="V121" s="91">
        <v>906.4</v>
      </c>
      <c r="W121" s="86" t="s">
        <v>239</v>
      </c>
      <c r="X121" s="86"/>
    </row>
    <row r="122" spans="3:24" s="6" customFormat="1">
      <c r="C122" s="9"/>
      <c r="D122" s="92"/>
      <c r="E122" s="115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3"/>
      <c r="R122" s="113"/>
      <c r="S122" s="113"/>
      <c r="T122" s="113"/>
      <c r="U122" s="113"/>
      <c r="V122" s="114"/>
      <c r="W122" s="9"/>
      <c r="X122" s="92"/>
    </row>
    <row r="123" spans="3:24" s="6" customFormat="1">
      <c r="C123" s="97" t="s">
        <v>43</v>
      </c>
      <c r="D123" s="86"/>
      <c r="E123" s="98"/>
      <c r="F123" s="99"/>
      <c r="G123" s="99"/>
      <c r="H123" s="99"/>
      <c r="I123" s="99"/>
      <c r="J123" s="99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1"/>
      <c r="W123" s="97" t="s">
        <v>43</v>
      </c>
      <c r="X123" s="86"/>
    </row>
    <row r="124" spans="3:24" s="12" customFormat="1">
      <c r="C124" s="9"/>
      <c r="D124" s="102" t="s">
        <v>229</v>
      </c>
      <c r="E124" s="103">
        <v>3007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134</v>
      </c>
      <c r="O124" s="104">
        <v>150</v>
      </c>
      <c r="P124" s="104">
        <v>0</v>
      </c>
      <c r="Q124" s="107">
        <v>0</v>
      </c>
      <c r="R124" s="107">
        <v>2130</v>
      </c>
      <c r="S124" s="107">
        <v>216</v>
      </c>
      <c r="T124" s="107">
        <v>10</v>
      </c>
      <c r="U124" s="107">
        <v>80</v>
      </c>
      <c r="V124" s="108">
        <v>287</v>
      </c>
      <c r="W124" s="9"/>
      <c r="X124" s="102" t="s">
        <v>240</v>
      </c>
    </row>
    <row r="125" spans="3:24" s="12" customFormat="1">
      <c r="C125" s="9"/>
      <c r="D125" s="102" t="s">
        <v>230</v>
      </c>
      <c r="E125" s="103">
        <v>11723</v>
      </c>
      <c r="F125" s="104">
        <v>0</v>
      </c>
      <c r="G125" s="104">
        <v>0</v>
      </c>
      <c r="H125" s="104">
        <v>0</v>
      </c>
      <c r="I125" s="104">
        <v>0</v>
      </c>
      <c r="J125" s="104">
        <v>0</v>
      </c>
      <c r="K125" s="104">
        <v>0</v>
      </c>
      <c r="L125" s="104">
        <v>0</v>
      </c>
      <c r="M125" s="104">
        <v>0</v>
      </c>
      <c r="N125" s="104">
        <v>9</v>
      </c>
      <c r="O125" s="104">
        <v>0</v>
      </c>
      <c r="P125" s="104">
        <v>2400</v>
      </c>
      <c r="Q125" s="107">
        <v>0</v>
      </c>
      <c r="R125" s="107">
        <v>0</v>
      </c>
      <c r="S125" s="107">
        <v>114</v>
      </c>
      <c r="T125" s="107">
        <v>0</v>
      </c>
      <c r="U125" s="107">
        <v>9150</v>
      </c>
      <c r="V125" s="108">
        <v>50</v>
      </c>
      <c r="W125" s="9"/>
      <c r="X125" s="102" t="s">
        <v>230</v>
      </c>
    </row>
    <row r="126" spans="3:24" s="12" customFormat="1">
      <c r="C126" s="9"/>
      <c r="D126" s="102" t="s">
        <v>231</v>
      </c>
      <c r="E126" s="103">
        <v>4333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360</v>
      </c>
      <c r="P126" s="104">
        <v>600</v>
      </c>
      <c r="Q126" s="107">
        <v>0</v>
      </c>
      <c r="R126" s="107">
        <v>3299</v>
      </c>
      <c r="S126" s="107">
        <v>0</v>
      </c>
      <c r="T126" s="107">
        <v>55</v>
      </c>
      <c r="U126" s="107">
        <v>0</v>
      </c>
      <c r="V126" s="108">
        <v>19</v>
      </c>
      <c r="W126" s="9"/>
      <c r="X126" s="102" t="s">
        <v>231</v>
      </c>
    </row>
    <row r="127" spans="3:24" s="6" customFormat="1">
      <c r="C127" s="92"/>
      <c r="D127" s="92"/>
      <c r="E127" s="115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3"/>
      <c r="R127" s="113"/>
      <c r="S127" s="113"/>
      <c r="T127" s="113"/>
      <c r="U127" s="113"/>
      <c r="V127" s="114"/>
      <c r="W127" s="92"/>
      <c r="X127" s="92"/>
    </row>
    <row r="128" spans="3:24" s="12" customFormat="1">
      <c r="C128" s="86" t="s">
        <v>241</v>
      </c>
      <c r="D128" s="87"/>
      <c r="E128" s="88">
        <v>1807291.15</v>
      </c>
      <c r="F128" s="89">
        <v>316</v>
      </c>
      <c r="G128" s="89">
        <v>65</v>
      </c>
      <c r="H128" s="89">
        <v>3560</v>
      </c>
      <c r="I128" s="89">
        <v>12919</v>
      </c>
      <c r="J128" s="89">
        <v>1830</v>
      </c>
      <c r="K128" s="89">
        <v>100</v>
      </c>
      <c r="L128" s="89">
        <v>300</v>
      </c>
      <c r="M128" s="89">
        <v>2310</v>
      </c>
      <c r="N128" s="89">
        <v>277028</v>
      </c>
      <c r="O128" s="89">
        <v>520143</v>
      </c>
      <c r="P128" s="89">
        <v>514006.75</v>
      </c>
      <c r="Q128" s="89">
        <v>32865</v>
      </c>
      <c r="R128" s="89">
        <v>83037</v>
      </c>
      <c r="S128" s="89">
        <v>36471</v>
      </c>
      <c r="T128" s="89">
        <v>179965</v>
      </c>
      <c r="U128" s="89">
        <v>141469</v>
      </c>
      <c r="V128" s="91">
        <v>906.4</v>
      </c>
      <c r="W128" s="86" t="s">
        <v>241</v>
      </c>
      <c r="X128" s="87"/>
    </row>
    <row r="129" spans="3:24" s="12" customFormat="1">
      <c r="D129" s="116" t="s">
        <v>42</v>
      </c>
      <c r="E129" s="103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7">
        <v>0</v>
      </c>
      <c r="R129" s="107">
        <v>0</v>
      </c>
      <c r="S129" s="107">
        <v>0</v>
      </c>
      <c r="T129" s="107">
        <v>0</v>
      </c>
      <c r="U129" s="107">
        <v>0</v>
      </c>
      <c r="V129" s="108">
        <v>0</v>
      </c>
      <c r="X129" s="116" t="s">
        <v>42</v>
      </c>
    </row>
    <row r="130" spans="3:24" s="12" customFormat="1">
      <c r="C130" s="9"/>
      <c r="D130" s="116" t="s">
        <v>41</v>
      </c>
      <c r="E130" s="103">
        <v>1423.75</v>
      </c>
      <c r="F130" s="104">
        <v>0</v>
      </c>
      <c r="G130" s="104">
        <v>55</v>
      </c>
      <c r="H130" s="104">
        <v>0</v>
      </c>
      <c r="I130" s="104">
        <v>320</v>
      </c>
      <c r="J130" s="104">
        <v>0</v>
      </c>
      <c r="K130" s="104">
        <v>100</v>
      </c>
      <c r="L130" s="104">
        <v>0</v>
      </c>
      <c r="M130" s="104">
        <v>0</v>
      </c>
      <c r="N130" s="104">
        <v>910</v>
      </c>
      <c r="O130" s="104">
        <v>0</v>
      </c>
      <c r="P130" s="104">
        <v>2.75</v>
      </c>
      <c r="Q130" s="107">
        <v>36</v>
      </c>
      <c r="R130" s="107">
        <v>0</v>
      </c>
      <c r="S130" s="107">
        <v>0</v>
      </c>
      <c r="T130" s="107">
        <v>0</v>
      </c>
      <c r="U130" s="107">
        <v>0</v>
      </c>
      <c r="V130" s="108">
        <v>0</v>
      </c>
      <c r="W130" s="9"/>
      <c r="X130" s="116" t="s">
        <v>41</v>
      </c>
    </row>
    <row r="131" spans="3:24" s="12" customFormat="1">
      <c r="C131" s="9"/>
      <c r="D131" s="116" t="s">
        <v>40</v>
      </c>
      <c r="E131" s="103">
        <v>0</v>
      </c>
      <c r="F131" s="104">
        <v>0</v>
      </c>
      <c r="G131" s="104">
        <v>0</v>
      </c>
      <c r="H131" s="104">
        <v>0</v>
      </c>
      <c r="I131" s="104">
        <v>0</v>
      </c>
      <c r="J131" s="104">
        <v>0</v>
      </c>
      <c r="K131" s="104">
        <v>0</v>
      </c>
      <c r="L131" s="104">
        <v>0</v>
      </c>
      <c r="M131" s="104">
        <v>0</v>
      </c>
      <c r="N131" s="104">
        <v>0</v>
      </c>
      <c r="O131" s="104">
        <v>0</v>
      </c>
      <c r="P131" s="104">
        <v>0</v>
      </c>
      <c r="Q131" s="107">
        <v>0</v>
      </c>
      <c r="R131" s="107">
        <v>0</v>
      </c>
      <c r="S131" s="107">
        <v>0</v>
      </c>
      <c r="T131" s="107">
        <v>0</v>
      </c>
      <c r="U131" s="107">
        <v>0</v>
      </c>
      <c r="V131" s="108">
        <v>0</v>
      </c>
      <c r="W131" s="9"/>
      <c r="X131" s="116" t="s">
        <v>40</v>
      </c>
    </row>
    <row r="132" spans="3:24" s="12" customFormat="1" ht="33" customHeight="1">
      <c r="C132" s="9"/>
      <c r="D132" s="116" t="s">
        <v>39</v>
      </c>
      <c r="E132" s="103">
        <v>0</v>
      </c>
      <c r="F132" s="104">
        <v>0</v>
      </c>
      <c r="G132" s="104">
        <v>0</v>
      </c>
      <c r="H132" s="104">
        <v>0</v>
      </c>
      <c r="I132" s="104">
        <v>0</v>
      </c>
      <c r="J132" s="104">
        <v>0</v>
      </c>
      <c r="K132" s="104">
        <v>0</v>
      </c>
      <c r="L132" s="104">
        <v>0</v>
      </c>
      <c r="M132" s="104">
        <v>0</v>
      </c>
      <c r="N132" s="104">
        <v>0</v>
      </c>
      <c r="O132" s="104">
        <v>0</v>
      </c>
      <c r="P132" s="104">
        <v>0</v>
      </c>
      <c r="Q132" s="107">
        <v>0</v>
      </c>
      <c r="R132" s="107">
        <v>0</v>
      </c>
      <c r="S132" s="107">
        <v>0</v>
      </c>
      <c r="T132" s="107">
        <v>0</v>
      </c>
      <c r="U132" s="107">
        <v>0</v>
      </c>
      <c r="V132" s="108">
        <v>0</v>
      </c>
      <c r="W132" s="9"/>
      <c r="X132" s="116" t="s">
        <v>39</v>
      </c>
    </row>
    <row r="133" spans="3:24" s="12" customFormat="1">
      <c r="C133" s="9"/>
      <c r="D133" s="116" t="s">
        <v>38</v>
      </c>
      <c r="E133" s="103">
        <v>0</v>
      </c>
      <c r="F133" s="104">
        <v>0</v>
      </c>
      <c r="G133" s="104">
        <v>0</v>
      </c>
      <c r="H133" s="104">
        <v>0</v>
      </c>
      <c r="I133" s="104">
        <v>0</v>
      </c>
      <c r="J133" s="104">
        <v>0</v>
      </c>
      <c r="K133" s="104">
        <v>0</v>
      </c>
      <c r="L133" s="104">
        <v>0</v>
      </c>
      <c r="M133" s="104">
        <v>0</v>
      </c>
      <c r="N133" s="104">
        <v>0</v>
      </c>
      <c r="O133" s="104">
        <v>0</v>
      </c>
      <c r="P133" s="104">
        <v>0</v>
      </c>
      <c r="Q133" s="104">
        <v>0</v>
      </c>
      <c r="R133" s="104">
        <v>0</v>
      </c>
      <c r="S133" s="104">
        <v>0</v>
      </c>
      <c r="T133" s="104">
        <v>0</v>
      </c>
      <c r="U133" s="104">
        <v>0</v>
      </c>
      <c r="V133" s="178">
        <v>0</v>
      </c>
      <c r="W133" s="9"/>
      <c r="X133" s="116" t="s">
        <v>38</v>
      </c>
    </row>
    <row r="134" spans="3:24" s="12" customFormat="1">
      <c r="C134" s="9"/>
      <c r="D134" s="116" t="s">
        <v>37</v>
      </c>
      <c r="E134" s="103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7">
        <v>0</v>
      </c>
      <c r="R134" s="104">
        <v>0</v>
      </c>
      <c r="S134" s="104">
        <v>0</v>
      </c>
      <c r="T134" s="104">
        <v>0</v>
      </c>
      <c r="U134" s="104">
        <v>0</v>
      </c>
      <c r="V134" s="178">
        <v>0</v>
      </c>
      <c r="W134" s="9"/>
      <c r="X134" s="116" t="s">
        <v>37</v>
      </c>
    </row>
    <row r="135" spans="3:24" s="12" customFormat="1" ht="33" customHeight="1">
      <c r="C135" s="9"/>
      <c r="D135" s="116" t="s">
        <v>36</v>
      </c>
      <c r="E135" s="103">
        <v>1805777.4</v>
      </c>
      <c r="F135" s="104">
        <v>316</v>
      </c>
      <c r="G135" s="104">
        <v>10</v>
      </c>
      <c r="H135" s="104">
        <v>3560</v>
      </c>
      <c r="I135" s="104">
        <v>12599</v>
      </c>
      <c r="J135" s="104">
        <v>1830</v>
      </c>
      <c r="K135" s="104">
        <v>0</v>
      </c>
      <c r="L135" s="104">
        <v>300</v>
      </c>
      <c r="M135" s="104">
        <v>2310</v>
      </c>
      <c r="N135" s="104">
        <v>276118</v>
      </c>
      <c r="O135" s="104">
        <v>520143</v>
      </c>
      <c r="P135" s="104">
        <v>514004</v>
      </c>
      <c r="Q135" s="107">
        <v>32829</v>
      </c>
      <c r="R135" s="107">
        <v>83037</v>
      </c>
      <c r="S135" s="107">
        <v>36471</v>
      </c>
      <c r="T135" s="107">
        <v>179965</v>
      </c>
      <c r="U135" s="107">
        <v>141469</v>
      </c>
      <c r="V135" s="108">
        <v>816.4</v>
      </c>
      <c r="W135" s="9"/>
      <c r="X135" s="116" t="s">
        <v>36</v>
      </c>
    </row>
    <row r="136" spans="3:24" s="12" customFormat="1">
      <c r="C136" s="9"/>
      <c r="D136" s="116" t="s">
        <v>35</v>
      </c>
      <c r="E136" s="103">
        <v>90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7">
        <v>0</v>
      </c>
      <c r="R136" s="107">
        <v>0</v>
      </c>
      <c r="S136" s="107">
        <v>0</v>
      </c>
      <c r="T136" s="107">
        <v>0</v>
      </c>
      <c r="U136" s="107">
        <v>0</v>
      </c>
      <c r="V136" s="108">
        <v>90</v>
      </c>
      <c r="W136" s="9"/>
      <c r="X136" s="116" t="s">
        <v>35</v>
      </c>
    </row>
    <row r="137" spans="3:24" s="12" customFormat="1">
      <c r="C137" s="9"/>
      <c r="D137" s="9"/>
      <c r="E137" s="103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7"/>
      <c r="R137" s="107"/>
      <c r="S137" s="107"/>
      <c r="T137" s="107"/>
      <c r="U137" s="107"/>
      <c r="V137" s="108"/>
      <c r="W137" s="9"/>
      <c r="X137" s="9"/>
    </row>
    <row r="138" spans="3:24" s="12" customFormat="1">
      <c r="C138" s="86" t="s">
        <v>243</v>
      </c>
      <c r="D138" s="86"/>
      <c r="E138" s="88">
        <v>1807291.15</v>
      </c>
      <c r="F138" s="89">
        <v>316</v>
      </c>
      <c r="G138" s="89">
        <v>65</v>
      </c>
      <c r="H138" s="89">
        <v>3560</v>
      </c>
      <c r="I138" s="89">
        <v>12919</v>
      </c>
      <c r="J138" s="89">
        <v>1830</v>
      </c>
      <c r="K138" s="89">
        <v>100</v>
      </c>
      <c r="L138" s="89">
        <v>300</v>
      </c>
      <c r="M138" s="89">
        <v>2310</v>
      </c>
      <c r="N138" s="89">
        <v>277028</v>
      </c>
      <c r="O138" s="89">
        <v>520143</v>
      </c>
      <c r="P138" s="89">
        <v>514006.75</v>
      </c>
      <c r="Q138" s="89">
        <v>32865</v>
      </c>
      <c r="R138" s="89">
        <v>83037</v>
      </c>
      <c r="S138" s="89">
        <v>36471</v>
      </c>
      <c r="T138" s="89">
        <v>179965</v>
      </c>
      <c r="U138" s="89">
        <v>141469</v>
      </c>
      <c r="V138" s="91">
        <v>906.4</v>
      </c>
      <c r="W138" s="86" t="s">
        <v>244</v>
      </c>
      <c r="X138" s="86"/>
    </row>
    <row r="139" spans="3:24" s="12" customFormat="1">
      <c r="C139" s="9"/>
      <c r="D139" s="9" t="s">
        <v>34</v>
      </c>
      <c r="E139" s="103">
        <v>0</v>
      </c>
      <c r="F139" s="104">
        <v>0</v>
      </c>
      <c r="G139" s="104">
        <v>0</v>
      </c>
      <c r="H139" s="104">
        <v>0</v>
      </c>
      <c r="I139" s="104">
        <v>0</v>
      </c>
      <c r="J139" s="104">
        <v>0</v>
      </c>
      <c r="K139" s="104">
        <v>0</v>
      </c>
      <c r="L139" s="104">
        <v>0</v>
      </c>
      <c r="M139" s="104">
        <v>0</v>
      </c>
      <c r="N139" s="104">
        <v>0</v>
      </c>
      <c r="O139" s="104">
        <v>0</v>
      </c>
      <c r="P139" s="104">
        <v>0</v>
      </c>
      <c r="Q139" s="107">
        <v>0</v>
      </c>
      <c r="R139" s="107">
        <v>0</v>
      </c>
      <c r="S139" s="104">
        <v>0</v>
      </c>
      <c r="T139" s="104">
        <v>0</v>
      </c>
      <c r="U139" s="104">
        <v>0</v>
      </c>
      <c r="V139" s="178">
        <v>0</v>
      </c>
      <c r="W139" s="9"/>
      <c r="X139" s="9" t="s">
        <v>34</v>
      </c>
    </row>
    <row r="140" spans="3:24" s="12" customFormat="1">
      <c r="C140" s="9"/>
      <c r="D140" s="9" t="s">
        <v>33</v>
      </c>
      <c r="E140" s="103">
        <v>2.75</v>
      </c>
      <c r="F140" s="104">
        <v>0</v>
      </c>
      <c r="G140" s="104">
        <v>0</v>
      </c>
      <c r="H140" s="104">
        <v>0</v>
      </c>
      <c r="I140" s="104">
        <v>0</v>
      </c>
      <c r="J140" s="104">
        <v>0</v>
      </c>
      <c r="K140" s="104">
        <v>0</v>
      </c>
      <c r="L140" s="104">
        <v>0</v>
      </c>
      <c r="M140" s="104">
        <v>0</v>
      </c>
      <c r="N140" s="104">
        <v>0</v>
      </c>
      <c r="O140" s="104">
        <v>0</v>
      </c>
      <c r="P140" s="104">
        <v>2.75</v>
      </c>
      <c r="Q140" s="107">
        <v>0</v>
      </c>
      <c r="R140" s="107">
        <v>0</v>
      </c>
      <c r="S140" s="107">
        <v>0</v>
      </c>
      <c r="T140" s="107">
        <v>0</v>
      </c>
      <c r="U140" s="107">
        <v>0</v>
      </c>
      <c r="V140" s="108">
        <v>0</v>
      </c>
      <c r="W140" s="9"/>
      <c r="X140" s="9" t="s">
        <v>33</v>
      </c>
    </row>
    <row r="141" spans="3:24" s="12" customFormat="1">
      <c r="C141" s="9"/>
      <c r="D141" s="9" t="s">
        <v>32</v>
      </c>
      <c r="E141" s="103">
        <v>54</v>
      </c>
      <c r="F141" s="104">
        <v>16</v>
      </c>
      <c r="G141" s="104">
        <v>10</v>
      </c>
      <c r="H141" s="104">
        <v>0</v>
      </c>
      <c r="I141" s="104">
        <v>0</v>
      </c>
      <c r="J141" s="104">
        <v>0</v>
      </c>
      <c r="K141" s="104">
        <v>0</v>
      </c>
      <c r="L141" s="104">
        <v>0</v>
      </c>
      <c r="M141" s="104">
        <v>0</v>
      </c>
      <c r="N141" s="104">
        <v>9</v>
      </c>
      <c r="O141" s="104">
        <v>0</v>
      </c>
      <c r="P141" s="104">
        <v>0</v>
      </c>
      <c r="Q141" s="107">
        <v>0</v>
      </c>
      <c r="R141" s="107">
        <v>0</v>
      </c>
      <c r="S141" s="107">
        <v>9</v>
      </c>
      <c r="T141" s="107">
        <v>10</v>
      </c>
      <c r="U141" s="107">
        <v>0</v>
      </c>
      <c r="V141" s="108">
        <v>0</v>
      </c>
      <c r="W141" s="9"/>
      <c r="X141" s="9" t="s">
        <v>32</v>
      </c>
    </row>
    <row r="142" spans="3:24" s="12" customFormat="1">
      <c r="C142" s="9"/>
      <c r="D142" s="9" t="s">
        <v>31</v>
      </c>
      <c r="E142" s="103">
        <v>430.4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45</v>
      </c>
      <c r="O142" s="104">
        <v>0</v>
      </c>
      <c r="P142" s="104">
        <v>0</v>
      </c>
      <c r="Q142" s="107">
        <v>36</v>
      </c>
      <c r="R142" s="107">
        <v>50</v>
      </c>
      <c r="S142" s="107">
        <v>125</v>
      </c>
      <c r="T142" s="107">
        <v>25</v>
      </c>
      <c r="U142" s="107">
        <v>80</v>
      </c>
      <c r="V142" s="108">
        <v>69.400000000000006</v>
      </c>
      <c r="W142" s="9"/>
      <c r="X142" s="9" t="s">
        <v>31</v>
      </c>
    </row>
    <row r="143" spans="3:24" s="12" customFormat="1">
      <c r="C143" s="9"/>
      <c r="D143" s="9" t="s">
        <v>30</v>
      </c>
      <c r="E143" s="103">
        <v>1189</v>
      </c>
      <c r="F143" s="104">
        <v>0</v>
      </c>
      <c r="G143" s="104">
        <v>55</v>
      </c>
      <c r="H143" s="104">
        <v>0</v>
      </c>
      <c r="I143" s="104">
        <v>0</v>
      </c>
      <c r="J143" s="104">
        <v>0</v>
      </c>
      <c r="K143" s="104">
        <v>100</v>
      </c>
      <c r="L143" s="104">
        <v>0</v>
      </c>
      <c r="M143" s="104">
        <v>0</v>
      </c>
      <c r="N143" s="104">
        <v>234</v>
      </c>
      <c r="O143" s="104">
        <v>98</v>
      </c>
      <c r="P143" s="104">
        <v>0</v>
      </c>
      <c r="Q143" s="107">
        <v>0</v>
      </c>
      <c r="R143" s="107">
        <v>234</v>
      </c>
      <c r="S143" s="107">
        <v>154</v>
      </c>
      <c r="T143" s="107">
        <v>65</v>
      </c>
      <c r="U143" s="107">
        <v>99</v>
      </c>
      <c r="V143" s="108">
        <v>150</v>
      </c>
      <c r="W143" s="9"/>
      <c r="X143" s="9" t="s">
        <v>30</v>
      </c>
    </row>
    <row r="144" spans="3:24" s="12" customFormat="1">
      <c r="C144" s="9"/>
      <c r="D144" s="9" t="s">
        <v>29</v>
      </c>
      <c r="E144" s="103">
        <v>17216</v>
      </c>
      <c r="F144" s="104">
        <v>300</v>
      </c>
      <c r="G144" s="104">
        <v>0</v>
      </c>
      <c r="H144" s="104">
        <v>0</v>
      </c>
      <c r="I144" s="104">
        <v>320</v>
      </c>
      <c r="J144" s="104">
        <v>270</v>
      </c>
      <c r="K144" s="104">
        <v>0</v>
      </c>
      <c r="L144" s="104">
        <v>300</v>
      </c>
      <c r="M144" s="104">
        <v>0</v>
      </c>
      <c r="N144" s="104">
        <v>2240</v>
      </c>
      <c r="O144" s="104">
        <v>2865</v>
      </c>
      <c r="P144" s="104">
        <v>1140</v>
      </c>
      <c r="Q144" s="107">
        <v>1615</v>
      </c>
      <c r="R144" s="107">
        <v>2263</v>
      </c>
      <c r="S144" s="107">
        <v>1197</v>
      </c>
      <c r="T144" s="107">
        <v>2859</v>
      </c>
      <c r="U144" s="107">
        <v>1160</v>
      </c>
      <c r="V144" s="108">
        <v>687</v>
      </c>
      <c r="W144" s="9"/>
      <c r="X144" s="9" t="s">
        <v>29</v>
      </c>
    </row>
    <row r="145" spans="3:24" s="12" customFormat="1">
      <c r="C145" s="9"/>
      <c r="D145" s="9" t="s">
        <v>28</v>
      </c>
      <c r="E145" s="103">
        <v>23536</v>
      </c>
      <c r="F145" s="104">
        <v>0</v>
      </c>
      <c r="G145" s="104">
        <v>0</v>
      </c>
      <c r="H145" s="104">
        <v>560</v>
      </c>
      <c r="I145" s="104">
        <v>0</v>
      </c>
      <c r="J145" s="104">
        <v>1560</v>
      </c>
      <c r="K145" s="104">
        <v>0</v>
      </c>
      <c r="L145" s="104">
        <v>0</v>
      </c>
      <c r="M145" s="104">
        <v>0</v>
      </c>
      <c r="N145" s="104">
        <v>0</v>
      </c>
      <c r="O145" s="104">
        <v>1530</v>
      </c>
      <c r="P145" s="104">
        <v>2300</v>
      </c>
      <c r="Q145" s="107">
        <v>556</v>
      </c>
      <c r="R145" s="107">
        <v>6010</v>
      </c>
      <c r="S145" s="107">
        <v>3000</v>
      </c>
      <c r="T145" s="107">
        <v>4990</v>
      </c>
      <c r="U145" s="107">
        <v>3030</v>
      </c>
      <c r="V145" s="108">
        <v>0</v>
      </c>
      <c r="W145" s="9"/>
      <c r="X145" s="9" t="s">
        <v>28</v>
      </c>
    </row>
    <row r="146" spans="3:24" s="12" customFormat="1">
      <c r="C146" s="9"/>
      <c r="D146" s="9" t="s">
        <v>27</v>
      </c>
      <c r="E146" s="103">
        <v>158883</v>
      </c>
      <c r="F146" s="104">
        <v>0</v>
      </c>
      <c r="G146" s="104">
        <v>0</v>
      </c>
      <c r="H146" s="104">
        <v>3000</v>
      </c>
      <c r="I146" s="104">
        <v>12599</v>
      </c>
      <c r="J146" s="104">
        <v>0</v>
      </c>
      <c r="K146" s="104">
        <v>0</v>
      </c>
      <c r="L146" s="104">
        <v>0</v>
      </c>
      <c r="M146" s="104">
        <v>2310</v>
      </c>
      <c r="N146" s="104">
        <v>14400</v>
      </c>
      <c r="O146" s="104">
        <v>15370</v>
      </c>
      <c r="P146" s="104">
        <v>8564</v>
      </c>
      <c r="Q146" s="107">
        <v>30658</v>
      </c>
      <c r="R146" s="107">
        <v>17380</v>
      </c>
      <c r="S146" s="107">
        <v>9486</v>
      </c>
      <c r="T146" s="107">
        <v>32016</v>
      </c>
      <c r="U146" s="107">
        <v>13100</v>
      </c>
      <c r="V146" s="108">
        <v>0</v>
      </c>
      <c r="W146" s="9"/>
      <c r="X146" s="9" t="s">
        <v>27</v>
      </c>
    </row>
    <row r="147" spans="3:24" s="12" customFormat="1">
      <c r="C147" s="9"/>
      <c r="D147" s="9" t="s">
        <v>26</v>
      </c>
      <c r="E147" s="103">
        <v>6000</v>
      </c>
      <c r="F147" s="104">
        <v>0</v>
      </c>
      <c r="G147" s="104">
        <v>0</v>
      </c>
      <c r="H147" s="104">
        <v>0</v>
      </c>
      <c r="I147" s="104">
        <v>0</v>
      </c>
      <c r="J147" s="104">
        <v>0</v>
      </c>
      <c r="K147" s="104">
        <v>0</v>
      </c>
      <c r="L147" s="104">
        <v>0</v>
      </c>
      <c r="M147" s="104">
        <v>0</v>
      </c>
      <c r="N147" s="104">
        <v>0</v>
      </c>
      <c r="O147" s="104">
        <v>0</v>
      </c>
      <c r="P147" s="104">
        <v>0</v>
      </c>
      <c r="Q147" s="107">
        <v>0</v>
      </c>
      <c r="R147" s="107">
        <v>0</v>
      </c>
      <c r="S147" s="107">
        <v>0</v>
      </c>
      <c r="T147" s="107">
        <v>0</v>
      </c>
      <c r="U147" s="107">
        <v>6000</v>
      </c>
      <c r="V147" s="108">
        <v>0</v>
      </c>
      <c r="W147" s="9"/>
      <c r="X147" s="9" t="s">
        <v>26</v>
      </c>
    </row>
    <row r="148" spans="3:24" s="12" customFormat="1">
      <c r="C148" s="9"/>
      <c r="D148" s="9" t="s">
        <v>25</v>
      </c>
      <c r="E148" s="103">
        <v>18000</v>
      </c>
      <c r="F148" s="104">
        <v>0</v>
      </c>
      <c r="G148" s="104">
        <v>0</v>
      </c>
      <c r="H148" s="104">
        <v>0</v>
      </c>
      <c r="I148" s="104">
        <v>0</v>
      </c>
      <c r="J148" s="104">
        <v>0</v>
      </c>
      <c r="K148" s="104">
        <v>0</v>
      </c>
      <c r="L148" s="104">
        <v>0</v>
      </c>
      <c r="M148" s="104">
        <v>0</v>
      </c>
      <c r="N148" s="104">
        <v>0</v>
      </c>
      <c r="O148" s="104">
        <v>0</v>
      </c>
      <c r="P148" s="104">
        <v>0</v>
      </c>
      <c r="Q148" s="107">
        <v>0</v>
      </c>
      <c r="R148" s="107">
        <v>0</v>
      </c>
      <c r="S148" s="107">
        <v>0</v>
      </c>
      <c r="T148" s="107">
        <v>0</v>
      </c>
      <c r="U148" s="107">
        <v>18000</v>
      </c>
      <c r="V148" s="108">
        <v>0</v>
      </c>
      <c r="W148" s="9"/>
      <c r="X148" s="9" t="s">
        <v>25</v>
      </c>
    </row>
    <row r="149" spans="3:24" s="12" customFormat="1" ht="15" thickBot="1">
      <c r="C149" s="118"/>
      <c r="D149" s="118" t="s">
        <v>24</v>
      </c>
      <c r="E149" s="119">
        <v>1581980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L149" s="120">
        <v>0</v>
      </c>
      <c r="M149" s="120">
        <v>0</v>
      </c>
      <c r="N149" s="120">
        <v>260100</v>
      </c>
      <c r="O149" s="120">
        <v>500280</v>
      </c>
      <c r="P149" s="120">
        <v>502000</v>
      </c>
      <c r="Q149" s="121">
        <v>0</v>
      </c>
      <c r="R149" s="121">
        <v>57100</v>
      </c>
      <c r="S149" s="121">
        <v>22500</v>
      </c>
      <c r="T149" s="121">
        <v>140000</v>
      </c>
      <c r="U149" s="121">
        <v>100000</v>
      </c>
      <c r="V149" s="122">
        <v>0</v>
      </c>
      <c r="W149" s="118"/>
      <c r="X149" s="118" t="s">
        <v>24</v>
      </c>
    </row>
    <row r="150" spans="3:24" s="6" customFormat="1">
      <c r="C150" s="68"/>
      <c r="D150" s="68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1"/>
      <c r="R150" s="71"/>
      <c r="S150" s="71"/>
      <c r="T150" s="71"/>
      <c r="U150" s="71"/>
      <c r="V150" s="71"/>
      <c r="W150" s="68"/>
      <c r="X150" s="68"/>
    </row>
    <row r="151" spans="3:24" s="7" customFormat="1" ht="13.8">
      <c r="C151" s="72" t="s">
        <v>198</v>
      </c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</row>
    <row r="154" spans="3:24" s="6" customFormat="1" ht="18">
      <c r="C154" s="19" t="s">
        <v>114</v>
      </c>
      <c r="D154" s="26"/>
    </row>
    <row r="155" spans="3:24" s="6" customFormat="1" ht="15.75" customHeight="1" thickBot="1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X155" s="29"/>
    </row>
    <row r="156" spans="3:24" s="6" customFormat="1" ht="15.75" customHeight="1">
      <c r="C156" s="304" t="s">
        <v>61</v>
      </c>
      <c r="D156" s="304"/>
      <c r="E156" s="82" t="s">
        <v>79</v>
      </c>
      <c r="F156" s="83" t="s">
        <v>78</v>
      </c>
      <c r="G156" s="83" t="s">
        <v>77</v>
      </c>
      <c r="H156" s="83" t="s">
        <v>76</v>
      </c>
      <c r="I156" s="83" t="s">
        <v>75</v>
      </c>
      <c r="J156" s="83" t="s">
        <v>74</v>
      </c>
      <c r="K156" s="83" t="s">
        <v>73</v>
      </c>
      <c r="L156" s="83" t="s">
        <v>72</v>
      </c>
      <c r="M156" s="83" t="s">
        <v>71</v>
      </c>
      <c r="N156" s="83" t="s">
        <v>70</v>
      </c>
      <c r="O156" s="83" t="s">
        <v>69</v>
      </c>
      <c r="P156" s="83" t="s">
        <v>68</v>
      </c>
      <c r="Q156" s="83" t="s">
        <v>67</v>
      </c>
      <c r="R156" s="83" t="s">
        <v>66</v>
      </c>
      <c r="S156" s="83" t="s">
        <v>65</v>
      </c>
      <c r="T156" s="83" t="s">
        <v>64</v>
      </c>
      <c r="U156" s="83" t="s">
        <v>63</v>
      </c>
      <c r="V156" s="84" t="s">
        <v>62</v>
      </c>
      <c r="W156" s="306" t="s">
        <v>61</v>
      </c>
      <c r="X156" s="304"/>
    </row>
    <row r="157" spans="3:24" s="6" customFormat="1" ht="15.75" customHeight="1">
      <c r="C157" s="305"/>
      <c r="D157" s="305"/>
      <c r="E157" s="85" t="s">
        <v>22</v>
      </c>
      <c r="F157" s="14" t="s">
        <v>60</v>
      </c>
      <c r="G157" s="14" t="s">
        <v>59</v>
      </c>
      <c r="H157" s="14" t="s">
        <v>58</v>
      </c>
      <c r="I157" s="14" t="s">
        <v>57</v>
      </c>
      <c r="J157" s="14" t="s">
        <v>56</v>
      </c>
      <c r="K157" s="14" t="s">
        <v>55</v>
      </c>
      <c r="L157" s="14" t="s">
        <v>54</v>
      </c>
      <c r="M157" s="14" t="s">
        <v>53</v>
      </c>
      <c r="N157" s="14" t="s">
        <v>52</v>
      </c>
      <c r="O157" s="14" t="s">
        <v>51</v>
      </c>
      <c r="P157" s="14" t="s">
        <v>50</v>
      </c>
      <c r="Q157" s="14" t="s">
        <v>49</v>
      </c>
      <c r="R157" s="14" t="s">
        <v>48</v>
      </c>
      <c r="S157" s="14" t="s">
        <v>47</v>
      </c>
      <c r="T157" s="14" t="s">
        <v>46</v>
      </c>
      <c r="U157" s="14" t="s">
        <v>45</v>
      </c>
      <c r="V157" s="13" t="s">
        <v>44</v>
      </c>
      <c r="W157" s="307"/>
      <c r="X157" s="305"/>
    </row>
    <row r="158" spans="3:24" s="12" customFormat="1" ht="15.75" customHeight="1">
      <c r="C158" s="86" t="s">
        <v>225</v>
      </c>
      <c r="D158" s="87"/>
      <c r="E158" s="179">
        <v>97396.949523660005</v>
      </c>
      <c r="F158" s="127">
        <v>0</v>
      </c>
      <c r="G158" s="127">
        <v>0</v>
      </c>
      <c r="H158" s="127">
        <v>0</v>
      </c>
      <c r="I158" s="127">
        <v>0</v>
      </c>
      <c r="J158" s="127">
        <v>0</v>
      </c>
      <c r="K158" s="127">
        <v>0</v>
      </c>
      <c r="L158" s="127">
        <v>0</v>
      </c>
      <c r="M158" s="127">
        <v>0</v>
      </c>
      <c r="N158" s="180">
        <v>97395.757456380001</v>
      </c>
      <c r="O158" s="127">
        <v>0</v>
      </c>
      <c r="P158" s="174">
        <v>0</v>
      </c>
      <c r="Q158" s="181">
        <v>0</v>
      </c>
      <c r="R158" s="181">
        <v>0</v>
      </c>
      <c r="S158" s="181">
        <v>0</v>
      </c>
      <c r="T158" s="181">
        <v>0</v>
      </c>
      <c r="U158" s="181">
        <v>0</v>
      </c>
      <c r="V158" s="182">
        <v>1.1920672800000001</v>
      </c>
      <c r="W158" s="86" t="s">
        <v>226</v>
      </c>
      <c r="X158" s="87"/>
    </row>
    <row r="159" spans="3:24" s="12" customFormat="1" ht="15.75" customHeight="1">
      <c r="C159" s="86" t="s">
        <v>236</v>
      </c>
      <c r="D159" s="87"/>
      <c r="E159" s="179">
        <v>457262.67381999997</v>
      </c>
      <c r="F159" s="127">
        <v>0</v>
      </c>
      <c r="G159" s="127">
        <v>0</v>
      </c>
      <c r="H159" s="127">
        <v>0</v>
      </c>
      <c r="I159" s="127">
        <v>0</v>
      </c>
      <c r="J159" s="127">
        <v>0</v>
      </c>
      <c r="K159" s="127">
        <v>0</v>
      </c>
      <c r="L159" s="127">
        <v>0</v>
      </c>
      <c r="M159" s="127">
        <v>0</v>
      </c>
      <c r="N159" s="180">
        <v>457257.07725999999</v>
      </c>
      <c r="O159" s="127">
        <v>0</v>
      </c>
      <c r="P159" s="174">
        <v>0</v>
      </c>
      <c r="Q159" s="181">
        <v>0</v>
      </c>
      <c r="R159" s="181">
        <v>0</v>
      </c>
      <c r="S159" s="181">
        <v>0</v>
      </c>
      <c r="T159" s="181">
        <v>0</v>
      </c>
      <c r="U159" s="181">
        <v>0</v>
      </c>
      <c r="V159" s="182">
        <v>5.5965600000000002</v>
      </c>
      <c r="W159" s="86" t="s">
        <v>237</v>
      </c>
      <c r="X159" s="87"/>
    </row>
    <row r="160" spans="3:24" s="12" customFormat="1" ht="15.75" customHeight="1">
      <c r="C160" s="86" t="s">
        <v>238</v>
      </c>
      <c r="D160" s="86"/>
      <c r="E160" s="179">
        <v>255500</v>
      </c>
      <c r="F160" s="127">
        <v>0</v>
      </c>
      <c r="G160" s="127">
        <v>0</v>
      </c>
      <c r="H160" s="127">
        <v>0</v>
      </c>
      <c r="I160" s="127">
        <v>0</v>
      </c>
      <c r="J160" s="127">
        <v>0</v>
      </c>
      <c r="K160" s="127">
        <v>0</v>
      </c>
      <c r="L160" s="127">
        <v>0</v>
      </c>
      <c r="M160" s="127">
        <v>0</v>
      </c>
      <c r="N160" s="180">
        <v>254000</v>
      </c>
      <c r="O160" s="127">
        <v>0</v>
      </c>
      <c r="P160" s="174">
        <v>0</v>
      </c>
      <c r="Q160" s="181">
        <v>0</v>
      </c>
      <c r="R160" s="181">
        <v>0</v>
      </c>
      <c r="S160" s="181">
        <v>1000</v>
      </c>
      <c r="T160" s="181">
        <v>0</v>
      </c>
      <c r="U160" s="181">
        <v>0</v>
      </c>
      <c r="V160" s="182">
        <v>500</v>
      </c>
      <c r="W160" s="86" t="s">
        <v>239</v>
      </c>
      <c r="X160" s="86"/>
    </row>
    <row r="161" spans="3:24" s="12" customFormat="1" ht="15.75" customHeight="1">
      <c r="C161" s="9"/>
      <c r="D161" s="9"/>
      <c r="E161" s="183"/>
      <c r="F161" s="155"/>
      <c r="G161" s="155"/>
      <c r="H161" s="155"/>
      <c r="I161" s="155"/>
      <c r="J161" s="155"/>
      <c r="K161" s="155"/>
      <c r="L161" s="155"/>
      <c r="M161" s="155"/>
      <c r="N161" s="156"/>
      <c r="O161" s="155"/>
      <c r="P161" s="184"/>
      <c r="Q161" s="185"/>
      <c r="R161" s="185"/>
      <c r="S161" s="185"/>
      <c r="T161" s="185"/>
      <c r="U161" s="185"/>
      <c r="V161" s="186"/>
      <c r="W161" s="9"/>
      <c r="X161" s="9"/>
    </row>
    <row r="162" spans="3:24" s="6" customFormat="1" ht="15.75" customHeight="1">
      <c r="C162" s="97" t="s">
        <v>43</v>
      </c>
      <c r="D162" s="86"/>
      <c r="E162" s="187"/>
      <c r="F162" s="188"/>
      <c r="G162" s="188"/>
      <c r="H162" s="188"/>
      <c r="I162" s="188"/>
      <c r="J162" s="188"/>
      <c r="K162" s="188"/>
      <c r="L162" s="188"/>
      <c r="M162" s="188"/>
      <c r="N162" s="189"/>
      <c r="O162" s="190"/>
      <c r="P162" s="191"/>
      <c r="Q162" s="192"/>
      <c r="R162" s="192"/>
      <c r="S162" s="192"/>
      <c r="T162" s="192"/>
      <c r="U162" s="192"/>
      <c r="V162" s="193"/>
      <c r="W162" s="97" t="s">
        <v>43</v>
      </c>
      <c r="X162" s="86"/>
    </row>
    <row r="163" spans="3:24" s="12" customFormat="1" ht="15.75" customHeight="1">
      <c r="C163" s="9"/>
      <c r="D163" s="102" t="s">
        <v>229</v>
      </c>
      <c r="E163" s="183">
        <v>0</v>
      </c>
      <c r="F163" s="156">
        <v>0</v>
      </c>
      <c r="G163" s="156">
        <v>0</v>
      </c>
      <c r="H163" s="156">
        <v>0</v>
      </c>
      <c r="I163" s="156">
        <v>0</v>
      </c>
      <c r="J163" s="156">
        <v>0</v>
      </c>
      <c r="K163" s="156">
        <v>0</v>
      </c>
      <c r="L163" s="156">
        <v>0</v>
      </c>
      <c r="M163" s="156">
        <v>0</v>
      </c>
      <c r="N163" s="156">
        <v>0</v>
      </c>
      <c r="O163" s="156">
        <v>0</v>
      </c>
      <c r="P163" s="155">
        <v>0</v>
      </c>
      <c r="Q163" s="158">
        <v>0</v>
      </c>
      <c r="R163" s="158">
        <v>0</v>
      </c>
      <c r="S163" s="158">
        <v>0</v>
      </c>
      <c r="T163" s="158">
        <v>0</v>
      </c>
      <c r="U163" s="158">
        <v>0</v>
      </c>
      <c r="V163" s="194">
        <v>0</v>
      </c>
      <c r="W163" s="9"/>
      <c r="X163" s="102" t="s">
        <v>240</v>
      </c>
    </row>
    <row r="164" spans="3:24" s="12" customFormat="1" ht="15.75" customHeight="1">
      <c r="C164" s="9"/>
      <c r="D164" s="102" t="s">
        <v>230</v>
      </c>
      <c r="E164" s="183">
        <v>500</v>
      </c>
      <c r="F164" s="156">
        <v>0</v>
      </c>
      <c r="G164" s="156">
        <v>0</v>
      </c>
      <c r="H164" s="156">
        <v>0</v>
      </c>
      <c r="I164" s="156">
        <v>0</v>
      </c>
      <c r="J164" s="156">
        <v>0</v>
      </c>
      <c r="K164" s="156">
        <v>0</v>
      </c>
      <c r="L164" s="156">
        <v>0</v>
      </c>
      <c r="M164" s="156">
        <v>0</v>
      </c>
      <c r="N164" s="156">
        <v>0</v>
      </c>
      <c r="O164" s="156">
        <v>0</v>
      </c>
      <c r="P164" s="155">
        <v>0</v>
      </c>
      <c r="Q164" s="158">
        <v>0</v>
      </c>
      <c r="R164" s="158">
        <v>0</v>
      </c>
      <c r="S164" s="158">
        <v>0</v>
      </c>
      <c r="T164" s="158">
        <v>0</v>
      </c>
      <c r="U164" s="158">
        <v>0</v>
      </c>
      <c r="V164" s="194">
        <v>500</v>
      </c>
      <c r="W164" s="9"/>
      <c r="X164" s="102" t="s">
        <v>230</v>
      </c>
    </row>
    <row r="165" spans="3:24" s="12" customFormat="1" ht="15.75" customHeight="1">
      <c r="C165" s="9"/>
      <c r="D165" s="102" t="s">
        <v>245</v>
      </c>
      <c r="E165" s="183">
        <v>0</v>
      </c>
      <c r="F165" s="156">
        <v>0</v>
      </c>
      <c r="G165" s="156">
        <v>0</v>
      </c>
      <c r="H165" s="156">
        <v>0</v>
      </c>
      <c r="I165" s="156">
        <v>0</v>
      </c>
      <c r="J165" s="156">
        <v>0</v>
      </c>
      <c r="K165" s="156">
        <v>0</v>
      </c>
      <c r="L165" s="156">
        <v>0</v>
      </c>
      <c r="M165" s="156">
        <v>0</v>
      </c>
      <c r="N165" s="156">
        <v>0</v>
      </c>
      <c r="O165" s="156">
        <v>0</v>
      </c>
      <c r="P165" s="155">
        <v>0</v>
      </c>
      <c r="Q165" s="158">
        <v>0</v>
      </c>
      <c r="R165" s="158">
        <v>0</v>
      </c>
      <c r="S165" s="158">
        <v>0</v>
      </c>
      <c r="T165" s="158">
        <v>0</v>
      </c>
      <c r="U165" s="158">
        <v>0</v>
      </c>
      <c r="V165" s="194">
        <v>0</v>
      </c>
      <c r="W165" s="9"/>
      <c r="X165" s="102" t="s">
        <v>245</v>
      </c>
    </row>
    <row r="166" spans="3:24" s="12" customFormat="1" ht="15.75" customHeight="1">
      <c r="C166" s="9"/>
      <c r="D166" s="9"/>
      <c r="E166" s="183"/>
      <c r="F166" s="155"/>
      <c r="G166" s="155"/>
      <c r="H166" s="155"/>
      <c r="I166" s="155"/>
      <c r="J166" s="155"/>
      <c r="K166" s="155"/>
      <c r="L166" s="155"/>
      <c r="M166" s="155"/>
      <c r="N166" s="156"/>
      <c r="O166" s="155"/>
      <c r="P166" s="184"/>
      <c r="Q166" s="185"/>
      <c r="R166" s="185"/>
      <c r="S166" s="185"/>
      <c r="T166" s="185"/>
      <c r="U166" s="185"/>
      <c r="V166" s="186"/>
      <c r="W166" s="9"/>
      <c r="X166" s="9"/>
    </row>
    <row r="167" spans="3:24" s="12" customFormat="1" ht="15.75" customHeight="1">
      <c r="C167" s="86" t="s">
        <v>241</v>
      </c>
      <c r="D167" s="87"/>
      <c r="E167" s="179">
        <v>255500</v>
      </c>
      <c r="F167" s="127">
        <v>0</v>
      </c>
      <c r="G167" s="127">
        <v>0</v>
      </c>
      <c r="H167" s="127">
        <v>0</v>
      </c>
      <c r="I167" s="127">
        <v>0</v>
      </c>
      <c r="J167" s="127">
        <v>0</v>
      </c>
      <c r="K167" s="127">
        <v>0</v>
      </c>
      <c r="L167" s="127">
        <v>0</v>
      </c>
      <c r="M167" s="127">
        <v>0</v>
      </c>
      <c r="N167" s="180">
        <v>254000</v>
      </c>
      <c r="O167" s="127">
        <v>0</v>
      </c>
      <c r="P167" s="127">
        <v>0</v>
      </c>
      <c r="Q167" s="135">
        <v>0</v>
      </c>
      <c r="R167" s="135">
        <v>0</v>
      </c>
      <c r="S167" s="135">
        <v>1000</v>
      </c>
      <c r="T167" s="135">
        <v>0</v>
      </c>
      <c r="U167" s="135">
        <v>0</v>
      </c>
      <c r="V167" s="195">
        <v>500</v>
      </c>
      <c r="W167" s="86" t="s">
        <v>241</v>
      </c>
      <c r="X167" s="87"/>
    </row>
    <row r="168" spans="3:24" s="12" customFormat="1" ht="15.75" customHeight="1">
      <c r="D168" s="116" t="s">
        <v>42</v>
      </c>
      <c r="E168" s="183">
        <v>0</v>
      </c>
      <c r="F168" s="155">
        <v>0</v>
      </c>
      <c r="G168" s="155">
        <v>0</v>
      </c>
      <c r="H168" s="155">
        <v>0</v>
      </c>
      <c r="I168" s="155">
        <v>0</v>
      </c>
      <c r="J168" s="155">
        <v>0</v>
      </c>
      <c r="K168" s="155">
        <v>0</v>
      </c>
      <c r="L168" s="155">
        <v>0</v>
      </c>
      <c r="M168" s="155">
        <v>0</v>
      </c>
      <c r="N168" s="156">
        <v>0</v>
      </c>
      <c r="O168" s="155">
        <v>0</v>
      </c>
      <c r="P168" s="155">
        <v>0</v>
      </c>
      <c r="Q168" s="158">
        <v>0</v>
      </c>
      <c r="R168" s="158">
        <v>0</v>
      </c>
      <c r="S168" s="158">
        <v>0</v>
      </c>
      <c r="T168" s="158">
        <v>0</v>
      </c>
      <c r="U168" s="158">
        <v>0</v>
      </c>
      <c r="V168" s="194">
        <v>0</v>
      </c>
      <c r="X168" s="116" t="s">
        <v>42</v>
      </c>
    </row>
    <row r="169" spans="3:24" s="12" customFormat="1" ht="15.75" customHeight="1">
      <c r="C169" s="9"/>
      <c r="D169" s="116" t="s">
        <v>41</v>
      </c>
      <c r="E169" s="183">
        <v>0</v>
      </c>
      <c r="F169" s="155">
        <v>0</v>
      </c>
      <c r="G169" s="155">
        <v>0</v>
      </c>
      <c r="H169" s="155">
        <v>0</v>
      </c>
      <c r="I169" s="155">
        <v>0</v>
      </c>
      <c r="J169" s="155">
        <v>0</v>
      </c>
      <c r="K169" s="155">
        <v>0</v>
      </c>
      <c r="L169" s="155">
        <v>0</v>
      </c>
      <c r="M169" s="155">
        <v>0</v>
      </c>
      <c r="N169" s="156">
        <v>0</v>
      </c>
      <c r="O169" s="155">
        <v>0</v>
      </c>
      <c r="P169" s="155">
        <v>0</v>
      </c>
      <c r="Q169" s="158">
        <v>0</v>
      </c>
      <c r="R169" s="158">
        <v>0</v>
      </c>
      <c r="S169" s="158">
        <v>0</v>
      </c>
      <c r="T169" s="158">
        <v>0</v>
      </c>
      <c r="U169" s="158">
        <v>0</v>
      </c>
      <c r="V169" s="194">
        <v>0</v>
      </c>
      <c r="W169" s="9"/>
      <c r="X169" s="116" t="s">
        <v>41</v>
      </c>
    </row>
    <row r="170" spans="3:24" s="12" customFormat="1" ht="15.75" customHeight="1">
      <c r="C170" s="9"/>
      <c r="D170" s="116" t="s">
        <v>40</v>
      </c>
      <c r="E170" s="183">
        <v>0</v>
      </c>
      <c r="F170" s="155">
        <v>0</v>
      </c>
      <c r="G170" s="155">
        <v>0</v>
      </c>
      <c r="H170" s="155">
        <v>0</v>
      </c>
      <c r="I170" s="155">
        <v>0</v>
      </c>
      <c r="J170" s="155">
        <v>0</v>
      </c>
      <c r="K170" s="155">
        <v>0</v>
      </c>
      <c r="L170" s="155">
        <v>0</v>
      </c>
      <c r="M170" s="155">
        <v>0</v>
      </c>
      <c r="N170" s="156">
        <v>0</v>
      </c>
      <c r="O170" s="155">
        <v>0</v>
      </c>
      <c r="P170" s="155">
        <v>0</v>
      </c>
      <c r="Q170" s="158">
        <v>0</v>
      </c>
      <c r="R170" s="158">
        <v>0</v>
      </c>
      <c r="S170" s="158">
        <v>0</v>
      </c>
      <c r="T170" s="158">
        <v>0</v>
      </c>
      <c r="U170" s="158">
        <v>0</v>
      </c>
      <c r="V170" s="194">
        <v>0</v>
      </c>
      <c r="W170" s="9"/>
      <c r="X170" s="116" t="s">
        <v>40</v>
      </c>
    </row>
    <row r="171" spans="3:24" s="12" customFormat="1" ht="15.75" customHeight="1">
      <c r="C171" s="9"/>
      <c r="D171" s="116" t="s">
        <v>39</v>
      </c>
      <c r="E171" s="183">
        <v>0</v>
      </c>
      <c r="F171" s="155">
        <v>0</v>
      </c>
      <c r="G171" s="155">
        <v>0</v>
      </c>
      <c r="H171" s="155">
        <v>0</v>
      </c>
      <c r="I171" s="155">
        <v>0</v>
      </c>
      <c r="J171" s="155">
        <v>0</v>
      </c>
      <c r="K171" s="155">
        <v>0</v>
      </c>
      <c r="L171" s="155">
        <v>0</v>
      </c>
      <c r="M171" s="155">
        <v>0</v>
      </c>
      <c r="N171" s="156">
        <v>0</v>
      </c>
      <c r="O171" s="155">
        <v>0</v>
      </c>
      <c r="P171" s="155">
        <v>0</v>
      </c>
      <c r="Q171" s="158">
        <v>0</v>
      </c>
      <c r="R171" s="158">
        <v>0</v>
      </c>
      <c r="S171" s="158">
        <v>0</v>
      </c>
      <c r="T171" s="158">
        <v>0</v>
      </c>
      <c r="U171" s="158">
        <v>0</v>
      </c>
      <c r="V171" s="194">
        <v>0</v>
      </c>
      <c r="W171" s="9"/>
      <c r="X171" s="116" t="s">
        <v>39</v>
      </c>
    </row>
    <row r="172" spans="3:24" s="12" customFormat="1" ht="15.75" customHeight="1">
      <c r="C172" s="9"/>
      <c r="D172" s="116" t="s">
        <v>38</v>
      </c>
      <c r="E172" s="183">
        <v>0</v>
      </c>
      <c r="F172" s="155">
        <v>0</v>
      </c>
      <c r="G172" s="155">
        <v>0</v>
      </c>
      <c r="H172" s="155">
        <v>0</v>
      </c>
      <c r="I172" s="155">
        <v>0</v>
      </c>
      <c r="J172" s="155">
        <v>0</v>
      </c>
      <c r="K172" s="155">
        <v>0</v>
      </c>
      <c r="L172" s="155">
        <v>0</v>
      </c>
      <c r="M172" s="155">
        <v>0</v>
      </c>
      <c r="N172" s="156">
        <v>0</v>
      </c>
      <c r="O172" s="155">
        <v>0</v>
      </c>
      <c r="P172" s="155">
        <v>0</v>
      </c>
      <c r="Q172" s="155">
        <v>0</v>
      </c>
      <c r="R172" s="155">
        <v>0</v>
      </c>
      <c r="S172" s="155">
        <v>0</v>
      </c>
      <c r="T172" s="155">
        <v>0</v>
      </c>
      <c r="U172" s="155">
        <v>0</v>
      </c>
      <c r="V172" s="196">
        <v>0</v>
      </c>
      <c r="W172" s="9"/>
      <c r="X172" s="116" t="s">
        <v>38</v>
      </c>
    </row>
    <row r="173" spans="3:24" s="12" customFormat="1" ht="15.75" customHeight="1">
      <c r="C173" s="9"/>
      <c r="D173" s="116" t="s">
        <v>37</v>
      </c>
      <c r="E173" s="183">
        <v>0</v>
      </c>
      <c r="F173" s="155">
        <v>0</v>
      </c>
      <c r="G173" s="155">
        <v>0</v>
      </c>
      <c r="H173" s="155">
        <v>0</v>
      </c>
      <c r="I173" s="155">
        <v>0</v>
      </c>
      <c r="J173" s="155">
        <v>0</v>
      </c>
      <c r="K173" s="155">
        <v>0</v>
      </c>
      <c r="L173" s="155">
        <v>0</v>
      </c>
      <c r="M173" s="155">
        <v>0</v>
      </c>
      <c r="N173" s="156">
        <v>0</v>
      </c>
      <c r="O173" s="155">
        <v>0</v>
      </c>
      <c r="P173" s="155">
        <v>0</v>
      </c>
      <c r="Q173" s="158">
        <v>0</v>
      </c>
      <c r="R173" s="155">
        <v>0</v>
      </c>
      <c r="S173" s="155">
        <v>0</v>
      </c>
      <c r="T173" s="155">
        <v>0</v>
      </c>
      <c r="U173" s="155">
        <v>0</v>
      </c>
      <c r="V173" s="196">
        <v>0</v>
      </c>
      <c r="W173" s="9"/>
      <c r="X173" s="116" t="s">
        <v>37</v>
      </c>
    </row>
    <row r="174" spans="3:24" s="12" customFormat="1" ht="15.75" customHeight="1">
      <c r="C174" s="9"/>
      <c r="D174" s="116" t="s">
        <v>36</v>
      </c>
      <c r="E174" s="183">
        <v>255500</v>
      </c>
      <c r="F174" s="155">
        <v>0</v>
      </c>
      <c r="G174" s="155">
        <v>0</v>
      </c>
      <c r="H174" s="155">
        <v>0</v>
      </c>
      <c r="I174" s="155">
        <v>0</v>
      </c>
      <c r="J174" s="155">
        <v>0</v>
      </c>
      <c r="K174" s="155">
        <v>0</v>
      </c>
      <c r="L174" s="155">
        <v>0</v>
      </c>
      <c r="M174" s="155">
        <v>0</v>
      </c>
      <c r="N174" s="156">
        <v>254000</v>
      </c>
      <c r="O174" s="155">
        <v>0</v>
      </c>
      <c r="P174" s="155">
        <v>0</v>
      </c>
      <c r="Q174" s="158">
        <v>0</v>
      </c>
      <c r="R174" s="158">
        <v>0</v>
      </c>
      <c r="S174" s="158">
        <v>1000</v>
      </c>
      <c r="T174" s="158">
        <v>0</v>
      </c>
      <c r="U174" s="158">
        <v>0</v>
      </c>
      <c r="V174" s="194">
        <v>500</v>
      </c>
      <c r="W174" s="9"/>
      <c r="X174" s="116" t="s">
        <v>36</v>
      </c>
    </row>
    <row r="175" spans="3:24" s="12" customFormat="1" ht="15.75" customHeight="1">
      <c r="C175" s="9"/>
      <c r="D175" s="116" t="s">
        <v>35</v>
      </c>
      <c r="E175" s="183">
        <v>0</v>
      </c>
      <c r="F175" s="155">
        <v>0</v>
      </c>
      <c r="G175" s="155">
        <v>0</v>
      </c>
      <c r="H175" s="155">
        <v>0</v>
      </c>
      <c r="I175" s="155">
        <v>0</v>
      </c>
      <c r="J175" s="155">
        <v>0</v>
      </c>
      <c r="K175" s="155">
        <v>0</v>
      </c>
      <c r="L175" s="155">
        <v>0</v>
      </c>
      <c r="M175" s="155">
        <v>0</v>
      </c>
      <c r="N175" s="156">
        <v>0</v>
      </c>
      <c r="O175" s="155">
        <v>0</v>
      </c>
      <c r="P175" s="155">
        <v>0</v>
      </c>
      <c r="Q175" s="158">
        <v>0</v>
      </c>
      <c r="R175" s="158">
        <v>0</v>
      </c>
      <c r="S175" s="158">
        <v>0</v>
      </c>
      <c r="T175" s="158">
        <v>0</v>
      </c>
      <c r="U175" s="158">
        <v>0</v>
      </c>
      <c r="V175" s="194">
        <v>0</v>
      </c>
      <c r="W175" s="9"/>
      <c r="X175" s="116" t="s">
        <v>35</v>
      </c>
    </row>
    <row r="176" spans="3:24" s="12" customFormat="1" ht="15.75" customHeight="1">
      <c r="C176" s="9"/>
      <c r="D176" s="9"/>
      <c r="E176" s="183"/>
      <c r="F176" s="155"/>
      <c r="G176" s="155"/>
      <c r="H176" s="155"/>
      <c r="I176" s="155"/>
      <c r="J176" s="155"/>
      <c r="K176" s="155"/>
      <c r="L176" s="155"/>
      <c r="M176" s="155"/>
      <c r="N176" s="156"/>
      <c r="O176" s="155"/>
      <c r="P176" s="155"/>
      <c r="Q176" s="158"/>
      <c r="R176" s="158"/>
      <c r="S176" s="158"/>
      <c r="T176" s="158"/>
      <c r="U176" s="158"/>
      <c r="V176" s="194"/>
      <c r="W176" s="9"/>
      <c r="X176" s="9"/>
    </row>
    <row r="177" spans="3:24" s="6" customFormat="1" ht="15.75" customHeight="1">
      <c r="C177" s="86" t="s">
        <v>243</v>
      </c>
      <c r="D177" s="86"/>
      <c r="E177" s="179">
        <v>255500</v>
      </c>
      <c r="F177" s="127">
        <v>0</v>
      </c>
      <c r="G177" s="127">
        <v>0</v>
      </c>
      <c r="H177" s="127">
        <v>0</v>
      </c>
      <c r="I177" s="127">
        <v>0</v>
      </c>
      <c r="J177" s="127">
        <v>0</v>
      </c>
      <c r="K177" s="127">
        <v>0</v>
      </c>
      <c r="L177" s="127">
        <v>0</v>
      </c>
      <c r="M177" s="127">
        <v>0</v>
      </c>
      <c r="N177" s="180">
        <v>254000</v>
      </c>
      <c r="O177" s="127">
        <v>0</v>
      </c>
      <c r="P177" s="127">
        <v>0</v>
      </c>
      <c r="Q177" s="135">
        <v>0</v>
      </c>
      <c r="R177" s="135">
        <v>0</v>
      </c>
      <c r="S177" s="135">
        <v>1000</v>
      </c>
      <c r="T177" s="135">
        <v>0</v>
      </c>
      <c r="U177" s="135">
        <v>0</v>
      </c>
      <c r="V177" s="195">
        <v>500</v>
      </c>
      <c r="W177" s="97" t="s">
        <v>243</v>
      </c>
      <c r="X177" s="97"/>
    </row>
    <row r="178" spans="3:24" s="6" customFormat="1" ht="15.75" customHeight="1">
      <c r="C178" s="9"/>
      <c r="D178" s="9" t="s">
        <v>34</v>
      </c>
      <c r="E178" s="183">
        <v>0</v>
      </c>
      <c r="F178" s="155">
        <v>0</v>
      </c>
      <c r="G178" s="155">
        <v>0</v>
      </c>
      <c r="H178" s="155">
        <v>0</v>
      </c>
      <c r="I178" s="155">
        <v>0</v>
      </c>
      <c r="J178" s="155">
        <v>0</v>
      </c>
      <c r="K178" s="155">
        <v>0</v>
      </c>
      <c r="L178" s="155">
        <v>0</v>
      </c>
      <c r="M178" s="155">
        <v>0</v>
      </c>
      <c r="N178" s="156">
        <v>0</v>
      </c>
      <c r="O178" s="155">
        <v>0</v>
      </c>
      <c r="P178" s="155">
        <v>0</v>
      </c>
      <c r="Q178" s="158">
        <v>0</v>
      </c>
      <c r="R178" s="158">
        <v>0</v>
      </c>
      <c r="S178" s="155">
        <v>0</v>
      </c>
      <c r="T178" s="155">
        <v>0</v>
      </c>
      <c r="U178" s="155">
        <v>0</v>
      </c>
      <c r="V178" s="196">
        <v>0</v>
      </c>
      <c r="W178" s="92"/>
      <c r="X178" s="92" t="s">
        <v>34</v>
      </c>
    </row>
    <row r="179" spans="3:24" s="6" customFormat="1" ht="15.75" customHeight="1">
      <c r="C179" s="9"/>
      <c r="D179" s="9" t="s">
        <v>33</v>
      </c>
      <c r="E179" s="183">
        <v>0</v>
      </c>
      <c r="F179" s="155">
        <v>0</v>
      </c>
      <c r="G179" s="155">
        <v>0</v>
      </c>
      <c r="H179" s="155">
        <v>0</v>
      </c>
      <c r="I179" s="155">
        <v>0</v>
      </c>
      <c r="J179" s="155">
        <v>0</v>
      </c>
      <c r="K179" s="155">
        <v>0</v>
      </c>
      <c r="L179" s="155">
        <v>0</v>
      </c>
      <c r="M179" s="155">
        <v>0</v>
      </c>
      <c r="N179" s="156">
        <v>0</v>
      </c>
      <c r="O179" s="155">
        <v>0</v>
      </c>
      <c r="P179" s="155">
        <v>0</v>
      </c>
      <c r="Q179" s="158">
        <v>0</v>
      </c>
      <c r="R179" s="158">
        <v>0</v>
      </c>
      <c r="S179" s="158">
        <v>0</v>
      </c>
      <c r="T179" s="158">
        <v>0</v>
      </c>
      <c r="U179" s="158">
        <v>0</v>
      </c>
      <c r="V179" s="194">
        <v>0</v>
      </c>
      <c r="W179" s="92"/>
      <c r="X179" s="92" t="s">
        <v>33</v>
      </c>
    </row>
    <row r="180" spans="3:24" s="6" customFormat="1" ht="15.75" customHeight="1">
      <c r="C180" s="9"/>
      <c r="D180" s="9" t="s">
        <v>32</v>
      </c>
      <c r="E180" s="183">
        <v>0</v>
      </c>
      <c r="F180" s="155">
        <v>0</v>
      </c>
      <c r="G180" s="155">
        <v>0</v>
      </c>
      <c r="H180" s="155">
        <v>0</v>
      </c>
      <c r="I180" s="155">
        <v>0</v>
      </c>
      <c r="J180" s="155">
        <v>0</v>
      </c>
      <c r="K180" s="155">
        <v>0</v>
      </c>
      <c r="L180" s="155">
        <v>0</v>
      </c>
      <c r="M180" s="155">
        <v>0</v>
      </c>
      <c r="N180" s="156">
        <v>0</v>
      </c>
      <c r="O180" s="155">
        <v>0</v>
      </c>
      <c r="P180" s="155">
        <v>0</v>
      </c>
      <c r="Q180" s="158">
        <v>0</v>
      </c>
      <c r="R180" s="158">
        <v>0</v>
      </c>
      <c r="S180" s="158">
        <v>0</v>
      </c>
      <c r="T180" s="158">
        <v>0</v>
      </c>
      <c r="U180" s="158">
        <v>0</v>
      </c>
      <c r="V180" s="194">
        <v>0</v>
      </c>
      <c r="W180" s="92"/>
      <c r="X180" s="92" t="s">
        <v>32</v>
      </c>
    </row>
    <row r="181" spans="3:24" s="6" customFormat="1" ht="15.75" customHeight="1">
      <c r="C181" s="9"/>
      <c r="D181" s="9" t="s">
        <v>31</v>
      </c>
      <c r="E181" s="183">
        <v>0</v>
      </c>
      <c r="F181" s="155">
        <v>0</v>
      </c>
      <c r="G181" s="155">
        <v>0</v>
      </c>
      <c r="H181" s="155">
        <v>0</v>
      </c>
      <c r="I181" s="155">
        <v>0</v>
      </c>
      <c r="J181" s="155">
        <v>0</v>
      </c>
      <c r="K181" s="155">
        <v>0</v>
      </c>
      <c r="L181" s="155">
        <v>0</v>
      </c>
      <c r="M181" s="155">
        <v>0</v>
      </c>
      <c r="N181" s="156">
        <v>0</v>
      </c>
      <c r="O181" s="155">
        <v>0</v>
      </c>
      <c r="P181" s="155">
        <v>0</v>
      </c>
      <c r="Q181" s="158">
        <v>0</v>
      </c>
      <c r="R181" s="158">
        <v>0</v>
      </c>
      <c r="S181" s="158">
        <v>0</v>
      </c>
      <c r="T181" s="158">
        <v>0</v>
      </c>
      <c r="U181" s="158">
        <v>0</v>
      </c>
      <c r="V181" s="194">
        <v>0</v>
      </c>
      <c r="W181" s="92"/>
      <c r="X181" s="92" t="s">
        <v>31</v>
      </c>
    </row>
    <row r="182" spans="3:24" s="6" customFormat="1" ht="15.75" customHeight="1">
      <c r="C182" s="9"/>
      <c r="D182" s="9" t="s">
        <v>30</v>
      </c>
      <c r="E182" s="183">
        <v>0</v>
      </c>
      <c r="F182" s="155">
        <v>0</v>
      </c>
      <c r="G182" s="155">
        <v>0</v>
      </c>
      <c r="H182" s="155">
        <v>0</v>
      </c>
      <c r="I182" s="155">
        <v>0</v>
      </c>
      <c r="J182" s="155">
        <v>0</v>
      </c>
      <c r="K182" s="155">
        <v>0</v>
      </c>
      <c r="L182" s="155">
        <v>0</v>
      </c>
      <c r="M182" s="155">
        <v>0</v>
      </c>
      <c r="N182" s="156">
        <v>0</v>
      </c>
      <c r="O182" s="155">
        <v>0</v>
      </c>
      <c r="P182" s="155">
        <v>0</v>
      </c>
      <c r="Q182" s="158">
        <v>0</v>
      </c>
      <c r="R182" s="158">
        <v>0</v>
      </c>
      <c r="S182" s="158">
        <v>0</v>
      </c>
      <c r="T182" s="158">
        <v>0</v>
      </c>
      <c r="U182" s="158">
        <v>0</v>
      </c>
      <c r="V182" s="194">
        <v>0</v>
      </c>
      <c r="W182" s="92"/>
      <c r="X182" s="92" t="s">
        <v>30</v>
      </c>
    </row>
    <row r="183" spans="3:24" s="6" customFormat="1" ht="15.75" customHeight="1">
      <c r="C183" s="9"/>
      <c r="D183" s="9" t="s">
        <v>29</v>
      </c>
      <c r="E183" s="183">
        <v>500</v>
      </c>
      <c r="F183" s="155">
        <v>0</v>
      </c>
      <c r="G183" s="155">
        <v>0</v>
      </c>
      <c r="H183" s="155">
        <v>0</v>
      </c>
      <c r="I183" s="155">
        <v>0</v>
      </c>
      <c r="J183" s="155">
        <v>0</v>
      </c>
      <c r="K183" s="155">
        <v>0</v>
      </c>
      <c r="L183" s="155">
        <v>0</v>
      </c>
      <c r="M183" s="155">
        <v>0</v>
      </c>
      <c r="N183" s="156">
        <v>0</v>
      </c>
      <c r="O183" s="155">
        <v>0</v>
      </c>
      <c r="P183" s="155">
        <v>0</v>
      </c>
      <c r="Q183" s="158">
        <v>0</v>
      </c>
      <c r="R183" s="158">
        <v>0</v>
      </c>
      <c r="S183" s="158">
        <v>0</v>
      </c>
      <c r="T183" s="158">
        <v>0</v>
      </c>
      <c r="U183" s="158">
        <v>0</v>
      </c>
      <c r="V183" s="194">
        <v>500</v>
      </c>
      <c r="W183" s="92"/>
      <c r="X183" s="92" t="s">
        <v>29</v>
      </c>
    </row>
    <row r="184" spans="3:24" s="6" customFormat="1" ht="15.75" customHeight="1">
      <c r="C184" s="9"/>
      <c r="D184" s="9" t="s">
        <v>28</v>
      </c>
      <c r="E184" s="183">
        <v>1000</v>
      </c>
      <c r="F184" s="155">
        <v>0</v>
      </c>
      <c r="G184" s="155">
        <v>0</v>
      </c>
      <c r="H184" s="155">
        <v>0</v>
      </c>
      <c r="I184" s="155">
        <v>0</v>
      </c>
      <c r="J184" s="155">
        <v>0</v>
      </c>
      <c r="K184" s="155">
        <v>0</v>
      </c>
      <c r="L184" s="155">
        <v>0</v>
      </c>
      <c r="M184" s="155">
        <v>0</v>
      </c>
      <c r="N184" s="156">
        <v>0</v>
      </c>
      <c r="O184" s="155">
        <v>0</v>
      </c>
      <c r="P184" s="155">
        <v>0</v>
      </c>
      <c r="Q184" s="158">
        <v>0</v>
      </c>
      <c r="R184" s="158">
        <v>0</v>
      </c>
      <c r="S184" s="158">
        <v>1000</v>
      </c>
      <c r="T184" s="158">
        <v>0</v>
      </c>
      <c r="U184" s="158">
        <v>0</v>
      </c>
      <c r="V184" s="194">
        <v>0</v>
      </c>
      <c r="W184" s="92"/>
      <c r="X184" s="92" t="s">
        <v>28</v>
      </c>
    </row>
    <row r="185" spans="3:24" s="6" customFormat="1" ht="15.75" customHeight="1">
      <c r="C185" s="9"/>
      <c r="D185" s="9" t="s">
        <v>27</v>
      </c>
      <c r="E185" s="183">
        <v>0</v>
      </c>
      <c r="F185" s="155">
        <v>0</v>
      </c>
      <c r="G185" s="155">
        <v>0</v>
      </c>
      <c r="H185" s="155">
        <v>0</v>
      </c>
      <c r="I185" s="155">
        <v>0</v>
      </c>
      <c r="J185" s="155">
        <v>0</v>
      </c>
      <c r="K185" s="155">
        <v>0</v>
      </c>
      <c r="L185" s="155">
        <v>0</v>
      </c>
      <c r="M185" s="155">
        <v>0</v>
      </c>
      <c r="N185" s="156">
        <v>0</v>
      </c>
      <c r="O185" s="155">
        <v>0</v>
      </c>
      <c r="P185" s="155">
        <v>0</v>
      </c>
      <c r="Q185" s="158">
        <v>0</v>
      </c>
      <c r="R185" s="158">
        <v>0</v>
      </c>
      <c r="S185" s="158">
        <v>0</v>
      </c>
      <c r="T185" s="158">
        <v>0</v>
      </c>
      <c r="U185" s="158">
        <v>0</v>
      </c>
      <c r="V185" s="194">
        <v>0</v>
      </c>
      <c r="W185" s="92"/>
      <c r="X185" s="92" t="s">
        <v>27</v>
      </c>
    </row>
    <row r="186" spans="3:24" s="6" customFormat="1" ht="15.75" customHeight="1">
      <c r="C186" s="9"/>
      <c r="D186" s="9" t="s">
        <v>26</v>
      </c>
      <c r="E186" s="183">
        <v>0</v>
      </c>
      <c r="F186" s="155">
        <v>0</v>
      </c>
      <c r="G186" s="155">
        <v>0</v>
      </c>
      <c r="H186" s="155">
        <v>0</v>
      </c>
      <c r="I186" s="155">
        <v>0</v>
      </c>
      <c r="J186" s="155">
        <v>0</v>
      </c>
      <c r="K186" s="155">
        <v>0</v>
      </c>
      <c r="L186" s="155">
        <v>0</v>
      </c>
      <c r="M186" s="155">
        <v>0</v>
      </c>
      <c r="N186" s="156">
        <v>0</v>
      </c>
      <c r="O186" s="155">
        <v>0</v>
      </c>
      <c r="P186" s="155">
        <v>0</v>
      </c>
      <c r="Q186" s="158">
        <v>0</v>
      </c>
      <c r="R186" s="158">
        <v>0</v>
      </c>
      <c r="S186" s="158">
        <v>0</v>
      </c>
      <c r="T186" s="158">
        <v>0</v>
      </c>
      <c r="U186" s="158">
        <v>0</v>
      </c>
      <c r="V186" s="194">
        <v>0</v>
      </c>
      <c r="W186" s="92"/>
      <c r="X186" s="92" t="s">
        <v>26</v>
      </c>
    </row>
    <row r="187" spans="3:24" s="6" customFormat="1" ht="15.75" customHeight="1">
      <c r="C187" s="9"/>
      <c r="D187" s="9" t="s">
        <v>25</v>
      </c>
      <c r="E187" s="183">
        <v>0</v>
      </c>
      <c r="F187" s="155">
        <v>0</v>
      </c>
      <c r="G187" s="155">
        <v>0</v>
      </c>
      <c r="H187" s="155">
        <v>0</v>
      </c>
      <c r="I187" s="155">
        <v>0</v>
      </c>
      <c r="J187" s="155">
        <v>0</v>
      </c>
      <c r="K187" s="155">
        <v>0</v>
      </c>
      <c r="L187" s="155">
        <v>0</v>
      </c>
      <c r="M187" s="155">
        <v>0</v>
      </c>
      <c r="N187" s="156">
        <v>0</v>
      </c>
      <c r="O187" s="155">
        <v>0</v>
      </c>
      <c r="P187" s="155">
        <v>0</v>
      </c>
      <c r="Q187" s="158">
        <v>0</v>
      </c>
      <c r="R187" s="158">
        <v>0</v>
      </c>
      <c r="S187" s="158">
        <v>0</v>
      </c>
      <c r="T187" s="158">
        <v>0</v>
      </c>
      <c r="U187" s="158">
        <v>0</v>
      </c>
      <c r="V187" s="194">
        <v>0</v>
      </c>
      <c r="W187" s="92"/>
      <c r="X187" s="92" t="s">
        <v>25</v>
      </c>
    </row>
    <row r="188" spans="3:24" s="6" customFormat="1" ht="15.75" customHeight="1" thickBot="1">
      <c r="C188" s="118"/>
      <c r="D188" s="118" t="s">
        <v>24</v>
      </c>
      <c r="E188" s="197">
        <v>254000</v>
      </c>
      <c r="F188" s="198">
        <v>0</v>
      </c>
      <c r="G188" s="198">
        <v>0</v>
      </c>
      <c r="H188" s="198">
        <v>0</v>
      </c>
      <c r="I188" s="198">
        <v>0</v>
      </c>
      <c r="J188" s="198">
        <v>0</v>
      </c>
      <c r="K188" s="198">
        <v>0</v>
      </c>
      <c r="L188" s="198">
        <v>0</v>
      </c>
      <c r="M188" s="198">
        <v>0</v>
      </c>
      <c r="N188" s="199">
        <v>254000</v>
      </c>
      <c r="O188" s="198">
        <v>0</v>
      </c>
      <c r="P188" s="198">
        <v>0</v>
      </c>
      <c r="Q188" s="200">
        <v>0</v>
      </c>
      <c r="R188" s="200">
        <v>0</v>
      </c>
      <c r="S188" s="200">
        <v>0</v>
      </c>
      <c r="T188" s="200">
        <v>0</v>
      </c>
      <c r="U188" s="200">
        <v>0</v>
      </c>
      <c r="V188" s="201">
        <v>0</v>
      </c>
      <c r="W188" s="202"/>
      <c r="X188" s="202" t="s">
        <v>24</v>
      </c>
    </row>
    <row r="189" spans="3:24" s="6" customFormat="1" ht="15.75" customHeight="1">
      <c r="C189" s="68"/>
      <c r="D189" s="68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1"/>
      <c r="R189" s="71"/>
      <c r="S189" s="71"/>
      <c r="T189" s="71"/>
      <c r="U189" s="71"/>
      <c r="V189" s="71"/>
      <c r="W189" s="68"/>
      <c r="X189" s="68"/>
    </row>
    <row r="190" spans="3:24" s="7" customFormat="1" ht="15.75" customHeight="1">
      <c r="C190" s="72" t="s">
        <v>23</v>
      </c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</row>
    <row r="193" spans="3:24" s="6" customFormat="1" ht="18">
      <c r="C193" s="19" t="s">
        <v>113</v>
      </c>
      <c r="D193" s="26"/>
    </row>
    <row r="194" spans="3:24" s="6" customFormat="1" ht="15.75" customHeight="1" thickBot="1"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25"/>
    </row>
    <row r="195" spans="3:24" s="6" customFormat="1" ht="15.75" customHeight="1">
      <c r="C195" s="304" t="s">
        <v>61</v>
      </c>
      <c r="D195" s="304"/>
      <c r="E195" s="82" t="s">
        <v>79</v>
      </c>
      <c r="F195" s="83" t="s">
        <v>78</v>
      </c>
      <c r="G195" s="83" t="s">
        <v>77</v>
      </c>
      <c r="H195" s="83" t="s">
        <v>76</v>
      </c>
      <c r="I195" s="83" t="s">
        <v>75</v>
      </c>
      <c r="J195" s="83" t="s">
        <v>74</v>
      </c>
      <c r="K195" s="83" t="s">
        <v>73</v>
      </c>
      <c r="L195" s="83" t="s">
        <v>72</v>
      </c>
      <c r="M195" s="83" t="s">
        <v>71</v>
      </c>
      <c r="N195" s="83" t="s">
        <v>70</v>
      </c>
      <c r="O195" s="83" t="s">
        <v>69</v>
      </c>
      <c r="P195" s="83" t="s">
        <v>68</v>
      </c>
      <c r="Q195" s="83" t="s">
        <v>67</v>
      </c>
      <c r="R195" s="83" t="s">
        <v>66</v>
      </c>
      <c r="S195" s="83" t="s">
        <v>65</v>
      </c>
      <c r="T195" s="83" t="s">
        <v>64</v>
      </c>
      <c r="U195" s="83" t="s">
        <v>63</v>
      </c>
      <c r="V195" s="84" t="s">
        <v>62</v>
      </c>
      <c r="W195" s="306" t="s">
        <v>61</v>
      </c>
      <c r="X195" s="304"/>
    </row>
    <row r="196" spans="3:24" s="6" customFormat="1" ht="15.75" customHeight="1">
      <c r="C196" s="305"/>
      <c r="D196" s="305"/>
      <c r="E196" s="85" t="s">
        <v>22</v>
      </c>
      <c r="F196" s="14" t="s">
        <v>60</v>
      </c>
      <c r="G196" s="14" t="s">
        <v>59</v>
      </c>
      <c r="H196" s="14" t="s">
        <v>58</v>
      </c>
      <c r="I196" s="14" t="s">
        <v>57</v>
      </c>
      <c r="J196" s="14" t="s">
        <v>56</v>
      </c>
      <c r="K196" s="14" t="s">
        <v>55</v>
      </c>
      <c r="L196" s="14" t="s">
        <v>54</v>
      </c>
      <c r="M196" s="14" t="s">
        <v>53</v>
      </c>
      <c r="N196" s="14" t="s">
        <v>52</v>
      </c>
      <c r="O196" s="14" t="s">
        <v>51</v>
      </c>
      <c r="P196" s="14" t="s">
        <v>50</v>
      </c>
      <c r="Q196" s="14" t="s">
        <v>49</v>
      </c>
      <c r="R196" s="14" t="s">
        <v>48</v>
      </c>
      <c r="S196" s="14" t="s">
        <v>47</v>
      </c>
      <c r="T196" s="14" t="s">
        <v>46</v>
      </c>
      <c r="U196" s="14" t="s">
        <v>45</v>
      </c>
      <c r="V196" s="13" t="s">
        <v>44</v>
      </c>
      <c r="W196" s="307"/>
      <c r="X196" s="305"/>
    </row>
    <row r="197" spans="3:24" s="12" customFormat="1" ht="15.75" customHeight="1">
      <c r="C197" s="86" t="s">
        <v>226</v>
      </c>
      <c r="D197" s="87"/>
      <c r="E197" s="88">
        <v>240966.78925501805</v>
      </c>
      <c r="F197" s="89">
        <v>16450.631197439994</v>
      </c>
      <c r="G197" s="89">
        <v>2979.8908140719986</v>
      </c>
      <c r="H197" s="89">
        <v>7440.8190583680016</v>
      </c>
      <c r="I197" s="89">
        <v>8486.2373997672203</v>
      </c>
      <c r="J197" s="89">
        <v>3753.1380535199992</v>
      </c>
      <c r="K197" s="89">
        <v>5281.1821370880061</v>
      </c>
      <c r="L197" s="89">
        <v>4196.0016113519996</v>
      </c>
      <c r="M197" s="89">
        <v>14909.773263731975</v>
      </c>
      <c r="N197" s="89">
        <v>52515.808660618495</v>
      </c>
      <c r="O197" s="89">
        <v>19694.42517945802</v>
      </c>
      <c r="P197" s="89">
        <v>12165.904655139511</v>
      </c>
      <c r="Q197" s="90">
        <v>20659.018610397525</v>
      </c>
      <c r="R197" s="90">
        <v>21014.692515885552</v>
      </c>
      <c r="S197" s="90">
        <v>17205.625238579974</v>
      </c>
      <c r="T197" s="90">
        <v>17327.342881139903</v>
      </c>
      <c r="U197" s="90">
        <v>15115.615158779923</v>
      </c>
      <c r="V197" s="91">
        <v>1770.6828196799995</v>
      </c>
      <c r="W197" s="86" t="s">
        <v>226</v>
      </c>
      <c r="X197" s="87"/>
    </row>
    <row r="198" spans="3:24" s="12" customFormat="1" ht="15.75" customHeight="1">
      <c r="C198" s="86" t="s">
        <v>246</v>
      </c>
      <c r="D198" s="86"/>
      <c r="E198" s="88">
        <v>1408749.2376666684</v>
      </c>
      <c r="F198" s="89">
        <v>97485.696999999956</v>
      </c>
      <c r="G198" s="89">
        <v>16906.076000000001</v>
      </c>
      <c r="H198" s="89">
        <v>42717.756000000001</v>
      </c>
      <c r="I198" s="89">
        <v>48682.438000000016</v>
      </c>
      <c r="J198" s="89">
        <v>21683.312000000002</v>
      </c>
      <c r="K198" s="89">
        <v>29812.719000000001</v>
      </c>
      <c r="L198" s="89">
        <v>24488.213999999996</v>
      </c>
      <c r="M198" s="89">
        <v>89405.977999999988</v>
      </c>
      <c r="N198" s="89">
        <v>306522.54150000162</v>
      </c>
      <c r="O198" s="89">
        <v>117814.58600000004</v>
      </c>
      <c r="P198" s="89">
        <v>72456.412499999991</v>
      </c>
      <c r="Q198" s="90">
        <v>120265.60100000005</v>
      </c>
      <c r="R198" s="90">
        <v>121864.82800000001</v>
      </c>
      <c r="S198" s="90">
        <v>104383.26166666663</v>
      </c>
      <c r="T198" s="90">
        <v>102583.99399999993</v>
      </c>
      <c r="U198" s="90">
        <v>82000.066999999995</v>
      </c>
      <c r="V198" s="91">
        <v>9675.7559999999994</v>
      </c>
      <c r="W198" s="86" t="s">
        <v>246</v>
      </c>
      <c r="X198" s="86"/>
    </row>
    <row r="199" spans="3:24" s="6" customFormat="1" ht="15.75" customHeight="1">
      <c r="C199" s="92"/>
      <c r="D199" s="92"/>
      <c r="E199" s="115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3"/>
      <c r="R199" s="113"/>
      <c r="S199" s="113"/>
      <c r="T199" s="113"/>
      <c r="U199" s="113"/>
      <c r="V199" s="114"/>
      <c r="W199" s="92"/>
      <c r="X199" s="92"/>
    </row>
    <row r="200" spans="3:24" s="6" customFormat="1" ht="15.75" customHeight="1">
      <c r="C200" s="97" t="s">
        <v>43</v>
      </c>
      <c r="D200" s="86"/>
      <c r="E200" s="98"/>
      <c r="F200" s="99"/>
      <c r="G200" s="99"/>
      <c r="H200" s="99"/>
      <c r="I200" s="99"/>
      <c r="J200" s="99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1"/>
      <c r="W200" s="97" t="s">
        <v>43</v>
      </c>
      <c r="X200" s="86"/>
    </row>
    <row r="201" spans="3:24" s="12" customFormat="1" ht="15.75" customHeight="1">
      <c r="C201" s="9"/>
      <c r="D201" s="102" t="s">
        <v>240</v>
      </c>
      <c r="E201" s="103">
        <v>89300.032000000007</v>
      </c>
      <c r="F201" s="104">
        <v>8273.31</v>
      </c>
      <c r="G201" s="104">
        <v>0</v>
      </c>
      <c r="H201" s="104">
        <v>1098.82</v>
      </c>
      <c r="I201" s="104">
        <v>1046.6499999999999</v>
      </c>
      <c r="J201" s="104">
        <v>701.3</v>
      </c>
      <c r="K201" s="104">
        <v>1206.3220000000001</v>
      </c>
      <c r="L201" s="104">
        <v>1066.5999999999999</v>
      </c>
      <c r="M201" s="104">
        <v>5960.9500000000007</v>
      </c>
      <c r="N201" s="104">
        <v>16601.939999999999</v>
      </c>
      <c r="O201" s="104">
        <v>12255.75</v>
      </c>
      <c r="P201" s="104">
        <v>6731.19</v>
      </c>
      <c r="Q201" s="107">
        <v>8796.5500000000011</v>
      </c>
      <c r="R201" s="107">
        <v>3164.22</v>
      </c>
      <c r="S201" s="107">
        <v>12372.080000000002</v>
      </c>
      <c r="T201" s="107">
        <v>8363.11</v>
      </c>
      <c r="U201" s="107">
        <v>1661.24</v>
      </c>
      <c r="V201" s="108">
        <v>0</v>
      </c>
      <c r="W201" s="9"/>
      <c r="X201" s="102" t="s">
        <v>240</v>
      </c>
    </row>
    <row r="202" spans="3:24" s="6" customFormat="1" ht="15.75" customHeight="1">
      <c r="C202" s="92"/>
      <c r="D202" s="109" t="s">
        <v>230</v>
      </c>
      <c r="E202" s="115">
        <v>95341.97</v>
      </c>
      <c r="F202" s="110">
        <v>8188.3399999999992</v>
      </c>
      <c r="G202" s="110">
        <v>955.2</v>
      </c>
      <c r="H202" s="110">
        <v>5337.85</v>
      </c>
      <c r="I202" s="110">
        <v>6891.5999999999995</v>
      </c>
      <c r="J202" s="110">
        <v>1123.8399999999999</v>
      </c>
      <c r="K202" s="110">
        <v>3020.45</v>
      </c>
      <c r="L202" s="110">
        <v>895.31999999999994</v>
      </c>
      <c r="M202" s="110">
        <v>4112.1899999999996</v>
      </c>
      <c r="N202" s="110">
        <v>27340.769999999993</v>
      </c>
      <c r="O202" s="110">
        <v>4186.9799999999996</v>
      </c>
      <c r="P202" s="110">
        <v>4719.6000000000004</v>
      </c>
      <c r="Q202" s="113">
        <v>10122.799999999999</v>
      </c>
      <c r="R202" s="113">
        <v>5340.67</v>
      </c>
      <c r="S202" s="113">
        <v>1902.3600000000001</v>
      </c>
      <c r="T202" s="113">
        <v>4539.2000000000007</v>
      </c>
      <c r="U202" s="113">
        <v>6664.8</v>
      </c>
      <c r="V202" s="114">
        <v>0</v>
      </c>
      <c r="W202" s="92"/>
      <c r="X202" s="109" t="s">
        <v>230</v>
      </c>
    </row>
    <row r="203" spans="3:24" s="6" customFormat="1" ht="15.75" customHeight="1">
      <c r="C203" s="92"/>
      <c r="D203" s="109" t="s">
        <v>231</v>
      </c>
      <c r="E203" s="115">
        <v>123561.52999999998</v>
      </c>
      <c r="F203" s="110">
        <v>10778.530000000002</v>
      </c>
      <c r="G203" s="110">
        <v>1563.87</v>
      </c>
      <c r="H203" s="110">
        <v>1571.4299999999998</v>
      </c>
      <c r="I203" s="110">
        <v>4513.7300000000005</v>
      </c>
      <c r="J203" s="110">
        <v>390.49</v>
      </c>
      <c r="K203" s="110">
        <v>3297.93</v>
      </c>
      <c r="L203" s="110">
        <v>2439.7399999999998</v>
      </c>
      <c r="M203" s="110">
        <v>8957.119999999999</v>
      </c>
      <c r="N203" s="110">
        <v>25181.98</v>
      </c>
      <c r="O203" s="110">
        <v>9346.9499999999989</v>
      </c>
      <c r="P203" s="110">
        <v>7927.3400000000011</v>
      </c>
      <c r="Q203" s="113">
        <v>17678.399999999998</v>
      </c>
      <c r="R203" s="113">
        <v>4532.26</v>
      </c>
      <c r="S203" s="113">
        <v>2578.7199999999998</v>
      </c>
      <c r="T203" s="113">
        <v>17079.75</v>
      </c>
      <c r="U203" s="113">
        <v>4991.33</v>
      </c>
      <c r="V203" s="114">
        <v>731.96</v>
      </c>
      <c r="W203" s="92"/>
      <c r="X203" s="109" t="s">
        <v>231</v>
      </c>
    </row>
    <row r="204" spans="3:24" s="6" customFormat="1" ht="15.75" customHeight="1">
      <c r="C204" s="92"/>
      <c r="E204" s="115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3"/>
      <c r="R204" s="113"/>
      <c r="S204" s="113"/>
      <c r="T204" s="113"/>
      <c r="U204" s="113"/>
      <c r="V204" s="114"/>
      <c r="W204" s="92"/>
    </row>
    <row r="205" spans="3:24" s="12" customFormat="1" ht="15.75" customHeight="1">
      <c r="C205" s="86" t="s">
        <v>241</v>
      </c>
      <c r="D205" s="87"/>
      <c r="E205" s="203">
        <v>1408749.2376666667</v>
      </c>
      <c r="F205" s="203">
        <v>97485.696999999986</v>
      </c>
      <c r="G205" s="203">
        <v>16906.076000000001</v>
      </c>
      <c r="H205" s="203">
        <v>42717.755999999994</v>
      </c>
      <c r="I205" s="203">
        <v>48682.437999999995</v>
      </c>
      <c r="J205" s="203">
        <v>21683.311999999998</v>
      </c>
      <c r="K205" s="203">
        <v>29812.719000000005</v>
      </c>
      <c r="L205" s="203">
        <v>24488.213999999996</v>
      </c>
      <c r="M205" s="203">
        <v>89405.978000000017</v>
      </c>
      <c r="N205" s="203">
        <v>306522.54149999988</v>
      </c>
      <c r="O205" s="203">
        <v>117814.58600000001</v>
      </c>
      <c r="P205" s="203">
        <v>72456.41250000002</v>
      </c>
      <c r="Q205" s="203">
        <v>120265.60100000002</v>
      </c>
      <c r="R205" s="203">
        <v>121864.82800000001</v>
      </c>
      <c r="S205" s="203">
        <v>104383.26166666669</v>
      </c>
      <c r="T205" s="203">
        <v>102583.99400000002</v>
      </c>
      <c r="U205" s="203">
        <v>82000.066999999995</v>
      </c>
      <c r="V205" s="204">
        <v>9675.7560000000012</v>
      </c>
      <c r="W205" s="86" t="s">
        <v>242</v>
      </c>
      <c r="X205" s="87"/>
    </row>
    <row r="206" spans="3:24" s="12" customFormat="1" ht="15.75" customHeight="1">
      <c r="D206" s="116" t="s">
        <v>42</v>
      </c>
      <c r="E206" s="103">
        <v>230046.21399999989</v>
      </c>
      <c r="F206" s="104">
        <v>6080.9</v>
      </c>
      <c r="G206" s="104">
        <v>453</v>
      </c>
      <c r="H206" s="104">
        <v>762.12</v>
      </c>
      <c r="I206" s="104">
        <v>9751.3579999999984</v>
      </c>
      <c r="J206" s="104">
        <v>612.5</v>
      </c>
      <c r="K206" s="104">
        <v>1195.4000000000001</v>
      </c>
      <c r="L206" s="104">
        <v>330.5</v>
      </c>
      <c r="M206" s="104">
        <v>1364.8</v>
      </c>
      <c r="N206" s="104">
        <v>100929.96099999989</v>
      </c>
      <c r="O206" s="104">
        <v>34803.407999999996</v>
      </c>
      <c r="P206" s="104">
        <v>11656.829000000003</v>
      </c>
      <c r="Q206" s="107">
        <v>24093.739000000001</v>
      </c>
      <c r="R206" s="107">
        <v>9502.5190000000021</v>
      </c>
      <c r="S206" s="107">
        <v>8329.7000000000007</v>
      </c>
      <c r="T206" s="107">
        <v>13468.98</v>
      </c>
      <c r="U206" s="107">
        <v>6710.5</v>
      </c>
      <c r="V206" s="108">
        <v>0</v>
      </c>
      <c r="X206" s="116" t="s">
        <v>42</v>
      </c>
    </row>
    <row r="207" spans="3:24" s="12" customFormat="1" ht="15.75" customHeight="1">
      <c r="C207" s="9"/>
      <c r="D207" s="116" t="s">
        <v>41</v>
      </c>
      <c r="E207" s="103">
        <v>612941.35349999997</v>
      </c>
      <c r="F207" s="104">
        <v>68874.624999999985</v>
      </c>
      <c r="G207" s="104">
        <v>11071.576000000001</v>
      </c>
      <c r="H207" s="104">
        <v>25767.022999999997</v>
      </c>
      <c r="I207" s="104">
        <v>28680.750999999993</v>
      </c>
      <c r="J207" s="104">
        <v>10400.682000000001</v>
      </c>
      <c r="K207" s="104">
        <v>18141.375</v>
      </c>
      <c r="L207" s="104">
        <v>17996.896999999997</v>
      </c>
      <c r="M207" s="104">
        <v>44249.421999999999</v>
      </c>
      <c r="N207" s="104">
        <v>107586.66149999997</v>
      </c>
      <c r="O207" s="104">
        <v>45910.083000000013</v>
      </c>
      <c r="P207" s="104">
        <v>35985.609000000004</v>
      </c>
      <c r="Q207" s="107">
        <v>44267.717000000019</v>
      </c>
      <c r="R207" s="107">
        <v>36173.153000000006</v>
      </c>
      <c r="S207" s="107">
        <v>33357.799000000006</v>
      </c>
      <c r="T207" s="107">
        <v>54262.471000000012</v>
      </c>
      <c r="U207" s="107">
        <v>28893.049000000003</v>
      </c>
      <c r="V207" s="108">
        <v>1322.46</v>
      </c>
      <c r="W207" s="9"/>
      <c r="X207" s="116" t="s">
        <v>41</v>
      </c>
    </row>
    <row r="208" spans="3:24" s="12" customFormat="1" ht="15.75" customHeight="1">
      <c r="C208" s="9"/>
      <c r="D208" s="116" t="s">
        <v>40</v>
      </c>
      <c r="E208" s="103">
        <v>201408.20366666664</v>
      </c>
      <c r="F208" s="104">
        <v>8232.0720000000001</v>
      </c>
      <c r="G208" s="104">
        <v>1826.98</v>
      </c>
      <c r="H208" s="104">
        <v>9579.4129999999986</v>
      </c>
      <c r="I208" s="104">
        <v>4694.7789999999995</v>
      </c>
      <c r="J208" s="104">
        <v>4887.1299999999992</v>
      </c>
      <c r="K208" s="104">
        <v>4806.4540000000006</v>
      </c>
      <c r="L208" s="104">
        <v>4234.9210000000003</v>
      </c>
      <c r="M208" s="104">
        <v>41303.51</v>
      </c>
      <c r="N208" s="104">
        <v>38716.74099999998</v>
      </c>
      <c r="O208" s="104">
        <v>11869.231999999998</v>
      </c>
      <c r="P208" s="104">
        <v>10975.758</v>
      </c>
      <c r="Q208" s="107">
        <v>19551.862000000005</v>
      </c>
      <c r="R208" s="107">
        <v>12792.923000000001</v>
      </c>
      <c r="S208" s="107">
        <v>10806.300666666666</v>
      </c>
      <c r="T208" s="107">
        <v>10288.337999999998</v>
      </c>
      <c r="U208" s="107">
        <v>6841.79</v>
      </c>
      <c r="V208" s="108">
        <v>0</v>
      </c>
      <c r="W208" s="9"/>
      <c r="X208" s="116" t="s">
        <v>40</v>
      </c>
    </row>
    <row r="209" spans="3:24" s="12" customFormat="1" ht="15.75" customHeight="1">
      <c r="C209" s="9"/>
      <c r="D209" s="116" t="s">
        <v>39</v>
      </c>
      <c r="E209" s="103">
        <v>66439.600000000006</v>
      </c>
      <c r="F209" s="104">
        <v>4891.9400000000005</v>
      </c>
      <c r="G209" s="104">
        <v>465.52</v>
      </c>
      <c r="H209" s="104">
        <v>2677.2200000000003</v>
      </c>
      <c r="I209" s="104">
        <v>1990.4</v>
      </c>
      <c r="J209" s="104">
        <v>4260.2</v>
      </c>
      <c r="K209" s="104">
        <v>455</v>
      </c>
      <c r="L209" s="104">
        <v>1144.2460000000001</v>
      </c>
      <c r="M209" s="104">
        <v>2067.9259999999999</v>
      </c>
      <c r="N209" s="104">
        <v>15739.971000000001</v>
      </c>
      <c r="O209" s="104">
        <v>4602.1539999999995</v>
      </c>
      <c r="P209" s="104">
        <v>2460.9399999999996</v>
      </c>
      <c r="Q209" s="107">
        <v>8412.4620000000032</v>
      </c>
      <c r="R209" s="107">
        <v>5553.9</v>
      </c>
      <c r="S209" s="107">
        <v>2539.8300000000004</v>
      </c>
      <c r="T209" s="107">
        <v>6150.7280000000001</v>
      </c>
      <c r="U209" s="107">
        <v>3027.1629999999996</v>
      </c>
      <c r="V209" s="108">
        <v>0</v>
      </c>
      <c r="W209" s="9"/>
      <c r="X209" s="116" t="s">
        <v>39</v>
      </c>
    </row>
    <row r="210" spans="3:24" s="12" customFormat="1" ht="15.75" customHeight="1">
      <c r="C210" s="9"/>
      <c r="D210" s="116" t="s">
        <v>38</v>
      </c>
      <c r="E210" s="103">
        <v>27752.924999999999</v>
      </c>
      <c r="F210" s="104">
        <v>1501.2</v>
      </c>
      <c r="G210" s="104">
        <v>0</v>
      </c>
      <c r="H210" s="104">
        <v>1343.17</v>
      </c>
      <c r="I210" s="104">
        <v>204.06</v>
      </c>
      <c r="J210" s="104">
        <v>398.8</v>
      </c>
      <c r="K210" s="104">
        <v>281</v>
      </c>
      <c r="L210" s="104">
        <v>301.05</v>
      </c>
      <c r="M210" s="104">
        <v>0</v>
      </c>
      <c r="N210" s="104">
        <v>12630.445000000002</v>
      </c>
      <c r="O210" s="104">
        <v>3059.0699999999997</v>
      </c>
      <c r="P210" s="104">
        <v>1551.41</v>
      </c>
      <c r="Q210" s="107">
        <v>1446.01</v>
      </c>
      <c r="R210" s="107">
        <v>1969.5600000000002</v>
      </c>
      <c r="S210" s="107">
        <v>1148</v>
      </c>
      <c r="T210" s="107">
        <v>1059.69</v>
      </c>
      <c r="U210" s="107">
        <v>859.46</v>
      </c>
      <c r="V210" s="108">
        <v>0</v>
      </c>
      <c r="W210" s="9"/>
      <c r="X210" s="116" t="s">
        <v>38</v>
      </c>
    </row>
    <row r="211" spans="3:24" s="12" customFormat="1" ht="15.75" customHeight="1">
      <c r="C211" s="9"/>
      <c r="D211" s="116" t="s">
        <v>37</v>
      </c>
      <c r="E211" s="103">
        <v>21882.179999999997</v>
      </c>
      <c r="F211" s="104">
        <v>0</v>
      </c>
      <c r="G211" s="104">
        <v>1421</v>
      </c>
      <c r="H211" s="104">
        <v>0</v>
      </c>
      <c r="I211" s="104">
        <v>1708</v>
      </c>
      <c r="J211" s="104">
        <v>0</v>
      </c>
      <c r="K211" s="104">
        <v>936.04</v>
      </c>
      <c r="L211" s="104">
        <v>159</v>
      </c>
      <c r="M211" s="104">
        <v>0</v>
      </c>
      <c r="N211" s="104">
        <v>4249.3099999999995</v>
      </c>
      <c r="O211" s="104">
        <v>5027.7199999999993</v>
      </c>
      <c r="P211" s="104">
        <v>1406.5</v>
      </c>
      <c r="Q211" s="107">
        <v>1695.02</v>
      </c>
      <c r="R211" s="107">
        <v>1631.44</v>
      </c>
      <c r="S211" s="107">
        <v>1091.2</v>
      </c>
      <c r="T211" s="107">
        <v>735</v>
      </c>
      <c r="U211" s="107">
        <v>1541.9499999999996</v>
      </c>
      <c r="V211" s="108">
        <v>280</v>
      </c>
      <c r="W211" s="9"/>
      <c r="X211" s="116" t="s">
        <v>37</v>
      </c>
    </row>
    <row r="212" spans="3:24" s="12" customFormat="1" ht="15.75" customHeight="1">
      <c r="C212" s="9"/>
      <c r="D212" s="116" t="s">
        <v>35</v>
      </c>
      <c r="E212" s="103">
        <v>248278.76149999996</v>
      </c>
      <c r="F212" s="104">
        <v>7904.96</v>
      </c>
      <c r="G212" s="104">
        <v>1668</v>
      </c>
      <c r="H212" s="104">
        <v>2588.81</v>
      </c>
      <c r="I212" s="104">
        <v>1653.0900000000001</v>
      </c>
      <c r="J212" s="104">
        <v>1124</v>
      </c>
      <c r="K212" s="104">
        <v>3997.4500000000003</v>
      </c>
      <c r="L212" s="104">
        <v>321.60000000000002</v>
      </c>
      <c r="M212" s="104">
        <v>420.32</v>
      </c>
      <c r="N212" s="104">
        <v>26669.452000000008</v>
      </c>
      <c r="O212" s="104">
        <v>12542.919</v>
      </c>
      <c r="P212" s="104">
        <v>8419.3665000000001</v>
      </c>
      <c r="Q212" s="107">
        <v>20798.791000000001</v>
      </c>
      <c r="R212" s="107">
        <v>54241.332999999991</v>
      </c>
      <c r="S212" s="107">
        <v>47110.432000000008</v>
      </c>
      <c r="T212" s="107">
        <v>16618.786999999997</v>
      </c>
      <c r="U212" s="107">
        <v>34126.154999999999</v>
      </c>
      <c r="V212" s="108">
        <v>8073.2960000000003</v>
      </c>
      <c r="W212" s="9"/>
      <c r="X212" s="116" t="s">
        <v>35</v>
      </c>
    </row>
    <row r="213" spans="3:24" s="12" customFormat="1" ht="15.75" customHeight="1">
      <c r="C213" s="9"/>
      <c r="D213" s="9"/>
      <c r="E213" s="103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7"/>
      <c r="R213" s="107"/>
      <c r="S213" s="107"/>
      <c r="T213" s="107"/>
      <c r="U213" s="107"/>
      <c r="V213" s="108"/>
      <c r="W213" s="9"/>
      <c r="X213" s="9"/>
    </row>
    <row r="214" spans="3:24" s="12" customFormat="1" ht="15.75" customHeight="1">
      <c r="C214" s="86" t="s">
        <v>241</v>
      </c>
      <c r="D214" s="86"/>
      <c r="E214" s="88">
        <v>1408749.2376666667</v>
      </c>
      <c r="F214" s="89">
        <v>97485.697000000015</v>
      </c>
      <c r="G214" s="89">
        <v>16906.076000000001</v>
      </c>
      <c r="H214" s="89">
        <v>42717.756000000001</v>
      </c>
      <c r="I214" s="89">
        <v>48682.438000000002</v>
      </c>
      <c r="J214" s="89">
        <v>21683.312000000002</v>
      </c>
      <c r="K214" s="89">
        <v>29812.719000000005</v>
      </c>
      <c r="L214" s="89">
        <v>24488.214</v>
      </c>
      <c r="M214" s="89">
        <v>89405.977999999988</v>
      </c>
      <c r="N214" s="89">
        <v>306522.54149999988</v>
      </c>
      <c r="O214" s="89">
        <v>117814.586</v>
      </c>
      <c r="P214" s="89">
        <v>72456.412499999991</v>
      </c>
      <c r="Q214" s="89">
        <v>120265.601</v>
      </c>
      <c r="R214" s="89">
        <v>121864.82800000001</v>
      </c>
      <c r="S214" s="89">
        <v>104383.26166666666</v>
      </c>
      <c r="T214" s="89">
        <v>102583.99399999999</v>
      </c>
      <c r="U214" s="89">
        <v>82000.06700000001</v>
      </c>
      <c r="V214" s="91">
        <v>9675.7560000000012</v>
      </c>
      <c r="W214" s="86" t="s">
        <v>242</v>
      </c>
      <c r="X214" s="86"/>
    </row>
    <row r="215" spans="3:24" s="12" customFormat="1" ht="15.75" customHeight="1">
      <c r="C215" s="9"/>
      <c r="D215" s="9" t="s">
        <v>111</v>
      </c>
      <c r="E215" s="103">
        <v>216804.54399999985</v>
      </c>
      <c r="F215" s="117">
        <v>485.9</v>
      </c>
      <c r="G215" s="117">
        <v>453</v>
      </c>
      <c r="H215" s="117">
        <v>734.12</v>
      </c>
      <c r="I215" s="117">
        <v>9740.8579999999984</v>
      </c>
      <c r="J215" s="117">
        <v>192.5</v>
      </c>
      <c r="K215" s="117">
        <v>1303.9000000000001</v>
      </c>
      <c r="L215" s="117">
        <v>330.5</v>
      </c>
      <c r="M215" s="117">
        <v>1592.3</v>
      </c>
      <c r="N215" s="117">
        <v>96915.500999999858</v>
      </c>
      <c r="O215" s="117">
        <v>35314.307999999997</v>
      </c>
      <c r="P215" s="117">
        <v>11377.019</v>
      </c>
      <c r="Q215" s="117">
        <v>24395.239000000001</v>
      </c>
      <c r="R215" s="117">
        <v>8750.0190000000021</v>
      </c>
      <c r="S215" s="117">
        <v>5065.3999999999996</v>
      </c>
      <c r="T215" s="117">
        <v>13085.98</v>
      </c>
      <c r="U215" s="117">
        <v>7068.0000000000018</v>
      </c>
      <c r="V215" s="205">
        <v>0</v>
      </c>
      <c r="W215" s="9"/>
      <c r="X215" s="9" t="s">
        <v>111</v>
      </c>
    </row>
    <row r="216" spans="3:24" s="12" customFormat="1" ht="15.75" customHeight="1">
      <c r="C216" s="9"/>
      <c r="D216" s="9" t="s">
        <v>110</v>
      </c>
      <c r="E216" s="103">
        <v>12248.294</v>
      </c>
      <c r="F216" s="117">
        <v>609.35099999999989</v>
      </c>
      <c r="G216" s="117">
        <v>385.41199999999998</v>
      </c>
      <c r="H216" s="117">
        <v>117</v>
      </c>
      <c r="I216" s="117">
        <v>804.67300000000012</v>
      </c>
      <c r="J216" s="117">
        <v>35.200000000000003</v>
      </c>
      <c r="K216" s="117">
        <v>122.5</v>
      </c>
      <c r="L216" s="117">
        <v>292.26</v>
      </c>
      <c r="M216" s="117">
        <v>0</v>
      </c>
      <c r="N216" s="117">
        <v>3064.6360000000004</v>
      </c>
      <c r="O216" s="117">
        <v>1126.99</v>
      </c>
      <c r="P216" s="117">
        <v>369.10599999999999</v>
      </c>
      <c r="Q216" s="117">
        <v>1926.2159999999997</v>
      </c>
      <c r="R216" s="117">
        <v>1030.4000000000001</v>
      </c>
      <c r="S216" s="117">
        <v>979.49999999999989</v>
      </c>
      <c r="T216" s="117">
        <v>716.22</v>
      </c>
      <c r="U216" s="117">
        <v>633.83000000000015</v>
      </c>
      <c r="V216" s="205">
        <v>35</v>
      </c>
      <c r="W216" s="9"/>
      <c r="X216" s="9" t="s">
        <v>110</v>
      </c>
    </row>
    <row r="217" spans="3:24" s="12" customFormat="1" ht="15.75" customHeight="1">
      <c r="C217" s="9"/>
      <c r="D217" s="9" t="s">
        <v>109</v>
      </c>
      <c r="E217" s="103">
        <v>58473.492000000006</v>
      </c>
      <c r="F217" s="117">
        <v>6750.2890000000007</v>
      </c>
      <c r="G217" s="117">
        <v>1839.7939999999999</v>
      </c>
      <c r="H217" s="117">
        <v>1229.2200000000003</v>
      </c>
      <c r="I217" s="117">
        <v>1612.99</v>
      </c>
      <c r="J217" s="117">
        <v>479</v>
      </c>
      <c r="K217" s="117">
        <v>1987.1780000000003</v>
      </c>
      <c r="L217" s="117">
        <v>447.6</v>
      </c>
      <c r="M217" s="117">
        <v>563.17499999999995</v>
      </c>
      <c r="N217" s="117">
        <v>15257.140500000003</v>
      </c>
      <c r="O217" s="117">
        <v>5146.322000000001</v>
      </c>
      <c r="P217" s="117">
        <v>4594.9484999999995</v>
      </c>
      <c r="Q217" s="117">
        <v>4196.2259999999997</v>
      </c>
      <c r="R217" s="117">
        <v>2744.2599999999998</v>
      </c>
      <c r="S217" s="117">
        <v>1929.7250000000001</v>
      </c>
      <c r="T217" s="117">
        <v>5925.1180000000004</v>
      </c>
      <c r="U217" s="117">
        <v>3173.5059999999994</v>
      </c>
      <c r="V217" s="205">
        <v>597</v>
      </c>
      <c r="W217" s="9"/>
      <c r="X217" s="9" t="s">
        <v>109</v>
      </c>
    </row>
    <row r="218" spans="3:24" s="12" customFormat="1" ht="15.75" customHeight="1">
      <c r="C218" s="9"/>
      <c r="D218" s="9" t="s">
        <v>108</v>
      </c>
      <c r="E218" s="103">
        <v>291053.59966666665</v>
      </c>
      <c r="F218" s="117">
        <v>32073.652999999998</v>
      </c>
      <c r="G218" s="117">
        <v>4434.4400000000005</v>
      </c>
      <c r="H218" s="117">
        <v>5685.6329999999989</v>
      </c>
      <c r="I218" s="117">
        <v>5314.1420000000007</v>
      </c>
      <c r="J218" s="117">
        <v>8018.8990000000013</v>
      </c>
      <c r="K218" s="117">
        <v>9417.7210000000014</v>
      </c>
      <c r="L218" s="117">
        <v>5413.1910000000007</v>
      </c>
      <c r="M218" s="117">
        <v>6320.21</v>
      </c>
      <c r="N218" s="117">
        <v>68488.493999999977</v>
      </c>
      <c r="O218" s="117">
        <v>18616.207999999999</v>
      </c>
      <c r="P218" s="117">
        <v>18421.469999999998</v>
      </c>
      <c r="Q218" s="117">
        <v>26575.591999999997</v>
      </c>
      <c r="R218" s="117">
        <v>20252.106000000003</v>
      </c>
      <c r="S218" s="117">
        <v>22822.626666666663</v>
      </c>
      <c r="T218" s="117">
        <v>20637.588000000007</v>
      </c>
      <c r="U218" s="117">
        <v>14361.37</v>
      </c>
      <c r="V218" s="205">
        <v>4200.2560000000003</v>
      </c>
      <c r="W218" s="9"/>
      <c r="X218" s="9" t="s">
        <v>108</v>
      </c>
    </row>
    <row r="219" spans="3:24" s="12" customFormat="1" ht="15.75" customHeight="1">
      <c r="C219" s="9"/>
      <c r="D219" s="9" t="s">
        <v>28</v>
      </c>
      <c r="E219" s="103">
        <v>371010.44200000004</v>
      </c>
      <c r="F219" s="117">
        <v>27444.884000000002</v>
      </c>
      <c r="G219" s="117">
        <v>4492.8900000000003</v>
      </c>
      <c r="H219" s="117">
        <v>11964.7</v>
      </c>
      <c r="I219" s="117">
        <v>9872.7950000000001</v>
      </c>
      <c r="J219" s="117">
        <v>5985.6730000000007</v>
      </c>
      <c r="K219" s="117">
        <v>11231.940000000002</v>
      </c>
      <c r="L219" s="117">
        <v>11094.326000000001</v>
      </c>
      <c r="M219" s="117">
        <v>30359.528999999995</v>
      </c>
      <c r="N219" s="117">
        <v>61719.119999999988</v>
      </c>
      <c r="O219" s="117">
        <v>22454.614000000001</v>
      </c>
      <c r="P219" s="117">
        <v>20877.134999999995</v>
      </c>
      <c r="Q219" s="117">
        <v>39975.837999999996</v>
      </c>
      <c r="R219" s="117">
        <v>31112.433000000005</v>
      </c>
      <c r="S219" s="117">
        <v>28690.590000000004</v>
      </c>
      <c r="T219" s="117">
        <v>27292.172999999992</v>
      </c>
      <c r="U219" s="117">
        <v>25238.302000000003</v>
      </c>
      <c r="V219" s="205">
        <v>1203.5</v>
      </c>
      <c r="W219" s="9"/>
      <c r="X219" s="9" t="s">
        <v>28</v>
      </c>
    </row>
    <row r="220" spans="3:24" s="12" customFormat="1" ht="15.75" customHeight="1">
      <c r="C220" s="9"/>
      <c r="D220" s="9" t="s">
        <v>107</v>
      </c>
      <c r="E220" s="103">
        <v>362187.89799999999</v>
      </c>
      <c r="F220" s="117">
        <v>22202.620000000003</v>
      </c>
      <c r="G220" s="117">
        <v>5300.54</v>
      </c>
      <c r="H220" s="117">
        <v>13636.583000000001</v>
      </c>
      <c r="I220" s="117">
        <v>10924.630000000001</v>
      </c>
      <c r="J220" s="117">
        <v>6972.04</v>
      </c>
      <c r="K220" s="117">
        <v>2486.5500000000002</v>
      </c>
      <c r="L220" s="117">
        <v>6910.3370000000004</v>
      </c>
      <c r="M220" s="117">
        <v>36706.985999999997</v>
      </c>
      <c r="N220" s="117">
        <v>50178.13</v>
      </c>
      <c r="O220" s="117">
        <v>28670.003999999997</v>
      </c>
      <c r="P220" s="117">
        <v>16816.734</v>
      </c>
      <c r="Q220" s="117">
        <v>15528.560000000001</v>
      </c>
      <c r="R220" s="117">
        <v>51328.47</v>
      </c>
      <c r="S220" s="117">
        <v>34003.740000000005</v>
      </c>
      <c r="T220" s="117">
        <v>28546.914999999997</v>
      </c>
      <c r="U220" s="117">
        <v>28335.059000000001</v>
      </c>
      <c r="V220" s="205">
        <v>3640</v>
      </c>
      <c r="W220" s="9"/>
      <c r="X220" s="9" t="s">
        <v>107</v>
      </c>
    </row>
    <row r="221" spans="3:24" s="12" customFormat="1" ht="15.75" customHeight="1" thickBot="1">
      <c r="C221" s="118"/>
      <c r="D221" s="118" t="s">
        <v>106</v>
      </c>
      <c r="E221" s="206">
        <v>96970.967999999993</v>
      </c>
      <c r="F221" s="207">
        <v>7919</v>
      </c>
      <c r="G221" s="207">
        <v>0</v>
      </c>
      <c r="H221" s="207">
        <v>9350.5</v>
      </c>
      <c r="I221" s="207">
        <v>10412.349999999999</v>
      </c>
      <c r="J221" s="207">
        <v>0</v>
      </c>
      <c r="K221" s="207">
        <v>3262.93</v>
      </c>
      <c r="L221" s="207">
        <v>0</v>
      </c>
      <c r="M221" s="207">
        <v>13863.778</v>
      </c>
      <c r="N221" s="207">
        <v>10899.52</v>
      </c>
      <c r="O221" s="207">
        <v>6486.1399999999994</v>
      </c>
      <c r="P221" s="207">
        <v>0</v>
      </c>
      <c r="Q221" s="207">
        <v>7667.93</v>
      </c>
      <c r="R221" s="207">
        <v>6647.14</v>
      </c>
      <c r="S221" s="207">
        <v>10891.68</v>
      </c>
      <c r="T221" s="207">
        <v>6380</v>
      </c>
      <c r="U221" s="207">
        <v>3190</v>
      </c>
      <c r="V221" s="208">
        <v>0</v>
      </c>
      <c r="W221" s="118"/>
      <c r="X221" s="118" t="s">
        <v>106</v>
      </c>
    </row>
    <row r="222" spans="3:24" s="6" customFormat="1" ht="15.75" customHeight="1">
      <c r="C222" s="68"/>
      <c r="D222" s="68"/>
      <c r="E222" s="74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1"/>
      <c r="R222" s="71"/>
      <c r="S222" s="71"/>
      <c r="T222" s="71"/>
      <c r="U222" s="71"/>
      <c r="V222" s="71"/>
      <c r="W222" s="68"/>
      <c r="X222" s="68"/>
    </row>
    <row r="223" spans="3:24" s="7" customFormat="1" ht="15.75" customHeight="1">
      <c r="C223" s="72" t="s">
        <v>200</v>
      </c>
      <c r="D223" s="72"/>
      <c r="E223" s="75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</row>
    <row r="224" spans="3:24" s="7" customFormat="1" ht="15.75" customHeight="1">
      <c r="C224" s="72" t="s">
        <v>105</v>
      </c>
      <c r="D224" s="72"/>
      <c r="E224" s="75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</row>
    <row r="227" spans="3:24" s="6" customFormat="1" ht="18">
      <c r="C227" s="19" t="s">
        <v>112</v>
      </c>
      <c r="D227" s="26"/>
    </row>
    <row r="228" spans="3:24" s="6" customFormat="1" ht="15.75" customHeight="1" thickBot="1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25"/>
    </row>
    <row r="229" spans="3:24" s="6" customFormat="1" ht="15.75" customHeight="1">
      <c r="C229" s="304" t="s">
        <v>61</v>
      </c>
      <c r="D229" s="304"/>
      <c r="E229" s="82" t="s">
        <v>79</v>
      </c>
      <c r="F229" s="83" t="s">
        <v>78</v>
      </c>
      <c r="G229" s="83" t="s">
        <v>77</v>
      </c>
      <c r="H229" s="83" t="s">
        <v>76</v>
      </c>
      <c r="I229" s="83" t="s">
        <v>75</v>
      </c>
      <c r="J229" s="83" t="s">
        <v>74</v>
      </c>
      <c r="K229" s="83" t="s">
        <v>73</v>
      </c>
      <c r="L229" s="83" t="s">
        <v>72</v>
      </c>
      <c r="M229" s="83" t="s">
        <v>71</v>
      </c>
      <c r="N229" s="83" t="s">
        <v>70</v>
      </c>
      <c r="O229" s="83" t="s">
        <v>69</v>
      </c>
      <c r="P229" s="83" t="s">
        <v>68</v>
      </c>
      <c r="Q229" s="83" t="s">
        <v>67</v>
      </c>
      <c r="R229" s="83" t="s">
        <v>66</v>
      </c>
      <c r="S229" s="83" t="s">
        <v>65</v>
      </c>
      <c r="T229" s="83" t="s">
        <v>64</v>
      </c>
      <c r="U229" s="83" t="s">
        <v>63</v>
      </c>
      <c r="V229" s="84" t="s">
        <v>62</v>
      </c>
      <c r="W229" s="306" t="s">
        <v>61</v>
      </c>
      <c r="X229" s="304"/>
    </row>
    <row r="230" spans="3:24" s="6" customFormat="1" ht="15.75" customHeight="1">
      <c r="C230" s="305"/>
      <c r="D230" s="305"/>
      <c r="E230" s="85" t="s">
        <v>22</v>
      </c>
      <c r="F230" s="14" t="s">
        <v>60</v>
      </c>
      <c r="G230" s="14" t="s">
        <v>59</v>
      </c>
      <c r="H230" s="14" t="s">
        <v>58</v>
      </c>
      <c r="I230" s="14" t="s">
        <v>57</v>
      </c>
      <c r="J230" s="14" t="s">
        <v>56</v>
      </c>
      <c r="K230" s="14" t="s">
        <v>55</v>
      </c>
      <c r="L230" s="14" t="s">
        <v>54</v>
      </c>
      <c r="M230" s="14" t="s">
        <v>53</v>
      </c>
      <c r="N230" s="14" t="s">
        <v>52</v>
      </c>
      <c r="O230" s="14" t="s">
        <v>51</v>
      </c>
      <c r="P230" s="14" t="s">
        <v>50</v>
      </c>
      <c r="Q230" s="14" t="s">
        <v>49</v>
      </c>
      <c r="R230" s="14" t="s">
        <v>48</v>
      </c>
      <c r="S230" s="14" t="s">
        <v>47</v>
      </c>
      <c r="T230" s="14" t="s">
        <v>46</v>
      </c>
      <c r="U230" s="14" t="s">
        <v>45</v>
      </c>
      <c r="V230" s="13" t="s">
        <v>44</v>
      </c>
      <c r="W230" s="307"/>
      <c r="X230" s="305"/>
    </row>
    <row r="231" spans="3:24" s="12" customFormat="1" ht="15.75" customHeight="1">
      <c r="C231" s="86" t="s">
        <v>225</v>
      </c>
      <c r="D231" s="209"/>
      <c r="E231" s="88">
        <v>21258.193449560495</v>
      </c>
      <c r="F231" s="89">
        <v>0</v>
      </c>
      <c r="G231" s="89">
        <v>23.364962589928055</v>
      </c>
      <c r="H231" s="89">
        <v>0</v>
      </c>
      <c r="I231" s="89">
        <v>129.91125281255444</v>
      </c>
      <c r="J231" s="89">
        <v>0</v>
      </c>
      <c r="K231" s="89">
        <v>0</v>
      </c>
      <c r="L231" s="89">
        <v>0</v>
      </c>
      <c r="M231" s="89">
        <v>0</v>
      </c>
      <c r="N231" s="89">
        <v>8.1724995830851697</v>
      </c>
      <c r="O231" s="89">
        <v>643.05514172803976</v>
      </c>
      <c r="P231" s="89">
        <v>5.1281481481481483E-2</v>
      </c>
      <c r="Q231" s="90">
        <v>1529.457516585406</v>
      </c>
      <c r="R231" s="90">
        <v>756.56808754052599</v>
      </c>
      <c r="S231" s="90">
        <v>11969.900046270077</v>
      </c>
      <c r="T231" s="90">
        <v>572.54425806182815</v>
      </c>
      <c r="U231" s="90">
        <v>3824.4717954032967</v>
      </c>
      <c r="V231" s="91">
        <v>1800.6966075042737</v>
      </c>
      <c r="W231" s="86" t="s">
        <v>226</v>
      </c>
      <c r="X231" s="209"/>
    </row>
    <row r="232" spans="3:24" s="12" customFormat="1" ht="15.75" customHeight="1">
      <c r="C232" s="86" t="s">
        <v>247</v>
      </c>
      <c r="D232" s="86"/>
      <c r="E232" s="88">
        <v>320267.22600000002</v>
      </c>
      <c r="F232" s="89">
        <v>0</v>
      </c>
      <c r="G232" s="89">
        <v>910</v>
      </c>
      <c r="H232" s="89">
        <v>0</v>
      </c>
      <c r="I232" s="89">
        <v>4269.5</v>
      </c>
      <c r="J232" s="89">
        <v>0</v>
      </c>
      <c r="K232" s="89">
        <v>0</v>
      </c>
      <c r="L232" s="89">
        <v>0</v>
      </c>
      <c r="M232" s="89">
        <v>0</v>
      </c>
      <c r="N232" s="89">
        <v>245</v>
      </c>
      <c r="O232" s="89">
        <v>7762.75</v>
      </c>
      <c r="P232" s="89">
        <v>175</v>
      </c>
      <c r="Q232" s="90">
        <v>39004.448000000004</v>
      </c>
      <c r="R232" s="90">
        <v>21972.828000000001</v>
      </c>
      <c r="S232" s="90">
        <v>180121.90000000002</v>
      </c>
      <c r="T232" s="90">
        <v>6987.8</v>
      </c>
      <c r="U232" s="90">
        <v>49048</v>
      </c>
      <c r="V232" s="91">
        <v>9770</v>
      </c>
      <c r="W232" s="86" t="s">
        <v>246</v>
      </c>
      <c r="X232" s="86"/>
    </row>
    <row r="233" spans="3:24" s="6" customFormat="1" ht="15.75" customHeight="1">
      <c r="C233" s="92"/>
      <c r="D233" s="92"/>
      <c r="E233" s="115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3"/>
      <c r="R233" s="113"/>
      <c r="S233" s="113"/>
      <c r="T233" s="113"/>
      <c r="U233" s="113"/>
      <c r="V233" s="114"/>
      <c r="W233" s="92"/>
      <c r="X233" s="92"/>
    </row>
    <row r="234" spans="3:24" s="12" customFormat="1" ht="15.75" customHeight="1">
      <c r="C234" s="86" t="s">
        <v>43</v>
      </c>
      <c r="D234" s="86"/>
      <c r="E234" s="88"/>
      <c r="F234" s="90"/>
      <c r="G234" s="90"/>
      <c r="H234" s="90"/>
      <c r="I234" s="90"/>
      <c r="J234" s="90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210"/>
      <c r="W234" s="138" t="s">
        <v>43</v>
      </c>
      <c r="X234" s="86"/>
    </row>
    <row r="235" spans="3:24" s="12" customFormat="1" ht="15.75" customHeight="1">
      <c r="C235" s="9"/>
      <c r="D235" s="102" t="s">
        <v>229</v>
      </c>
      <c r="E235" s="103">
        <v>78111</v>
      </c>
      <c r="F235" s="104">
        <v>0</v>
      </c>
      <c r="G235" s="104">
        <v>420</v>
      </c>
      <c r="H235" s="104">
        <v>0</v>
      </c>
      <c r="I235" s="104">
        <v>980</v>
      </c>
      <c r="J235" s="104">
        <v>0</v>
      </c>
      <c r="K235" s="104">
        <v>0</v>
      </c>
      <c r="L235" s="104">
        <v>0</v>
      </c>
      <c r="M235" s="104">
        <v>0</v>
      </c>
      <c r="N235" s="104">
        <v>0</v>
      </c>
      <c r="O235" s="104">
        <v>668</v>
      </c>
      <c r="P235" s="104">
        <v>175</v>
      </c>
      <c r="Q235" s="107">
        <v>4381</v>
      </c>
      <c r="R235" s="107">
        <v>1660</v>
      </c>
      <c r="S235" s="107">
        <v>56072</v>
      </c>
      <c r="T235" s="107">
        <v>490</v>
      </c>
      <c r="U235" s="107">
        <v>11795</v>
      </c>
      <c r="V235" s="172">
        <v>1470</v>
      </c>
      <c r="W235" s="149"/>
      <c r="X235" s="102" t="s">
        <v>240</v>
      </c>
    </row>
    <row r="236" spans="3:24" s="12" customFormat="1" ht="15.75" customHeight="1">
      <c r="C236" s="9"/>
      <c r="D236" s="102" t="s">
        <v>230</v>
      </c>
      <c r="E236" s="103">
        <v>36770</v>
      </c>
      <c r="F236" s="104">
        <v>0</v>
      </c>
      <c r="G236" s="104">
        <v>0</v>
      </c>
      <c r="H236" s="104">
        <v>0</v>
      </c>
      <c r="I236" s="104">
        <v>490</v>
      </c>
      <c r="J236" s="104">
        <v>0</v>
      </c>
      <c r="K236" s="104">
        <v>0</v>
      </c>
      <c r="L236" s="104">
        <v>0</v>
      </c>
      <c r="M236" s="104">
        <v>0</v>
      </c>
      <c r="N236" s="104">
        <v>245</v>
      </c>
      <c r="O236" s="104">
        <v>256</v>
      </c>
      <c r="P236" s="104">
        <v>0</v>
      </c>
      <c r="Q236" s="107">
        <v>4185</v>
      </c>
      <c r="R236" s="107">
        <v>5320</v>
      </c>
      <c r="S236" s="107">
        <v>15389</v>
      </c>
      <c r="T236" s="107">
        <v>3045</v>
      </c>
      <c r="U236" s="107">
        <v>7105</v>
      </c>
      <c r="V236" s="172">
        <v>735</v>
      </c>
      <c r="W236" s="149"/>
      <c r="X236" s="102" t="s">
        <v>230</v>
      </c>
    </row>
    <row r="237" spans="3:24" s="12" customFormat="1" ht="15.75" customHeight="1">
      <c r="C237" s="9"/>
      <c r="D237" s="102" t="s">
        <v>231</v>
      </c>
      <c r="E237" s="103">
        <v>59094.57</v>
      </c>
      <c r="F237" s="104">
        <v>0</v>
      </c>
      <c r="G237" s="104">
        <v>0</v>
      </c>
      <c r="H237" s="104">
        <v>0</v>
      </c>
      <c r="I237" s="104">
        <v>0</v>
      </c>
      <c r="J237" s="104">
        <v>0</v>
      </c>
      <c r="K237" s="104">
        <v>0</v>
      </c>
      <c r="L237" s="104">
        <v>0</v>
      </c>
      <c r="M237" s="104">
        <v>0</v>
      </c>
      <c r="N237" s="104">
        <v>0</v>
      </c>
      <c r="O237" s="104">
        <v>4552</v>
      </c>
      <c r="P237" s="104">
        <v>0</v>
      </c>
      <c r="Q237" s="107">
        <v>10237</v>
      </c>
      <c r="R237" s="107">
        <v>7518</v>
      </c>
      <c r="S237" s="107">
        <v>23786.57</v>
      </c>
      <c r="T237" s="107">
        <v>366</v>
      </c>
      <c r="U237" s="107">
        <v>9415</v>
      </c>
      <c r="V237" s="172">
        <v>3220</v>
      </c>
      <c r="W237" s="149"/>
      <c r="X237" s="102" t="s">
        <v>231</v>
      </c>
    </row>
    <row r="238" spans="3:24" s="12" customFormat="1" ht="15.75" customHeight="1">
      <c r="C238" s="9"/>
      <c r="E238" s="103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7"/>
      <c r="R238" s="107"/>
      <c r="S238" s="107"/>
      <c r="T238" s="107"/>
      <c r="U238" s="107"/>
      <c r="V238" s="172"/>
      <c r="W238" s="149"/>
    </row>
    <row r="239" spans="3:24" s="12" customFormat="1" ht="15.75" customHeight="1">
      <c r="C239" s="86" t="s">
        <v>241</v>
      </c>
      <c r="D239" s="87"/>
      <c r="E239" s="88">
        <v>320267.22600000002</v>
      </c>
      <c r="F239" s="89">
        <v>0</v>
      </c>
      <c r="G239" s="89">
        <v>910</v>
      </c>
      <c r="H239" s="89">
        <v>0</v>
      </c>
      <c r="I239" s="89">
        <v>4269.5</v>
      </c>
      <c r="J239" s="89">
        <v>0</v>
      </c>
      <c r="K239" s="89">
        <v>0</v>
      </c>
      <c r="L239" s="89">
        <v>0</v>
      </c>
      <c r="M239" s="89">
        <v>0</v>
      </c>
      <c r="N239" s="89">
        <v>245</v>
      </c>
      <c r="O239" s="89">
        <v>7762.75</v>
      </c>
      <c r="P239" s="89">
        <v>175</v>
      </c>
      <c r="Q239" s="89">
        <v>39004.448000000004</v>
      </c>
      <c r="R239" s="89">
        <v>21972.828000000001</v>
      </c>
      <c r="S239" s="89">
        <v>180121.90000000002</v>
      </c>
      <c r="T239" s="89">
        <v>6987.8</v>
      </c>
      <c r="U239" s="89">
        <v>49048</v>
      </c>
      <c r="V239" s="210">
        <v>9770</v>
      </c>
      <c r="W239" s="138" t="s">
        <v>241</v>
      </c>
      <c r="X239" s="87"/>
    </row>
    <row r="240" spans="3:24" s="12" customFormat="1" ht="15.75" customHeight="1">
      <c r="D240" s="116" t="s">
        <v>42</v>
      </c>
      <c r="E240" s="103">
        <v>0</v>
      </c>
      <c r="F240" s="104">
        <v>0</v>
      </c>
      <c r="G240" s="104">
        <v>0</v>
      </c>
      <c r="H240" s="104">
        <v>0</v>
      </c>
      <c r="I240" s="104">
        <v>0</v>
      </c>
      <c r="J240" s="104">
        <v>0</v>
      </c>
      <c r="K240" s="104">
        <v>0</v>
      </c>
      <c r="L240" s="104">
        <v>0</v>
      </c>
      <c r="M240" s="104">
        <v>0</v>
      </c>
      <c r="N240" s="104">
        <v>0</v>
      </c>
      <c r="O240" s="104">
        <v>0</v>
      </c>
      <c r="P240" s="104">
        <v>0</v>
      </c>
      <c r="Q240" s="107">
        <v>0</v>
      </c>
      <c r="R240" s="107">
        <v>0</v>
      </c>
      <c r="S240" s="107">
        <v>0</v>
      </c>
      <c r="T240" s="107">
        <v>0</v>
      </c>
      <c r="U240" s="107">
        <v>0</v>
      </c>
      <c r="V240" s="172">
        <v>0</v>
      </c>
      <c r="W240" s="171"/>
      <c r="X240" s="116" t="s">
        <v>42</v>
      </c>
    </row>
    <row r="241" spans="3:24" s="12" customFormat="1" ht="15.75" customHeight="1">
      <c r="C241" s="9"/>
      <c r="D241" s="116" t="s">
        <v>41</v>
      </c>
      <c r="E241" s="103">
        <v>366</v>
      </c>
      <c r="F241" s="104">
        <v>0</v>
      </c>
      <c r="G241" s="104">
        <v>0</v>
      </c>
      <c r="H241" s="104">
        <v>0</v>
      </c>
      <c r="I241" s="104">
        <v>0</v>
      </c>
      <c r="J241" s="104">
        <v>0</v>
      </c>
      <c r="K241" s="104">
        <v>0</v>
      </c>
      <c r="L241" s="104">
        <v>0</v>
      </c>
      <c r="M241" s="104">
        <v>0</v>
      </c>
      <c r="N241" s="104">
        <v>0</v>
      </c>
      <c r="O241" s="104">
        <v>0</v>
      </c>
      <c r="P241" s="104">
        <v>0</v>
      </c>
      <c r="Q241" s="107">
        <v>0</v>
      </c>
      <c r="R241" s="107">
        <v>0</v>
      </c>
      <c r="S241" s="107">
        <v>0</v>
      </c>
      <c r="T241" s="107">
        <v>366</v>
      </c>
      <c r="U241" s="107">
        <v>0</v>
      </c>
      <c r="V241" s="172">
        <v>0</v>
      </c>
      <c r="W241" s="149"/>
      <c r="X241" s="116" t="s">
        <v>41</v>
      </c>
    </row>
    <row r="242" spans="3:24" s="12" customFormat="1" ht="15.75" customHeight="1">
      <c r="C242" s="9"/>
      <c r="D242" s="116" t="s">
        <v>40</v>
      </c>
      <c r="E242" s="103">
        <v>0</v>
      </c>
      <c r="F242" s="104">
        <v>0</v>
      </c>
      <c r="G242" s="104">
        <v>0</v>
      </c>
      <c r="H242" s="104">
        <v>0</v>
      </c>
      <c r="I242" s="104">
        <v>0</v>
      </c>
      <c r="J242" s="104">
        <v>0</v>
      </c>
      <c r="K242" s="104">
        <v>0</v>
      </c>
      <c r="L242" s="104">
        <v>0</v>
      </c>
      <c r="M242" s="104">
        <v>0</v>
      </c>
      <c r="N242" s="104">
        <v>0</v>
      </c>
      <c r="O242" s="104">
        <v>0</v>
      </c>
      <c r="P242" s="104">
        <v>0</v>
      </c>
      <c r="Q242" s="107">
        <v>0</v>
      </c>
      <c r="R242" s="107">
        <v>0</v>
      </c>
      <c r="S242" s="107">
        <v>0</v>
      </c>
      <c r="T242" s="107">
        <v>0</v>
      </c>
      <c r="U242" s="107">
        <v>0</v>
      </c>
      <c r="V242" s="172">
        <v>0</v>
      </c>
      <c r="W242" s="149"/>
      <c r="X242" s="116" t="s">
        <v>40</v>
      </c>
    </row>
    <row r="243" spans="3:24" s="12" customFormat="1" ht="15.75" customHeight="1">
      <c r="C243" s="9"/>
      <c r="D243" s="116" t="s">
        <v>39</v>
      </c>
      <c r="E243" s="103">
        <v>0</v>
      </c>
      <c r="F243" s="104">
        <v>0</v>
      </c>
      <c r="G243" s="104">
        <v>0</v>
      </c>
      <c r="H243" s="104">
        <v>0</v>
      </c>
      <c r="I243" s="104">
        <v>0</v>
      </c>
      <c r="J243" s="104">
        <v>0</v>
      </c>
      <c r="K243" s="104">
        <v>0</v>
      </c>
      <c r="L243" s="104">
        <v>0</v>
      </c>
      <c r="M243" s="104">
        <v>0</v>
      </c>
      <c r="N243" s="104">
        <v>0</v>
      </c>
      <c r="O243" s="104">
        <v>0</v>
      </c>
      <c r="P243" s="104">
        <v>0</v>
      </c>
      <c r="Q243" s="107">
        <v>0</v>
      </c>
      <c r="R243" s="107">
        <v>0</v>
      </c>
      <c r="S243" s="107">
        <v>0</v>
      </c>
      <c r="T243" s="107">
        <v>0</v>
      </c>
      <c r="U243" s="107">
        <v>0</v>
      </c>
      <c r="V243" s="172">
        <v>0</v>
      </c>
      <c r="W243" s="149"/>
      <c r="X243" s="116" t="s">
        <v>39</v>
      </c>
    </row>
    <row r="244" spans="3:24" s="12" customFormat="1" ht="15.75" customHeight="1">
      <c r="C244" s="9"/>
      <c r="D244" s="116" t="s">
        <v>38</v>
      </c>
      <c r="E244" s="103">
        <v>2252</v>
      </c>
      <c r="F244" s="104">
        <v>0</v>
      </c>
      <c r="G244" s="104">
        <v>0</v>
      </c>
      <c r="H244" s="104">
        <v>0</v>
      </c>
      <c r="I244" s="104">
        <v>0</v>
      </c>
      <c r="J244" s="104">
        <v>0</v>
      </c>
      <c r="K244" s="104">
        <v>0</v>
      </c>
      <c r="L244" s="104">
        <v>0</v>
      </c>
      <c r="M244" s="104">
        <v>0</v>
      </c>
      <c r="N244" s="104">
        <v>0</v>
      </c>
      <c r="O244" s="104">
        <v>1750</v>
      </c>
      <c r="P244" s="104">
        <v>0</v>
      </c>
      <c r="Q244" s="107">
        <v>0</v>
      </c>
      <c r="R244" s="107">
        <v>0</v>
      </c>
      <c r="S244" s="107">
        <v>502</v>
      </c>
      <c r="T244" s="107">
        <v>0</v>
      </c>
      <c r="U244" s="107">
        <v>0</v>
      </c>
      <c r="V244" s="172">
        <v>0</v>
      </c>
      <c r="W244" s="149"/>
      <c r="X244" s="116" t="s">
        <v>38</v>
      </c>
    </row>
    <row r="245" spans="3:24" s="12" customFormat="1" ht="15.75" customHeight="1">
      <c r="C245" s="9"/>
      <c r="D245" s="116" t="s">
        <v>37</v>
      </c>
      <c r="E245" s="103">
        <v>0</v>
      </c>
      <c r="F245" s="104">
        <v>0</v>
      </c>
      <c r="G245" s="104">
        <v>0</v>
      </c>
      <c r="H245" s="104">
        <v>0</v>
      </c>
      <c r="I245" s="104">
        <v>0</v>
      </c>
      <c r="J245" s="104">
        <v>0</v>
      </c>
      <c r="K245" s="104">
        <v>0</v>
      </c>
      <c r="L245" s="104">
        <v>0</v>
      </c>
      <c r="M245" s="104">
        <v>0</v>
      </c>
      <c r="N245" s="104">
        <v>0</v>
      </c>
      <c r="O245" s="104">
        <v>0</v>
      </c>
      <c r="P245" s="104">
        <v>0</v>
      </c>
      <c r="Q245" s="107">
        <v>0</v>
      </c>
      <c r="R245" s="107">
        <v>0</v>
      </c>
      <c r="S245" s="107">
        <v>0</v>
      </c>
      <c r="T245" s="107">
        <v>0</v>
      </c>
      <c r="U245" s="107">
        <v>0</v>
      </c>
      <c r="V245" s="172">
        <v>0</v>
      </c>
      <c r="W245" s="149"/>
      <c r="X245" s="116" t="s">
        <v>37</v>
      </c>
    </row>
    <row r="246" spans="3:24" s="12" customFormat="1" ht="15.75" customHeight="1">
      <c r="C246" s="9"/>
      <c r="D246" s="116" t="s">
        <v>35</v>
      </c>
      <c r="E246" s="103">
        <v>317649.22600000002</v>
      </c>
      <c r="F246" s="104">
        <v>0</v>
      </c>
      <c r="G246" s="104">
        <v>910</v>
      </c>
      <c r="H246" s="104">
        <v>0</v>
      </c>
      <c r="I246" s="104">
        <v>4269.5</v>
      </c>
      <c r="J246" s="104">
        <v>0</v>
      </c>
      <c r="K246" s="104">
        <v>0</v>
      </c>
      <c r="L246" s="104">
        <v>0</v>
      </c>
      <c r="M246" s="104">
        <v>0</v>
      </c>
      <c r="N246" s="104">
        <v>245</v>
      </c>
      <c r="O246" s="104">
        <v>6012.75</v>
      </c>
      <c r="P246" s="104">
        <v>175</v>
      </c>
      <c r="Q246" s="107">
        <v>39004.448000000004</v>
      </c>
      <c r="R246" s="107">
        <v>21972.828000000001</v>
      </c>
      <c r="S246" s="107">
        <v>179619.90000000002</v>
      </c>
      <c r="T246" s="107">
        <v>6621.8</v>
      </c>
      <c r="U246" s="107">
        <v>49048</v>
      </c>
      <c r="V246" s="172">
        <v>9770</v>
      </c>
      <c r="W246" s="149"/>
      <c r="X246" s="116" t="s">
        <v>35</v>
      </c>
    </row>
    <row r="247" spans="3:24" s="6" customFormat="1" ht="15.75" customHeight="1">
      <c r="C247" s="9"/>
      <c r="D247" s="116"/>
      <c r="E247" s="103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7"/>
      <c r="R247" s="107"/>
      <c r="S247" s="107"/>
      <c r="T247" s="107"/>
      <c r="U247" s="107"/>
      <c r="V247" s="172"/>
      <c r="W247" s="149"/>
      <c r="X247" s="116"/>
    </row>
    <row r="248" spans="3:24" s="12" customFormat="1" ht="15.75" customHeight="1">
      <c r="C248" s="86" t="s">
        <v>241</v>
      </c>
      <c r="D248" s="86"/>
      <c r="E248" s="88">
        <v>320267.22600000002</v>
      </c>
      <c r="F248" s="89">
        <v>0</v>
      </c>
      <c r="G248" s="89">
        <v>910</v>
      </c>
      <c r="H248" s="89">
        <v>0</v>
      </c>
      <c r="I248" s="89">
        <v>4269.5</v>
      </c>
      <c r="J248" s="89">
        <v>0</v>
      </c>
      <c r="K248" s="89">
        <v>0</v>
      </c>
      <c r="L248" s="89">
        <v>0</v>
      </c>
      <c r="M248" s="89">
        <v>0</v>
      </c>
      <c r="N248" s="89">
        <v>245</v>
      </c>
      <c r="O248" s="89">
        <v>7762.75</v>
      </c>
      <c r="P248" s="89">
        <v>175</v>
      </c>
      <c r="Q248" s="89">
        <v>39004.448000000004</v>
      </c>
      <c r="R248" s="89">
        <v>21972.828000000001</v>
      </c>
      <c r="S248" s="89">
        <v>180121.9</v>
      </c>
      <c r="T248" s="89">
        <v>6987.8</v>
      </c>
      <c r="U248" s="89">
        <v>49048</v>
      </c>
      <c r="V248" s="210">
        <v>9770</v>
      </c>
      <c r="W248" s="138" t="s">
        <v>242</v>
      </c>
      <c r="X248" s="86"/>
    </row>
    <row r="249" spans="3:24" s="12" customFormat="1" ht="15.75" customHeight="1">
      <c r="C249" s="9"/>
      <c r="D249" s="9" t="s">
        <v>111</v>
      </c>
      <c r="E249" s="103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7">
        <v>0</v>
      </c>
      <c r="R249" s="107">
        <v>0</v>
      </c>
      <c r="S249" s="107">
        <v>0</v>
      </c>
      <c r="T249" s="107">
        <v>0</v>
      </c>
      <c r="U249" s="107">
        <v>0</v>
      </c>
      <c r="V249" s="172">
        <v>0</v>
      </c>
      <c r="W249" s="149"/>
      <c r="X249" s="9" t="s">
        <v>111</v>
      </c>
    </row>
    <row r="250" spans="3:24" s="12" customFormat="1" ht="15.75" customHeight="1">
      <c r="C250" s="9"/>
      <c r="D250" s="9" t="s">
        <v>110</v>
      </c>
      <c r="E250" s="103">
        <v>242.18799999999999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7">
        <v>87.647999999999996</v>
      </c>
      <c r="R250" s="107">
        <v>0</v>
      </c>
      <c r="S250" s="107">
        <v>84.54</v>
      </c>
      <c r="T250" s="107">
        <v>70</v>
      </c>
      <c r="U250" s="107">
        <v>0</v>
      </c>
      <c r="V250" s="172">
        <v>0</v>
      </c>
      <c r="W250" s="149"/>
      <c r="X250" s="9" t="s">
        <v>110</v>
      </c>
    </row>
    <row r="251" spans="3:24" s="12" customFormat="1" ht="15.75" customHeight="1">
      <c r="C251" s="9"/>
      <c r="D251" s="9" t="s">
        <v>109</v>
      </c>
      <c r="E251" s="103">
        <v>6039.4</v>
      </c>
      <c r="F251" s="104">
        <v>0</v>
      </c>
      <c r="G251" s="104">
        <v>0</v>
      </c>
      <c r="H251" s="104">
        <v>0</v>
      </c>
      <c r="I251" s="104">
        <v>0</v>
      </c>
      <c r="J251" s="104">
        <v>0</v>
      </c>
      <c r="K251" s="104">
        <v>0</v>
      </c>
      <c r="L251" s="104">
        <v>0</v>
      </c>
      <c r="M251" s="104">
        <v>0</v>
      </c>
      <c r="N251" s="104">
        <v>0</v>
      </c>
      <c r="O251" s="104">
        <v>1163</v>
      </c>
      <c r="P251" s="104">
        <v>175</v>
      </c>
      <c r="Q251" s="107">
        <v>347.1</v>
      </c>
      <c r="R251" s="107">
        <v>172</v>
      </c>
      <c r="S251" s="107">
        <v>1220.3</v>
      </c>
      <c r="T251" s="107">
        <v>643</v>
      </c>
      <c r="U251" s="107">
        <v>2319</v>
      </c>
      <c r="V251" s="172">
        <v>0</v>
      </c>
      <c r="W251" s="149"/>
      <c r="X251" s="9" t="s">
        <v>109</v>
      </c>
    </row>
    <row r="252" spans="3:24" s="12" customFormat="1" ht="15.75" customHeight="1">
      <c r="C252" s="9"/>
      <c r="D252" s="9" t="s">
        <v>108</v>
      </c>
      <c r="E252" s="103">
        <v>157263.38799999998</v>
      </c>
      <c r="F252" s="104">
        <v>0</v>
      </c>
      <c r="G252" s="104">
        <v>910</v>
      </c>
      <c r="H252" s="104">
        <v>0</v>
      </c>
      <c r="I252" s="104">
        <v>1992.8</v>
      </c>
      <c r="J252" s="104">
        <v>0</v>
      </c>
      <c r="K252" s="104">
        <v>0</v>
      </c>
      <c r="L252" s="104">
        <v>0</v>
      </c>
      <c r="M252" s="104">
        <v>0</v>
      </c>
      <c r="N252" s="104">
        <v>245</v>
      </c>
      <c r="O252" s="104">
        <v>2572.75</v>
      </c>
      <c r="P252" s="104">
        <v>0</v>
      </c>
      <c r="Q252" s="107">
        <v>9177</v>
      </c>
      <c r="R252" s="107">
        <v>4061.348</v>
      </c>
      <c r="S252" s="107">
        <v>95507.489999999991</v>
      </c>
      <c r="T252" s="107">
        <v>2689</v>
      </c>
      <c r="U252" s="107">
        <v>33614</v>
      </c>
      <c r="V252" s="172">
        <v>6494</v>
      </c>
      <c r="W252" s="149"/>
      <c r="X252" s="9" t="s">
        <v>108</v>
      </c>
    </row>
    <row r="253" spans="3:24" s="12" customFormat="1" ht="15.75" customHeight="1">
      <c r="C253" s="9"/>
      <c r="D253" s="9" t="s">
        <v>28</v>
      </c>
      <c r="E253" s="103">
        <v>105111.35</v>
      </c>
      <c r="F253" s="104">
        <v>0</v>
      </c>
      <c r="G253" s="104">
        <v>0</v>
      </c>
      <c r="H253" s="104">
        <v>0</v>
      </c>
      <c r="I253" s="104">
        <v>2276.6999999999998</v>
      </c>
      <c r="J253" s="104">
        <v>0</v>
      </c>
      <c r="K253" s="104">
        <v>0</v>
      </c>
      <c r="L253" s="104">
        <v>0</v>
      </c>
      <c r="M253" s="104">
        <v>0</v>
      </c>
      <c r="N253" s="104">
        <v>0</v>
      </c>
      <c r="O253" s="104">
        <v>0</v>
      </c>
      <c r="P253" s="104">
        <v>0</v>
      </c>
      <c r="Q253" s="107">
        <v>23029.7</v>
      </c>
      <c r="R253" s="107">
        <v>8154.58</v>
      </c>
      <c r="S253" s="107">
        <v>58508.57</v>
      </c>
      <c r="T253" s="107">
        <v>2553.8000000000002</v>
      </c>
      <c r="U253" s="107">
        <v>8950</v>
      </c>
      <c r="V253" s="172">
        <v>1638</v>
      </c>
      <c r="W253" s="149"/>
      <c r="X253" s="9" t="s">
        <v>28</v>
      </c>
    </row>
    <row r="254" spans="3:24" s="12" customFormat="1" ht="15.75" customHeight="1">
      <c r="C254" s="9"/>
      <c r="D254" s="9" t="s">
        <v>107</v>
      </c>
      <c r="E254" s="103">
        <v>51610.9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4027</v>
      </c>
      <c r="P254" s="104">
        <v>0</v>
      </c>
      <c r="Q254" s="107">
        <v>6363</v>
      </c>
      <c r="R254" s="107">
        <v>9584.9</v>
      </c>
      <c r="S254" s="107">
        <v>24801</v>
      </c>
      <c r="T254" s="107">
        <v>1032</v>
      </c>
      <c r="U254" s="107">
        <v>4165</v>
      </c>
      <c r="V254" s="172">
        <v>1638</v>
      </c>
      <c r="W254" s="149"/>
      <c r="X254" s="9" t="s">
        <v>107</v>
      </c>
    </row>
    <row r="255" spans="3:24" s="12" customFormat="1" ht="15.75" customHeight="1" thickBot="1">
      <c r="C255" s="118"/>
      <c r="D255" s="118" t="s">
        <v>106</v>
      </c>
      <c r="E255" s="207">
        <v>0</v>
      </c>
      <c r="F255" s="207">
        <v>0</v>
      </c>
      <c r="G255" s="207">
        <v>0</v>
      </c>
      <c r="H255" s="207">
        <v>0</v>
      </c>
      <c r="I255" s="207">
        <v>0</v>
      </c>
      <c r="J255" s="207">
        <v>0</v>
      </c>
      <c r="K255" s="207">
        <v>0</v>
      </c>
      <c r="L255" s="207">
        <v>0</v>
      </c>
      <c r="M255" s="207">
        <v>0</v>
      </c>
      <c r="N255" s="207">
        <v>0</v>
      </c>
      <c r="O255" s="207">
        <v>0</v>
      </c>
      <c r="P255" s="207">
        <v>0</v>
      </c>
      <c r="Q255" s="207">
        <v>0</v>
      </c>
      <c r="R255" s="207">
        <v>0</v>
      </c>
      <c r="S255" s="207">
        <v>0</v>
      </c>
      <c r="T255" s="207">
        <v>0</v>
      </c>
      <c r="U255" s="207">
        <v>0</v>
      </c>
      <c r="V255" s="211">
        <v>0</v>
      </c>
      <c r="W255" s="212"/>
      <c r="X255" s="118" t="s">
        <v>106</v>
      </c>
    </row>
    <row r="256" spans="3:24" s="6" customFormat="1" ht="15.75" customHeight="1">
      <c r="C256" s="68"/>
      <c r="D256" s="68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68"/>
      <c r="X256" s="68"/>
    </row>
    <row r="257" spans="1:24" s="6" customFormat="1" ht="15.75" customHeight="1">
      <c r="C257" s="72" t="s">
        <v>200</v>
      </c>
      <c r="D257" s="68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1"/>
      <c r="R257" s="71"/>
      <c r="S257" s="71"/>
      <c r="T257" s="71"/>
      <c r="U257" s="71"/>
      <c r="V257" s="71"/>
      <c r="W257" s="68"/>
      <c r="X257" s="68"/>
    </row>
    <row r="258" spans="1:24" s="6" customFormat="1" ht="15.75" customHeight="1">
      <c r="C258" s="72" t="s">
        <v>105</v>
      </c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</row>
    <row r="261" spans="1:24" s="6" customFormat="1" ht="18">
      <c r="A261" s="19" t="s">
        <v>104</v>
      </c>
      <c r="B261" s="26"/>
      <c r="C261" s="12"/>
    </row>
    <row r="262" spans="1:24" s="6" customFormat="1" ht="15" thickBot="1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X262" s="29"/>
    </row>
    <row r="263" spans="1:24" s="6" customFormat="1" ht="33" customHeight="1">
      <c r="A263" s="304" t="s">
        <v>61</v>
      </c>
      <c r="B263" s="304"/>
      <c r="C263" s="304"/>
      <c r="D263" s="82" t="s">
        <v>79</v>
      </c>
      <c r="E263" s="83" t="s">
        <v>78</v>
      </c>
      <c r="F263" s="83" t="s">
        <v>77</v>
      </c>
      <c r="G263" s="83" t="s">
        <v>76</v>
      </c>
      <c r="H263" s="83" t="s">
        <v>75</v>
      </c>
      <c r="I263" s="83" t="s">
        <v>74</v>
      </c>
      <c r="J263" s="83" t="s">
        <v>73</v>
      </c>
      <c r="K263" s="83" t="s">
        <v>72</v>
      </c>
      <c r="L263" s="83" t="s">
        <v>71</v>
      </c>
      <c r="M263" s="83" t="s">
        <v>70</v>
      </c>
      <c r="N263" s="83" t="s">
        <v>69</v>
      </c>
      <c r="O263" s="83" t="s">
        <v>68</v>
      </c>
      <c r="P263" s="83" t="s">
        <v>67</v>
      </c>
      <c r="Q263" s="83" t="s">
        <v>66</v>
      </c>
      <c r="R263" s="83" t="s">
        <v>65</v>
      </c>
      <c r="S263" s="83" t="s">
        <v>64</v>
      </c>
      <c r="T263" s="83" t="s">
        <v>63</v>
      </c>
      <c r="U263" s="84" t="s">
        <v>62</v>
      </c>
      <c r="V263" s="306" t="s">
        <v>61</v>
      </c>
      <c r="W263" s="304"/>
      <c r="X263" s="304"/>
    </row>
    <row r="264" spans="1:24" s="6" customFormat="1">
      <c r="A264" s="305"/>
      <c r="B264" s="305"/>
      <c r="C264" s="305"/>
      <c r="D264" s="85" t="s">
        <v>22</v>
      </c>
      <c r="E264" s="14" t="s">
        <v>60</v>
      </c>
      <c r="F264" s="14" t="s">
        <v>59</v>
      </c>
      <c r="G264" s="14" t="s">
        <v>58</v>
      </c>
      <c r="H264" s="14" t="s">
        <v>57</v>
      </c>
      <c r="I264" s="14" t="s">
        <v>56</v>
      </c>
      <c r="J264" s="14" t="s">
        <v>55</v>
      </c>
      <c r="K264" s="14" t="s">
        <v>54</v>
      </c>
      <c r="L264" s="213" t="s">
        <v>53</v>
      </c>
      <c r="M264" s="14" t="s">
        <v>52</v>
      </c>
      <c r="N264" s="14" t="s">
        <v>51</v>
      </c>
      <c r="O264" s="14" t="s">
        <v>50</v>
      </c>
      <c r="P264" s="14" t="s">
        <v>49</v>
      </c>
      <c r="Q264" s="14" t="s">
        <v>48</v>
      </c>
      <c r="R264" s="14" t="s">
        <v>47</v>
      </c>
      <c r="S264" s="14" t="s">
        <v>46</v>
      </c>
      <c r="T264" s="14" t="s">
        <v>45</v>
      </c>
      <c r="U264" s="214" t="s">
        <v>44</v>
      </c>
      <c r="V264" s="307"/>
      <c r="W264" s="305"/>
      <c r="X264" s="305"/>
    </row>
    <row r="265" spans="1:24" s="12" customFormat="1">
      <c r="A265" s="215" t="s">
        <v>225</v>
      </c>
      <c r="B265" s="209"/>
      <c r="C265" s="209"/>
      <c r="D265" s="216">
        <v>95385.045739580339</v>
      </c>
      <c r="E265" s="217">
        <v>12011.831044530109</v>
      </c>
      <c r="F265" s="217">
        <v>3715.4317548429999</v>
      </c>
      <c r="G265" s="217">
        <v>5664.4462195411097</v>
      </c>
      <c r="H265" s="217">
        <v>6192.4702553507996</v>
      </c>
      <c r="I265" s="217">
        <v>4715.9935131241655</v>
      </c>
      <c r="J265" s="217">
        <v>2157.4145388173556</v>
      </c>
      <c r="K265" s="217">
        <v>6784.5141133199995</v>
      </c>
      <c r="L265" s="217">
        <v>1043.68064</v>
      </c>
      <c r="M265" s="217">
        <v>16526.156531760647</v>
      </c>
      <c r="N265" s="217">
        <v>3454.0061044777431</v>
      </c>
      <c r="O265" s="217">
        <v>4670.7619851198788</v>
      </c>
      <c r="P265" s="218">
        <v>2862.1501936239993</v>
      </c>
      <c r="Q265" s="218">
        <v>17343.3759068</v>
      </c>
      <c r="R265" s="218">
        <v>423.96974044620003</v>
      </c>
      <c r="S265" s="218">
        <v>2256.3526732100004</v>
      </c>
      <c r="T265" s="218">
        <v>4751.7393863353336</v>
      </c>
      <c r="U265" s="219">
        <v>810.75113827999985</v>
      </c>
      <c r="V265" s="215" t="s">
        <v>226</v>
      </c>
      <c r="W265" s="209"/>
      <c r="X265" s="209"/>
    </row>
    <row r="266" spans="1:24" s="12" customFormat="1">
      <c r="A266" s="86" t="s">
        <v>236</v>
      </c>
      <c r="B266" s="87"/>
      <c r="C266" s="87"/>
      <c r="D266" s="88">
        <v>179045.99515900001</v>
      </c>
      <c r="E266" s="89">
        <v>29554.313600000001</v>
      </c>
      <c r="F266" s="89">
        <v>2694.0775210000002</v>
      </c>
      <c r="G266" s="89">
        <v>15044</v>
      </c>
      <c r="H266" s="89">
        <v>18562.574339999999</v>
      </c>
      <c r="I266" s="89">
        <v>0</v>
      </c>
      <c r="J266" s="89">
        <v>0</v>
      </c>
      <c r="K266" s="89">
        <v>0</v>
      </c>
      <c r="L266" s="89">
        <v>0</v>
      </c>
      <c r="M266" s="89">
        <v>39598.229405999999</v>
      </c>
      <c r="N266" s="89">
        <v>10206.546999999999</v>
      </c>
      <c r="O266" s="89">
        <v>8086.3248480000002</v>
      </c>
      <c r="P266" s="90">
        <v>12779.894890000001</v>
      </c>
      <c r="Q266" s="90">
        <v>21281.127639999999</v>
      </c>
      <c r="R266" s="90">
        <v>1104.353584</v>
      </c>
      <c r="S266" s="90">
        <v>6985.1878100000004</v>
      </c>
      <c r="T266" s="90">
        <v>10987.638584</v>
      </c>
      <c r="U266" s="91">
        <v>2161.7259359999998</v>
      </c>
      <c r="V266" s="86" t="s">
        <v>237</v>
      </c>
      <c r="W266" s="87"/>
      <c r="X266" s="87"/>
    </row>
    <row r="267" spans="1:24" s="12" customFormat="1">
      <c r="A267" s="86" t="s">
        <v>248</v>
      </c>
      <c r="B267" s="86"/>
      <c r="C267" s="87"/>
      <c r="D267" s="88">
        <v>0</v>
      </c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90"/>
      <c r="Q267" s="90"/>
      <c r="R267" s="90"/>
      <c r="S267" s="90"/>
      <c r="T267" s="90"/>
      <c r="U267" s="91"/>
      <c r="V267" s="86" t="s">
        <v>249</v>
      </c>
      <c r="W267" s="86"/>
      <c r="X267" s="87"/>
    </row>
    <row r="268" spans="1:24" s="12" customFormat="1">
      <c r="A268" s="220"/>
      <c r="B268" s="220" t="s">
        <v>85</v>
      </c>
      <c r="C268" s="221"/>
      <c r="D268" s="222">
        <v>61532</v>
      </c>
      <c r="E268" s="223">
        <v>8865</v>
      </c>
      <c r="F268" s="223">
        <v>3516</v>
      </c>
      <c r="G268" s="223">
        <v>1610</v>
      </c>
      <c r="H268" s="223">
        <v>4300</v>
      </c>
      <c r="I268" s="223">
        <v>0</v>
      </c>
      <c r="J268" s="223">
        <v>0</v>
      </c>
      <c r="K268" s="223">
        <v>0</v>
      </c>
      <c r="L268" s="223">
        <v>0</v>
      </c>
      <c r="M268" s="223">
        <v>16399</v>
      </c>
      <c r="N268" s="223">
        <v>1690</v>
      </c>
      <c r="O268" s="223">
        <v>2580</v>
      </c>
      <c r="P268" s="223">
        <v>6170</v>
      </c>
      <c r="Q268" s="223">
        <v>7010</v>
      </c>
      <c r="R268" s="223">
        <v>1352</v>
      </c>
      <c r="S268" s="223">
        <v>1450</v>
      </c>
      <c r="T268" s="223">
        <v>3401</v>
      </c>
      <c r="U268" s="224">
        <v>3189</v>
      </c>
      <c r="V268" s="220"/>
      <c r="W268" s="220" t="s">
        <v>85</v>
      </c>
      <c r="X268" s="221"/>
    </row>
    <row r="269" spans="1:24" s="12" customFormat="1">
      <c r="A269" s="220"/>
      <c r="B269" s="220" t="s">
        <v>87</v>
      </c>
      <c r="C269" s="221"/>
      <c r="D269" s="225">
        <v>624.77366666</v>
      </c>
      <c r="E269" s="226">
        <v>86.56</v>
      </c>
      <c r="F269" s="226">
        <v>27.5</v>
      </c>
      <c r="G269" s="226">
        <v>31.5</v>
      </c>
      <c r="H269" s="226">
        <v>14.166599999999999</v>
      </c>
      <c r="I269" s="226">
        <v>34</v>
      </c>
      <c r="J269" s="226">
        <v>23.92</v>
      </c>
      <c r="K269" s="226">
        <v>93.66</v>
      </c>
      <c r="L269" s="226">
        <v>6</v>
      </c>
      <c r="M269" s="226">
        <v>112.75566665999999</v>
      </c>
      <c r="N269" s="226">
        <v>20</v>
      </c>
      <c r="O269" s="226">
        <v>19.640000000000004</v>
      </c>
      <c r="P269" s="226">
        <v>1.8</v>
      </c>
      <c r="Q269" s="226">
        <v>76</v>
      </c>
      <c r="R269" s="226">
        <v>3</v>
      </c>
      <c r="S269" s="226">
        <v>16.0214</v>
      </c>
      <c r="T269" s="226">
        <v>56.519999999999996</v>
      </c>
      <c r="U269" s="227">
        <v>1.7300000000000058</v>
      </c>
      <c r="V269" s="220"/>
      <c r="W269" s="220" t="s">
        <v>87</v>
      </c>
      <c r="X269" s="221"/>
    </row>
    <row r="270" spans="1:24" s="12" customFormat="1">
      <c r="A270" s="228"/>
      <c r="B270" s="228"/>
      <c r="C270" s="229"/>
      <c r="D270" s="93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5"/>
      <c r="Q270" s="95"/>
      <c r="R270" s="95"/>
      <c r="S270" s="95"/>
      <c r="T270" s="95"/>
      <c r="U270" s="96"/>
      <c r="V270" s="228"/>
      <c r="W270" s="228"/>
      <c r="X270" s="229"/>
    </row>
    <row r="271" spans="1:24" s="6" customFormat="1">
      <c r="A271" s="86" t="s">
        <v>86</v>
      </c>
      <c r="B271" s="86"/>
      <c r="C271" s="230"/>
      <c r="D271" s="88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90"/>
      <c r="Q271" s="90"/>
      <c r="R271" s="90"/>
      <c r="S271" s="90"/>
      <c r="T271" s="90"/>
      <c r="U271" s="91"/>
      <c r="V271" s="86" t="s">
        <v>86</v>
      </c>
      <c r="W271" s="86"/>
      <c r="X271" s="230"/>
    </row>
    <row r="272" spans="1:24" s="12" customFormat="1">
      <c r="A272" s="9" t="s">
        <v>85</v>
      </c>
      <c r="C272" s="231" t="s">
        <v>229</v>
      </c>
      <c r="D272" s="103">
        <v>3925</v>
      </c>
      <c r="E272" s="104">
        <v>0</v>
      </c>
      <c r="F272" s="104">
        <v>1400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1340</v>
      </c>
      <c r="Q272" s="104">
        <v>998</v>
      </c>
      <c r="R272" s="104">
        <v>187</v>
      </c>
      <c r="S272" s="104">
        <v>0</v>
      </c>
      <c r="T272" s="104">
        <v>0</v>
      </c>
      <c r="U272" s="108">
        <v>0</v>
      </c>
      <c r="V272" s="9" t="s">
        <v>85</v>
      </c>
      <c r="X272" s="231" t="s">
        <v>240</v>
      </c>
    </row>
    <row r="273" spans="1:24" s="12" customFormat="1">
      <c r="A273" s="9"/>
      <c r="B273" s="9"/>
      <c r="C273" s="231" t="s">
        <v>230</v>
      </c>
      <c r="D273" s="103">
        <v>5569</v>
      </c>
      <c r="E273" s="104">
        <v>0</v>
      </c>
      <c r="F273" s="104">
        <v>0</v>
      </c>
      <c r="G273" s="104">
        <v>0</v>
      </c>
      <c r="H273" s="104">
        <v>2400</v>
      </c>
      <c r="I273" s="104">
        <v>0</v>
      </c>
      <c r="J273" s="104">
        <v>0</v>
      </c>
      <c r="K273" s="104">
        <v>0</v>
      </c>
      <c r="L273" s="104">
        <v>0</v>
      </c>
      <c r="M273" s="104">
        <v>295</v>
      </c>
      <c r="N273" s="104">
        <v>0</v>
      </c>
      <c r="O273" s="104">
        <v>845</v>
      </c>
      <c r="P273" s="107">
        <v>1910</v>
      </c>
      <c r="Q273" s="107">
        <v>0</v>
      </c>
      <c r="R273" s="107">
        <v>119</v>
      </c>
      <c r="S273" s="107">
        <v>0</v>
      </c>
      <c r="T273" s="107">
        <v>0</v>
      </c>
      <c r="U273" s="108">
        <v>0</v>
      </c>
      <c r="V273" s="9"/>
      <c r="W273" s="9"/>
      <c r="X273" s="231" t="s">
        <v>230</v>
      </c>
    </row>
    <row r="274" spans="1:24" s="12" customFormat="1">
      <c r="A274" s="9"/>
      <c r="B274" s="9"/>
      <c r="C274" s="231" t="s">
        <v>231</v>
      </c>
      <c r="D274" s="103">
        <v>6049</v>
      </c>
      <c r="E274" s="104">
        <v>0</v>
      </c>
      <c r="F274" s="104">
        <v>0</v>
      </c>
      <c r="G274" s="104">
        <v>1500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890</v>
      </c>
      <c r="O274" s="104">
        <v>0</v>
      </c>
      <c r="P274" s="107">
        <v>740</v>
      </c>
      <c r="Q274" s="107">
        <v>0</v>
      </c>
      <c r="R274" s="107">
        <v>119</v>
      </c>
      <c r="S274" s="107">
        <v>400</v>
      </c>
      <c r="T274" s="107">
        <v>0</v>
      </c>
      <c r="U274" s="108">
        <v>2400</v>
      </c>
      <c r="V274" s="9"/>
      <c r="W274" s="9"/>
      <c r="X274" s="231" t="s">
        <v>231</v>
      </c>
    </row>
    <row r="275" spans="1:24" s="12" customFormat="1">
      <c r="A275" s="228"/>
      <c r="B275" s="20"/>
      <c r="C275" s="228"/>
      <c r="D275" s="93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5"/>
      <c r="Q275" s="95"/>
      <c r="R275" s="95"/>
      <c r="S275" s="95"/>
      <c r="T275" s="95"/>
      <c r="U275" s="96"/>
      <c r="V275" s="228"/>
      <c r="W275" s="20"/>
      <c r="X275" s="228"/>
    </row>
    <row r="276" spans="1:24" s="12" customFormat="1">
      <c r="A276" s="9" t="s">
        <v>87</v>
      </c>
      <c r="C276" s="231" t="s">
        <v>240</v>
      </c>
      <c r="D276" s="103">
        <v>13</v>
      </c>
      <c r="E276" s="104">
        <v>0</v>
      </c>
      <c r="F276" s="104">
        <v>0</v>
      </c>
      <c r="G276" s="104">
        <v>0</v>
      </c>
      <c r="H276" s="104">
        <v>0</v>
      </c>
      <c r="I276" s="104">
        <v>0</v>
      </c>
      <c r="J276" s="104">
        <v>0</v>
      </c>
      <c r="K276" s="104">
        <v>0</v>
      </c>
      <c r="L276" s="104">
        <v>0</v>
      </c>
      <c r="M276" s="104">
        <v>0</v>
      </c>
      <c r="N276" s="104">
        <v>0</v>
      </c>
      <c r="O276" s="104">
        <v>0</v>
      </c>
      <c r="P276" s="104">
        <v>0</v>
      </c>
      <c r="Q276" s="104">
        <v>10</v>
      </c>
      <c r="R276" s="104">
        <v>0</v>
      </c>
      <c r="S276" s="104">
        <v>0</v>
      </c>
      <c r="T276" s="104">
        <v>3</v>
      </c>
      <c r="U276" s="108">
        <v>0</v>
      </c>
      <c r="V276" s="9" t="s">
        <v>87</v>
      </c>
      <c r="X276" s="231" t="s">
        <v>240</v>
      </c>
    </row>
    <row r="277" spans="1:24" s="12" customFormat="1">
      <c r="A277" s="9"/>
      <c r="B277" s="9"/>
      <c r="C277" s="231" t="s">
        <v>230</v>
      </c>
      <c r="D277" s="103">
        <v>34</v>
      </c>
      <c r="E277" s="104">
        <v>0</v>
      </c>
      <c r="F277" s="104">
        <v>0</v>
      </c>
      <c r="G277" s="104">
        <v>0</v>
      </c>
      <c r="H277" s="104">
        <v>0</v>
      </c>
      <c r="I277" s="104">
        <v>0</v>
      </c>
      <c r="J277" s="104">
        <v>0</v>
      </c>
      <c r="K277" s="104">
        <v>0</v>
      </c>
      <c r="L277" s="104">
        <v>0</v>
      </c>
      <c r="M277" s="104">
        <v>0</v>
      </c>
      <c r="N277" s="104">
        <v>5</v>
      </c>
      <c r="O277" s="104">
        <v>10</v>
      </c>
      <c r="P277" s="107">
        <v>0</v>
      </c>
      <c r="Q277" s="107">
        <v>0</v>
      </c>
      <c r="R277" s="107">
        <v>0.5</v>
      </c>
      <c r="S277" s="107">
        <v>0</v>
      </c>
      <c r="T277" s="107">
        <v>18.5</v>
      </c>
      <c r="U277" s="108">
        <v>0</v>
      </c>
      <c r="V277" s="9"/>
      <c r="W277" s="9"/>
      <c r="X277" s="231" t="s">
        <v>230</v>
      </c>
    </row>
    <row r="278" spans="1:24" s="12" customFormat="1" ht="15" thickBot="1">
      <c r="A278" s="118"/>
      <c r="B278" s="118"/>
      <c r="C278" s="231" t="s">
        <v>231</v>
      </c>
      <c r="D278" s="103">
        <v>16.57</v>
      </c>
      <c r="E278" s="104">
        <v>0</v>
      </c>
      <c r="F278" s="104">
        <v>0</v>
      </c>
      <c r="G278" s="104">
        <v>0</v>
      </c>
      <c r="H278" s="104">
        <v>2.5</v>
      </c>
      <c r="I278" s="104">
        <v>0</v>
      </c>
      <c r="J278" s="104">
        <v>0</v>
      </c>
      <c r="K278" s="104">
        <v>0</v>
      </c>
      <c r="L278" s="104">
        <v>0</v>
      </c>
      <c r="M278" s="104">
        <v>10.57</v>
      </c>
      <c r="N278" s="104">
        <v>0</v>
      </c>
      <c r="O278" s="104">
        <v>0</v>
      </c>
      <c r="P278" s="107">
        <v>1.8</v>
      </c>
      <c r="Q278" s="107">
        <v>0</v>
      </c>
      <c r="R278" s="107">
        <v>0</v>
      </c>
      <c r="S278" s="107">
        <v>1.7</v>
      </c>
      <c r="T278" s="107">
        <v>0</v>
      </c>
      <c r="U278" s="108">
        <v>0</v>
      </c>
      <c r="V278" s="118"/>
      <c r="W278" s="118"/>
      <c r="X278" s="231" t="s">
        <v>231</v>
      </c>
    </row>
    <row r="279" spans="1:24" s="6" customForma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</row>
    <row r="280" spans="1:24" s="7" customFormat="1" ht="13.8">
      <c r="A280" s="72" t="s">
        <v>201</v>
      </c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</row>
    <row r="281" spans="1:24" s="7" customFormat="1" ht="13.8">
      <c r="A281" s="72" t="s">
        <v>84</v>
      </c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</row>
    <row r="284" spans="1:24" s="6" customFormat="1" ht="18">
      <c r="A284" s="19" t="s">
        <v>103</v>
      </c>
      <c r="B284" s="26"/>
      <c r="C284" s="12"/>
      <c r="X284" s="12"/>
    </row>
    <row r="285" spans="1:24" s="6" customFormat="1" ht="15" thickBot="1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27"/>
    </row>
    <row r="286" spans="1:24" s="6" customFormat="1" ht="33" customHeight="1">
      <c r="A286" s="304" t="s">
        <v>61</v>
      </c>
      <c r="B286" s="304"/>
      <c r="C286" s="304"/>
      <c r="D286" s="232" t="s">
        <v>79</v>
      </c>
      <c r="E286" s="124" t="s">
        <v>78</v>
      </c>
      <c r="F286" s="124" t="s">
        <v>77</v>
      </c>
      <c r="G286" s="124" t="s">
        <v>76</v>
      </c>
      <c r="H286" s="124" t="s">
        <v>75</v>
      </c>
      <c r="I286" s="124" t="s">
        <v>74</v>
      </c>
      <c r="J286" s="124" t="s">
        <v>73</v>
      </c>
      <c r="K286" s="124" t="s">
        <v>72</v>
      </c>
      <c r="L286" s="233" t="s">
        <v>71</v>
      </c>
      <c r="M286" s="124" t="s">
        <v>70</v>
      </c>
      <c r="N286" s="124" t="s">
        <v>69</v>
      </c>
      <c r="O286" s="124" t="s">
        <v>68</v>
      </c>
      <c r="P286" s="124" t="s">
        <v>67</v>
      </c>
      <c r="Q286" s="124" t="s">
        <v>66</v>
      </c>
      <c r="R286" s="124" t="s">
        <v>65</v>
      </c>
      <c r="S286" s="124" t="s">
        <v>64</v>
      </c>
      <c r="T286" s="124" t="s">
        <v>63</v>
      </c>
      <c r="U286" s="234" t="s">
        <v>62</v>
      </c>
      <c r="V286" s="306" t="s">
        <v>61</v>
      </c>
      <c r="W286" s="304"/>
      <c r="X286" s="304"/>
    </row>
    <row r="287" spans="1:24" s="6" customFormat="1">
      <c r="A287" s="305"/>
      <c r="B287" s="305"/>
      <c r="C287" s="305"/>
      <c r="D287" s="235" t="s">
        <v>22</v>
      </c>
      <c r="E287" s="28" t="s">
        <v>60</v>
      </c>
      <c r="F287" s="28" t="s">
        <v>59</v>
      </c>
      <c r="G287" s="28" t="s">
        <v>58</v>
      </c>
      <c r="H287" s="28" t="s">
        <v>57</v>
      </c>
      <c r="I287" s="28" t="s">
        <v>56</v>
      </c>
      <c r="J287" s="28" t="s">
        <v>55</v>
      </c>
      <c r="K287" s="28" t="s">
        <v>54</v>
      </c>
      <c r="L287" s="236" t="s">
        <v>53</v>
      </c>
      <c r="M287" s="28" t="s">
        <v>52</v>
      </c>
      <c r="N287" s="28" t="s">
        <v>51</v>
      </c>
      <c r="O287" s="28" t="s">
        <v>50</v>
      </c>
      <c r="P287" s="28" t="s">
        <v>49</v>
      </c>
      <c r="Q287" s="236" t="s">
        <v>48</v>
      </c>
      <c r="R287" s="28" t="s">
        <v>47</v>
      </c>
      <c r="S287" s="28" t="s">
        <v>46</v>
      </c>
      <c r="T287" s="28" t="s">
        <v>45</v>
      </c>
      <c r="U287" s="237" t="s">
        <v>44</v>
      </c>
      <c r="V287" s="307"/>
      <c r="W287" s="305"/>
      <c r="X287" s="305"/>
    </row>
    <row r="288" spans="1:24" s="12" customFormat="1">
      <c r="A288" s="86" t="s">
        <v>225</v>
      </c>
      <c r="B288" s="87"/>
      <c r="C288" s="87"/>
      <c r="D288" s="179">
        <v>62189.616224902813</v>
      </c>
      <c r="E288" s="127">
        <v>1526.425397132894</v>
      </c>
      <c r="F288" s="127">
        <v>1519.37785368</v>
      </c>
      <c r="G288" s="127">
        <v>15726.915334049056</v>
      </c>
      <c r="H288" s="127">
        <v>33012.394866438</v>
      </c>
      <c r="I288" s="127">
        <v>1017.821436987</v>
      </c>
      <c r="J288" s="127">
        <v>6587.1960283468625</v>
      </c>
      <c r="K288" s="127">
        <v>0</v>
      </c>
      <c r="L288" s="174">
        <v>0</v>
      </c>
      <c r="M288" s="127">
        <v>0</v>
      </c>
      <c r="N288" s="127">
        <v>436.47491399999996</v>
      </c>
      <c r="O288" s="127">
        <v>161.858873808</v>
      </c>
      <c r="P288" s="135">
        <v>0</v>
      </c>
      <c r="Q288" s="135">
        <v>73.346762999999996</v>
      </c>
      <c r="R288" s="135">
        <v>1484.8349337509999</v>
      </c>
      <c r="S288" s="135">
        <v>0</v>
      </c>
      <c r="T288" s="135">
        <v>219.46169771699999</v>
      </c>
      <c r="U288" s="195">
        <v>423.50812599299996</v>
      </c>
      <c r="V288" s="86" t="s">
        <v>226</v>
      </c>
      <c r="W288" s="87"/>
      <c r="X288" s="87"/>
    </row>
    <row r="289" spans="1:24" s="12" customFormat="1">
      <c r="A289" s="86" t="s">
        <v>236</v>
      </c>
      <c r="B289" s="87"/>
      <c r="C289" s="87"/>
      <c r="D289" s="179">
        <v>180042.626598</v>
      </c>
      <c r="E289" s="127">
        <v>0</v>
      </c>
      <c r="F289" s="127">
        <v>7133.2293600000003</v>
      </c>
      <c r="G289" s="127">
        <v>0</v>
      </c>
      <c r="H289" s="127">
        <v>154987.76932600001</v>
      </c>
      <c r="I289" s="127">
        <v>4778.5043989999995</v>
      </c>
      <c r="J289" s="127">
        <v>0</v>
      </c>
      <c r="K289" s="127">
        <v>0</v>
      </c>
      <c r="L289" s="174">
        <v>0</v>
      </c>
      <c r="M289" s="127">
        <v>0</v>
      </c>
      <c r="N289" s="127">
        <v>2049.1779999999999</v>
      </c>
      <c r="O289" s="127">
        <v>759.90081599999996</v>
      </c>
      <c r="P289" s="135">
        <v>0</v>
      </c>
      <c r="Q289" s="135">
        <v>344.351</v>
      </c>
      <c r="R289" s="135">
        <v>6971.0560269999996</v>
      </c>
      <c r="S289" s="135">
        <v>0</v>
      </c>
      <c r="T289" s="135">
        <v>1030.336609</v>
      </c>
      <c r="U289" s="195">
        <v>1988.3010609999999</v>
      </c>
      <c r="V289" s="86" t="s">
        <v>237</v>
      </c>
      <c r="W289" s="87"/>
      <c r="X289" s="87"/>
    </row>
    <row r="290" spans="1:24" s="6" customFormat="1">
      <c r="A290" s="86" t="s">
        <v>248</v>
      </c>
      <c r="B290" s="86"/>
      <c r="C290" s="87"/>
      <c r="D290" s="179"/>
      <c r="E290" s="127"/>
      <c r="F290" s="127"/>
      <c r="G290" s="127"/>
      <c r="H290" s="127"/>
      <c r="I290" s="127"/>
      <c r="J290" s="127"/>
      <c r="K290" s="127"/>
      <c r="L290" s="174"/>
      <c r="M290" s="127"/>
      <c r="N290" s="127"/>
      <c r="O290" s="127"/>
      <c r="P290" s="135"/>
      <c r="Q290" s="135"/>
      <c r="R290" s="135"/>
      <c r="S290" s="135"/>
      <c r="T290" s="135"/>
      <c r="U290" s="195"/>
      <c r="V290" s="86" t="s">
        <v>249</v>
      </c>
      <c r="W290" s="86"/>
      <c r="X290" s="87"/>
    </row>
    <row r="291" spans="1:24" s="12" customFormat="1">
      <c r="A291" s="220"/>
      <c r="B291" s="220" t="s">
        <v>85</v>
      </c>
      <c r="C291" s="221"/>
      <c r="D291" s="238">
        <v>67427</v>
      </c>
      <c r="E291" s="239">
        <v>0</v>
      </c>
      <c r="F291" s="239">
        <v>3174</v>
      </c>
      <c r="G291" s="239">
        <v>0</v>
      </c>
      <c r="H291" s="239">
        <v>50000</v>
      </c>
      <c r="I291" s="239">
        <v>2120</v>
      </c>
      <c r="J291" s="239">
        <v>99</v>
      </c>
      <c r="K291" s="239">
        <v>0</v>
      </c>
      <c r="L291" s="240">
        <v>0</v>
      </c>
      <c r="M291" s="239">
        <v>0</v>
      </c>
      <c r="N291" s="239">
        <v>980</v>
      </c>
      <c r="O291" s="239">
        <v>800</v>
      </c>
      <c r="P291" s="239">
        <v>0</v>
      </c>
      <c r="Q291" s="239">
        <v>1498</v>
      </c>
      <c r="R291" s="239">
        <v>3681</v>
      </c>
      <c r="S291" s="239">
        <v>2450</v>
      </c>
      <c r="T291" s="239">
        <v>1625</v>
      </c>
      <c r="U291" s="241">
        <v>1000</v>
      </c>
      <c r="V291" s="220"/>
      <c r="W291" s="220" t="s">
        <v>85</v>
      </c>
      <c r="X291" s="221"/>
    </row>
    <row r="292" spans="1:24" s="12" customFormat="1">
      <c r="A292" s="220"/>
      <c r="B292" s="220" t="s">
        <v>87</v>
      </c>
      <c r="C292" s="221"/>
      <c r="D292" s="238">
        <v>152.13</v>
      </c>
      <c r="E292" s="242">
        <v>11.13</v>
      </c>
      <c r="F292" s="242">
        <v>0</v>
      </c>
      <c r="G292" s="242">
        <v>126</v>
      </c>
      <c r="H292" s="242">
        <v>0</v>
      </c>
      <c r="I292" s="242">
        <v>0</v>
      </c>
      <c r="J292" s="239">
        <v>15</v>
      </c>
      <c r="K292" s="239">
        <v>0</v>
      </c>
      <c r="L292" s="240">
        <v>0</v>
      </c>
      <c r="M292" s="239">
        <v>0</v>
      </c>
      <c r="N292" s="239">
        <v>0</v>
      </c>
      <c r="O292" s="239">
        <v>0</v>
      </c>
      <c r="P292" s="239">
        <v>0</v>
      </c>
      <c r="Q292" s="239">
        <v>0</v>
      </c>
      <c r="R292" s="239">
        <v>0</v>
      </c>
      <c r="S292" s="239">
        <v>0</v>
      </c>
      <c r="T292" s="239">
        <v>0</v>
      </c>
      <c r="U292" s="241">
        <v>0</v>
      </c>
      <c r="V292" s="220"/>
      <c r="W292" s="220" t="s">
        <v>87</v>
      </c>
      <c r="X292" s="221"/>
    </row>
    <row r="293" spans="1:24" s="6" customFormat="1">
      <c r="A293" s="9"/>
      <c r="B293" s="9"/>
      <c r="C293" s="243"/>
      <c r="D293" s="183"/>
      <c r="E293" s="155"/>
      <c r="F293" s="155"/>
      <c r="G293" s="155"/>
      <c r="H293" s="155"/>
      <c r="I293" s="155"/>
      <c r="J293" s="155"/>
      <c r="K293" s="155"/>
      <c r="L293" s="184"/>
      <c r="M293" s="155"/>
      <c r="N293" s="155"/>
      <c r="O293" s="155"/>
      <c r="P293" s="158"/>
      <c r="Q293" s="158"/>
      <c r="R293" s="158"/>
      <c r="S293" s="158"/>
      <c r="T293" s="158"/>
      <c r="U293" s="194"/>
      <c r="V293" s="9"/>
      <c r="W293" s="9"/>
      <c r="X293" s="243"/>
    </row>
    <row r="294" spans="1:24" s="6" customFormat="1">
      <c r="A294" s="86" t="s">
        <v>86</v>
      </c>
      <c r="B294" s="86"/>
      <c r="C294" s="230"/>
      <c r="D294" s="179"/>
      <c r="E294" s="127"/>
      <c r="F294" s="127"/>
      <c r="G294" s="127"/>
      <c r="H294" s="127"/>
      <c r="I294" s="127"/>
      <c r="J294" s="127"/>
      <c r="K294" s="127"/>
      <c r="L294" s="174"/>
      <c r="M294" s="127"/>
      <c r="N294" s="127"/>
      <c r="O294" s="127"/>
      <c r="P294" s="135"/>
      <c r="Q294" s="135"/>
      <c r="R294" s="135"/>
      <c r="S294" s="135"/>
      <c r="T294" s="135"/>
      <c r="U294" s="195"/>
      <c r="V294" s="86" t="s">
        <v>86</v>
      </c>
      <c r="W294" s="86"/>
      <c r="X294" s="230"/>
    </row>
    <row r="295" spans="1:24" s="12" customFormat="1">
      <c r="A295" s="9" t="s">
        <v>85</v>
      </c>
      <c r="C295" s="231" t="s">
        <v>229</v>
      </c>
      <c r="D295" s="183">
        <v>925</v>
      </c>
      <c r="E295" s="155">
        <v>0</v>
      </c>
      <c r="F295" s="155">
        <v>0</v>
      </c>
      <c r="G295" s="155">
        <v>0</v>
      </c>
      <c r="H295" s="155">
        <v>0</v>
      </c>
      <c r="I295" s="155">
        <v>0</v>
      </c>
      <c r="J295" s="155">
        <v>0</v>
      </c>
      <c r="K295" s="155">
        <v>0</v>
      </c>
      <c r="L295" s="155">
        <v>0</v>
      </c>
      <c r="M295" s="155">
        <v>0</v>
      </c>
      <c r="N295" s="155">
        <v>0</v>
      </c>
      <c r="O295" s="155">
        <v>0</v>
      </c>
      <c r="P295" s="155">
        <v>0</v>
      </c>
      <c r="Q295" s="155">
        <v>0</v>
      </c>
      <c r="R295" s="155">
        <v>925</v>
      </c>
      <c r="S295" s="155">
        <v>0</v>
      </c>
      <c r="T295" s="155">
        <v>0</v>
      </c>
      <c r="U295" s="155">
        <v>0</v>
      </c>
      <c r="V295" s="9" t="s">
        <v>85</v>
      </c>
      <c r="X295" s="231" t="s">
        <v>240</v>
      </c>
    </row>
    <row r="296" spans="1:24" s="12" customFormat="1">
      <c r="A296" s="9"/>
      <c r="B296" s="9"/>
      <c r="C296" s="231" t="s">
        <v>230</v>
      </c>
      <c r="D296" s="183">
        <v>700</v>
      </c>
      <c r="E296" s="155">
        <v>0</v>
      </c>
      <c r="F296" s="155">
        <v>0</v>
      </c>
      <c r="G296" s="155">
        <v>0</v>
      </c>
      <c r="H296" s="155">
        <v>0</v>
      </c>
      <c r="I296" s="155">
        <v>0</v>
      </c>
      <c r="J296" s="155">
        <v>0</v>
      </c>
      <c r="K296" s="155">
        <v>0</v>
      </c>
      <c r="L296" s="155">
        <v>0</v>
      </c>
      <c r="M296" s="155">
        <v>0</v>
      </c>
      <c r="N296" s="155">
        <v>0</v>
      </c>
      <c r="O296" s="155">
        <v>0</v>
      </c>
      <c r="P296" s="158">
        <v>0</v>
      </c>
      <c r="Q296" s="158">
        <v>0</v>
      </c>
      <c r="R296" s="158">
        <v>0</v>
      </c>
      <c r="S296" s="158">
        <v>0</v>
      </c>
      <c r="T296" s="158">
        <v>700</v>
      </c>
      <c r="U296" s="194">
        <v>0</v>
      </c>
      <c r="V296" s="9"/>
      <c r="W296" s="9"/>
      <c r="X296" s="231" t="s">
        <v>230</v>
      </c>
    </row>
    <row r="297" spans="1:24" s="12" customFormat="1">
      <c r="A297" s="9"/>
      <c r="B297" s="9"/>
      <c r="C297" s="231" t="s">
        <v>231</v>
      </c>
      <c r="D297" s="183">
        <v>1098</v>
      </c>
      <c r="E297" s="155">
        <v>0</v>
      </c>
      <c r="F297" s="155">
        <v>0</v>
      </c>
      <c r="G297" s="155">
        <v>0</v>
      </c>
      <c r="H297" s="155">
        <v>0</v>
      </c>
      <c r="I297" s="155">
        <v>0</v>
      </c>
      <c r="J297" s="155">
        <v>0</v>
      </c>
      <c r="K297" s="155">
        <v>0</v>
      </c>
      <c r="L297" s="184">
        <v>0</v>
      </c>
      <c r="M297" s="155">
        <v>0</v>
      </c>
      <c r="N297" s="155">
        <v>0</v>
      </c>
      <c r="O297" s="155">
        <v>0</v>
      </c>
      <c r="P297" s="158">
        <v>0</v>
      </c>
      <c r="Q297" s="158">
        <v>498</v>
      </c>
      <c r="R297" s="158">
        <v>600</v>
      </c>
      <c r="S297" s="158">
        <v>0</v>
      </c>
      <c r="T297" s="158">
        <v>0</v>
      </c>
      <c r="U297" s="194">
        <v>0</v>
      </c>
      <c r="V297" s="9"/>
      <c r="W297" s="9"/>
      <c r="X297" s="231" t="s">
        <v>231</v>
      </c>
    </row>
    <row r="298" spans="1:24" s="6" customFormat="1">
      <c r="A298" s="228"/>
      <c r="B298" s="20"/>
      <c r="C298" s="228"/>
      <c r="D298" s="244"/>
      <c r="E298" s="245"/>
      <c r="F298" s="245"/>
      <c r="G298" s="245"/>
      <c r="H298" s="245"/>
      <c r="I298" s="245"/>
      <c r="J298" s="245"/>
      <c r="K298" s="245"/>
      <c r="L298" s="246"/>
      <c r="M298" s="245"/>
      <c r="N298" s="245"/>
      <c r="O298" s="245"/>
      <c r="P298" s="247"/>
      <c r="Q298" s="247"/>
      <c r="R298" s="247"/>
      <c r="S298" s="247"/>
      <c r="T298" s="247"/>
      <c r="U298" s="248"/>
      <c r="V298" s="228"/>
      <c r="W298" s="20"/>
      <c r="X298" s="228"/>
    </row>
    <row r="299" spans="1:24" s="12" customFormat="1">
      <c r="A299" s="9" t="s">
        <v>87</v>
      </c>
      <c r="C299" s="231" t="s">
        <v>240</v>
      </c>
      <c r="D299" s="183">
        <v>0</v>
      </c>
      <c r="E299" s="155">
        <v>0</v>
      </c>
      <c r="F299" s="155">
        <v>0</v>
      </c>
      <c r="G299" s="155">
        <v>0</v>
      </c>
      <c r="H299" s="155">
        <v>0</v>
      </c>
      <c r="I299" s="155">
        <v>0</v>
      </c>
      <c r="J299" s="155">
        <v>0</v>
      </c>
      <c r="K299" s="155">
        <v>0</v>
      </c>
      <c r="L299" s="184">
        <v>0</v>
      </c>
      <c r="M299" s="155">
        <v>0</v>
      </c>
      <c r="N299" s="155">
        <v>0</v>
      </c>
      <c r="O299" s="155">
        <v>0</v>
      </c>
      <c r="P299" s="158">
        <v>0</v>
      </c>
      <c r="Q299" s="158">
        <v>0</v>
      </c>
      <c r="R299" s="158">
        <v>0</v>
      </c>
      <c r="S299" s="158">
        <v>0</v>
      </c>
      <c r="T299" s="158">
        <v>0</v>
      </c>
      <c r="U299" s="194">
        <v>0</v>
      </c>
      <c r="V299" s="9" t="s">
        <v>87</v>
      </c>
      <c r="X299" s="231" t="s">
        <v>240</v>
      </c>
    </row>
    <row r="300" spans="1:24" s="12" customFormat="1">
      <c r="A300" s="9"/>
      <c r="B300" s="9"/>
      <c r="C300" s="231" t="s">
        <v>230</v>
      </c>
      <c r="D300" s="183">
        <v>0</v>
      </c>
      <c r="E300" s="155">
        <v>0</v>
      </c>
      <c r="F300" s="155">
        <v>0</v>
      </c>
      <c r="G300" s="155">
        <v>0</v>
      </c>
      <c r="H300" s="155">
        <v>0</v>
      </c>
      <c r="I300" s="155">
        <v>0</v>
      </c>
      <c r="J300" s="155">
        <v>0</v>
      </c>
      <c r="K300" s="155">
        <v>0</v>
      </c>
      <c r="L300" s="184">
        <v>0</v>
      </c>
      <c r="M300" s="155">
        <v>0</v>
      </c>
      <c r="N300" s="155">
        <v>0</v>
      </c>
      <c r="O300" s="155">
        <v>0</v>
      </c>
      <c r="P300" s="158">
        <v>0</v>
      </c>
      <c r="Q300" s="158">
        <v>0</v>
      </c>
      <c r="R300" s="158">
        <v>0</v>
      </c>
      <c r="S300" s="158">
        <v>0</v>
      </c>
      <c r="T300" s="158">
        <v>0</v>
      </c>
      <c r="U300" s="194">
        <v>0</v>
      </c>
      <c r="V300" s="9"/>
      <c r="W300" s="9"/>
      <c r="X300" s="231" t="s">
        <v>230</v>
      </c>
    </row>
    <row r="301" spans="1:24" s="20" customFormat="1" ht="15" thickBot="1">
      <c r="A301" s="118"/>
      <c r="B301" s="118"/>
      <c r="C301" s="249" t="s">
        <v>231</v>
      </c>
      <c r="D301" s="197">
        <v>0</v>
      </c>
      <c r="E301" s="198">
        <v>0</v>
      </c>
      <c r="F301" s="198">
        <v>0</v>
      </c>
      <c r="G301" s="198">
        <v>0</v>
      </c>
      <c r="H301" s="198">
        <v>0</v>
      </c>
      <c r="I301" s="198">
        <v>0</v>
      </c>
      <c r="J301" s="198">
        <v>0</v>
      </c>
      <c r="K301" s="198">
        <v>0</v>
      </c>
      <c r="L301" s="250">
        <v>0</v>
      </c>
      <c r="M301" s="198">
        <v>0</v>
      </c>
      <c r="N301" s="198">
        <v>0</v>
      </c>
      <c r="O301" s="198">
        <v>0</v>
      </c>
      <c r="P301" s="200">
        <v>0</v>
      </c>
      <c r="Q301" s="200">
        <v>0</v>
      </c>
      <c r="R301" s="200">
        <v>0</v>
      </c>
      <c r="S301" s="200">
        <v>0</v>
      </c>
      <c r="T301" s="200">
        <v>0</v>
      </c>
      <c r="U301" s="201">
        <v>0</v>
      </c>
      <c r="V301" s="118"/>
      <c r="W301" s="118"/>
      <c r="X301" s="231" t="s">
        <v>231</v>
      </c>
    </row>
    <row r="302" spans="1:24" s="6" customFormat="1">
      <c r="A302" s="68"/>
      <c r="B302" s="68"/>
      <c r="C302" s="78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1"/>
      <c r="Q302" s="71"/>
      <c r="R302" s="71"/>
      <c r="S302" s="71"/>
      <c r="T302" s="71"/>
      <c r="U302" s="71"/>
      <c r="V302" s="68"/>
      <c r="W302" s="68"/>
      <c r="X302" s="77"/>
    </row>
    <row r="303" spans="1:24" s="6" customFormat="1">
      <c r="A303" s="72" t="s">
        <v>201</v>
      </c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</row>
    <row r="304" spans="1:24" s="6" customFormat="1">
      <c r="A304" s="72" t="s">
        <v>84</v>
      </c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</row>
    <row r="307" spans="1:24" s="6" customFormat="1" ht="18">
      <c r="A307" s="19" t="s">
        <v>102</v>
      </c>
    </row>
    <row r="308" spans="1:24" s="6" customFormat="1" ht="15" thickBo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25"/>
    </row>
    <row r="309" spans="1:24" s="6" customFormat="1" ht="33" customHeight="1">
      <c r="A309" s="304" t="s">
        <v>61</v>
      </c>
      <c r="B309" s="304"/>
      <c r="C309" s="304"/>
      <c r="D309" s="82" t="s">
        <v>79</v>
      </c>
      <c r="E309" s="83" t="s">
        <v>78</v>
      </c>
      <c r="F309" s="83" t="s">
        <v>77</v>
      </c>
      <c r="G309" s="83" t="s">
        <v>76</v>
      </c>
      <c r="H309" s="83" t="s">
        <v>75</v>
      </c>
      <c r="I309" s="83" t="s">
        <v>74</v>
      </c>
      <c r="J309" s="83" t="s">
        <v>73</v>
      </c>
      <c r="K309" s="83" t="s">
        <v>72</v>
      </c>
      <c r="L309" s="83" t="s">
        <v>71</v>
      </c>
      <c r="M309" s="83" t="s">
        <v>70</v>
      </c>
      <c r="N309" s="83" t="s">
        <v>69</v>
      </c>
      <c r="O309" s="83" t="s">
        <v>68</v>
      </c>
      <c r="P309" s="83" t="s">
        <v>67</v>
      </c>
      <c r="Q309" s="83" t="s">
        <v>66</v>
      </c>
      <c r="R309" s="83" t="s">
        <v>65</v>
      </c>
      <c r="S309" s="83" t="s">
        <v>64</v>
      </c>
      <c r="T309" s="83" t="s">
        <v>63</v>
      </c>
      <c r="U309" s="84" t="s">
        <v>62</v>
      </c>
      <c r="V309" s="306" t="s">
        <v>61</v>
      </c>
      <c r="W309" s="304"/>
      <c r="X309" s="304"/>
    </row>
    <row r="310" spans="1:24" s="6" customFormat="1">
      <c r="A310" s="305"/>
      <c r="B310" s="305"/>
      <c r="C310" s="305"/>
      <c r="D310" s="85" t="s">
        <v>22</v>
      </c>
      <c r="E310" s="14" t="s">
        <v>60</v>
      </c>
      <c r="F310" s="14" t="s">
        <v>59</v>
      </c>
      <c r="G310" s="14" t="s">
        <v>58</v>
      </c>
      <c r="H310" s="14" t="s">
        <v>57</v>
      </c>
      <c r="I310" s="14" t="s">
        <v>56</v>
      </c>
      <c r="J310" s="14" t="s">
        <v>55</v>
      </c>
      <c r="K310" s="14" t="s">
        <v>54</v>
      </c>
      <c r="L310" s="14" t="s">
        <v>53</v>
      </c>
      <c r="M310" s="14" t="s">
        <v>52</v>
      </c>
      <c r="N310" s="14" t="s">
        <v>51</v>
      </c>
      <c r="O310" s="14" t="s">
        <v>50</v>
      </c>
      <c r="P310" s="14" t="s">
        <v>49</v>
      </c>
      <c r="Q310" s="14" t="s">
        <v>48</v>
      </c>
      <c r="R310" s="14" t="s">
        <v>47</v>
      </c>
      <c r="S310" s="14" t="s">
        <v>46</v>
      </c>
      <c r="T310" s="14" t="s">
        <v>45</v>
      </c>
      <c r="U310" s="13" t="s">
        <v>44</v>
      </c>
      <c r="V310" s="307"/>
      <c r="W310" s="305"/>
      <c r="X310" s="305"/>
    </row>
    <row r="311" spans="1:24" s="12" customFormat="1" ht="15.75" customHeight="1">
      <c r="A311" s="310" t="s">
        <v>225</v>
      </c>
      <c r="B311" s="310"/>
      <c r="C311" s="311"/>
      <c r="D311" s="88">
        <v>689956.56269399996</v>
      </c>
      <c r="E311" s="89">
        <v>76527.261771215519</v>
      </c>
      <c r="F311" s="89">
        <v>38859.98155676703</v>
      </c>
      <c r="G311" s="89">
        <v>32521.187877334196</v>
      </c>
      <c r="H311" s="89">
        <v>46095.182856531013</v>
      </c>
      <c r="I311" s="89">
        <v>18844.791688697318</v>
      </c>
      <c r="J311" s="89">
        <v>17661.135901629368</v>
      </c>
      <c r="K311" s="89">
        <v>15625.057369761869</v>
      </c>
      <c r="L311" s="89">
        <v>4496.4695600325394</v>
      </c>
      <c r="M311" s="89">
        <v>168269.35462407189</v>
      </c>
      <c r="N311" s="89">
        <v>25874.361969100162</v>
      </c>
      <c r="O311" s="89">
        <v>26419.235835379084</v>
      </c>
      <c r="P311" s="90">
        <v>36114.206712947358</v>
      </c>
      <c r="Q311" s="90">
        <v>30216.090389311255</v>
      </c>
      <c r="R311" s="90">
        <v>37059.639861735959</v>
      </c>
      <c r="S311" s="90">
        <v>46416.679843147998</v>
      </c>
      <c r="T311" s="90">
        <v>51665.380539822603</v>
      </c>
      <c r="U311" s="91">
        <v>17290.544336514813</v>
      </c>
      <c r="V311" s="312" t="s">
        <v>225</v>
      </c>
      <c r="W311" s="310"/>
      <c r="X311" s="310"/>
    </row>
    <row r="312" spans="1:24" s="9" customFormat="1" ht="15.75" customHeight="1" thickBot="1">
      <c r="A312" s="309" t="s">
        <v>250</v>
      </c>
      <c r="B312" s="309"/>
      <c r="C312" s="313"/>
      <c r="D312" s="119">
        <v>1237630</v>
      </c>
      <c r="E312" s="120">
        <v>137273.04022748317</v>
      </c>
      <c r="F312" s="120">
        <v>69706.241776022798</v>
      </c>
      <c r="G312" s="120">
        <v>58335.843049986164</v>
      </c>
      <c r="H312" s="120">
        <v>82684.598195538827</v>
      </c>
      <c r="I312" s="120">
        <v>33803.402704970431</v>
      </c>
      <c r="J312" s="120">
        <v>31680.185112794839</v>
      </c>
      <c r="K312" s="120">
        <v>28027.908999127714</v>
      </c>
      <c r="L312" s="120">
        <v>8065.6753228843036</v>
      </c>
      <c r="M312" s="120">
        <v>301838.13391126849</v>
      </c>
      <c r="N312" s="120">
        <v>46412.9023989294</v>
      </c>
      <c r="O312" s="120">
        <v>47390.28601926878</v>
      </c>
      <c r="P312" s="121">
        <v>64780.92690302882</v>
      </c>
      <c r="Q312" s="121">
        <v>54201.00622350163</v>
      </c>
      <c r="R312" s="121">
        <v>66476.825588833759</v>
      </c>
      <c r="S312" s="121">
        <v>83261.292928310329</v>
      </c>
      <c r="T312" s="121">
        <v>92676.305110905349</v>
      </c>
      <c r="U312" s="122">
        <v>31015.42552714518</v>
      </c>
      <c r="V312" s="308" t="s">
        <v>250</v>
      </c>
      <c r="W312" s="309"/>
      <c r="X312" s="309"/>
    </row>
    <row r="313" spans="1:24" s="6" customForma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</row>
    <row r="314" spans="1:24" s="6" customFormat="1">
      <c r="A314" s="72" t="s">
        <v>202</v>
      </c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</row>
    <row r="315" spans="1:24" s="20" customFormat="1">
      <c r="A315" s="72" t="s">
        <v>203</v>
      </c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</row>
    <row r="318" spans="1:24" s="6" customFormat="1" ht="18">
      <c r="A318" s="19" t="s">
        <v>101</v>
      </c>
      <c r="B318" s="26"/>
      <c r="C318" s="12"/>
      <c r="X318" s="12"/>
    </row>
    <row r="319" spans="1:24" s="6" customFormat="1" ht="15" thickBot="1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27" t="s">
        <v>100</v>
      </c>
    </row>
    <row r="320" spans="1:24" s="6" customFormat="1" ht="33" customHeight="1">
      <c r="A320" s="304" t="s">
        <v>61</v>
      </c>
      <c r="B320" s="304"/>
      <c r="C320" s="304"/>
      <c r="D320" s="82" t="s">
        <v>79</v>
      </c>
      <c r="E320" s="83" t="s">
        <v>78</v>
      </c>
      <c r="F320" s="83" t="s">
        <v>77</v>
      </c>
      <c r="G320" s="83" t="s">
        <v>76</v>
      </c>
      <c r="H320" s="83" t="s">
        <v>75</v>
      </c>
      <c r="I320" s="83" t="s">
        <v>74</v>
      </c>
      <c r="J320" s="83" t="s">
        <v>73</v>
      </c>
      <c r="K320" s="83" t="s">
        <v>72</v>
      </c>
      <c r="L320" s="83" t="s">
        <v>71</v>
      </c>
      <c r="M320" s="83" t="s">
        <v>70</v>
      </c>
      <c r="N320" s="83" t="s">
        <v>69</v>
      </c>
      <c r="O320" s="83" t="s">
        <v>68</v>
      </c>
      <c r="P320" s="83" t="s">
        <v>67</v>
      </c>
      <c r="Q320" s="83" t="s">
        <v>66</v>
      </c>
      <c r="R320" s="83" t="s">
        <v>65</v>
      </c>
      <c r="S320" s="83" t="s">
        <v>64</v>
      </c>
      <c r="T320" s="83" t="s">
        <v>63</v>
      </c>
      <c r="U320" s="84" t="s">
        <v>62</v>
      </c>
      <c r="V320" s="306" t="s">
        <v>61</v>
      </c>
      <c r="W320" s="304"/>
      <c r="X320" s="304"/>
    </row>
    <row r="321" spans="1:24" s="6" customFormat="1">
      <c r="A321" s="305"/>
      <c r="B321" s="305"/>
      <c r="C321" s="305"/>
      <c r="D321" s="85" t="s">
        <v>22</v>
      </c>
      <c r="E321" s="14" t="s">
        <v>60</v>
      </c>
      <c r="F321" s="14" t="s">
        <v>59</v>
      </c>
      <c r="G321" s="14" t="s">
        <v>58</v>
      </c>
      <c r="H321" s="14" t="s">
        <v>57</v>
      </c>
      <c r="I321" s="14" t="s">
        <v>56</v>
      </c>
      <c r="J321" s="14" t="s">
        <v>55</v>
      </c>
      <c r="K321" s="14" t="s">
        <v>54</v>
      </c>
      <c r="L321" s="14" t="s">
        <v>53</v>
      </c>
      <c r="M321" s="14" t="s">
        <v>52</v>
      </c>
      <c r="N321" s="14" t="s">
        <v>51</v>
      </c>
      <c r="O321" s="14" t="s">
        <v>50</v>
      </c>
      <c r="P321" s="14" t="s">
        <v>49</v>
      </c>
      <c r="Q321" s="14" t="s">
        <v>48</v>
      </c>
      <c r="R321" s="14" t="s">
        <v>47</v>
      </c>
      <c r="S321" s="14" t="s">
        <v>46</v>
      </c>
      <c r="T321" s="14" t="s">
        <v>45</v>
      </c>
      <c r="U321" s="13" t="s">
        <v>44</v>
      </c>
      <c r="V321" s="307"/>
      <c r="W321" s="305"/>
      <c r="X321" s="305"/>
    </row>
    <row r="322" spans="1:24" s="12" customFormat="1">
      <c r="A322" s="86" t="s">
        <v>225</v>
      </c>
      <c r="B322" s="87"/>
      <c r="C322" s="87"/>
      <c r="D322" s="88">
        <v>237346.16537214434</v>
      </c>
      <c r="E322" s="89">
        <v>0</v>
      </c>
      <c r="F322" s="89">
        <v>7174.02</v>
      </c>
      <c r="G322" s="89">
        <v>22442.664549999998</v>
      </c>
      <c r="H322" s="89">
        <v>49200.219999999994</v>
      </c>
      <c r="I322" s="89">
        <v>0</v>
      </c>
      <c r="J322" s="89">
        <v>0</v>
      </c>
      <c r="K322" s="89">
        <v>32065.3</v>
      </c>
      <c r="L322" s="89">
        <v>0</v>
      </c>
      <c r="M322" s="89">
        <v>34679.563257449794</v>
      </c>
      <c r="N322" s="89">
        <v>3109.7349787499998</v>
      </c>
      <c r="O322" s="89">
        <v>0</v>
      </c>
      <c r="P322" s="90">
        <v>77907.132031675996</v>
      </c>
      <c r="Q322" s="90">
        <v>4139.8930754762687</v>
      </c>
      <c r="R322" s="90">
        <v>4049.9249884199994</v>
      </c>
      <c r="S322" s="90">
        <v>523.58399999999995</v>
      </c>
      <c r="T322" s="90">
        <v>0</v>
      </c>
      <c r="U322" s="91">
        <v>2054.1284903722631</v>
      </c>
      <c r="V322" s="86" t="s">
        <v>226</v>
      </c>
      <c r="W322" s="87"/>
      <c r="X322" s="87"/>
    </row>
    <row r="323" spans="1:24" s="12" customFormat="1">
      <c r="A323" s="86" t="s">
        <v>236</v>
      </c>
      <c r="B323" s="87"/>
      <c r="C323" s="87"/>
      <c r="D323" s="88">
        <v>99242.155493209269</v>
      </c>
      <c r="E323" s="89">
        <v>0</v>
      </c>
      <c r="F323" s="89">
        <v>0</v>
      </c>
      <c r="G323" s="89">
        <v>14618.7492897148</v>
      </c>
      <c r="H323" s="89">
        <v>652.65840000000003</v>
      </c>
      <c r="I323" s="89">
        <v>0</v>
      </c>
      <c r="J323" s="89">
        <v>0</v>
      </c>
      <c r="K323" s="89">
        <v>0</v>
      </c>
      <c r="L323" s="89">
        <v>0</v>
      </c>
      <c r="M323" s="89">
        <v>24379.645621830001</v>
      </c>
      <c r="N323" s="89">
        <v>12627.86375</v>
      </c>
      <c r="O323" s="89">
        <v>0</v>
      </c>
      <c r="P323" s="90">
        <v>3703.9062520000002</v>
      </c>
      <c r="Q323" s="90">
        <v>19436.1177252407</v>
      </c>
      <c r="R323" s="90">
        <v>19013.732339999999</v>
      </c>
      <c r="S323" s="90">
        <v>0</v>
      </c>
      <c r="T323" s="90">
        <v>0</v>
      </c>
      <c r="U323" s="91">
        <v>4809.4821144237703</v>
      </c>
      <c r="V323" s="86" t="s">
        <v>237</v>
      </c>
      <c r="W323" s="87"/>
      <c r="X323" s="87"/>
    </row>
    <row r="324" spans="1:24" s="12" customFormat="1">
      <c r="A324" s="86" t="s">
        <v>248</v>
      </c>
      <c r="B324" s="86"/>
      <c r="C324" s="87"/>
      <c r="D324" s="88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90"/>
      <c r="Q324" s="90"/>
      <c r="R324" s="90"/>
      <c r="S324" s="90"/>
      <c r="T324" s="90"/>
      <c r="U324" s="91"/>
      <c r="V324" s="86" t="s">
        <v>249</v>
      </c>
      <c r="W324" s="86"/>
      <c r="X324" s="87"/>
    </row>
    <row r="325" spans="1:24" s="12" customFormat="1">
      <c r="A325" s="220"/>
      <c r="B325" s="220" t="s">
        <v>85</v>
      </c>
      <c r="C325" s="221"/>
      <c r="D325" s="225">
        <v>83668.861936064117</v>
      </c>
      <c r="E325" s="226">
        <v>0</v>
      </c>
      <c r="F325" s="226">
        <v>0</v>
      </c>
      <c r="G325" s="226">
        <v>4500</v>
      </c>
      <c r="H325" s="226">
        <v>12600</v>
      </c>
      <c r="I325" s="226">
        <v>0</v>
      </c>
      <c r="J325" s="226">
        <v>0</v>
      </c>
      <c r="K325" s="226">
        <v>0</v>
      </c>
      <c r="L325" s="226">
        <v>0</v>
      </c>
      <c r="M325" s="226">
        <v>4094.6400280565854</v>
      </c>
      <c r="N325" s="226">
        <v>11674.693426085149</v>
      </c>
      <c r="O325" s="226">
        <v>0</v>
      </c>
      <c r="P325" s="226">
        <v>40000</v>
      </c>
      <c r="Q325" s="226">
        <v>5000</v>
      </c>
      <c r="R325" s="226">
        <v>3903.9196763893797</v>
      </c>
      <c r="S325" s="226">
        <v>0</v>
      </c>
      <c r="T325" s="226">
        <v>0</v>
      </c>
      <c r="U325" s="227">
        <v>1895.6088055329899</v>
      </c>
      <c r="V325" s="220"/>
      <c r="W325" s="220" t="s">
        <v>85</v>
      </c>
      <c r="X325" s="221"/>
    </row>
    <row r="326" spans="1:24" s="12" customFormat="1">
      <c r="A326" s="220"/>
      <c r="B326" s="220" t="s">
        <v>87</v>
      </c>
      <c r="C326" s="221"/>
      <c r="D326" s="225">
        <v>437.58</v>
      </c>
      <c r="E326" s="251">
        <v>0</v>
      </c>
      <c r="F326" s="251">
        <v>30</v>
      </c>
      <c r="G326" s="251">
        <v>67.63</v>
      </c>
      <c r="H326" s="251">
        <v>85</v>
      </c>
      <c r="I326" s="251">
        <v>0</v>
      </c>
      <c r="J326" s="226">
        <v>0</v>
      </c>
      <c r="K326" s="226">
        <v>50</v>
      </c>
      <c r="L326" s="226">
        <v>0</v>
      </c>
      <c r="M326" s="226">
        <v>156.9</v>
      </c>
      <c r="N326" s="226">
        <v>2.5499999999999998</v>
      </c>
      <c r="O326" s="226">
        <v>0</v>
      </c>
      <c r="P326" s="226">
        <v>2</v>
      </c>
      <c r="Q326" s="226">
        <v>0</v>
      </c>
      <c r="R326" s="226">
        <v>3</v>
      </c>
      <c r="S326" s="226">
        <v>38</v>
      </c>
      <c r="T326" s="226">
        <v>0</v>
      </c>
      <c r="U326" s="227">
        <v>2.5</v>
      </c>
      <c r="V326" s="220"/>
      <c r="W326" s="220" t="s">
        <v>87</v>
      </c>
      <c r="X326" s="221"/>
    </row>
    <row r="327" spans="1:24" s="12" customFormat="1">
      <c r="A327" s="9"/>
      <c r="B327" s="9"/>
      <c r="C327" s="243"/>
      <c r="D327" s="103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7"/>
      <c r="Q327" s="107"/>
      <c r="R327" s="107"/>
      <c r="S327" s="107"/>
      <c r="T327" s="107"/>
      <c r="U327" s="108"/>
      <c r="V327" s="9"/>
      <c r="W327" s="9"/>
      <c r="X327" s="243"/>
    </row>
    <row r="328" spans="1:24" s="12" customFormat="1">
      <c r="A328" s="86" t="s">
        <v>86</v>
      </c>
      <c r="B328" s="86"/>
      <c r="C328" s="230"/>
      <c r="D328" s="88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90"/>
      <c r="Q328" s="90"/>
      <c r="R328" s="90"/>
      <c r="S328" s="90"/>
      <c r="T328" s="90"/>
      <c r="U328" s="91"/>
      <c r="V328" s="86" t="s">
        <v>86</v>
      </c>
      <c r="W328" s="86"/>
      <c r="X328" s="230"/>
    </row>
    <row r="329" spans="1:24" s="12" customFormat="1">
      <c r="A329" s="9" t="s">
        <v>85</v>
      </c>
      <c r="C329" s="231" t="s">
        <v>229</v>
      </c>
      <c r="D329" s="103">
        <v>44600</v>
      </c>
      <c r="E329" s="104">
        <v>0</v>
      </c>
      <c r="F329" s="104">
        <v>0</v>
      </c>
      <c r="G329" s="104">
        <v>0</v>
      </c>
      <c r="H329" s="104">
        <v>4600</v>
      </c>
      <c r="I329" s="104">
        <v>0</v>
      </c>
      <c r="J329" s="104">
        <v>0</v>
      </c>
      <c r="K329" s="104">
        <v>0</v>
      </c>
      <c r="L329" s="104">
        <v>0</v>
      </c>
      <c r="M329" s="104">
        <v>0</v>
      </c>
      <c r="N329" s="104">
        <v>0</v>
      </c>
      <c r="O329" s="104">
        <v>0</v>
      </c>
      <c r="P329" s="104">
        <v>40000</v>
      </c>
      <c r="Q329" s="104">
        <v>0</v>
      </c>
      <c r="R329" s="104">
        <v>0</v>
      </c>
      <c r="S329" s="107">
        <v>0</v>
      </c>
      <c r="T329" s="107">
        <v>0</v>
      </c>
      <c r="U329" s="108">
        <v>0</v>
      </c>
      <c r="V329" s="9" t="s">
        <v>85</v>
      </c>
      <c r="X329" s="231" t="s">
        <v>240</v>
      </c>
    </row>
    <row r="330" spans="1:24" s="12" customFormat="1">
      <c r="A330" s="9"/>
      <c r="B330" s="9"/>
      <c r="C330" s="231" t="s">
        <v>230</v>
      </c>
      <c r="D330" s="103">
        <v>6548.9403976892254</v>
      </c>
      <c r="E330" s="104">
        <v>0</v>
      </c>
      <c r="F330" s="104">
        <v>0</v>
      </c>
      <c r="G330" s="104">
        <v>0</v>
      </c>
      <c r="H330" s="104">
        <v>0</v>
      </c>
      <c r="I330" s="104">
        <v>0</v>
      </c>
      <c r="J330" s="104">
        <v>0</v>
      </c>
      <c r="K330" s="104">
        <v>0</v>
      </c>
      <c r="L330" s="104">
        <v>0</v>
      </c>
      <c r="M330" s="104">
        <v>0</v>
      </c>
      <c r="N330" s="104">
        <v>951.16777932160039</v>
      </c>
      <c r="O330" s="104">
        <v>0</v>
      </c>
      <c r="P330" s="107">
        <v>0</v>
      </c>
      <c r="Q330" s="107">
        <v>5000</v>
      </c>
      <c r="R330" s="107">
        <v>597.77261836762477</v>
      </c>
      <c r="S330" s="107">
        <v>0</v>
      </c>
      <c r="T330" s="107">
        <v>0</v>
      </c>
      <c r="U330" s="108">
        <v>0</v>
      </c>
      <c r="V330" s="9"/>
      <c r="W330" s="9"/>
      <c r="X330" s="231" t="s">
        <v>230</v>
      </c>
    </row>
    <row r="331" spans="1:24" s="12" customFormat="1">
      <c r="A331" s="9"/>
      <c r="B331" s="9"/>
      <c r="C331" s="231" t="s">
        <v>231</v>
      </c>
      <c r="D331" s="103">
        <v>0</v>
      </c>
      <c r="E331" s="104">
        <v>0</v>
      </c>
      <c r="F331" s="104">
        <v>0</v>
      </c>
      <c r="G331" s="104">
        <v>0</v>
      </c>
      <c r="H331" s="104">
        <v>0</v>
      </c>
      <c r="I331" s="104">
        <v>0</v>
      </c>
      <c r="J331" s="104">
        <v>0</v>
      </c>
      <c r="K331" s="104">
        <v>0</v>
      </c>
      <c r="L331" s="104">
        <v>0</v>
      </c>
      <c r="M331" s="104">
        <v>0</v>
      </c>
      <c r="N331" s="104">
        <v>0</v>
      </c>
      <c r="O331" s="104">
        <v>0</v>
      </c>
      <c r="P331" s="107">
        <v>0</v>
      </c>
      <c r="Q331" s="107">
        <v>0</v>
      </c>
      <c r="R331" s="107">
        <v>0</v>
      </c>
      <c r="S331" s="107">
        <v>0</v>
      </c>
      <c r="T331" s="107">
        <v>0</v>
      </c>
      <c r="U331" s="108">
        <v>0</v>
      </c>
      <c r="V331" s="9"/>
      <c r="W331" s="9"/>
      <c r="X331" s="231" t="s">
        <v>231</v>
      </c>
    </row>
    <row r="332" spans="1:24" s="12" customFormat="1">
      <c r="A332" s="9"/>
      <c r="C332" s="9"/>
      <c r="D332" s="115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3"/>
      <c r="Q332" s="113"/>
      <c r="R332" s="113"/>
      <c r="S332" s="113"/>
      <c r="T332" s="113"/>
      <c r="U332" s="114"/>
      <c r="V332" s="9"/>
      <c r="X332" s="9"/>
    </row>
    <row r="333" spans="1:24" s="12" customFormat="1">
      <c r="A333" s="9" t="s">
        <v>87</v>
      </c>
      <c r="C333" s="231" t="s">
        <v>240</v>
      </c>
      <c r="D333" s="103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7">
        <v>0</v>
      </c>
      <c r="U333" s="108">
        <v>0</v>
      </c>
      <c r="V333" s="9" t="s">
        <v>87</v>
      </c>
      <c r="X333" s="231" t="s">
        <v>240</v>
      </c>
    </row>
    <row r="334" spans="1:24" s="12" customFormat="1">
      <c r="A334" s="9"/>
      <c r="B334" s="9"/>
      <c r="C334" s="231" t="s">
        <v>230</v>
      </c>
      <c r="D334" s="115">
        <v>48</v>
      </c>
      <c r="E334" s="110">
        <v>0</v>
      </c>
      <c r="F334" s="110">
        <v>0</v>
      </c>
      <c r="G334" s="110">
        <v>0</v>
      </c>
      <c r="H334" s="110">
        <v>45</v>
      </c>
      <c r="I334" s="110">
        <v>0</v>
      </c>
      <c r="J334" s="110">
        <v>0</v>
      </c>
      <c r="K334" s="110">
        <v>0</v>
      </c>
      <c r="L334" s="110">
        <v>0</v>
      </c>
      <c r="M334" s="110">
        <v>0</v>
      </c>
      <c r="N334" s="110">
        <v>0</v>
      </c>
      <c r="O334" s="110">
        <v>0</v>
      </c>
      <c r="P334" s="113">
        <v>0</v>
      </c>
      <c r="Q334" s="113">
        <v>0</v>
      </c>
      <c r="R334" s="113">
        <v>0</v>
      </c>
      <c r="S334" s="113">
        <v>3</v>
      </c>
      <c r="T334" s="113">
        <v>0</v>
      </c>
      <c r="U334" s="114">
        <v>0</v>
      </c>
      <c r="V334" s="9"/>
      <c r="W334" s="9"/>
      <c r="X334" s="231" t="s">
        <v>230</v>
      </c>
    </row>
    <row r="335" spans="1:24" s="12" customFormat="1" ht="15" thickBot="1">
      <c r="A335" s="9"/>
      <c r="B335" s="9"/>
      <c r="C335" s="231" t="s">
        <v>231</v>
      </c>
      <c r="D335" s="115">
        <v>50</v>
      </c>
      <c r="E335" s="110">
        <v>0</v>
      </c>
      <c r="F335" s="110">
        <v>0</v>
      </c>
      <c r="G335" s="110">
        <v>0</v>
      </c>
      <c r="H335" s="110">
        <v>0</v>
      </c>
      <c r="I335" s="110">
        <v>0</v>
      </c>
      <c r="J335" s="110">
        <v>0</v>
      </c>
      <c r="K335" s="110">
        <v>50</v>
      </c>
      <c r="L335" s="110">
        <v>0</v>
      </c>
      <c r="M335" s="110">
        <v>0</v>
      </c>
      <c r="N335" s="110">
        <v>0</v>
      </c>
      <c r="O335" s="110">
        <v>0</v>
      </c>
      <c r="P335" s="113">
        <v>0</v>
      </c>
      <c r="Q335" s="113">
        <v>0</v>
      </c>
      <c r="R335" s="113">
        <v>0</v>
      </c>
      <c r="S335" s="113">
        <v>0</v>
      </c>
      <c r="T335" s="113">
        <v>0</v>
      </c>
      <c r="U335" s="114">
        <v>0</v>
      </c>
      <c r="V335" s="9"/>
      <c r="W335" s="9"/>
      <c r="X335" s="231" t="s">
        <v>231</v>
      </c>
    </row>
    <row r="336" spans="1:24" s="6" customForma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</row>
    <row r="337" spans="1:24" s="6" customFormat="1">
      <c r="A337" s="72" t="s">
        <v>204</v>
      </c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</row>
    <row r="338" spans="1:24" s="6" customFormat="1">
      <c r="A338" s="72" t="s">
        <v>84</v>
      </c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</row>
    <row r="339" spans="1:24" s="6" customFormat="1">
      <c r="A339" s="72" t="s">
        <v>91</v>
      </c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</row>
    <row r="342" spans="1:24" s="6" customFormat="1" ht="18">
      <c r="A342" s="19" t="s">
        <v>99</v>
      </c>
    </row>
    <row r="343" spans="1:24" s="6" customFormat="1" ht="15.75" customHeight="1" thickBo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25"/>
    </row>
    <row r="344" spans="1:24" s="6" customFormat="1" ht="15.75" customHeight="1">
      <c r="A344" s="304" t="s">
        <v>61</v>
      </c>
      <c r="B344" s="304"/>
      <c r="C344" s="304"/>
      <c r="D344" s="82" t="s">
        <v>79</v>
      </c>
      <c r="E344" s="83" t="s">
        <v>78</v>
      </c>
      <c r="F344" s="83" t="s">
        <v>77</v>
      </c>
      <c r="G344" s="83" t="s">
        <v>76</v>
      </c>
      <c r="H344" s="83" t="s">
        <v>75</v>
      </c>
      <c r="I344" s="83" t="s">
        <v>74</v>
      </c>
      <c r="J344" s="83" t="s">
        <v>73</v>
      </c>
      <c r="K344" s="83" t="s">
        <v>72</v>
      </c>
      <c r="L344" s="83" t="s">
        <v>71</v>
      </c>
      <c r="M344" s="83" t="s">
        <v>70</v>
      </c>
      <c r="N344" s="83" t="s">
        <v>69</v>
      </c>
      <c r="O344" s="83" t="s">
        <v>68</v>
      </c>
      <c r="P344" s="83" t="s">
        <v>67</v>
      </c>
      <c r="Q344" s="83" t="s">
        <v>66</v>
      </c>
      <c r="R344" s="83" t="s">
        <v>65</v>
      </c>
      <c r="S344" s="83" t="s">
        <v>64</v>
      </c>
      <c r="T344" s="83" t="s">
        <v>63</v>
      </c>
      <c r="U344" s="84" t="s">
        <v>62</v>
      </c>
      <c r="V344" s="306" t="s">
        <v>61</v>
      </c>
      <c r="W344" s="304"/>
      <c r="X344" s="314"/>
    </row>
    <row r="345" spans="1:24" s="6" customFormat="1" ht="15.75" customHeight="1">
      <c r="A345" s="305"/>
      <c r="B345" s="305"/>
      <c r="C345" s="305"/>
      <c r="D345" s="85" t="s">
        <v>22</v>
      </c>
      <c r="E345" s="14" t="s">
        <v>60</v>
      </c>
      <c r="F345" s="14" t="s">
        <v>59</v>
      </c>
      <c r="G345" s="14" t="s">
        <v>58</v>
      </c>
      <c r="H345" s="14" t="s">
        <v>57</v>
      </c>
      <c r="I345" s="14" t="s">
        <v>56</v>
      </c>
      <c r="J345" s="14" t="s">
        <v>55</v>
      </c>
      <c r="K345" s="14" t="s">
        <v>54</v>
      </c>
      <c r="L345" s="14" t="s">
        <v>53</v>
      </c>
      <c r="M345" s="14" t="s">
        <v>52</v>
      </c>
      <c r="N345" s="14" t="s">
        <v>51</v>
      </c>
      <c r="O345" s="14" t="s">
        <v>50</v>
      </c>
      <c r="P345" s="14" t="s">
        <v>49</v>
      </c>
      <c r="Q345" s="14" t="s">
        <v>48</v>
      </c>
      <c r="R345" s="14" t="s">
        <v>47</v>
      </c>
      <c r="S345" s="14" t="s">
        <v>46</v>
      </c>
      <c r="T345" s="14" t="s">
        <v>45</v>
      </c>
      <c r="U345" s="13" t="s">
        <v>44</v>
      </c>
      <c r="V345" s="307"/>
      <c r="W345" s="305"/>
      <c r="X345" s="315"/>
    </row>
    <row r="346" spans="1:24" s="12" customFormat="1" ht="15.75" customHeight="1">
      <c r="A346" s="310" t="s">
        <v>225</v>
      </c>
      <c r="B346" s="310"/>
      <c r="C346" s="311"/>
      <c r="D346" s="88">
        <v>10857.997847917708</v>
      </c>
      <c r="E346" s="89">
        <v>1788.3690664676726</v>
      </c>
      <c r="F346" s="89">
        <v>677.21572688204367</v>
      </c>
      <c r="G346" s="89">
        <v>443.1358820961683</v>
      </c>
      <c r="H346" s="89">
        <v>453.57438464312548</v>
      </c>
      <c r="I346" s="89">
        <v>301.14364882043571</v>
      </c>
      <c r="J346" s="89">
        <v>330.02827230653645</v>
      </c>
      <c r="K346" s="89">
        <v>313.72704915101423</v>
      </c>
      <c r="L346" s="89">
        <v>54.194417332832451</v>
      </c>
      <c r="M346" s="89">
        <v>2267.7289300300531</v>
      </c>
      <c r="N346" s="89">
        <v>543.94607792637123</v>
      </c>
      <c r="O346" s="89">
        <v>441.84894342599546</v>
      </c>
      <c r="P346" s="90">
        <v>499.76118358377153</v>
      </c>
      <c r="Q346" s="90">
        <v>360.77180720510898</v>
      </c>
      <c r="R346" s="90">
        <v>439.70404564237413</v>
      </c>
      <c r="S346" s="90">
        <v>763.583610969196</v>
      </c>
      <c r="T346" s="90">
        <v>938.0352973703981</v>
      </c>
      <c r="U346" s="91">
        <v>241.22950406461311</v>
      </c>
      <c r="V346" s="86" t="s">
        <v>225</v>
      </c>
      <c r="W346" s="87"/>
      <c r="X346" s="87"/>
    </row>
    <row r="347" spans="1:24" s="12" customFormat="1" ht="15.75" customHeight="1" thickBot="1">
      <c r="A347" s="309" t="s">
        <v>251</v>
      </c>
      <c r="B347" s="309"/>
      <c r="C347" s="313"/>
      <c r="D347" s="119">
        <v>25852.375828375501</v>
      </c>
      <c r="E347" s="120">
        <v>4258.0215868277928</v>
      </c>
      <c r="F347" s="120">
        <v>1612.4183973381989</v>
      </c>
      <c r="G347" s="120">
        <v>1055.0854335623055</v>
      </c>
      <c r="H347" s="120">
        <v>1079.9390110550607</v>
      </c>
      <c r="I347" s="120">
        <v>717.00868766770418</v>
      </c>
      <c r="J347" s="120">
        <v>785.78160072984861</v>
      </c>
      <c r="K347" s="120">
        <v>746.96916464527214</v>
      </c>
      <c r="L347" s="120">
        <v>129.03432698293443</v>
      </c>
      <c r="M347" s="120">
        <v>5399.35459530965</v>
      </c>
      <c r="N347" s="120">
        <v>1295.1097093485027</v>
      </c>
      <c r="O347" s="120">
        <v>1052.0212938714178</v>
      </c>
      <c r="P347" s="121">
        <v>1189.9075799613609</v>
      </c>
      <c r="Q347" s="121">
        <v>858.98049334549751</v>
      </c>
      <c r="R347" s="121">
        <v>1046.9143943866052</v>
      </c>
      <c r="S347" s="121">
        <v>1818.0562165933245</v>
      </c>
      <c r="T347" s="121">
        <v>2233.4173746914248</v>
      </c>
      <c r="U347" s="122">
        <v>574.35596205860259</v>
      </c>
      <c r="V347" s="308" t="s">
        <v>252</v>
      </c>
      <c r="W347" s="309"/>
      <c r="X347" s="309"/>
    </row>
    <row r="348" spans="1:24" s="6" customFormat="1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</row>
    <row r="349" spans="1:24" s="7" customFormat="1" ht="15.75" customHeight="1">
      <c r="A349" s="72" t="s">
        <v>205</v>
      </c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</row>
    <row r="350" spans="1:24" s="7" customFormat="1" ht="15.75" customHeight="1">
      <c r="A350" s="72" t="s">
        <v>206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</row>
    <row r="351" spans="1:24">
      <c r="A351" s="72" t="s">
        <v>207</v>
      </c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</row>
    <row r="353" spans="1:24" s="6" customFormat="1" ht="18">
      <c r="A353" s="19" t="s">
        <v>98</v>
      </c>
      <c r="B353" s="26"/>
      <c r="C353" s="12"/>
      <c r="X353" s="12"/>
    </row>
    <row r="354" spans="1:24" s="6" customFormat="1" ht="15" thickBot="1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27"/>
    </row>
    <row r="355" spans="1:24" s="6" customFormat="1" ht="33" customHeight="1">
      <c r="A355" s="304" t="s">
        <v>61</v>
      </c>
      <c r="B355" s="304"/>
      <c r="C355" s="304"/>
      <c r="D355" s="82" t="s">
        <v>79</v>
      </c>
      <c r="E355" s="83" t="s">
        <v>78</v>
      </c>
      <c r="F355" s="83" t="s">
        <v>77</v>
      </c>
      <c r="G355" s="83" t="s">
        <v>76</v>
      </c>
      <c r="H355" s="83" t="s">
        <v>75</v>
      </c>
      <c r="I355" s="83" t="s">
        <v>74</v>
      </c>
      <c r="J355" s="83" t="s">
        <v>73</v>
      </c>
      <c r="K355" s="83" t="s">
        <v>72</v>
      </c>
      <c r="L355" s="83" t="s">
        <v>71</v>
      </c>
      <c r="M355" s="83" t="s">
        <v>70</v>
      </c>
      <c r="N355" s="83" t="s">
        <v>69</v>
      </c>
      <c r="O355" s="83" t="s">
        <v>68</v>
      </c>
      <c r="P355" s="83" t="s">
        <v>67</v>
      </c>
      <c r="Q355" s="83" t="s">
        <v>66</v>
      </c>
      <c r="R355" s="83" t="s">
        <v>65</v>
      </c>
      <c r="S355" s="83" t="s">
        <v>64</v>
      </c>
      <c r="T355" s="83" t="s">
        <v>63</v>
      </c>
      <c r="U355" s="84" t="s">
        <v>62</v>
      </c>
      <c r="V355" s="306" t="s">
        <v>61</v>
      </c>
      <c r="W355" s="304"/>
      <c r="X355" s="314"/>
    </row>
    <row r="356" spans="1:24" s="6" customFormat="1">
      <c r="A356" s="305"/>
      <c r="B356" s="305"/>
      <c r="C356" s="305"/>
      <c r="D356" s="85" t="s">
        <v>22</v>
      </c>
      <c r="E356" s="14" t="s">
        <v>60</v>
      </c>
      <c r="F356" s="14" t="s">
        <v>59</v>
      </c>
      <c r="G356" s="14" t="s">
        <v>58</v>
      </c>
      <c r="H356" s="14" t="s">
        <v>57</v>
      </c>
      <c r="I356" s="14" t="s">
        <v>56</v>
      </c>
      <c r="J356" s="14" t="s">
        <v>55</v>
      </c>
      <c r="K356" s="14" t="s">
        <v>54</v>
      </c>
      <c r="L356" s="14" t="s">
        <v>53</v>
      </c>
      <c r="M356" s="14" t="s">
        <v>52</v>
      </c>
      <c r="N356" s="14" t="s">
        <v>51</v>
      </c>
      <c r="O356" s="14" t="s">
        <v>50</v>
      </c>
      <c r="P356" s="14" t="s">
        <v>49</v>
      </c>
      <c r="Q356" s="14" t="s">
        <v>48</v>
      </c>
      <c r="R356" s="14" t="s">
        <v>47</v>
      </c>
      <c r="S356" s="14" t="s">
        <v>46</v>
      </c>
      <c r="T356" s="14" t="s">
        <v>45</v>
      </c>
      <c r="U356" s="13" t="s">
        <v>44</v>
      </c>
      <c r="V356" s="307"/>
      <c r="W356" s="305"/>
      <c r="X356" s="315"/>
    </row>
    <row r="357" spans="1:24" s="12" customFormat="1" ht="15.75" customHeight="1">
      <c r="A357" s="310" t="s">
        <v>253</v>
      </c>
      <c r="B357" s="310"/>
      <c r="C357" s="311"/>
      <c r="D357" s="179">
        <v>142876.16</v>
      </c>
      <c r="E357" s="127">
        <v>0</v>
      </c>
      <c r="F357" s="127">
        <v>0</v>
      </c>
      <c r="G357" s="127">
        <v>616</v>
      </c>
      <c r="H357" s="127">
        <v>56</v>
      </c>
      <c r="I357" s="127">
        <v>946.40000000000009</v>
      </c>
      <c r="J357" s="127">
        <v>441.00000000000006</v>
      </c>
      <c r="K357" s="127">
        <v>141.40000000000003</v>
      </c>
      <c r="L357" s="174">
        <v>246.40000000000003</v>
      </c>
      <c r="M357" s="127">
        <v>22292.48</v>
      </c>
      <c r="N357" s="127">
        <v>29856.68</v>
      </c>
      <c r="O357" s="174">
        <v>41174.14</v>
      </c>
      <c r="P357" s="181">
        <v>19159.000000000007</v>
      </c>
      <c r="Q357" s="181">
        <v>8379.2800000000007</v>
      </c>
      <c r="R357" s="181">
        <v>7546.2800000000025</v>
      </c>
      <c r="S357" s="181">
        <v>9359.7000000000007</v>
      </c>
      <c r="T357" s="181">
        <v>2507.4</v>
      </c>
      <c r="U357" s="182">
        <v>154.00000000000006</v>
      </c>
      <c r="V357" s="86" t="s">
        <v>254</v>
      </c>
      <c r="W357" s="87"/>
      <c r="X357" s="87"/>
    </row>
    <row r="358" spans="1:24" s="12" customFormat="1" ht="15.75" customHeight="1" thickBot="1">
      <c r="A358" s="309" t="s">
        <v>251</v>
      </c>
      <c r="B358" s="309"/>
      <c r="C358" s="313"/>
      <c r="D358" s="197">
        <v>499748</v>
      </c>
      <c r="E358" s="155">
        <v>0</v>
      </c>
      <c r="F358" s="155">
        <v>0</v>
      </c>
      <c r="G358" s="155">
        <v>2200</v>
      </c>
      <c r="H358" s="155">
        <v>199.99999999999997</v>
      </c>
      <c r="I358" s="155">
        <v>3380.0000000000005</v>
      </c>
      <c r="J358" s="155">
        <v>1574.9999999999998</v>
      </c>
      <c r="K358" s="155">
        <v>505</v>
      </c>
      <c r="L358" s="184">
        <v>880</v>
      </c>
      <c r="M358" s="155">
        <v>77347.999999999985</v>
      </c>
      <c r="N358" s="155">
        <v>101255</v>
      </c>
      <c r="O358" s="184">
        <v>145081</v>
      </c>
      <c r="P358" s="185">
        <v>68395</v>
      </c>
      <c r="Q358" s="185">
        <v>29925.999999999996</v>
      </c>
      <c r="R358" s="185">
        <v>26942.000000000004</v>
      </c>
      <c r="S358" s="185">
        <v>33099.000000000007</v>
      </c>
      <c r="T358" s="185">
        <v>8411.9999999999982</v>
      </c>
      <c r="U358" s="186">
        <v>550</v>
      </c>
      <c r="V358" s="9" t="s">
        <v>252</v>
      </c>
      <c r="W358" s="9"/>
    </row>
    <row r="359" spans="1:24" s="6" customForma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</row>
    <row r="360" spans="1:24" s="6" customFormat="1">
      <c r="A360" s="72" t="s">
        <v>208</v>
      </c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</row>
    <row r="361" spans="1:24" s="6" customFormat="1">
      <c r="A361" s="72" t="s">
        <v>97</v>
      </c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</row>
    <row r="364" spans="1:24" s="19" customFormat="1" ht="18">
      <c r="A364" s="19" t="s">
        <v>96</v>
      </c>
    </row>
    <row r="365" spans="1:24" s="6" customFormat="1" ht="15" thickBo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25"/>
    </row>
    <row r="366" spans="1:24" s="6" customFormat="1" ht="33" customHeight="1">
      <c r="A366" s="304" t="s">
        <v>61</v>
      </c>
      <c r="B366" s="304"/>
      <c r="C366" s="304"/>
      <c r="D366" s="82" t="s">
        <v>79</v>
      </c>
      <c r="E366" s="83" t="s">
        <v>78</v>
      </c>
      <c r="F366" s="83" t="s">
        <v>77</v>
      </c>
      <c r="G366" s="83" t="s">
        <v>76</v>
      </c>
      <c r="H366" s="83" t="s">
        <v>75</v>
      </c>
      <c r="I366" s="83" t="s">
        <v>74</v>
      </c>
      <c r="J366" s="83" t="s">
        <v>73</v>
      </c>
      <c r="K366" s="83" t="s">
        <v>72</v>
      </c>
      <c r="L366" s="83" t="s">
        <v>71</v>
      </c>
      <c r="M366" s="83" t="s">
        <v>70</v>
      </c>
      <c r="N366" s="83" t="s">
        <v>69</v>
      </c>
      <c r="O366" s="83" t="s">
        <v>68</v>
      </c>
      <c r="P366" s="83" t="s">
        <v>67</v>
      </c>
      <c r="Q366" s="83" t="s">
        <v>66</v>
      </c>
      <c r="R366" s="83" t="s">
        <v>65</v>
      </c>
      <c r="S366" s="83" t="s">
        <v>64</v>
      </c>
      <c r="T366" s="83" t="s">
        <v>63</v>
      </c>
      <c r="U366" s="84" t="s">
        <v>62</v>
      </c>
      <c r="V366" s="306" t="s">
        <v>61</v>
      </c>
      <c r="W366" s="304"/>
      <c r="X366" s="314"/>
    </row>
    <row r="367" spans="1:24" s="6" customFormat="1">
      <c r="A367" s="305"/>
      <c r="B367" s="305"/>
      <c r="C367" s="305"/>
      <c r="D367" s="85" t="s">
        <v>22</v>
      </c>
      <c r="E367" s="14" t="s">
        <v>60</v>
      </c>
      <c r="F367" s="14" t="s">
        <v>59</v>
      </c>
      <c r="G367" s="14" t="s">
        <v>58</v>
      </c>
      <c r="H367" s="14" t="s">
        <v>57</v>
      </c>
      <c r="I367" s="14" t="s">
        <v>56</v>
      </c>
      <c r="J367" s="14" t="s">
        <v>55</v>
      </c>
      <c r="K367" s="14" t="s">
        <v>54</v>
      </c>
      <c r="L367" s="14" t="s">
        <v>53</v>
      </c>
      <c r="M367" s="14" t="s">
        <v>52</v>
      </c>
      <c r="N367" s="14" t="s">
        <v>51</v>
      </c>
      <c r="O367" s="14" t="s">
        <v>50</v>
      </c>
      <c r="P367" s="14" t="s">
        <v>49</v>
      </c>
      <c r="Q367" s="14" t="s">
        <v>48</v>
      </c>
      <c r="R367" s="14" t="s">
        <v>47</v>
      </c>
      <c r="S367" s="14" t="s">
        <v>46</v>
      </c>
      <c r="T367" s="14" t="s">
        <v>45</v>
      </c>
      <c r="U367" s="13" t="s">
        <v>44</v>
      </c>
      <c r="V367" s="307"/>
      <c r="W367" s="305"/>
      <c r="X367" s="315"/>
    </row>
    <row r="368" spans="1:24" s="12" customFormat="1">
      <c r="A368" s="86" t="s">
        <v>225</v>
      </c>
      <c r="B368" s="87"/>
      <c r="C368" s="87"/>
      <c r="D368" s="88">
        <v>1325675.2534815965</v>
      </c>
      <c r="E368" s="89">
        <v>38.240650600000002</v>
      </c>
      <c r="F368" s="89">
        <v>5390.1469739361246</v>
      </c>
      <c r="G368" s="89">
        <v>420.87964230366475</v>
      </c>
      <c r="H368" s="89">
        <v>980.75971560000448</v>
      </c>
      <c r="I368" s="89">
        <v>0</v>
      </c>
      <c r="J368" s="89">
        <v>1334.7066891999991</v>
      </c>
      <c r="K368" s="89">
        <v>774.88826830000119</v>
      </c>
      <c r="L368" s="89">
        <v>593.36318580000125</v>
      </c>
      <c r="M368" s="89">
        <v>27500.631177547592</v>
      </c>
      <c r="N368" s="89">
        <v>284092.05128417659</v>
      </c>
      <c r="O368" s="89">
        <v>22445.556445001283</v>
      </c>
      <c r="P368" s="90">
        <v>146896.57718471342</v>
      </c>
      <c r="Q368" s="90">
        <v>682841.12552736467</v>
      </c>
      <c r="R368" s="90">
        <v>16550.219835651998</v>
      </c>
      <c r="S368" s="90">
        <v>24564.903413195836</v>
      </c>
      <c r="T368" s="90">
        <v>88022.246648688873</v>
      </c>
      <c r="U368" s="91">
        <v>23228.956839516406</v>
      </c>
      <c r="V368" s="86" t="s">
        <v>226</v>
      </c>
      <c r="W368" s="87"/>
      <c r="X368" s="87"/>
    </row>
    <row r="369" spans="1:24" s="12" customFormat="1">
      <c r="A369" s="86" t="s">
        <v>236</v>
      </c>
      <c r="B369" s="87"/>
      <c r="C369" s="87"/>
      <c r="D369" s="88">
        <v>4926844.5214096764</v>
      </c>
      <c r="E369" s="89">
        <v>0</v>
      </c>
      <c r="F369" s="89">
        <v>0</v>
      </c>
      <c r="G369" s="89">
        <v>0</v>
      </c>
      <c r="H369" s="89">
        <v>0</v>
      </c>
      <c r="I369" s="89">
        <v>0</v>
      </c>
      <c r="J369" s="89">
        <v>0</v>
      </c>
      <c r="K369" s="89">
        <v>0</v>
      </c>
      <c r="L369" s="89">
        <v>0</v>
      </c>
      <c r="M369" s="89">
        <v>0</v>
      </c>
      <c r="N369" s="89">
        <v>1267797.4557230773</v>
      </c>
      <c r="O369" s="89">
        <v>0</v>
      </c>
      <c r="P369" s="90">
        <v>627000.25032891426</v>
      </c>
      <c r="Q369" s="90">
        <v>2709204.6485976842</v>
      </c>
      <c r="R369" s="90">
        <v>0</v>
      </c>
      <c r="S369" s="90">
        <v>0</v>
      </c>
      <c r="T369" s="90">
        <v>322842.16675999999</v>
      </c>
      <c r="U369" s="91">
        <v>0</v>
      </c>
      <c r="V369" s="86" t="s">
        <v>237</v>
      </c>
      <c r="W369" s="87"/>
      <c r="X369" s="87"/>
    </row>
    <row r="370" spans="1:24" s="12" customFormat="1">
      <c r="A370" s="86" t="s">
        <v>248</v>
      </c>
      <c r="B370" s="86"/>
      <c r="C370" s="87"/>
      <c r="D370" s="88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90"/>
      <c r="Q370" s="90"/>
      <c r="R370" s="90"/>
      <c r="S370" s="90"/>
      <c r="T370" s="90"/>
      <c r="U370" s="91"/>
      <c r="V370" s="86" t="s">
        <v>249</v>
      </c>
      <c r="W370" s="86"/>
      <c r="X370" s="87"/>
    </row>
    <row r="371" spans="1:24" s="12" customFormat="1">
      <c r="A371" s="220"/>
      <c r="B371" s="220" t="s">
        <v>85</v>
      </c>
      <c r="C371" s="221"/>
      <c r="D371" s="225">
        <v>1512934.1165961558</v>
      </c>
      <c r="E371" s="226">
        <v>0</v>
      </c>
      <c r="F371" s="226">
        <v>0</v>
      </c>
      <c r="G371" s="226">
        <v>0</v>
      </c>
      <c r="H371" s="226">
        <v>167000</v>
      </c>
      <c r="I371" s="226">
        <v>0</v>
      </c>
      <c r="J371" s="226">
        <v>0</v>
      </c>
      <c r="K371" s="226">
        <v>0</v>
      </c>
      <c r="L371" s="226">
        <v>0</v>
      </c>
      <c r="M371" s="226">
        <v>0</v>
      </c>
      <c r="N371" s="226">
        <v>427200</v>
      </c>
      <c r="O371" s="226">
        <v>0</v>
      </c>
      <c r="P371" s="226">
        <v>335053.33775783185</v>
      </c>
      <c r="Q371" s="226">
        <v>383680.77883832378</v>
      </c>
      <c r="R371" s="226">
        <v>0</v>
      </c>
      <c r="S371" s="226">
        <v>0</v>
      </c>
      <c r="T371" s="226">
        <v>200000</v>
      </c>
      <c r="U371" s="227">
        <v>0</v>
      </c>
      <c r="V371" s="220"/>
      <c r="W371" s="220" t="s">
        <v>85</v>
      </c>
      <c r="X371" s="221"/>
    </row>
    <row r="372" spans="1:24" s="12" customFormat="1">
      <c r="A372" s="220"/>
      <c r="B372" s="220" t="s">
        <v>87</v>
      </c>
      <c r="C372" s="221"/>
      <c r="D372" s="225">
        <v>2133.6049999999996</v>
      </c>
      <c r="E372" s="251">
        <v>5.0999999999999996</v>
      </c>
      <c r="F372" s="251">
        <v>27</v>
      </c>
      <c r="G372" s="251">
        <v>14</v>
      </c>
      <c r="H372" s="251">
        <v>0</v>
      </c>
      <c r="I372" s="251">
        <v>0</v>
      </c>
      <c r="J372" s="226">
        <v>20.005000000000003</v>
      </c>
      <c r="K372" s="226">
        <v>5</v>
      </c>
      <c r="L372" s="226">
        <v>7</v>
      </c>
      <c r="M372" s="226">
        <v>162.69999999999999</v>
      </c>
      <c r="N372" s="226">
        <v>30.4</v>
      </c>
      <c r="O372" s="226">
        <v>102.39999999999999</v>
      </c>
      <c r="P372" s="226">
        <v>39.17</v>
      </c>
      <c r="Q372" s="226">
        <v>1455.7</v>
      </c>
      <c r="R372" s="226">
        <v>26.599999999999994</v>
      </c>
      <c r="S372" s="226">
        <v>126.53</v>
      </c>
      <c r="T372" s="226">
        <v>77</v>
      </c>
      <c r="U372" s="227">
        <v>35</v>
      </c>
      <c r="V372" s="220"/>
      <c r="W372" s="220" t="s">
        <v>87</v>
      </c>
      <c r="X372" s="221"/>
    </row>
    <row r="373" spans="1:24" s="6" customFormat="1">
      <c r="A373" s="228"/>
      <c r="B373" s="228"/>
      <c r="C373" s="229"/>
      <c r="D373" s="93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5"/>
      <c r="Q373" s="95"/>
      <c r="R373" s="95"/>
      <c r="S373" s="95"/>
      <c r="T373" s="95"/>
      <c r="U373" s="96"/>
      <c r="V373" s="228"/>
      <c r="W373" s="228"/>
      <c r="X373" s="229"/>
    </row>
    <row r="374" spans="1:24" s="6" customFormat="1">
      <c r="A374" s="97" t="s">
        <v>86</v>
      </c>
      <c r="B374" s="97"/>
      <c r="C374" s="252"/>
      <c r="D374" s="98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99"/>
      <c r="Q374" s="99"/>
      <c r="R374" s="99"/>
      <c r="S374" s="99"/>
      <c r="T374" s="99"/>
      <c r="U374" s="253"/>
      <c r="V374" s="97" t="s">
        <v>86</v>
      </c>
      <c r="W374" s="97"/>
      <c r="X374" s="252"/>
    </row>
    <row r="375" spans="1:24" s="12" customFormat="1">
      <c r="A375" s="9" t="s">
        <v>85</v>
      </c>
      <c r="C375" s="231" t="s">
        <v>229</v>
      </c>
      <c r="D375" s="103">
        <v>259550.94553472599</v>
      </c>
      <c r="E375" s="104">
        <v>0</v>
      </c>
      <c r="F375" s="104">
        <v>0</v>
      </c>
      <c r="G375" s="104">
        <v>0</v>
      </c>
      <c r="H375" s="104">
        <v>0</v>
      </c>
      <c r="I375" s="104">
        <v>0</v>
      </c>
      <c r="J375" s="104">
        <v>0</v>
      </c>
      <c r="K375" s="104">
        <v>0</v>
      </c>
      <c r="L375" s="104">
        <v>0</v>
      </c>
      <c r="M375" s="104">
        <v>0</v>
      </c>
      <c r="N375" s="104">
        <v>190000</v>
      </c>
      <c r="O375" s="104">
        <v>0</v>
      </c>
      <c r="P375" s="104">
        <v>69550.945534725994</v>
      </c>
      <c r="Q375" s="104">
        <v>0</v>
      </c>
      <c r="R375" s="104">
        <v>0</v>
      </c>
      <c r="S375" s="104">
        <v>0</v>
      </c>
      <c r="T375" s="104">
        <v>0</v>
      </c>
      <c r="U375" s="108">
        <v>0</v>
      </c>
      <c r="V375" s="9" t="s">
        <v>85</v>
      </c>
      <c r="X375" s="231" t="s">
        <v>240</v>
      </c>
    </row>
    <row r="376" spans="1:24" s="12" customFormat="1">
      <c r="A376" s="9"/>
      <c r="B376" s="9"/>
      <c r="C376" s="231" t="s">
        <v>230</v>
      </c>
      <c r="D376" s="103">
        <v>43325.29736676281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7">
        <v>14642.441764256295</v>
      </c>
      <c r="Q376" s="107">
        <v>2404.85560250652</v>
      </c>
      <c r="R376" s="107">
        <v>0</v>
      </c>
      <c r="S376" s="107">
        <v>0</v>
      </c>
      <c r="T376" s="107">
        <v>26278</v>
      </c>
      <c r="U376" s="108">
        <v>0</v>
      </c>
      <c r="V376" s="9"/>
      <c r="W376" s="9"/>
      <c r="X376" s="231" t="s">
        <v>230</v>
      </c>
    </row>
    <row r="377" spans="1:24" s="12" customFormat="1">
      <c r="A377" s="9"/>
      <c r="B377" s="9"/>
      <c r="C377" s="231" t="s">
        <v>231</v>
      </c>
      <c r="D377" s="103">
        <v>165290</v>
      </c>
      <c r="E377" s="104">
        <v>0</v>
      </c>
      <c r="F377" s="104">
        <v>0</v>
      </c>
      <c r="G377" s="104">
        <v>0</v>
      </c>
      <c r="H377" s="104">
        <v>0</v>
      </c>
      <c r="I377" s="104">
        <v>0</v>
      </c>
      <c r="J377" s="104">
        <v>0</v>
      </c>
      <c r="K377" s="104">
        <v>0</v>
      </c>
      <c r="L377" s="104">
        <v>0</v>
      </c>
      <c r="M377" s="104">
        <v>0</v>
      </c>
      <c r="N377" s="104">
        <v>102200</v>
      </c>
      <c r="O377" s="104">
        <v>0</v>
      </c>
      <c r="P377" s="107">
        <v>28565</v>
      </c>
      <c r="Q377" s="107">
        <v>34346</v>
      </c>
      <c r="R377" s="107">
        <v>0</v>
      </c>
      <c r="S377" s="107">
        <v>179</v>
      </c>
      <c r="T377" s="107">
        <v>0</v>
      </c>
      <c r="U377" s="108">
        <v>0</v>
      </c>
      <c r="V377" s="9"/>
      <c r="W377" s="9"/>
      <c r="X377" s="231" t="s">
        <v>231</v>
      </c>
    </row>
    <row r="378" spans="1:24" s="12" customFormat="1">
      <c r="A378" s="9"/>
      <c r="C378" s="9"/>
      <c r="D378" s="103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7"/>
      <c r="Q378" s="107"/>
      <c r="R378" s="107"/>
      <c r="S378" s="107"/>
      <c r="T378" s="107"/>
      <c r="U378" s="108"/>
      <c r="V378" s="9"/>
      <c r="X378" s="9"/>
    </row>
    <row r="379" spans="1:24" s="12" customFormat="1">
      <c r="A379" s="9" t="s">
        <v>87</v>
      </c>
      <c r="C379" s="231" t="s">
        <v>240</v>
      </c>
      <c r="D379" s="103">
        <v>0</v>
      </c>
      <c r="E379" s="104">
        <v>0</v>
      </c>
      <c r="F379" s="104">
        <v>0</v>
      </c>
      <c r="G379" s="104">
        <v>0</v>
      </c>
      <c r="H379" s="104">
        <v>0</v>
      </c>
      <c r="I379" s="104">
        <v>0</v>
      </c>
      <c r="J379" s="104">
        <v>0</v>
      </c>
      <c r="K379" s="104">
        <v>0</v>
      </c>
      <c r="L379" s="104">
        <v>0</v>
      </c>
      <c r="M379" s="104">
        <v>0</v>
      </c>
      <c r="N379" s="104">
        <v>0</v>
      </c>
      <c r="O379" s="104">
        <v>0</v>
      </c>
      <c r="P379" s="104">
        <v>0</v>
      </c>
      <c r="Q379" s="104">
        <v>0</v>
      </c>
      <c r="R379" s="104">
        <v>0</v>
      </c>
      <c r="S379" s="104">
        <v>0</v>
      </c>
      <c r="T379" s="107">
        <v>0</v>
      </c>
      <c r="U379" s="108">
        <v>0</v>
      </c>
      <c r="V379" s="9" t="s">
        <v>87</v>
      </c>
      <c r="X379" s="254" t="s">
        <v>240</v>
      </c>
    </row>
    <row r="380" spans="1:24" s="12" customFormat="1">
      <c r="A380" s="9"/>
      <c r="B380" s="9"/>
      <c r="C380" s="231" t="s">
        <v>230</v>
      </c>
      <c r="D380" s="115">
        <v>33.6</v>
      </c>
      <c r="E380" s="110">
        <v>0</v>
      </c>
      <c r="F380" s="110">
        <v>0</v>
      </c>
      <c r="G380" s="110">
        <v>0</v>
      </c>
      <c r="H380" s="110">
        <v>0</v>
      </c>
      <c r="I380" s="110">
        <v>0</v>
      </c>
      <c r="J380" s="110">
        <v>0</v>
      </c>
      <c r="K380" s="110">
        <v>0</v>
      </c>
      <c r="L380" s="110">
        <v>0</v>
      </c>
      <c r="M380" s="110">
        <v>17</v>
      </c>
      <c r="N380" s="110">
        <v>0</v>
      </c>
      <c r="O380" s="110">
        <v>5</v>
      </c>
      <c r="P380" s="113">
        <v>0</v>
      </c>
      <c r="Q380" s="113">
        <v>4.5</v>
      </c>
      <c r="R380" s="113">
        <v>1.1000000000000001</v>
      </c>
      <c r="S380" s="113">
        <v>6</v>
      </c>
      <c r="T380" s="113">
        <v>0</v>
      </c>
      <c r="U380" s="114">
        <v>0</v>
      </c>
      <c r="V380" s="9"/>
      <c r="W380" s="9"/>
      <c r="X380" s="254" t="s">
        <v>230</v>
      </c>
    </row>
    <row r="381" spans="1:24" s="12" customFormat="1" ht="15" thickBot="1">
      <c r="A381" s="9"/>
      <c r="B381" s="9"/>
      <c r="C381" s="231" t="s">
        <v>231</v>
      </c>
      <c r="D381" s="255">
        <v>27</v>
      </c>
      <c r="E381" s="256">
        <v>0</v>
      </c>
      <c r="F381" s="256">
        <v>0</v>
      </c>
      <c r="G381" s="256">
        <v>0</v>
      </c>
      <c r="H381" s="256">
        <v>0</v>
      </c>
      <c r="I381" s="256">
        <v>0</v>
      </c>
      <c r="J381" s="256">
        <v>0</v>
      </c>
      <c r="K381" s="256">
        <v>0</v>
      </c>
      <c r="L381" s="256">
        <v>0</v>
      </c>
      <c r="M381" s="256">
        <v>20</v>
      </c>
      <c r="N381" s="256">
        <v>0</v>
      </c>
      <c r="O381" s="256">
        <v>2</v>
      </c>
      <c r="P381" s="257">
        <v>0</v>
      </c>
      <c r="Q381" s="257">
        <v>0</v>
      </c>
      <c r="R381" s="257">
        <v>0</v>
      </c>
      <c r="S381" s="257">
        <v>0</v>
      </c>
      <c r="T381" s="257">
        <v>5</v>
      </c>
      <c r="U381" s="258">
        <v>0</v>
      </c>
      <c r="V381" s="9"/>
      <c r="W381" s="9"/>
      <c r="X381" s="254" t="s">
        <v>231</v>
      </c>
    </row>
    <row r="382" spans="1:24" s="6" customFormat="1">
      <c r="A382" s="77"/>
      <c r="B382" s="77"/>
      <c r="C382" s="77"/>
      <c r="D382" s="79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</row>
    <row r="383" spans="1:24" s="6" customFormat="1">
      <c r="A383" s="7" t="s">
        <v>255</v>
      </c>
      <c r="B383" s="69"/>
      <c r="C383" s="69"/>
      <c r="D383" s="71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</row>
    <row r="384" spans="1:24" s="6" customFormat="1">
      <c r="A384" s="7" t="s">
        <v>84</v>
      </c>
      <c r="B384" s="69"/>
      <c r="C384" s="69"/>
      <c r="D384" s="71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</row>
    <row r="385" spans="1:24" s="6" customFormat="1">
      <c r="A385" s="7" t="s">
        <v>91</v>
      </c>
      <c r="B385" s="69"/>
      <c r="C385" s="69"/>
      <c r="D385" s="71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</row>
    <row r="388" spans="1:24" s="6" customFormat="1" ht="18">
      <c r="A388" s="19" t="s">
        <v>95</v>
      </c>
      <c r="B388" s="26"/>
    </row>
    <row r="389" spans="1:24" s="6" customFormat="1" ht="15.75" customHeight="1" thickBo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25"/>
    </row>
    <row r="390" spans="1:24" s="6" customFormat="1" ht="15.75" customHeight="1">
      <c r="A390" s="304" t="s">
        <v>61</v>
      </c>
      <c r="B390" s="304"/>
      <c r="C390" s="304"/>
      <c r="D390" s="82" t="s">
        <v>79</v>
      </c>
      <c r="E390" s="83" t="s">
        <v>78</v>
      </c>
      <c r="F390" s="83" t="s">
        <v>77</v>
      </c>
      <c r="G390" s="83" t="s">
        <v>76</v>
      </c>
      <c r="H390" s="83" t="s">
        <v>75</v>
      </c>
      <c r="I390" s="83" t="s">
        <v>74</v>
      </c>
      <c r="J390" s="83" t="s">
        <v>73</v>
      </c>
      <c r="K390" s="83" t="s">
        <v>72</v>
      </c>
      <c r="L390" s="83" t="s">
        <v>71</v>
      </c>
      <c r="M390" s="83" t="s">
        <v>70</v>
      </c>
      <c r="N390" s="83" t="s">
        <v>69</v>
      </c>
      <c r="O390" s="83" t="s">
        <v>68</v>
      </c>
      <c r="P390" s="83" t="s">
        <v>67</v>
      </c>
      <c r="Q390" s="83" t="s">
        <v>66</v>
      </c>
      <c r="R390" s="83" t="s">
        <v>65</v>
      </c>
      <c r="S390" s="83" t="s">
        <v>64</v>
      </c>
      <c r="T390" s="83" t="s">
        <v>63</v>
      </c>
      <c r="U390" s="84" t="s">
        <v>62</v>
      </c>
      <c r="V390" s="306" t="s">
        <v>61</v>
      </c>
      <c r="W390" s="304"/>
      <c r="X390" s="314"/>
    </row>
    <row r="391" spans="1:24" s="6" customFormat="1" ht="15.75" customHeight="1">
      <c r="A391" s="305"/>
      <c r="B391" s="305"/>
      <c r="C391" s="305"/>
      <c r="D391" s="85" t="s">
        <v>22</v>
      </c>
      <c r="E391" s="14" t="s">
        <v>60</v>
      </c>
      <c r="F391" s="14" t="s">
        <v>59</v>
      </c>
      <c r="G391" s="14" t="s">
        <v>58</v>
      </c>
      <c r="H391" s="14" t="s">
        <v>57</v>
      </c>
      <c r="I391" s="14" t="s">
        <v>56</v>
      </c>
      <c r="J391" s="14" t="s">
        <v>55</v>
      </c>
      <c r="K391" s="14" t="s">
        <v>54</v>
      </c>
      <c r="L391" s="14" t="s">
        <v>53</v>
      </c>
      <c r="M391" s="14" t="s">
        <v>52</v>
      </c>
      <c r="N391" s="14" t="s">
        <v>51</v>
      </c>
      <c r="O391" s="14" t="s">
        <v>50</v>
      </c>
      <c r="P391" s="14" t="s">
        <v>49</v>
      </c>
      <c r="Q391" s="14" t="s">
        <v>48</v>
      </c>
      <c r="R391" s="14" t="s">
        <v>47</v>
      </c>
      <c r="S391" s="14" t="s">
        <v>46</v>
      </c>
      <c r="T391" s="14" t="s">
        <v>45</v>
      </c>
      <c r="U391" s="13" t="s">
        <v>44</v>
      </c>
      <c r="V391" s="307"/>
      <c r="W391" s="305"/>
      <c r="X391" s="315"/>
    </row>
    <row r="392" spans="1:24" s="12" customFormat="1" ht="15.75" customHeight="1">
      <c r="A392" s="86" t="s">
        <v>225</v>
      </c>
      <c r="B392" s="87"/>
      <c r="C392" s="87"/>
      <c r="D392" s="88">
        <v>72500.585048799985</v>
      </c>
      <c r="E392" s="89">
        <v>0</v>
      </c>
      <c r="F392" s="89">
        <v>0</v>
      </c>
      <c r="G392" s="89">
        <v>0</v>
      </c>
      <c r="H392" s="89">
        <v>6522.8119119999992</v>
      </c>
      <c r="I392" s="89">
        <v>0</v>
      </c>
      <c r="J392" s="89">
        <v>0</v>
      </c>
      <c r="K392" s="89">
        <v>0</v>
      </c>
      <c r="L392" s="89">
        <v>0</v>
      </c>
      <c r="M392" s="89">
        <v>11188.2392368</v>
      </c>
      <c r="N392" s="89">
        <v>0</v>
      </c>
      <c r="O392" s="89">
        <v>862.01249999999993</v>
      </c>
      <c r="P392" s="90">
        <v>27675.760000000002</v>
      </c>
      <c r="Q392" s="90">
        <v>26207.043999999998</v>
      </c>
      <c r="R392" s="90">
        <v>0</v>
      </c>
      <c r="S392" s="90">
        <v>0</v>
      </c>
      <c r="T392" s="90">
        <v>44.717399999999998</v>
      </c>
      <c r="U392" s="91">
        <v>0</v>
      </c>
      <c r="V392" s="86" t="s">
        <v>226</v>
      </c>
      <c r="W392" s="87"/>
      <c r="X392" s="87"/>
    </row>
    <row r="393" spans="1:24" s="12" customFormat="1" ht="15.75" customHeight="1">
      <c r="A393" s="86" t="s">
        <v>236</v>
      </c>
      <c r="B393" s="87"/>
      <c r="C393" s="87"/>
      <c r="D393" s="88">
        <v>0</v>
      </c>
      <c r="E393" s="89">
        <v>0</v>
      </c>
      <c r="F393" s="89">
        <v>0</v>
      </c>
      <c r="G393" s="89">
        <v>0</v>
      </c>
      <c r="H393" s="89">
        <v>0</v>
      </c>
      <c r="I393" s="89">
        <v>0</v>
      </c>
      <c r="J393" s="89">
        <v>0</v>
      </c>
      <c r="K393" s="89">
        <v>0</v>
      </c>
      <c r="L393" s="89">
        <v>0</v>
      </c>
      <c r="M393" s="89">
        <v>0</v>
      </c>
      <c r="N393" s="89">
        <v>0</v>
      </c>
      <c r="O393" s="89">
        <v>0</v>
      </c>
      <c r="P393" s="90">
        <v>0</v>
      </c>
      <c r="Q393" s="90">
        <v>0</v>
      </c>
      <c r="R393" s="90">
        <v>0</v>
      </c>
      <c r="S393" s="90">
        <v>0</v>
      </c>
      <c r="T393" s="90">
        <v>0</v>
      </c>
      <c r="U393" s="91">
        <v>0</v>
      </c>
      <c r="V393" s="86" t="s">
        <v>237</v>
      </c>
      <c r="W393" s="87"/>
      <c r="X393" s="87"/>
    </row>
    <row r="394" spans="1:24" s="6" customFormat="1" ht="15.75" customHeight="1">
      <c r="A394" s="86" t="s">
        <v>248</v>
      </c>
      <c r="B394" s="86"/>
      <c r="C394" s="87"/>
      <c r="D394" s="88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90"/>
      <c r="Q394" s="90"/>
      <c r="R394" s="90"/>
      <c r="S394" s="90"/>
      <c r="T394" s="90"/>
      <c r="U394" s="91"/>
      <c r="V394" s="86" t="s">
        <v>249</v>
      </c>
      <c r="W394" s="86"/>
      <c r="X394" s="87"/>
    </row>
    <row r="395" spans="1:24" s="12" customFormat="1" ht="15.75" customHeight="1">
      <c r="A395" s="220"/>
      <c r="B395" s="220" t="s">
        <v>85</v>
      </c>
      <c r="C395" s="221"/>
      <c r="D395" s="225">
        <v>0</v>
      </c>
      <c r="E395" s="226">
        <v>0</v>
      </c>
      <c r="F395" s="226">
        <v>0</v>
      </c>
      <c r="G395" s="226">
        <v>0</v>
      </c>
      <c r="H395" s="226">
        <v>0</v>
      </c>
      <c r="I395" s="226">
        <v>0</v>
      </c>
      <c r="J395" s="226">
        <v>0</v>
      </c>
      <c r="K395" s="226">
        <v>0</v>
      </c>
      <c r="L395" s="226">
        <v>0</v>
      </c>
      <c r="M395" s="226">
        <v>0</v>
      </c>
      <c r="N395" s="226">
        <v>0</v>
      </c>
      <c r="O395" s="226">
        <v>0</v>
      </c>
      <c r="P395" s="226">
        <v>0</v>
      </c>
      <c r="Q395" s="226">
        <v>0</v>
      </c>
      <c r="R395" s="226">
        <v>0</v>
      </c>
      <c r="S395" s="226">
        <v>0</v>
      </c>
      <c r="T395" s="226">
        <v>0</v>
      </c>
      <c r="U395" s="227">
        <v>0</v>
      </c>
      <c r="V395" s="220"/>
      <c r="W395" s="220" t="s">
        <v>85</v>
      </c>
      <c r="X395" s="221"/>
    </row>
    <row r="396" spans="1:24" s="12" customFormat="1" ht="15.75" customHeight="1">
      <c r="A396" s="220"/>
      <c r="B396" s="220" t="s">
        <v>87</v>
      </c>
      <c r="C396" s="221"/>
      <c r="D396" s="225">
        <v>398.9</v>
      </c>
      <c r="E396" s="251">
        <v>0</v>
      </c>
      <c r="F396" s="251">
        <v>0</v>
      </c>
      <c r="G396" s="251">
        <v>0</v>
      </c>
      <c r="H396" s="251">
        <v>47</v>
      </c>
      <c r="I396" s="251">
        <v>0</v>
      </c>
      <c r="J396" s="251">
        <v>0</v>
      </c>
      <c r="K396" s="251">
        <v>5</v>
      </c>
      <c r="L396" s="226">
        <v>0</v>
      </c>
      <c r="M396" s="251">
        <v>106.3</v>
      </c>
      <c r="N396" s="226">
        <v>0</v>
      </c>
      <c r="O396" s="226">
        <v>29</v>
      </c>
      <c r="P396" s="226">
        <v>80.599999999999994</v>
      </c>
      <c r="Q396" s="226">
        <v>100</v>
      </c>
      <c r="R396" s="226">
        <v>30</v>
      </c>
      <c r="S396" s="226">
        <v>0</v>
      </c>
      <c r="T396" s="226">
        <v>1</v>
      </c>
      <c r="U396" s="227">
        <v>0</v>
      </c>
      <c r="V396" s="220"/>
      <c r="W396" s="220" t="s">
        <v>87</v>
      </c>
      <c r="X396" s="221"/>
    </row>
    <row r="397" spans="1:24" s="12" customFormat="1" ht="15.75" customHeight="1">
      <c r="A397" s="9"/>
      <c r="B397" s="9"/>
      <c r="C397" s="243"/>
      <c r="D397" s="103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7"/>
      <c r="Q397" s="107"/>
      <c r="R397" s="107"/>
      <c r="S397" s="107"/>
      <c r="T397" s="107"/>
      <c r="U397" s="108"/>
      <c r="V397" s="9"/>
      <c r="W397" s="9"/>
      <c r="X397" s="243"/>
    </row>
    <row r="398" spans="1:24" s="12" customFormat="1" ht="15.75" customHeight="1">
      <c r="A398" s="86" t="s">
        <v>86</v>
      </c>
      <c r="B398" s="86"/>
      <c r="C398" s="230"/>
      <c r="D398" s="88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90"/>
      <c r="Q398" s="90"/>
      <c r="R398" s="90"/>
      <c r="S398" s="90"/>
      <c r="T398" s="90"/>
      <c r="U398" s="91"/>
      <c r="V398" s="86" t="s">
        <v>86</v>
      </c>
      <c r="W398" s="86"/>
      <c r="X398" s="230"/>
    </row>
    <row r="399" spans="1:24" s="12" customFormat="1" ht="15.75" customHeight="1">
      <c r="A399" s="9" t="s">
        <v>85</v>
      </c>
      <c r="C399" s="231" t="s">
        <v>229</v>
      </c>
      <c r="D399" s="103">
        <v>0</v>
      </c>
      <c r="E399" s="104">
        <v>0</v>
      </c>
      <c r="F399" s="104">
        <v>0</v>
      </c>
      <c r="G399" s="104">
        <v>0</v>
      </c>
      <c r="H399" s="104">
        <v>0</v>
      </c>
      <c r="I399" s="104">
        <v>0</v>
      </c>
      <c r="J399" s="104">
        <v>0</v>
      </c>
      <c r="K399" s="104">
        <v>0</v>
      </c>
      <c r="L399" s="104">
        <v>0</v>
      </c>
      <c r="M399" s="104">
        <v>0</v>
      </c>
      <c r="N399" s="104">
        <v>0</v>
      </c>
      <c r="O399" s="104">
        <v>0</v>
      </c>
      <c r="P399" s="104">
        <v>0</v>
      </c>
      <c r="Q399" s="104">
        <v>0</v>
      </c>
      <c r="R399" s="104">
        <v>0</v>
      </c>
      <c r="S399" s="104">
        <v>0</v>
      </c>
      <c r="T399" s="104">
        <v>0</v>
      </c>
      <c r="U399" s="108">
        <v>0</v>
      </c>
      <c r="V399" s="9" t="s">
        <v>85</v>
      </c>
      <c r="X399" s="231" t="s">
        <v>240</v>
      </c>
    </row>
    <row r="400" spans="1:24" s="12" customFormat="1" ht="15.75" customHeight="1">
      <c r="A400" s="9"/>
      <c r="B400" s="9"/>
      <c r="C400" s="231" t="s">
        <v>230</v>
      </c>
      <c r="D400" s="103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7">
        <v>0</v>
      </c>
      <c r="Q400" s="107">
        <v>0</v>
      </c>
      <c r="R400" s="107">
        <v>0</v>
      </c>
      <c r="S400" s="107">
        <v>0</v>
      </c>
      <c r="T400" s="107">
        <v>0</v>
      </c>
      <c r="U400" s="108">
        <v>0</v>
      </c>
      <c r="V400" s="9"/>
      <c r="W400" s="9"/>
      <c r="X400" s="231" t="s">
        <v>230</v>
      </c>
    </row>
    <row r="401" spans="1:24" s="12" customFormat="1" ht="15.75" customHeight="1">
      <c r="A401" s="9"/>
      <c r="B401" s="9"/>
      <c r="C401" s="231" t="s">
        <v>231</v>
      </c>
      <c r="D401" s="103">
        <v>0</v>
      </c>
      <c r="E401" s="104">
        <v>0</v>
      </c>
      <c r="F401" s="104">
        <v>0</v>
      </c>
      <c r="G401" s="104">
        <v>0</v>
      </c>
      <c r="H401" s="104">
        <v>0</v>
      </c>
      <c r="I401" s="104">
        <v>0</v>
      </c>
      <c r="J401" s="104">
        <v>0</v>
      </c>
      <c r="K401" s="104">
        <v>0</v>
      </c>
      <c r="L401" s="104">
        <v>0</v>
      </c>
      <c r="M401" s="104">
        <v>0</v>
      </c>
      <c r="N401" s="104">
        <v>0</v>
      </c>
      <c r="O401" s="104">
        <v>0</v>
      </c>
      <c r="P401" s="107">
        <v>0</v>
      </c>
      <c r="Q401" s="107">
        <v>0</v>
      </c>
      <c r="R401" s="107">
        <v>0</v>
      </c>
      <c r="S401" s="107">
        <v>0</v>
      </c>
      <c r="T401" s="107">
        <v>0</v>
      </c>
      <c r="U401" s="108">
        <v>0</v>
      </c>
      <c r="V401" s="9"/>
      <c r="W401" s="9"/>
      <c r="X401" s="231" t="s">
        <v>231</v>
      </c>
    </row>
    <row r="402" spans="1:24" s="12" customFormat="1" ht="15.75" customHeight="1">
      <c r="A402" s="9"/>
      <c r="C402" s="9"/>
      <c r="D402" s="103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7"/>
      <c r="Q402" s="107"/>
      <c r="R402" s="107"/>
      <c r="S402" s="107"/>
      <c r="T402" s="107"/>
      <c r="U402" s="108"/>
      <c r="V402" s="9"/>
      <c r="X402" s="9"/>
    </row>
    <row r="403" spans="1:24" s="12" customFormat="1" ht="15.75" customHeight="1">
      <c r="A403" s="9" t="s">
        <v>87</v>
      </c>
      <c r="C403" s="231" t="s">
        <v>240</v>
      </c>
      <c r="D403" s="103">
        <v>0</v>
      </c>
      <c r="E403" s="104">
        <v>0</v>
      </c>
      <c r="F403" s="104">
        <v>0</v>
      </c>
      <c r="G403" s="104">
        <v>0</v>
      </c>
      <c r="H403" s="104">
        <v>0</v>
      </c>
      <c r="I403" s="104">
        <v>0</v>
      </c>
      <c r="J403" s="104">
        <v>0</v>
      </c>
      <c r="K403" s="104">
        <v>0</v>
      </c>
      <c r="L403" s="104">
        <v>0</v>
      </c>
      <c r="M403" s="104">
        <v>0</v>
      </c>
      <c r="N403" s="104">
        <v>0</v>
      </c>
      <c r="O403" s="104">
        <v>0</v>
      </c>
      <c r="P403" s="107">
        <v>0</v>
      </c>
      <c r="Q403" s="107">
        <v>0</v>
      </c>
      <c r="R403" s="107">
        <v>0</v>
      </c>
      <c r="S403" s="107">
        <v>0</v>
      </c>
      <c r="T403" s="107">
        <v>0</v>
      </c>
      <c r="U403" s="108">
        <v>0</v>
      </c>
      <c r="V403" s="9" t="s">
        <v>87</v>
      </c>
      <c r="X403" s="231" t="s">
        <v>240</v>
      </c>
    </row>
    <row r="404" spans="1:24" s="12" customFormat="1" ht="15.75" customHeight="1">
      <c r="A404" s="9"/>
      <c r="B404" s="9"/>
      <c r="C404" s="231" t="s">
        <v>230</v>
      </c>
      <c r="D404" s="103">
        <v>0</v>
      </c>
      <c r="E404" s="104">
        <v>0</v>
      </c>
      <c r="F404" s="104">
        <v>0</v>
      </c>
      <c r="G404" s="104">
        <v>0</v>
      </c>
      <c r="H404" s="104">
        <v>0</v>
      </c>
      <c r="I404" s="104">
        <v>0</v>
      </c>
      <c r="J404" s="104">
        <v>0</v>
      </c>
      <c r="K404" s="104">
        <v>0</v>
      </c>
      <c r="L404" s="104">
        <v>0</v>
      </c>
      <c r="M404" s="104">
        <v>0</v>
      </c>
      <c r="N404" s="104">
        <v>0</v>
      </c>
      <c r="O404" s="104">
        <v>0</v>
      </c>
      <c r="P404" s="107">
        <v>0</v>
      </c>
      <c r="Q404" s="107">
        <v>0</v>
      </c>
      <c r="R404" s="107">
        <v>0</v>
      </c>
      <c r="S404" s="107">
        <v>0</v>
      </c>
      <c r="T404" s="107">
        <v>0</v>
      </c>
      <c r="U404" s="108">
        <v>0</v>
      </c>
      <c r="V404" s="9"/>
      <c r="W404" s="9"/>
      <c r="X404" s="231" t="s">
        <v>230</v>
      </c>
    </row>
    <row r="405" spans="1:24" s="12" customFormat="1" ht="15.75" customHeight="1" thickBot="1">
      <c r="A405" s="9"/>
      <c r="B405" s="9"/>
      <c r="C405" s="231" t="s">
        <v>231</v>
      </c>
      <c r="D405" s="119">
        <v>0</v>
      </c>
      <c r="E405" s="120">
        <v>0</v>
      </c>
      <c r="F405" s="120">
        <v>0</v>
      </c>
      <c r="G405" s="120">
        <v>0</v>
      </c>
      <c r="H405" s="120">
        <v>0</v>
      </c>
      <c r="I405" s="120">
        <v>0</v>
      </c>
      <c r="J405" s="120">
        <v>0</v>
      </c>
      <c r="K405" s="120">
        <v>0</v>
      </c>
      <c r="L405" s="120">
        <v>0</v>
      </c>
      <c r="M405" s="120">
        <v>0</v>
      </c>
      <c r="N405" s="120">
        <v>0</v>
      </c>
      <c r="O405" s="120">
        <v>0</v>
      </c>
      <c r="P405" s="121">
        <v>0</v>
      </c>
      <c r="Q405" s="121">
        <v>0</v>
      </c>
      <c r="R405" s="121">
        <v>0</v>
      </c>
      <c r="S405" s="121">
        <v>0</v>
      </c>
      <c r="T405" s="121">
        <v>0</v>
      </c>
      <c r="U405" s="122">
        <v>0</v>
      </c>
      <c r="V405" s="9"/>
      <c r="W405" s="9"/>
      <c r="X405" s="231" t="s">
        <v>231</v>
      </c>
    </row>
    <row r="406" spans="1:24" s="6" customFormat="1" ht="15.75" customHeight="1">
      <c r="A406" s="77"/>
      <c r="B406" s="77"/>
      <c r="C406" s="77"/>
      <c r="D406" s="79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</row>
    <row r="407" spans="1:24" s="6" customFormat="1" ht="15.75" customHeight="1">
      <c r="A407" s="7" t="s">
        <v>255</v>
      </c>
      <c r="B407" s="69"/>
      <c r="C407" s="69"/>
      <c r="D407" s="71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</row>
    <row r="408" spans="1:24" s="6" customFormat="1" ht="15.75" customHeight="1">
      <c r="A408" s="7" t="s">
        <v>84</v>
      </c>
      <c r="B408" s="69"/>
      <c r="C408" s="69"/>
      <c r="D408" s="71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</row>
    <row r="411" spans="1:24" s="6" customFormat="1" ht="18">
      <c r="A411" s="19" t="s">
        <v>94</v>
      </c>
      <c r="B411" s="26"/>
    </row>
    <row r="412" spans="1:24" s="6" customFormat="1" ht="15.75" customHeight="1" thickBo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25"/>
    </row>
    <row r="413" spans="1:24" s="6" customFormat="1" ht="15.75" customHeight="1">
      <c r="A413" s="304" t="s">
        <v>61</v>
      </c>
      <c r="B413" s="304"/>
      <c r="C413" s="304"/>
      <c r="D413" s="82" t="s">
        <v>79</v>
      </c>
      <c r="E413" s="83" t="s">
        <v>78</v>
      </c>
      <c r="F413" s="83" t="s">
        <v>77</v>
      </c>
      <c r="G413" s="83" t="s">
        <v>76</v>
      </c>
      <c r="H413" s="83" t="s">
        <v>75</v>
      </c>
      <c r="I413" s="83" t="s">
        <v>74</v>
      </c>
      <c r="J413" s="83" t="s">
        <v>73</v>
      </c>
      <c r="K413" s="83" t="s">
        <v>72</v>
      </c>
      <c r="L413" s="83" t="s">
        <v>71</v>
      </c>
      <c r="M413" s="83" t="s">
        <v>70</v>
      </c>
      <c r="N413" s="83" t="s">
        <v>69</v>
      </c>
      <c r="O413" s="83" t="s">
        <v>68</v>
      </c>
      <c r="P413" s="83" t="s">
        <v>67</v>
      </c>
      <c r="Q413" s="83" t="s">
        <v>66</v>
      </c>
      <c r="R413" s="83" t="s">
        <v>65</v>
      </c>
      <c r="S413" s="83" t="s">
        <v>64</v>
      </c>
      <c r="T413" s="83" t="s">
        <v>63</v>
      </c>
      <c r="U413" s="84" t="s">
        <v>62</v>
      </c>
      <c r="V413" s="306" t="s">
        <v>61</v>
      </c>
      <c r="W413" s="304"/>
      <c r="X413" s="314"/>
    </row>
    <row r="414" spans="1:24" s="6" customFormat="1" ht="15.75" customHeight="1">
      <c r="A414" s="305"/>
      <c r="B414" s="305"/>
      <c r="C414" s="305"/>
      <c r="D414" s="85" t="s">
        <v>22</v>
      </c>
      <c r="E414" s="14" t="s">
        <v>60</v>
      </c>
      <c r="F414" s="14" t="s">
        <v>59</v>
      </c>
      <c r="G414" s="14" t="s">
        <v>58</v>
      </c>
      <c r="H414" s="14" t="s">
        <v>57</v>
      </c>
      <c r="I414" s="14" t="s">
        <v>56</v>
      </c>
      <c r="J414" s="14" t="s">
        <v>55</v>
      </c>
      <c r="K414" s="14" t="s">
        <v>54</v>
      </c>
      <c r="L414" s="14" t="s">
        <v>53</v>
      </c>
      <c r="M414" s="14" t="s">
        <v>52</v>
      </c>
      <c r="N414" s="14" t="s">
        <v>51</v>
      </c>
      <c r="O414" s="14" t="s">
        <v>50</v>
      </c>
      <c r="P414" s="14" t="s">
        <v>49</v>
      </c>
      <c r="Q414" s="14" t="s">
        <v>48</v>
      </c>
      <c r="R414" s="14" t="s">
        <v>47</v>
      </c>
      <c r="S414" s="14" t="s">
        <v>46</v>
      </c>
      <c r="T414" s="14" t="s">
        <v>45</v>
      </c>
      <c r="U414" s="13" t="s">
        <v>44</v>
      </c>
      <c r="V414" s="307"/>
      <c r="W414" s="305"/>
      <c r="X414" s="315"/>
    </row>
    <row r="415" spans="1:24" s="12" customFormat="1" ht="15.75" customHeight="1">
      <c r="A415" s="87" t="s">
        <v>226</v>
      </c>
      <c r="B415" s="87"/>
      <c r="C415" s="87"/>
      <c r="D415" s="88">
        <v>197588.8</v>
      </c>
      <c r="E415" s="89">
        <v>0</v>
      </c>
      <c r="F415" s="89">
        <v>0</v>
      </c>
      <c r="G415" s="89">
        <v>0</v>
      </c>
      <c r="H415" s="89">
        <v>0</v>
      </c>
      <c r="I415" s="89">
        <v>0</v>
      </c>
      <c r="J415" s="89">
        <v>0</v>
      </c>
      <c r="K415" s="89">
        <v>197588.8</v>
      </c>
      <c r="L415" s="89">
        <v>0</v>
      </c>
      <c r="M415" s="89">
        <v>0</v>
      </c>
      <c r="N415" s="89">
        <v>0</v>
      </c>
      <c r="O415" s="89">
        <v>0</v>
      </c>
      <c r="P415" s="90">
        <v>0</v>
      </c>
      <c r="Q415" s="90">
        <v>0</v>
      </c>
      <c r="R415" s="90">
        <v>0</v>
      </c>
      <c r="S415" s="90">
        <v>0</v>
      </c>
      <c r="T415" s="90">
        <v>0</v>
      </c>
      <c r="U415" s="91">
        <v>0</v>
      </c>
      <c r="V415" s="87" t="s">
        <v>226</v>
      </c>
      <c r="W415" s="87"/>
      <c r="X415" s="87"/>
    </row>
    <row r="416" spans="1:24" s="12" customFormat="1" ht="15.75" customHeight="1">
      <c r="A416" s="87" t="s">
        <v>237</v>
      </c>
      <c r="B416" s="87"/>
      <c r="C416" s="87"/>
      <c r="D416" s="88">
        <v>240950</v>
      </c>
      <c r="E416" s="89">
        <v>0</v>
      </c>
      <c r="F416" s="89">
        <v>0</v>
      </c>
      <c r="G416" s="89">
        <v>0</v>
      </c>
      <c r="H416" s="89">
        <v>0</v>
      </c>
      <c r="I416" s="89">
        <v>0</v>
      </c>
      <c r="J416" s="89">
        <v>0</v>
      </c>
      <c r="K416" s="89">
        <v>240950</v>
      </c>
      <c r="L416" s="89">
        <v>0</v>
      </c>
      <c r="M416" s="89">
        <v>0</v>
      </c>
      <c r="N416" s="89">
        <v>0</v>
      </c>
      <c r="O416" s="89">
        <v>0</v>
      </c>
      <c r="P416" s="90">
        <v>0</v>
      </c>
      <c r="Q416" s="90">
        <v>0</v>
      </c>
      <c r="R416" s="90">
        <v>0</v>
      </c>
      <c r="S416" s="90">
        <v>0</v>
      </c>
      <c r="T416" s="90">
        <v>0</v>
      </c>
      <c r="U416" s="91">
        <v>0</v>
      </c>
      <c r="V416" s="87" t="s">
        <v>237</v>
      </c>
      <c r="W416" s="87"/>
      <c r="X416" s="87"/>
    </row>
    <row r="417" spans="1:24" s="12" customFormat="1" ht="15.75" customHeight="1">
      <c r="A417" s="86" t="s">
        <v>249</v>
      </c>
      <c r="B417" s="86"/>
      <c r="C417" s="87"/>
      <c r="D417" s="88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259"/>
      <c r="V417" s="86" t="s">
        <v>249</v>
      </c>
      <c r="W417" s="86"/>
      <c r="X417" s="87"/>
    </row>
    <row r="418" spans="1:24" s="12" customFormat="1" ht="15.75" customHeight="1">
      <c r="A418" s="220"/>
      <c r="B418" s="220" t="s">
        <v>85</v>
      </c>
      <c r="C418" s="221"/>
      <c r="D418" s="225">
        <v>36430</v>
      </c>
      <c r="E418" s="226">
        <v>0</v>
      </c>
      <c r="F418" s="226">
        <v>0</v>
      </c>
      <c r="G418" s="226">
        <v>0</v>
      </c>
      <c r="H418" s="226">
        <v>0</v>
      </c>
      <c r="I418" s="226">
        <v>0</v>
      </c>
      <c r="J418" s="226">
        <v>0</v>
      </c>
      <c r="K418" s="226">
        <v>36430</v>
      </c>
      <c r="L418" s="226">
        <v>0</v>
      </c>
      <c r="M418" s="226">
        <v>0</v>
      </c>
      <c r="N418" s="226">
        <v>0</v>
      </c>
      <c r="O418" s="226">
        <v>0</v>
      </c>
      <c r="P418" s="226">
        <v>0</v>
      </c>
      <c r="Q418" s="226">
        <v>0</v>
      </c>
      <c r="R418" s="226">
        <v>0</v>
      </c>
      <c r="S418" s="226">
        <v>0</v>
      </c>
      <c r="T418" s="226">
        <v>0</v>
      </c>
      <c r="U418" s="227">
        <v>0</v>
      </c>
      <c r="V418" s="220"/>
      <c r="W418" s="220" t="s">
        <v>85</v>
      </c>
      <c r="X418" s="221"/>
    </row>
    <row r="419" spans="1:24" s="12" customFormat="1" ht="15.75" customHeight="1">
      <c r="A419" s="220"/>
      <c r="B419" s="220" t="s">
        <v>87</v>
      </c>
      <c r="C419" s="221"/>
      <c r="D419" s="225">
        <v>311</v>
      </c>
      <c r="E419" s="226">
        <v>0</v>
      </c>
      <c r="F419" s="226">
        <v>0</v>
      </c>
      <c r="G419" s="226">
        <v>0</v>
      </c>
      <c r="H419" s="226">
        <v>0</v>
      </c>
      <c r="I419" s="226">
        <v>0</v>
      </c>
      <c r="J419" s="226">
        <v>0</v>
      </c>
      <c r="K419" s="226">
        <v>311</v>
      </c>
      <c r="L419" s="226">
        <v>0</v>
      </c>
      <c r="M419" s="226">
        <v>0</v>
      </c>
      <c r="N419" s="226">
        <v>0</v>
      </c>
      <c r="O419" s="226">
        <v>0</v>
      </c>
      <c r="P419" s="226">
        <v>0</v>
      </c>
      <c r="Q419" s="226">
        <v>0</v>
      </c>
      <c r="R419" s="226">
        <v>0</v>
      </c>
      <c r="S419" s="226">
        <v>0</v>
      </c>
      <c r="T419" s="226">
        <v>0</v>
      </c>
      <c r="U419" s="227">
        <v>0</v>
      </c>
      <c r="V419" s="220"/>
      <c r="W419" s="220" t="s">
        <v>87</v>
      </c>
      <c r="X419" s="221"/>
    </row>
    <row r="420" spans="1:24" s="12" customFormat="1" ht="15.75" customHeight="1">
      <c r="A420" s="9"/>
      <c r="B420" s="9"/>
      <c r="C420" s="243"/>
      <c r="D420" s="103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78"/>
      <c r="V420" s="9"/>
      <c r="W420" s="9"/>
      <c r="X420" s="243"/>
    </row>
    <row r="421" spans="1:24" s="12" customFormat="1" ht="15.75" customHeight="1">
      <c r="A421" s="86" t="s">
        <v>86</v>
      </c>
      <c r="B421" s="86"/>
      <c r="C421" s="230"/>
      <c r="D421" s="88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259"/>
      <c r="V421" s="86" t="s">
        <v>86</v>
      </c>
      <c r="W421" s="86"/>
      <c r="X421" s="230"/>
    </row>
    <row r="422" spans="1:24" s="12" customFormat="1" ht="15.75" customHeight="1">
      <c r="A422" s="9" t="s">
        <v>85</v>
      </c>
      <c r="C422" s="231" t="s">
        <v>240</v>
      </c>
      <c r="D422" s="103">
        <v>0</v>
      </c>
      <c r="E422" s="104">
        <v>0</v>
      </c>
      <c r="F422" s="104">
        <v>0</v>
      </c>
      <c r="G422" s="104">
        <v>0</v>
      </c>
      <c r="H422" s="104">
        <v>0</v>
      </c>
      <c r="I422" s="104">
        <v>0</v>
      </c>
      <c r="J422" s="104">
        <v>0</v>
      </c>
      <c r="K422" s="104">
        <v>0</v>
      </c>
      <c r="L422" s="104">
        <v>0</v>
      </c>
      <c r="M422" s="104">
        <v>0</v>
      </c>
      <c r="N422" s="104">
        <v>0</v>
      </c>
      <c r="O422" s="104">
        <v>0</v>
      </c>
      <c r="P422" s="107">
        <v>0</v>
      </c>
      <c r="Q422" s="107">
        <v>0</v>
      </c>
      <c r="R422" s="107">
        <v>0</v>
      </c>
      <c r="S422" s="107">
        <v>0</v>
      </c>
      <c r="T422" s="107">
        <v>0</v>
      </c>
      <c r="U422" s="108">
        <v>0</v>
      </c>
      <c r="V422" s="9" t="s">
        <v>85</v>
      </c>
      <c r="X422" s="231" t="s">
        <v>240</v>
      </c>
    </row>
    <row r="423" spans="1:24" s="12" customFormat="1" ht="15.75" customHeight="1">
      <c r="A423" s="9"/>
      <c r="B423" s="9"/>
      <c r="C423" s="231" t="s">
        <v>230</v>
      </c>
      <c r="D423" s="103">
        <v>0</v>
      </c>
      <c r="E423" s="104">
        <v>0</v>
      </c>
      <c r="F423" s="104">
        <v>0</v>
      </c>
      <c r="G423" s="104">
        <v>0</v>
      </c>
      <c r="H423" s="104">
        <v>0</v>
      </c>
      <c r="I423" s="104">
        <v>0</v>
      </c>
      <c r="J423" s="104">
        <v>0</v>
      </c>
      <c r="K423" s="104">
        <v>0</v>
      </c>
      <c r="L423" s="104">
        <v>0</v>
      </c>
      <c r="M423" s="104">
        <v>0</v>
      </c>
      <c r="N423" s="104">
        <v>0</v>
      </c>
      <c r="O423" s="104">
        <v>0</v>
      </c>
      <c r="P423" s="107">
        <v>0</v>
      </c>
      <c r="Q423" s="107">
        <v>0</v>
      </c>
      <c r="R423" s="107">
        <v>0</v>
      </c>
      <c r="S423" s="107">
        <v>0</v>
      </c>
      <c r="T423" s="107">
        <v>0</v>
      </c>
      <c r="U423" s="108">
        <v>0</v>
      </c>
      <c r="V423" s="9"/>
      <c r="W423" s="9"/>
      <c r="X423" s="231" t="s">
        <v>230</v>
      </c>
    </row>
    <row r="424" spans="1:24" s="12" customFormat="1" ht="15.75" customHeight="1">
      <c r="A424" s="9"/>
      <c r="B424" s="9"/>
      <c r="C424" s="231" t="s">
        <v>231</v>
      </c>
      <c r="D424" s="103">
        <v>0</v>
      </c>
      <c r="E424" s="104">
        <v>0</v>
      </c>
      <c r="F424" s="104">
        <v>0</v>
      </c>
      <c r="G424" s="104">
        <v>0</v>
      </c>
      <c r="H424" s="104">
        <v>0</v>
      </c>
      <c r="I424" s="104">
        <v>0</v>
      </c>
      <c r="J424" s="104">
        <v>0</v>
      </c>
      <c r="K424" s="104">
        <v>0</v>
      </c>
      <c r="L424" s="104">
        <v>0</v>
      </c>
      <c r="M424" s="104">
        <v>0</v>
      </c>
      <c r="N424" s="104">
        <v>0</v>
      </c>
      <c r="O424" s="104">
        <v>0</v>
      </c>
      <c r="P424" s="107">
        <v>0</v>
      </c>
      <c r="Q424" s="107">
        <v>0</v>
      </c>
      <c r="R424" s="107">
        <v>0</v>
      </c>
      <c r="S424" s="107">
        <v>0</v>
      </c>
      <c r="T424" s="107">
        <v>0</v>
      </c>
      <c r="U424" s="108">
        <v>0</v>
      </c>
      <c r="V424" s="9"/>
      <c r="W424" s="9"/>
      <c r="X424" s="231" t="s">
        <v>231</v>
      </c>
    </row>
    <row r="425" spans="1:24" s="12" customFormat="1" ht="15.75" customHeight="1">
      <c r="A425" s="9"/>
      <c r="C425" s="9"/>
      <c r="D425" s="103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7"/>
      <c r="Q425" s="107"/>
      <c r="R425" s="107"/>
      <c r="S425" s="107"/>
      <c r="T425" s="107"/>
      <c r="U425" s="108"/>
      <c r="V425" s="9"/>
      <c r="X425" s="9"/>
    </row>
    <row r="426" spans="1:24" s="12" customFormat="1" ht="15.75" customHeight="1">
      <c r="A426" s="9" t="s">
        <v>87</v>
      </c>
      <c r="C426" s="231" t="s">
        <v>240</v>
      </c>
      <c r="D426" s="103">
        <v>0</v>
      </c>
      <c r="E426" s="104">
        <v>0</v>
      </c>
      <c r="F426" s="104">
        <v>0</v>
      </c>
      <c r="G426" s="104">
        <v>0</v>
      </c>
      <c r="H426" s="104">
        <v>0</v>
      </c>
      <c r="I426" s="104">
        <v>0</v>
      </c>
      <c r="J426" s="104">
        <v>0</v>
      </c>
      <c r="K426" s="104">
        <v>0</v>
      </c>
      <c r="L426" s="104">
        <v>0</v>
      </c>
      <c r="M426" s="104">
        <v>0</v>
      </c>
      <c r="N426" s="104">
        <v>0</v>
      </c>
      <c r="O426" s="104">
        <v>0</v>
      </c>
      <c r="P426" s="107">
        <v>0</v>
      </c>
      <c r="Q426" s="107">
        <v>0</v>
      </c>
      <c r="R426" s="107">
        <v>0</v>
      </c>
      <c r="S426" s="107">
        <v>0</v>
      </c>
      <c r="T426" s="107">
        <v>0</v>
      </c>
      <c r="U426" s="108">
        <v>0</v>
      </c>
      <c r="V426" s="9" t="s">
        <v>87</v>
      </c>
      <c r="X426" s="231" t="s">
        <v>240</v>
      </c>
    </row>
    <row r="427" spans="1:24" s="12" customFormat="1" ht="15.75" customHeight="1">
      <c r="A427" s="9"/>
      <c r="B427" s="9"/>
      <c r="C427" s="231" t="s">
        <v>230</v>
      </c>
      <c r="D427" s="103">
        <v>0</v>
      </c>
      <c r="E427" s="104">
        <v>0</v>
      </c>
      <c r="F427" s="104">
        <v>0</v>
      </c>
      <c r="G427" s="104">
        <v>0</v>
      </c>
      <c r="H427" s="104">
        <v>0</v>
      </c>
      <c r="I427" s="104">
        <v>0</v>
      </c>
      <c r="J427" s="104">
        <v>0</v>
      </c>
      <c r="K427" s="104">
        <v>0</v>
      </c>
      <c r="L427" s="104">
        <v>0</v>
      </c>
      <c r="M427" s="104">
        <v>0</v>
      </c>
      <c r="N427" s="104">
        <v>0</v>
      </c>
      <c r="O427" s="104">
        <v>0</v>
      </c>
      <c r="P427" s="107">
        <v>0</v>
      </c>
      <c r="Q427" s="107">
        <v>0</v>
      </c>
      <c r="R427" s="107">
        <v>0</v>
      </c>
      <c r="S427" s="107">
        <v>0</v>
      </c>
      <c r="T427" s="107">
        <v>0</v>
      </c>
      <c r="U427" s="108">
        <v>0</v>
      </c>
      <c r="V427" s="9"/>
      <c r="W427" s="9"/>
      <c r="X427" s="231" t="s">
        <v>230</v>
      </c>
    </row>
    <row r="428" spans="1:24" s="12" customFormat="1" ht="15.75" customHeight="1" thickBot="1">
      <c r="A428" s="9"/>
      <c r="B428" s="9"/>
      <c r="C428" s="231" t="s">
        <v>231</v>
      </c>
      <c r="D428" s="119">
        <v>0</v>
      </c>
      <c r="E428" s="120">
        <v>0</v>
      </c>
      <c r="F428" s="120">
        <v>0</v>
      </c>
      <c r="G428" s="120">
        <v>0</v>
      </c>
      <c r="H428" s="120">
        <v>0</v>
      </c>
      <c r="I428" s="120">
        <v>0</v>
      </c>
      <c r="J428" s="120">
        <v>0</v>
      </c>
      <c r="K428" s="120">
        <v>0</v>
      </c>
      <c r="L428" s="120">
        <v>0</v>
      </c>
      <c r="M428" s="120">
        <v>0</v>
      </c>
      <c r="N428" s="120">
        <v>0</v>
      </c>
      <c r="O428" s="120">
        <v>0</v>
      </c>
      <c r="P428" s="121">
        <v>0</v>
      </c>
      <c r="Q428" s="121">
        <v>0</v>
      </c>
      <c r="R428" s="121">
        <v>0</v>
      </c>
      <c r="S428" s="121">
        <v>0</v>
      </c>
      <c r="T428" s="121">
        <v>0</v>
      </c>
      <c r="U428" s="122">
        <v>0</v>
      </c>
      <c r="V428" s="9"/>
      <c r="W428" s="9"/>
      <c r="X428" s="231" t="s">
        <v>231</v>
      </c>
    </row>
    <row r="429" spans="1:24" s="6" customFormat="1" ht="15.75" customHeight="1">
      <c r="A429" s="260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</row>
    <row r="430" spans="1:24" s="6" customFormat="1" ht="15.75" customHeight="1">
      <c r="A430" s="7" t="s">
        <v>255</v>
      </c>
    </row>
    <row r="431" spans="1:24" s="6" customFormat="1" ht="15.75" customHeight="1">
      <c r="A431" s="7" t="s">
        <v>84</v>
      </c>
    </row>
    <row r="434" spans="1:24" s="6" customFormat="1" ht="18">
      <c r="A434" s="19" t="s">
        <v>93</v>
      </c>
      <c r="B434" s="26"/>
    </row>
    <row r="435" spans="1:24" s="6" customFormat="1" ht="15.75" customHeight="1" thickBo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25"/>
    </row>
    <row r="436" spans="1:24" s="6" customFormat="1" ht="15.75" customHeight="1">
      <c r="A436" s="304" t="s">
        <v>61</v>
      </c>
      <c r="B436" s="304"/>
      <c r="C436" s="304"/>
      <c r="D436" s="82" t="s">
        <v>79</v>
      </c>
      <c r="E436" s="83" t="s">
        <v>78</v>
      </c>
      <c r="F436" s="83" t="s">
        <v>77</v>
      </c>
      <c r="G436" s="83" t="s">
        <v>76</v>
      </c>
      <c r="H436" s="83" t="s">
        <v>75</v>
      </c>
      <c r="I436" s="83" t="s">
        <v>74</v>
      </c>
      <c r="J436" s="83" t="s">
        <v>73</v>
      </c>
      <c r="K436" s="83" t="s">
        <v>72</v>
      </c>
      <c r="L436" s="83" t="s">
        <v>71</v>
      </c>
      <c r="M436" s="83" t="s">
        <v>70</v>
      </c>
      <c r="N436" s="83" t="s">
        <v>69</v>
      </c>
      <c r="O436" s="83" t="s">
        <v>68</v>
      </c>
      <c r="P436" s="83" t="s">
        <v>67</v>
      </c>
      <c r="Q436" s="83" t="s">
        <v>66</v>
      </c>
      <c r="R436" s="83" t="s">
        <v>65</v>
      </c>
      <c r="S436" s="83" t="s">
        <v>64</v>
      </c>
      <c r="T436" s="83" t="s">
        <v>63</v>
      </c>
      <c r="U436" s="84" t="s">
        <v>62</v>
      </c>
      <c r="V436" s="306" t="s">
        <v>61</v>
      </c>
      <c r="W436" s="304"/>
      <c r="X436" s="314"/>
    </row>
    <row r="437" spans="1:24" s="6" customFormat="1" ht="15.75" customHeight="1">
      <c r="A437" s="305"/>
      <c r="B437" s="305"/>
      <c r="C437" s="305"/>
      <c r="D437" s="85" t="s">
        <v>22</v>
      </c>
      <c r="E437" s="14" t="s">
        <v>60</v>
      </c>
      <c r="F437" s="14" t="s">
        <v>59</v>
      </c>
      <c r="G437" s="14" t="s">
        <v>58</v>
      </c>
      <c r="H437" s="14" t="s">
        <v>57</v>
      </c>
      <c r="I437" s="14" t="s">
        <v>56</v>
      </c>
      <c r="J437" s="14" t="s">
        <v>55</v>
      </c>
      <c r="K437" s="14" t="s">
        <v>54</v>
      </c>
      <c r="L437" s="14" t="s">
        <v>53</v>
      </c>
      <c r="M437" s="14" t="s">
        <v>52</v>
      </c>
      <c r="N437" s="14" t="s">
        <v>51</v>
      </c>
      <c r="O437" s="14" t="s">
        <v>50</v>
      </c>
      <c r="P437" s="14" t="s">
        <v>49</v>
      </c>
      <c r="Q437" s="14" t="s">
        <v>48</v>
      </c>
      <c r="R437" s="14" t="s">
        <v>47</v>
      </c>
      <c r="S437" s="14" t="s">
        <v>46</v>
      </c>
      <c r="T437" s="14" t="s">
        <v>45</v>
      </c>
      <c r="U437" s="13" t="s">
        <v>44</v>
      </c>
      <c r="V437" s="307"/>
      <c r="W437" s="305"/>
      <c r="X437" s="315"/>
    </row>
    <row r="438" spans="1:24" s="12" customFormat="1" ht="15.75" customHeight="1">
      <c r="A438" s="87" t="s">
        <v>226</v>
      </c>
      <c r="B438" s="87"/>
      <c r="C438" s="87"/>
      <c r="D438" s="88">
        <v>154832.46175707667</v>
      </c>
      <c r="E438" s="89">
        <v>0</v>
      </c>
      <c r="F438" s="89">
        <v>0</v>
      </c>
      <c r="G438" s="89">
        <v>0</v>
      </c>
      <c r="H438" s="89">
        <v>0</v>
      </c>
      <c r="I438" s="89">
        <v>0</v>
      </c>
      <c r="J438" s="89">
        <v>0</v>
      </c>
      <c r="K438" s="89">
        <v>0</v>
      </c>
      <c r="L438" s="89">
        <v>0</v>
      </c>
      <c r="M438" s="89">
        <v>61192.915578</v>
      </c>
      <c r="N438" s="89">
        <v>0</v>
      </c>
      <c r="O438" s="89">
        <v>0</v>
      </c>
      <c r="P438" s="90">
        <v>64172.163826666671</v>
      </c>
      <c r="Q438" s="90">
        <v>0</v>
      </c>
      <c r="R438" s="90">
        <v>0</v>
      </c>
      <c r="S438" s="90">
        <v>10636.481</v>
      </c>
      <c r="T438" s="90">
        <v>18830.901352410001</v>
      </c>
      <c r="U438" s="91">
        <v>0</v>
      </c>
      <c r="V438" s="87" t="s">
        <v>226</v>
      </c>
      <c r="W438" s="87"/>
      <c r="X438" s="87"/>
    </row>
    <row r="439" spans="1:24" s="12" customFormat="1" ht="15.75" customHeight="1">
      <c r="A439" s="87" t="s">
        <v>237</v>
      </c>
      <c r="B439" s="87"/>
      <c r="C439" s="87"/>
      <c r="D439" s="88">
        <v>410193.39784999995</v>
      </c>
      <c r="E439" s="89">
        <v>0</v>
      </c>
      <c r="F439" s="89">
        <v>0</v>
      </c>
      <c r="G439" s="89">
        <v>0</v>
      </c>
      <c r="H439" s="89">
        <v>0</v>
      </c>
      <c r="I439" s="89">
        <v>0</v>
      </c>
      <c r="J439" s="89">
        <v>0</v>
      </c>
      <c r="K439" s="89">
        <v>0</v>
      </c>
      <c r="L439" s="89">
        <v>0</v>
      </c>
      <c r="M439" s="89">
        <v>0</v>
      </c>
      <c r="N439" s="89">
        <v>0</v>
      </c>
      <c r="O439" s="89">
        <v>0</v>
      </c>
      <c r="P439" s="90">
        <v>299072.81999999995</v>
      </c>
      <c r="Q439" s="89">
        <v>0</v>
      </c>
      <c r="R439" s="89">
        <v>0</v>
      </c>
      <c r="S439" s="90">
        <v>22712.59028</v>
      </c>
      <c r="T439" s="90">
        <v>88407.987569999998</v>
      </c>
      <c r="U439" s="91"/>
      <c r="V439" s="87" t="s">
        <v>237</v>
      </c>
      <c r="W439" s="87"/>
      <c r="X439" s="87"/>
    </row>
    <row r="440" spans="1:24" s="12" customFormat="1" ht="15.75" customHeight="1">
      <c r="A440" s="86" t="s">
        <v>249</v>
      </c>
      <c r="B440" s="86"/>
      <c r="C440" s="87"/>
      <c r="D440" s="88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90"/>
      <c r="Q440" s="90"/>
      <c r="R440" s="90"/>
      <c r="S440" s="90"/>
      <c r="T440" s="90"/>
      <c r="U440" s="91"/>
      <c r="V440" s="86" t="s">
        <v>249</v>
      </c>
      <c r="W440" s="86"/>
      <c r="X440" s="87"/>
    </row>
    <row r="441" spans="1:24" s="12" customFormat="1" ht="15.75" customHeight="1">
      <c r="A441" s="220"/>
      <c r="B441" s="220" t="s">
        <v>85</v>
      </c>
      <c r="C441" s="221"/>
      <c r="D441" s="225">
        <v>249603.68521398681</v>
      </c>
      <c r="E441" s="226">
        <v>0</v>
      </c>
      <c r="F441" s="226">
        <v>0</v>
      </c>
      <c r="G441" s="226">
        <v>0</v>
      </c>
      <c r="H441" s="226">
        <v>0</v>
      </c>
      <c r="I441" s="226">
        <v>0</v>
      </c>
      <c r="J441" s="226">
        <v>0</v>
      </c>
      <c r="K441" s="226">
        <v>0</v>
      </c>
      <c r="L441" s="226">
        <v>0</v>
      </c>
      <c r="M441" s="226">
        <v>0</v>
      </c>
      <c r="N441" s="226">
        <v>0</v>
      </c>
      <c r="O441" s="226">
        <v>0</v>
      </c>
      <c r="P441" s="226">
        <v>190653.68521398681</v>
      </c>
      <c r="Q441" s="226">
        <v>0</v>
      </c>
      <c r="R441" s="226">
        <v>0</v>
      </c>
      <c r="S441" s="226">
        <v>2950</v>
      </c>
      <c r="T441" s="226">
        <v>56000</v>
      </c>
      <c r="U441" s="227">
        <v>0</v>
      </c>
      <c r="V441" s="220"/>
      <c r="W441" s="220" t="s">
        <v>85</v>
      </c>
      <c r="X441" s="221"/>
    </row>
    <row r="442" spans="1:24" s="12" customFormat="1" ht="15.75" customHeight="1">
      <c r="A442" s="220"/>
      <c r="B442" s="220" t="s">
        <v>87</v>
      </c>
      <c r="C442" s="221"/>
      <c r="D442" s="225">
        <v>18.2</v>
      </c>
      <c r="E442" s="226">
        <v>0</v>
      </c>
      <c r="F442" s="226">
        <v>0</v>
      </c>
      <c r="G442" s="226">
        <v>0</v>
      </c>
      <c r="H442" s="226">
        <v>0</v>
      </c>
      <c r="I442" s="226">
        <v>0</v>
      </c>
      <c r="J442" s="226">
        <v>0</v>
      </c>
      <c r="K442" s="226">
        <v>0</v>
      </c>
      <c r="L442" s="226">
        <v>0</v>
      </c>
      <c r="M442" s="226">
        <v>12.5</v>
      </c>
      <c r="N442" s="226">
        <v>0</v>
      </c>
      <c r="O442" s="226">
        <v>0</v>
      </c>
      <c r="P442" s="226">
        <v>5.7</v>
      </c>
      <c r="Q442" s="226">
        <v>0</v>
      </c>
      <c r="R442" s="226">
        <v>0</v>
      </c>
      <c r="S442" s="226">
        <v>0</v>
      </c>
      <c r="T442" s="226">
        <v>0</v>
      </c>
      <c r="U442" s="227">
        <v>0</v>
      </c>
      <c r="V442" s="220"/>
      <c r="W442" s="220" t="s">
        <v>87</v>
      </c>
      <c r="X442" s="221"/>
    </row>
    <row r="443" spans="1:24" s="6" customFormat="1" ht="15.75" customHeight="1">
      <c r="A443" s="9"/>
      <c r="B443" s="9"/>
      <c r="C443" s="243"/>
      <c r="D443" s="103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7"/>
      <c r="Q443" s="107"/>
      <c r="R443" s="107"/>
      <c r="S443" s="107"/>
      <c r="T443" s="107"/>
      <c r="U443" s="108"/>
      <c r="V443" s="9"/>
      <c r="W443" s="9"/>
      <c r="X443" s="243"/>
    </row>
    <row r="444" spans="1:24" s="6" customFormat="1" ht="15.75" customHeight="1">
      <c r="A444" s="86" t="s">
        <v>86</v>
      </c>
      <c r="B444" s="86"/>
      <c r="C444" s="230"/>
      <c r="D444" s="88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90"/>
      <c r="Q444" s="90"/>
      <c r="R444" s="90"/>
      <c r="S444" s="90"/>
      <c r="T444" s="90"/>
      <c r="U444" s="91"/>
      <c r="V444" s="86" t="s">
        <v>86</v>
      </c>
      <c r="W444" s="86"/>
      <c r="X444" s="230"/>
    </row>
    <row r="445" spans="1:24" s="12" customFormat="1" ht="15.75" customHeight="1">
      <c r="A445" s="9" t="s">
        <v>85</v>
      </c>
      <c r="C445" s="231" t="s">
        <v>229</v>
      </c>
      <c r="D445" s="103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0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104">
        <v>0</v>
      </c>
      <c r="Q445" s="104">
        <v>0</v>
      </c>
      <c r="R445" s="104">
        <v>0</v>
      </c>
      <c r="S445" s="104">
        <v>0</v>
      </c>
      <c r="T445" s="107">
        <v>0</v>
      </c>
      <c r="U445" s="108">
        <v>0</v>
      </c>
      <c r="V445" s="9" t="s">
        <v>85</v>
      </c>
      <c r="X445" s="231" t="s">
        <v>240</v>
      </c>
    </row>
    <row r="446" spans="1:24" s="6" customFormat="1" ht="15.75" customHeight="1">
      <c r="A446" s="9"/>
      <c r="B446" s="9"/>
      <c r="C446" s="231" t="s">
        <v>230</v>
      </c>
      <c r="D446" s="103">
        <v>20673.497143260542</v>
      </c>
      <c r="E446" s="104">
        <v>0</v>
      </c>
      <c r="F446" s="104">
        <v>0</v>
      </c>
      <c r="G446" s="104">
        <v>0</v>
      </c>
      <c r="H446" s="104">
        <v>0</v>
      </c>
      <c r="I446" s="104">
        <v>0</v>
      </c>
      <c r="J446" s="104">
        <v>0</v>
      </c>
      <c r="K446" s="104">
        <v>0</v>
      </c>
      <c r="L446" s="104">
        <v>0</v>
      </c>
      <c r="M446" s="104">
        <v>0</v>
      </c>
      <c r="N446" s="104">
        <v>0</v>
      </c>
      <c r="O446" s="104">
        <v>0</v>
      </c>
      <c r="P446" s="107">
        <v>20494.497143260542</v>
      </c>
      <c r="Q446" s="107">
        <v>0</v>
      </c>
      <c r="R446" s="107">
        <v>0</v>
      </c>
      <c r="S446" s="107">
        <v>179</v>
      </c>
      <c r="T446" s="107">
        <v>0</v>
      </c>
      <c r="U446" s="108">
        <v>0</v>
      </c>
      <c r="V446" s="9"/>
      <c r="W446" s="9"/>
      <c r="X446" s="231" t="s">
        <v>230</v>
      </c>
    </row>
    <row r="447" spans="1:24" s="6" customFormat="1" ht="15.75" customHeight="1">
      <c r="A447" s="9"/>
      <c r="B447" s="9"/>
      <c r="C447" s="231" t="s">
        <v>231</v>
      </c>
      <c r="D447" s="103">
        <v>44755</v>
      </c>
      <c r="E447" s="104">
        <v>0</v>
      </c>
      <c r="F447" s="104">
        <v>0</v>
      </c>
      <c r="G447" s="104">
        <v>0</v>
      </c>
      <c r="H447" s="104">
        <v>0</v>
      </c>
      <c r="I447" s="104">
        <v>0</v>
      </c>
      <c r="J447" s="104">
        <v>0</v>
      </c>
      <c r="K447" s="104">
        <v>0</v>
      </c>
      <c r="L447" s="104">
        <v>0</v>
      </c>
      <c r="M447" s="104">
        <v>0</v>
      </c>
      <c r="N447" s="104">
        <v>0</v>
      </c>
      <c r="O447" s="104">
        <v>0</v>
      </c>
      <c r="P447" s="107">
        <v>33635</v>
      </c>
      <c r="Q447" s="107">
        <v>0</v>
      </c>
      <c r="R447" s="107">
        <v>0</v>
      </c>
      <c r="S447" s="107">
        <v>0</v>
      </c>
      <c r="T447" s="107">
        <v>11120</v>
      </c>
      <c r="U447" s="108">
        <v>0</v>
      </c>
      <c r="V447" s="9"/>
      <c r="W447" s="9"/>
      <c r="X447" s="231" t="s">
        <v>231</v>
      </c>
    </row>
    <row r="448" spans="1:24" s="6" customFormat="1" ht="15.75" customHeight="1">
      <c r="A448" s="9"/>
      <c r="B448" s="9"/>
      <c r="C448" s="231"/>
      <c r="D448" s="103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7"/>
      <c r="Q448" s="107"/>
      <c r="R448" s="107"/>
      <c r="S448" s="107"/>
      <c r="T448" s="107"/>
      <c r="U448" s="108"/>
      <c r="V448" s="9"/>
      <c r="W448" s="9"/>
      <c r="X448" s="231"/>
    </row>
    <row r="449" spans="1:24" s="12" customFormat="1" ht="15.75" customHeight="1">
      <c r="A449" s="9" t="s">
        <v>87</v>
      </c>
      <c r="B449" s="9"/>
      <c r="C449" s="231" t="s">
        <v>240</v>
      </c>
      <c r="D449" s="103">
        <v>0</v>
      </c>
      <c r="E449" s="104">
        <v>0</v>
      </c>
      <c r="F449" s="104">
        <v>0</v>
      </c>
      <c r="G449" s="104">
        <v>0</v>
      </c>
      <c r="H449" s="104">
        <v>0</v>
      </c>
      <c r="I449" s="104">
        <v>0</v>
      </c>
      <c r="J449" s="104">
        <v>0</v>
      </c>
      <c r="K449" s="104">
        <v>0</v>
      </c>
      <c r="L449" s="104">
        <v>0</v>
      </c>
      <c r="M449" s="104">
        <v>0</v>
      </c>
      <c r="N449" s="104">
        <v>0</v>
      </c>
      <c r="O449" s="104">
        <v>0</v>
      </c>
      <c r="P449" s="104">
        <v>0</v>
      </c>
      <c r="Q449" s="104">
        <v>0</v>
      </c>
      <c r="R449" s="104">
        <v>0</v>
      </c>
      <c r="S449" s="104">
        <v>0</v>
      </c>
      <c r="T449" s="104">
        <v>0</v>
      </c>
      <c r="U449" s="178">
        <v>0</v>
      </c>
      <c r="V449" s="9" t="s">
        <v>87</v>
      </c>
      <c r="W449" s="9"/>
      <c r="X449" s="231" t="s">
        <v>240</v>
      </c>
    </row>
    <row r="450" spans="1:24" s="6" customFormat="1" ht="15.75" customHeight="1">
      <c r="A450" s="92"/>
      <c r="B450" s="92"/>
      <c r="C450" s="231" t="s">
        <v>230</v>
      </c>
      <c r="D450" s="115">
        <v>0</v>
      </c>
      <c r="E450" s="110">
        <v>0</v>
      </c>
      <c r="F450" s="110">
        <v>0</v>
      </c>
      <c r="G450" s="110">
        <v>0</v>
      </c>
      <c r="H450" s="110">
        <v>0</v>
      </c>
      <c r="I450" s="110">
        <v>0</v>
      </c>
      <c r="J450" s="110">
        <v>0</v>
      </c>
      <c r="K450" s="110">
        <v>0</v>
      </c>
      <c r="L450" s="110">
        <v>0</v>
      </c>
      <c r="M450" s="110">
        <v>0</v>
      </c>
      <c r="N450" s="110">
        <v>0</v>
      </c>
      <c r="O450" s="110">
        <v>0</v>
      </c>
      <c r="P450" s="110">
        <v>0</v>
      </c>
      <c r="Q450" s="110">
        <v>0</v>
      </c>
      <c r="R450" s="110">
        <v>0</v>
      </c>
      <c r="S450" s="110">
        <v>0</v>
      </c>
      <c r="T450" s="110">
        <v>0</v>
      </c>
      <c r="U450" s="261">
        <v>0</v>
      </c>
      <c r="V450" s="92"/>
      <c r="W450" s="92"/>
      <c r="X450" s="231" t="s">
        <v>230</v>
      </c>
    </row>
    <row r="451" spans="1:24" s="6" customFormat="1" ht="15.75" customHeight="1" thickBot="1">
      <c r="A451" s="92"/>
      <c r="B451" s="92"/>
      <c r="C451" s="231" t="s">
        <v>231</v>
      </c>
      <c r="D451" s="255">
        <v>0</v>
      </c>
      <c r="E451" s="256">
        <v>0</v>
      </c>
      <c r="F451" s="256">
        <v>0</v>
      </c>
      <c r="G451" s="256">
        <v>0</v>
      </c>
      <c r="H451" s="256">
        <v>0</v>
      </c>
      <c r="I451" s="256">
        <v>0</v>
      </c>
      <c r="J451" s="256">
        <v>0</v>
      </c>
      <c r="K451" s="256">
        <v>0</v>
      </c>
      <c r="L451" s="256">
        <v>0</v>
      </c>
      <c r="M451" s="256">
        <v>0</v>
      </c>
      <c r="N451" s="256">
        <v>0</v>
      </c>
      <c r="O451" s="256">
        <v>0</v>
      </c>
      <c r="P451" s="256">
        <v>0</v>
      </c>
      <c r="Q451" s="256">
        <v>0</v>
      </c>
      <c r="R451" s="256">
        <v>0</v>
      </c>
      <c r="S451" s="256">
        <v>0</v>
      </c>
      <c r="T451" s="256">
        <v>0</v>
      </c>
      <c r="U451" s="262">
        <v>0</v>
      </c>
      <c r="V451" s="92"/>
      <c r="W451" s="92"/>
      <c r="X451" s="231" t="s">
        <v>231</v>
      </c>
    </row>
    <row r="452" spans="1:24" s="6" customFormat="1" ht="15.75" customHeight="1">
      <c r="A452" s="260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</row>
    <row r="453" spans="1:24" s="6" customFormat="1" ht="15.75" customHeight="1">
      <c r="A453" s="7" t="s">
        <v>255</v>
      </c>
    </row>
    <row r="454" spans="1:24" s="6" customFormat="1" ht="15.75" customHeight="1">
      <c r="A454" s="7" t="s">
        <v>84</v>
      </c>
    </row>
    <row r="457" spans="1:24" s="6" customFormat="1" ht="18">
      <c r="A457" s="19" t="s">
        <v>92</v>
      </c>
      <c r="B457" s="26"/>
    </row>
    <row r="458" spans="1:24" s="6" customFormat="1" ht="15" thickBo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25"/>
    </row>
    <row r="459" spans="1:24" s="6" customFormat="1" ht="33" customHeight="1">
      <c r="A459" s="304" t="s">
        <v>61</v>
      </c>
      <c r="B459" s="304"/>
      <c r="C459" s="304"/>
      <c r="D459" s="82" t="s">
        <v>79</v>
      </c>
      <c r="E459" s="83" t="s">
        <v>78</v>
      </c>
      <c r="F459" s="83" t="s">
        <v>77</v>
      </c>
      <c r="G459" s="83" t="s">
        <v>76</v>
      </c>
      <c r="H459" s="83" t="s">
        <v>75</v>
      </c>
      <c r="I459" s="83" t="s">
        <v>74</v>
      </c>
      <c r="J459" s="83" t="s">
        <v>73</v>
      </c>
      <c r="K459" s="83" t="s">
        <v>72</v>
      </c>
      <c r="L459" s="83" t="s">
        <v>71</v>
      </c>
      <c r="M459" s="83" t="s">
        <v>70</v>
      </c>
      <c r="N459" s="83" t="s">
        <v>69</v>
      </c>
      <c r="O459" s="83" t="s">
        <v>68</v>
      </c>
      <c r="P459" s="83" t="s">
        <v>67</v>
      </c>
      <c r="Q459" s="83" t="s">
        <v>66</v>
      </c>
      <c r="R459" s="83" t="s">
        <v>65</v>
      </c>
      <c r="S459" s="83" t="s">
        <v>64</v>
      </c>
      <c r="T459" s="83" t="s">
        <v>63</v>
      </c>
      <c r="U459" s="84" t="s">
        <v>62</v>
      </c>
      <c r="V459" s="306" t="s">
        <v>61</v>
      </c>
      <c r="W459" s="304"/>
      <c r="X459" s="314"/>
    </row>
    <row r="460" spans="1:24" s="6" customFormat="1">
      <c r="A460" s="305"/>
      <c r="B460" s="305"/>
      <c r="C460" s="305"/>
      <c r="D460" s="85" t="s">
        <v>22</v>
      </c>
      <c r="E460" s="14" t="s">
        <v>60</v>
      </c>
      <c r="F460" s="14" t="s">
        <v>59</v>
      </c>
      <c r="G460" s="14" t="s">
        <v>58</v>
      </c>
      <c r="H460" s="14" t="s">
        <v>57</v>
      </c>
      <c r="I460" s="14" t="s">
        <v>56</v>
      </c>
      <c r="J460" s="14" t="s">
        <v>55</v>
      </c>
      <c r="K460" s="14" t="s">
        <v>54</v>
      </c>
      <c r="L460" s="14" t="s">
        <v>53</v>
      </c>
      <c r="M460" s="14" t="s">
        <v>52</v>
      </c>
      <c r="N460" s="14" t="s">
        <v>51</v>
      </c>
      <c r="O460" s="14" t="s">
        <v>50</v>
      </c>
      <c r="P460" s="14" t="s">
        <v>49</v>
      </c>
      <c r="Q460" s="14" t="s">
        <v>48</v>
      </c>
      <c r="R460" s="14" t="s">
        <v>47</v>
      </c>
      <c r="S460" s="14" t="s">
        <v>46</v>
      </c>
      <c r="T460" s="14" t="s">
        <v>45</v>
      </c>
      <c r="U460" s="13" t="s">
        <v>44</v>
      </c>
      <c r="V460" s="307"/>
      <c r="W460" s="305"/>
      <c r="X460" s="315"/>
    </row>
    <row r="461" spans="1:24" s="12" customFormat="1">
      <c r="A461" s="87" t="s">
        <v>226</v>
      </c>
      <c r="B461" s="87"/>
      <c r="C461" s="209"/>
      <c r="D461" s="88">
        <v>501406.32637735835</v>
      </c>
      <c r="E461" s="89">
        <v>0</v>
      </c>
      <c r="F461" s="89">
        <v>0</v>
      </c>
      <c r="G461" s="89">
        <v>0</v>
      </c>
      <c r="H461" s="89">
        <v>23594.433185999998</v>
      </c>
      <c r="I461" s="89">
        <v>0</v>
      </c>
      <c r="J461" s="89">
        <v>0</v>
      </c>
      <c r="K461" s="89">
        <v>0</v>
      </c>
      <c r="L461" s="89">
        <v>17682.399900900004</v>
      </c>
      <c r="M461" s="89">
        <v>100196.3833396495</v>
      </c>
      <c r="N461" s="89">
        <v>49816.839193632841</v>
      </c>
      <c r="O461" s="89">
        <v>1604.9801950000001</v>
      </c>
      <c r="P461" s="90">
        <v>169048.35225449124</v>
      </c>
      <c r="Q461" s="90">
        <v>130656.14233022902</v>
      </c>
      <c r="R461" s="90">
        <v>5900.6886907799999</v>
      </c>
      <c r="S461" s="90">
        <v>0</v>
      </c>
      <c r="T461" s="90">
        <v>2336.2961010479999</v>
      </c>
      <c r="U461" s="91">
        <v>569.81118562773702</v>
      </c>
      <c r="V461" s="87" t="s">
        <v>226</v>
      </c>
      <c r="W461" s="87"/>
      <c r="X461" s="209"/>
    </row>
    <row r="462" spans="1:24" s="12" customFormat="1">
      <c r="A462" s="87" t="s">
        <v>237</v>
      </c>
      <c r="B462" s="87"/>
      <c r="C462" s="87"/>
      <c r="D462" s="88">
        <v>1983916.1252470072</v>
      </c>
      <c r="E462" s="89">
        <v>0</v>
      </c>
      <c r="F462" s="89">
        <v>0</v>
      </c>
      <c r="G462" s="89">
        <v>0</v>
      </c>
      <c r="H462" s="89">
        <v>54639.496936999996</v>
      </c>
      <c r="I462" s="89">
        <v>0</v>
      </c>
      <c r="J462" s="89">
        <v>0</v>
      </c>
      <c r="K462" s="89">
        <v>0</v>
      </c>
      <c r="L462" s="89">
        <v>25789.813948348899</v>
      </c>
      <c r="M462" s="89">
        <v>238056.13637816999</v>
      </c>
      <c r="N462" s="89">
        <v>233881.87414851098</v>
      </c>
      <c r="O462" s="89">
        <v>0</v>
      </c>
      <c r="P462" s="90">
        <v>992261.84787308564</v>
      </c>
      <c r="Q462" s="90">
        <v>407365.85372031556</v>
      </c>
      <c r="R462" s="90">
        <v>18277.406060000001</v>
      </c>
      <c r="S462" s="90">
        <v>0</v>
      </c>
      <c r="T462" s="90">
        <v>10968.526296</v>
      </c>
      <c r="U462" s="91">
        <v>2675.1698855762302</v>
      </c>
      <c r="V462" s="87" t="s">
        <v>237</v>
      </c>
      <c r="W462" s="87"/>
      <c r="X462" s="87"/>
    </row>
    <row r="463" spans="1:24" s="12" customFormat="1">
      <c r="A463" s="86" t="s">
        <v>249</v>
      </c>
      <c r="B463" s="86"/>
      <c r="C463" s="87"/>
      <c r="D463" s="88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90"/>
      <c r="Q463" s="90"/>
      <c r="R463" s="90"/>
      <c r="S463" s="90"/>
      <c r="T463" s="90"/>
      <c r="U463" s="91"/>
      <c r="V463" s="86" t="s">
        <v>249</v>
      </c>
      <c r="W463" s="86"/>
      <c r="X463" s="87"/>
    </row>
    <row r="464" spans="1:24" s="12" customFormat="1">
      <c r="A464" s="220"/>
      <c r="B464" s="220" t="s">
        <v>85</v>
      </c>
      <c r="C464" s="221"/>
      <c r="D464" s="225">
        <v>563889.51523291576</v>
      </c>
      <c r="E464" s="226">
        <v>0</v>
      </c>
      <c r="F464" s="226">
        <v>0</v>
      </c>
      <c r="G464" s="226">
        <v>0</v>
      </c>
      <c r="H464" s="226">
        <v>11330</v>
      </c>
      <c r="I464" s="226">
        <v>0</v>
      </c>
      <c r="J464" s="226">
        <v>0</v>
      </c>
      <c r="K464" s="226">
        <v>0</v>
      </c>
      <c r="L464" s="226">
        <v>5000</v>
      </c>
      <c r="M464" s="226">
        <v>58635.359971943399</v>
      </c>
      <c r="N464" s="226">
        <v>78325.306573914859</v>
      </c>
      <c r="O464" s="226">
        <v>0</v>
      </c>
      <c r="P464" s="226">
        <v>263192.97702818143</v>
      </c>
      <c r="Q464" s="226">
        <v>61684.221161676236</v>
      </c>
      <c r="R464" s="226">
        <v>18767.25930273284</v>
      </c>
      <c r="S464" s="226">
        <v>0</v>
      </c>
      <c r="T464" s="226">
        <v>65900</v>
      </c>
      <c r="U464" s="227">
        <v>1054.3911944670083</v>
      </c>
      <c r="V464" s="220"/>
      <c r="W464" s="220" t="s">
        <v>85</v>
      </c>
      <c r="X464" s="221"/>
    </row>
    <row r="465" spans="1:24" s="12" customFormat="1">
      <c r="A465" s="220"/>
      <c r="B465" s="220" t="s">
        <v>87</v>
      </c>
      <c r="C465" s="221"/>
      <c r="D465" s="225">
        <v>869.4</v>
      </c>
      <c r="E465" s="226">
        <v>0</v>
      </c>
      <c r="F465" s="226">
        <v>0</v>
      </c>
      <c r="G465" s="226">
        <v>0</v>
      </c>
      <c r="H465" s="226">
        <v>80</v>
      </c>
      <c r="I465" s="226">
        <v>0</v>
      </c>
      <c r="J465" s="226">
        <v>0</v>
      </c>
      <c r="K465" s="226">
        <v>0</v>
      </c>
      <c r="L465" s="226">
        <v>34</v>
      </c>
      <c r="M465" s="226">
        <v>337</v>
      </c>
      <c r="N465" s="226">
        <v>114</v>
      </c>
      <c r="O465" s="226">
        <v>30</v>
      </c>
      <c r="P465" s="226">
        <v>170.4</v>
      </c>
      <c r="Q465" s="226">
        <v>97</v>
      </c>
      <c r="R465" s="226">
        <v>7</v>
      </c>
      <c r="S465" s="226">
        <v>0</v>
      </c>
      <c r="T465" s="226">
        <v>0</v>
      </c>
      <c r="U465" s="227">
        <v>0</v>
      </c>
      <c r="V465" s="220"/>
      <c r="W465" s="220" t="s">
        <v>87</v>
      </c>
      <c r="X465" s="221"/>
    </row>
    <row r="466" spans="1:24" s="6" customFormat="1">
      <c r="A466" s="9"/>
      <c r="B466" s="9"/>
      <c r="C466" s="243"/>
      <c r="D466" s="103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7"/>
      <c r="Q466" s="107"/>
      <c r="R466" s="107"/>
      <c r="S466" s="107"/>
      <c r="T466" s="107"/>
      <c r="U466" s="108"/>
      <c r="V466" s="9"/>
      <c r="W466" s="9"/>
      <c r="X466" s="243"/>
    </row>
    <row r="467" spans="1:24" s="6" customFormat="1">
      <c r="A467" s="86" t="s">
        <v>86</v>
      </c>
      <c r="B467" s="86"/>
      <c r="C467" s="230"/>
      <c r="D467" s="88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90"/>
      <c r="Q467" s="90"/>
      <c r="R467" s="90"/>
      <c r="S467" s="90"/>
      <c r="T467" s="90"/>
      <c r="U467" s="91"/>
      <c r="V467" s="86" t="s">
        <v>86</v>
      </c>
      <c r="W467" s="86"/>
      <c r="X467" s="230"/>
    </row>
    <row r="468" spans="1:24" s="12" customFormat="1">
      <c r="A468" s="9" t="s">
        <v>85</v>
      </c>
      <c r="C468" s="231" t="s">
        <v>240</v>
      </c>
      <c r="D468" s="103">
        <v>145349.05446527401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135449.05446527401</v>
      </c>
      <c r="Q468" s="104">
        <v>0</v>
      </c>
      <c r="R468" s="104">
        <v>0</v>
      </c>
      <c r="S468" s="104">
        <v>0</v>
      </c>
      <c r="T468" s="104">
        <v>9900</v>
      </c>
      <c r="U468" s="108">
        <v>0</v>
      </c>
      <c r="V468" s="9" t="s">
        <v>85</v>
      </c>
      <c r="X468" s="231" t="s">
        <v>240</v>
      </c>
    </row>
    <row r="469" spans="1:24" s="6" customFormat="1">
      <c r="A469" s="9"/>
      <c r="B469" s="9"/>
      <c r="C469" s="231" t="s">
        <v>230</v>
      </c>
      <c r="D469" s="103">
        <v>113229.39514693592</v>
      </c>
      <c r="E469" s="104">
        <v>0</v>
      </c>
      <c r="F469" s="104">
        <v>0</v>
      </c>
      <c r="G469" s="104">
        <v>0</v>
      </c>
      <c r="H469" s="104">
        <v>7970</v>
      </c>
      <c r="I469" s="104">
        <v>0</v>
      </c>
      <c r="J469" s="104">
        <v>0</v>
      </c>
      <c r="K469" s="104">
        <v>0</v>
      </c>
      <c r="L469" s="104">
        <v>0</v>
      </c>
      <c r="M469" s="104">
        <v>16990</v>
      </c>
      <c r="N469" s="104">
        <v>0</v>
      </c>
      <c r="O469" s="104">
        <v>0</v>
      </c>
      <c r="P469" s="107">
        <v>0</v>
      </c>
      <c r="Q469" s="107">
        <v>2473.144397493475</v>
      </c>
      <c r="R469" s="107">
        <v>2005.2507494424349</v>
      </c>
      <c r="S469" s="107">
        <v>0</v>
      </c>
      <c r="T469" s="107">
        <v>83791</v>
      </c>
      <c r="U469" s="108">
        <v>0</v>
      </c>
      <c r="V469" s="9"/>
      <c r="W469" s="9"/>
      <c r="X469" s="231" t="s">
        <v>230</v>
      </c>
    </row>
    <row r="470" spans="1:24" s="6" customFormat="1">
      <c r="A470" s="9"/>
      <c r="B470" s="9"/>
      <c r="C470" s="231" t="s">
        <v>231</v>
      </c>
      <c r="D470" s="103">
        <v>27665.146331102093</v>
      </c>
      <c r="E470" s="104">
        <v>0</v>
      </c>
      <c r="F470" s="104">
        <v>0</v>
      </c>
      <c r="G470" s="104">
        <v>0</v>
      </c>
      <c r="H470" s="104">
        <v>0</v>
      </c>
      <c r="I470" s="104">
        <v>0</v>
      </c>
      <c r="J470" s="104">
        <v>0</v>
      </c>
      <c r="K470" s="104">
        <v>0</v>
      </c>
      <c r="L470" s="104">
        <v>0</v>
      </c>
      <c r="M470" s="104">
        <v>0</v>
      </c>
      <c r="N470" s="104">
        <v>0</v>
      </c>
      <c r="O470" s="104">
        <v>0</v>
      </c>
      <c r="P470" s="107">
        <v>26673.146331102093</v>
      </c>
      <c r="Q470" s="107">
        <v>488</v>
      </c>
      <c r="R470" s="107">
        <v>41</v>
      </c>
      <c r="S470" s="107">
        <v>0</v>
      </c>
      <c r="T470" s="107">
        <v>463</v>
      </c>
      <c r="U470" s="108">
        <v>0</v>
      </c>
      <c r="V470" s="9"/>
      <c r="W470" s="9"/>
      <c r="X470" s="231" t="s">
        <v>231</v>
      </c>
    </row>
    <row r="471" spans="1:24" s="6" customFormat="1">
      <c r="A471" s="9"/>
      <c r="B471" s="12"/>
      <c r="C471" s="9"/>
      <c r="D471" s="103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7"/>
      <c r="Q471" s="107"/>
      <c r="R471" s="107"/>
      <c r="S471" s="107"/>
      <c r="T471" s="107"/>
      <c r="U471" s="108"/>
      <c r="V471" s="9"/>
      <c r="W471" s="12"/>
      <c r="X471" s="9"/>
    </row>
    <row r="472" spans="1:24" s="12" customFormat="1">
      <c r="A472" s="9" t="s">
        <v>87</v>
      </c>
      <c r="C472" s="231" t="s">
        <v>229</v>
      </c>
      <c r="D472" s="103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7">
        <v>0</v>
      </c>
      <c r="Q472" s="107">
        <v>0</v>
      </c>
      <c r="R472" s="107">
        <v>0</v>
      </c>
      <c r="S472" s="107">
        <v>0</v>
      </c>
      <c r="T472" s="107">
        <v>0</v>
      </c>
      <c r="U472" s="108">
        <v>0</v>
      </c>
      <c r="V472" s="9" t="s">
        <v>87</v>
      </c>
      <c r="X472" s="231" t="s">
        <v>240</v>
      </c>
    </row>
    <row r="473" spans="1:24" s="6" customFormat="1">
      <c r="A473" s="92"/>
      <c r="B473" s="92"/>
      <c r="C473" s="231" t="s">
        <v>230</v>
      </c>
      <c r="D473" s="115">
        <v>0</v>
      </c>
      <c r="E473" s="110">
        <v>0</v>
      </c>
      <c r="F473" s="110">
        <v>0</v>
      </c>
      <c r="G473" s="110">
        <v>0</v>
      </c>
      <c r="H473" s="110">
        <v>0</v>
      </c>
      <c r="I473" s="110">
        <v>0</v>
      </c>
      <c r="J473" s="110">
        <v>0</v>
      </c>
      <c r="K473" s="110">
        <v>0</v>
      </c>
      <c r="L473" s="110">
        <v>0</v>
      </c>
      <c r="M473" s="110">
        <v>0</v>
      </c>
      <c r="N473" s="110">
        <v>0</v>
      </c>
      <c r="O473" s="110">
        <v>0</v>
      </c>
      <c r="P473" s="113">
        <v>0</v>
      </c>
      <c r="Q473" s="113">
        <v>0</v>
      </c>
      <c r="R473" s="113">
        <v>0</v>
      </c>
      <c r="S473" s="113">
        <v>0</v>
      </c>
      <c r="T473" s="113">
        <v>0</v>
      </c>
      <c r="U473" s="114">
        <v>0</v>
      </c>
      <c r="V473" s="92"/>
      <c r="W473" s="92"/>
      <c r="X473" s="231" t="s">
        <v>230</v>
      </c>
    </row>
    <row r="474" spans="1:24" s="6" customFormat="1" ht="15" thickBot="1">
      <c r="A474" s="92"/>
      <c r="B474" s="92"/>
      <c r="C474" s="231" t="s">
        <v>231</v>
      </c>
      <c r="D474" s="255">
        <v>20</v>
      </c>
      <c r="E474" s="256">
        <v>0</v>
      </c>
      <c r="F474" s="256">
        <v>0</v>
      </c>
      <c r="G474" s="256">
        <v>0</v>
      </c>
      <c r="H474" s="256">
        <v>0</v>
      </c>
      <c r="I474" s="256">
        <v>0</v>
      </c>
      <c r="J474" s="256">
        <v>0</v>
      </c>
      <c r="K474" s="256">
        <v>0</v>
      </c>
      <c r="L474" s="256">
        <v>0</v>
      </c>
      <c r="M474" s="256">
        <v>0</v>
      </c>
      <c r="N474" s="256">
        <v>0</v>
      </c>
      <c r="O474" s="256">
        <v>0</v>
      </c>
      <c r="P474" s="257">
        <v>0</v>
      </c>
      <c r="Q474" s="257">
        <v>20</v>
      </c>
      <c r="R474" s="257">
        <v>0</v>
      </c>
      <c r="S474" s="257">
        <v>0</v>
      </c>
      <c r="T474" s="257">
        <v>0</v>
      </c>
      <c r="U474" s="258">
        <v>0</v>
      </c>
      <c r="V474" s="92"/>
      <c r="W474" s="92"/>
      <c r="X474" s="231" t="s">
        <v>231</v>
      </c>
    </row>
    <row r="475" spans="1:24" s="6" customFormat="1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  <c r="W475" s="263"/>
      <c r="X475" s="263"/>
    </row>
    <row r="476" spans="1:24" s="6" customFormat="1">
      <c r="A476" s="7" t="s">
        <v>255</v>
      </c>
    </row>
    <row r="477" spans="1:24" s="6" customFormat="1">
      <c r="A477" s="7" t="s">
        <v>84</v>
      </c>
    </row>
    <row r="478" spans="1:24" s="6" customFormat="1">
      <c r="A478" s="7" t="s">
        <v>91</v>
      </c>
    </row>
    <row r="481" spans="1:24" s="19" customFormat="1" ht="18">
      <c r="A481" s="19" t="s">
        <v>90</v>
      </c>
    </row>
    <row r="482" spans="1:24" s="6" customFormat="1" ht="15.75" customHeight="1" thickBo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25"/>
    </row>
    <row r="483" spans="1:24" s="6" customFormat="1" ht="15.75" customHeight="1">
      <c r="A483" s="304" t="s">
        <v>61</v>
      </c>
      <c r="B483" s="304"/>
      <c r="C483" s="304"/>
      <c r="D483" s="82" t="s">
        <v>79</v>
      </c>
      <c r="E483" s="83" t="s">
        <v>78</v>
      </c>
      <c r="F483" s="83" t="s">
        <v>77</v>
      </c>
      <c r="G483" s="83" t="s">
        <v>76</v>
      </c>
      <c r="H483" s="83" t="s">
        <v>75</v>
      </c>
      <c r="I483" s="83" t="s">
        <v>74</v>
      </c>
      <c r="J483" s="83" t="s">
        <v>73</v>
      </c>
      <c r="K483" s="83" t="s">
        <v>72</v>
      </c>
      <c r="L483" s="83" t="s">
        <v>71</v>
      </c>
      <c r="M483" s="83" t="s">
        <v>70</v>
      </c>
      <c r="N483" s="83" t="s">
        <v>69</v>
      </c>
      <c r="O483" s="83" t="s">
        <v>68</v>
      </c>
      <c r="P483" s="83" t="s">
        <v>67</v>
      </c>
      <c r="Q483" s="83" t="s">
        <v>66</v>
      </c>
      <c r="R483" s="83" t="s">
        <v>65</v>
      </c>
      <c r="S483" s="83" t="s">
        <v>64</v>
      </c>
      <c r="T483" s="83" t="s">
        <v>63</v>
      </c>
      <c r="U483" s="84" t="s">
        <v>62</v>
      </c>
      <c r="V483" s="306" t="s">
        <v>61</v>
      </c>
      <c r="W483" s="304"/>
      <c r="X483" s="314"/>
    </row>
    <row r="484" spans="1:24" s="6" customFormat="1" ht="15.75" customHeight="1">
      <c r="A484" s="305"/>
      <c r="B484" s="305"/>
      <c r="C484" s="305"/>
      <c r="D484" s="264" t="s">
        <v>22</v>
      </c>
      <c r="E484" s="265" t="s">
        <v>60</v>
      </c>
      <c r="F484" s="265" t="s">
        <v>59</v>
      </c>
      <c r="G484" s="265" t="s">
        <v>58</v>
      </c>
      <c r="H484" s="265" t="s">
        <v>57</v>
      </c>
      <c r="I484" s="265" t="s">
        <v>56</v>
      </c>
      <c r="J484" s="265" t="s">
        <v>55</v>
      </c>
      <c r="K484" s="265" t="s">
        <v>54</v>
      </c>
      <c r="L484" s="265" t="s">
        <v>53</v>
      </c>
      <c r="M484" s="265" t="s">
        <v>52</v>
      </c>
      <c r="N484" s="265" t="s">
        <v>51</v>
      </c>
      <c r="O484" s="265" t="s">
        <v>50</v>
      </c>
      <c r="P484" s="265" t="s">
        <v>49</v>
      </c>
      <c r="Q484" s="265" t="s">
        <v>48</v>
      </c>
      <c r="R484" s="265" t="s">
        <v>47</v>
      </c>
      <c r="S484" s="265" t="s">
        <v>46</v>
      </c>
      <c r="T484" s="265" t="s">
        <v>45</v>
      </c>
      <c r="U484" s="266" t="s">
        <v>44</v>
      </c>
      <c r="V484" s="307"/>
      <c r="W484" s="305"/>
      <c r="X484" s="315"/>
    </row>
    <row r="485" spans="1:24" s="12" customFormat="1" ht="15.75" customHeight="1">
      <c r="A485" s="87" t="s">
        <v>226</v>
      </c>
      <c r="B485" s="87"/>
      <c r="C485" s="87"/>
      <c r="D485" s="88">
        <v>408559.38177238568</v>
      </c>
      <c r="E485" s="89">
        <v>0</v>
      </c>
      <c r="F485" s="89">
        <v>0</v>
      </c>
      <c r="G485" s="89">
        <v>0</v>
      </c>
      <c r="H485" s="89">
        <v>0</v>
      </c>
      <c r="I485" s="89">
        <v>0</v>
      </c>
      <c r="J485" s="89">
        <v>0</v>
      </c>
      <c r="K485" s="89">
        <v>118957.71436896001</v>
      </c>
      <c r="L485" s="89">
        <v>0</v>
      </c>
      <c r="M485" s="89">
        <v>0</v>
      </c>
      <c r="N485" s="89">
        <v>0</v>
      </c>
      <c r="O485" s="89">
        <v>0</v>
      </c>
      <c r="P485" s="90">
        <v>0</v>
      </c>
      <c r="Q485" s="90">
        <v>0</v>
      </c>
      <c r="R485" s="90">
        <v>0</v>
      </c>
      <c r="S485" s="90">
        <v>0</v>
      </c>
      <c r="T485" s="90">
        <v>0</v>
      </c>
      <c r="U485" s="91">
        <v>289601.66740342567</v>
      </c>
      <c r="V485" s="87" t="s">
        <v>226</v>
      </c>
      <c r="W485" s="87"/>
      <c r="X485" s="87"/>
    </row>
    <row r="486" spans="1:24" s="12" customFormat="1" ht="15.75" customHeight="1">
      <c r="A486" s="87" t="s">
        <v>237</v>
      </c>
      <c r="B486" s="87"/>
      <c r="C486" s="87"/>
      <c r="D486" s="88">
        <v>1918119.1632506372</v>
      </c>
      <c r="E486" s="89">
        <v>0</v>
      </c>
      <c r="F486" s="89">
        <v>0</v>
      </c>
      <c r="G486" s="89">
        <v>0</v>
      </c>
      <c r="H486" s="89">
        <v>0</v>
      </c>
      <c r="I486" s="89">
        <v>0</v>
      </c>
      <c r="J486" s="89">
        <v>0</v>
      </c>
      <c r="K486" s="89">
        <v>558486.92191999999</v>
      </c>
      <c r="L486" s="89">
        <v>0</v>
      </c>
      <c r="M486" s="89">
        <v>0</v>
      </c>
      <c r="N486" s="89">
        <v>0</v>
      </c>
      <c r="O486" s="89">
        <v>0</v>
      </c>
      <c r="P486" s="90">
        <v>0</v>
      </c>
      <c r="Q486" s="90">
        <v>0</v>
      </c>
      <c r="R486" s="90">
        <v>0</v>
      </c>
      <c r="S486" s="90">
        <v>0</v>
      </c>
      <c r="T486" s="90">
        <v>0</v>
      </c>
      <c r="U486" s="91">
        <v>1359632.2413306371</v>
      </c>
      <c r="V486" s="87" t="s">
        <v>237</v>
      </c>
      <c r="W486" s="87"/>
      <c r="X486" s="87"/>
    </row>
    <row r="487" spans="1:24" s="12" customFormat="1" ht="15.75" customHeight="1">
      <c r="A487" s="86" t="s">
        <v>249</v>
      </c>
      <c r="B487" s="86"/>
      <c r="C487" s="87"/>
      <c r="D487" s="88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90"/>
      <c r="Q487" s="90"/>
      <c r="R487" s="90"/>
      <c r="S487" s="90"/>
      <c r="T487" s="90"/>
      <c r="U487" s="91"/>
      <c r="V487" s="86" t="s">
        <v>249</v>
      </c>
      <c r="W487" s="86"/>
      <c r="X487" s="87"/>
    </row>
    <row r="488" spans="1:24" s="12" customFormat="1" ht="15.75" customHeight="1">
      <c r="A488" s="220"/>
      <c r="B488" s="220" t="s">
        <v>85</v>
      </c>
      <c r="C488" s="221"/>
      <c r="D488" s="225">
        <v>950350</v>
      </c>
      <c r="E488" s="226">
        <v>0</v>
      </c>
      <c r="F488" s="226">
        <v>0</v>
      </c>
      <c r="G488" s="226">
        <v>4350</v>
      </c>
      <c r="H488" s="226">
        <v>0</v>
      </c>
      <c r="I488" s="226">
        <v>0</v>
      </c>
      <c r="J488" s="226">
        <v>0</v>
      </c>
      <c r="K488" s="226">
        <v>526000</v>
      </c>
      <c r="L488" s="226">
        <v>0</v>
      </c>
      <c r="M488" s="226">
        <v>70000</v>
      </c>
      <c r="N488" s="226">
        <v>0</v>
      </c>
      <c r="O488" s="226">
        <v>0</v>
      </c>
      <c r="P488" s="226">
        <v>0</v>
      </c>
      <c r="Q488" s="226">
        <v>0</v>
      </c>
      <c r="R488" s="226">
        <v>0</v>
      </c>
      <c r="S488" s="226">
        <v>0</v>
      </c>
      <c r="T488" s="226">
        <v>0</v>
      </c>
      <c r="U488" s="227">
        <v>350000</v>
      </c>
      <c r="V488" s="220"/>
      <c r="W488" s="220" t="s">
        <v>85</v>
      </c>
      <c r="X488" s="221"/>
    </row>
    <row r="489" spans="1:24" s="12" customFormat="1" ht="15.75" customHeight="1">
      <c r="A489" s="9"/>
      <c r="B489" s="9"/>
      <c r="C489" s="243"/>
      <c r="D489" s="103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7"/>
      <c r="Q489" s="107"/>
      <c r="R489" s="107"/>
      <c r="S489" s="107"/>
      <c r="T489" s="107"/>
      <c r="U489" s="108"/>
      <c r="V489" s="9"/>
      <c r="W489" s="9"/>
      <c r="X489" s="243"/>
    </row>
    <row r="490" spans="1:24" s="12" customFormat="1" ht="15.75" customHeight="1">
      <c r="A490" s="86" t="s">
        <v>86</v>
      </c>
      <c r="B490" s="86"/>
      <c r="C490" s="230"/>
      <c r="D490" s="88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90"/>
      <c r="Q490" s="90"/>
      <c r="R490" s="90"/>
      <c r="S490" s="90"/>
      <c r="T490" s="90"/>
      <c r="U490" s="91"/>
      <c r="V490" s="86" t="s">
        <v>86</v>
      </c>
      <c r="W490" s="86"/>
      <c r="X490" s="230"/>
    </row>
    <row r="491" spans="1:24" s="12" customFormat="1" ht="15.75" customHeight="1">
      <c r="A491" s="9" t="s">
        <v>85</v>
      </c>
      <c r="C491" s="231" t="s">
        <v>229</v>
      </c>
      <c r="D491" s="103">
        <v>0</v>
      </c>
      <c r="E491" s="104">
        <v>0</v>
      </c>
      <c r="F491" s="104">
        <v>0</v>
      </c>
      <c r="G491" s="104">
        <v>0</v>
      </c>
      <c r="H491" s="104">
        <v>0</v>
      </c>
      <c r="I491" s="104">
        <v>0</v>
      </c>
      <c r="J491" s="104">
        <v>0</v>
      </c>
      <c r="K491" s="104">
        <v>0</v>
      </c>
      <c r="L491" s="104">
        <v>0</v>
      </c>
      <c r="M491" s="104">
        <v>0</v>
      </c>
      <c r="N491" s="104">
        <v>0</v>
      </c>
      <c r="O491" s="104">
        <v>0</v>
      </c>
      <c r="P491" s="107">
        <v>0</v>
      </c>
      <c r="Q491" s="104">
        <v>0</v>
      </c>
      <c r="R491" s="104">
        <v>0</v>
      </c>
      <c r="S491" s="104">
        <v>0</v>
      </c>
      <c r="T491" s="104">
        <v>0</v>
      </c>
      <c r="U491" s="108">
        <v>0</v>
      </c>
      <c r="V491" s="9" t="s">
        <v>85</v>
      </c>
      <c r="X491" s="231" t="s">
        <v>240</v>
      </c>
    </row>
    <row r="492" spans="1:24" s="12" customFormat="1" ht="15.75" customHeight="1">
      <c r="A492" s="9"/>
      <c r="B492" s="9"/>
      <c r="C492" s="231" t="s">
        <v>230</v>
      </c>
      <c r="D492" s="103">
        <v>100000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7">
        <v>0</v>
      </c>
      <c r="Q492" s="104">
        <v>0</v>
      </c>
      <c r="R492" s="104">
        <v>0</v>
      </c>
      <c r="S492" s="104">
        <v>0</v>
      </c>
      <c r="T492" s="104">
        <v>0</v>
      </c>
      <c r="U492" s="108">
        <v>100000</v>
      </c>
      <c r="V492" s="9"/>
      <c r="W492" s="9"/>
      <c r="X492" s="231" t="s">
        <v>230</v>
      </c>
    </row>
    <row r="493" spans="1:24" s="6" customFormat="1" ht="15.75" customHeight="1" thickBot="1">
      <c r="A493" s="92"/>
      <c r="B493" s="92"/>
      <c r="C493" s="231" t="s">
        <v>231</v>
      </c>
      <c r="D493" s="267">
        <v>620000</v>
      </c>
      <c r="E493" s="268">
        <v>0</v>
      </c>
      <c r="F493" s="268">
        <v>0</v>
      </c>
      <c r="G493" s="268">
        <v>0</v>
      </c>
      <c r="H493" s="268">
        <v>0</v>
      </c>
      <c r="I493" s="268">
        <v>0</v>
      </c>
      <c r="J493" s="268">
        <v>0</v>
      </c>
      <c r="K493" s="268">
        <v>545000</v>
      </c>
      <c r="L493" s="268">
        <v>0</v>
      </c>
      <c r="M493" s="268">
        <v>0</v>
      </c>
      <c r="N493" s="268">
        <v>0</v>
      </c>
      <c r="O493" s="268">
        <v>0</v>
      </c>
      <c r="P493" s="113">
        <v>0</v>
      </c>
      <c r="Q493" s="268">
        <v>0</v>
      </c>
      <c r="R493" s="268">
        <v>0</v>
      </c>
      <c r="S493" s="268">
        <v>0</v>
      </c>
      <c r="T493" s="268">
        <v>0</v>
      </c>
      <c r="U493" s="114">
        <v>75000</v>
      </c>
      <c r="V493" s="92"/>
      <c r="W493" s="92"/>
      <c r="X493" s="231" t="s">
        <v>231</v>
      </c>
    </row>
    <row r="494" spans="1:24" s="6" customFormat="1" ht="15.75" customHeight="1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  <c r="W494" s="263"/>
      <c r="X494" s="263"/>
    </row>
    <row r="495" spans="1:24" s="7" customFormat="1" ht="15.75" customHeight="1">
      <c r="A495" s="7" t="s">
        <v>255</v>
      </c>
    </row>
    <row r="496" spans="1:24" s="7" customFormat="1" ht="15.75" customHeight="1">
      <c r="A496" s="7" t="s">
        <v>84</v>
      </c>
    </row>
    <row r="499" spans="1:24" s="6" customFormat="1" ht="18">
      <c r="A499" s="19" t="s">
        <v>209</v>
      </c>
      <c r="B499" s="26"/>
    </row>
    <row r="500" spans="1:24" s="6" customFormat="1" ht="15.75" customHeight="1" thickBo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25"/>
    </row>
    <row r="501" spans="1:24" s="6" customFormat="1" ht="15.75" customHeight="1">
      <c r="A501" s="304" t="s">
        <v>61</v>
      </c>
      <c r="B501" s="304"/>
      <c r="C501" s="304"/>
      <c r="D501" s="82" t="s">
        <v>79</v>
      </c>
      <c r="E501" s="83" t="s">
        <v>78</v>
      </c>
      <c r="F501" s="83" t="s">
        <v>77</v>
      </c>
      <c r="G501" s="83" t="s">
        <v>76</v>
      </c>
      <c r="H501" s="83" t="s">
        <v>75</v>
      </c>
      <c r="I501" s="83" t="s">
        <v>74</v>
      </c>
      <c r="J501" s="83" t="s">
        <v>73</v>
      </c>
      <c r="K501" s="83" t="s">
        <v>72</v>
      </c>
      <c r="L501" s="83" t="s">
        <v>71</v>
      </c>
      <c r="M501" s="83" t="s">
        <v>70</v>
      </c>
      <c r="N501" s="83" t="s">
        <v>69</v>
      </c>
      <c r="O501" s="83" t="s">
        <v>68</v>
      </c>
      <c r="P501" s="83" t="s">
        <v>67</v>
      </c>
      <c r="Q501" s="83" t="s">
        <v>66</v>
      </c>
      <c r="R501" s="83" t="s">
        <v>65</v>
      </c>
      <c r="S501" s="83" t="s">
        <v>64</v>
      </c>
      <c r="T501" s="83" t="s">
        <v>63</v>
      </c>
      <c r="U501" s="84" t="s">
        <v>62</v>
      </c>
      <c r="V501" s="306" t="s">
        <v>61</v>
      </c>
      <c r="W501" s="304"/>
      <c r="X501" s="304"/>
    </row>
    <row r="502" spans="1:24" s="6" customFormat="1" ht="15.75" customHeight="1">
      <c r="A502" s="305"/>
      <c r="B502" s="305"/>
      <c r="C502" s="305"/>
      <c r="D502" s="85" t="s">
        <v>22</v>
      </c>
      <c r="E502" s="14" t="s">
        <v>60</v>
      </c>
      <c r="F502" s="14" t="s">
        <v>59</v>
      </c>
      <c r="G502" s="14" t="s">
        <v>58</v>
      </c>
      <c r="H502" s="14" t="s">
        <v>57</v>
      </c>
      <c r="I502" s="14" t="s">
        <v>56</v>
      </c>
      <c r="J502" s="14" t="s">
        <v>55</v>
      </c>
      <c r="K502" s="14" t="s">
        <v>54</v>
      </c>
      <c r="L502" s="14" t="s">
        <v>53</v>
      </c>
      <c r="M502" s="14" t="s">
        <v>52</v>
      </c>
      <c r="N502" s="14" t="s">
        <v>51</v>
      </c>
      <c r="O502" s="14" t="s">
        <v>50</v>
      </c>
      <c r="P502" s="14" t="s">
        <v>49</v>
      </c>
      <c r="Q502" s="14" t="s">
        <v>48</v>
      </c>
      <c r="R502" s="14" t="s">
        <v>47</v>
      </c>
      <c r="S502" s="14" t="s">
        <v>46</v>
      </c>
      <c r="T502" s="14" t="s">
        <v>45</v>
      </c>
      <c r="U502" s="13" t="s">
        <v>44</v>
      </c>
      <c r="V502" s="307"/>
      <c r="W502" s="305"/>
      <c r="X502" s="305"/>
    </row>
    <row r="503" spans="1:24" s="12" customFormat="1" ht="15.75" customHeight="1">
      <c r="A503" s="87" t="s">
        <v>225</v>
      </c>
      <c r="B503" s="87"/>
      <c r="C503" s="87"/>
      <c r="D503" s="88">
        <v>0</v>
      </c>
      <c r="E503" s="89">
        <v>0</v>
      </c>
      <c r="F503" s="89">
        <v>0</v>
      </c>
      <c r="G503" s="89">
        <v>0</v>
      </c>
      <c r="H503" s="89">
        <v>0</v>
      </c>
      <c r="I503" s="89">
        <v>0</v>
      </c>
      <c r="J503" s="89">
        <v>0</v>
      </c>
      <c r="K503" s="89">
        <v>0</v>
      </c>
      <c r="L503" s="89">
        <v>0</v>
      </c>
      <c r="M503" s="89">
        <v>0</v>
      </c>
      <c r="N503" s="89">
        <v>0</v>
      </c>
      <c r="O503" s="89">
        <v>0</v>
      </c>
      <c r="P503" s="89">
        <v>0</v>
      </c>
      <c r="Q503" s="89">
        <v>0</v>
      </c>
      <c r="R503" s="89">
        <v>0</v>
      </c>
      <c r="S503" s="89">
        <v>0</v>
      </c>
      <c r="T503" s="89">
        <v>0</v>
      </c>
      <c r="U503" s="91">
        <v>0</v>
      </c>
      <c r="V503" s="87" t="s">
        <v>226</v>
      </c>
      <c r="W503" s="87"/>
      <c r="X503" s="87"/>
    </row>
    <row r="504" spans="1:24" s="12" customFormat="1" ht="15.75" customHeight="1">
      <c r="A504" s="87" t="s">
        <v>236</v>
      </c>
      <c r="B504" s="87"/>
      <c r="C504" s="87"/>
      <c r="D504" s="88">
        <v>0</v>
      </c>
      <c r="E504" s="89">
        <v>0</v>
      </c>
      <c r="F504" s="89">
        <v>0</v>
      </c>
      <c r="G504" s="89">
        <v>0</v>
      </c>
      <c r="H504" s="89">
        <v>0</v>
      </c>
      <c r="I504" s="89">
        <v>0</v>
      </c>
      <c r="J504" s="89">
        <v>0</v>
      </c>
      <c r="K504" s="89">
        <v>0</v>
      </c>
      <c r="L504" s="89">
        <v>0</v>
      </c>
      <c r="M504" s="89">
        <v>0</v>
      </c>
      <c r="N504" s="89">
        <v>0</v>
      </c>
      <c r="O504" s="89">
        <v>0</v>
      </c>
      <c r="P504" s="89">
        <v>0</v>
      </c>
      <c r="Q504" s="89">
        <v>0</v>
      </c>
      <c r="R504" s="89">
        <v>0</v>
      </c>
      <c r="S504" s="89">
        <v>0</v>
      </c>
      <c r="T504" s="89">
        <v>0</v>
      </c>
      <c r="U504" s="91">
        <v>0</v>
      </c>
      <c r="V504" s="87" t="s">
        <v>237</v>
      </c>
      <c r="W504" s="87"/>
      <c r="X504" s="87"/>
    </row>
    <row r="505" spans="1:24" s="6" customFormat="1" ht="15.75" customHeight="1">
      <c r="A505" s="86" t="s">
        <v>248</v>
      </c>
      <c r="B505" s="86"/>
      <c r="C505" s="87"/>
      <c r="D505" s="88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90"/>
      <c r="Q505" s="90"/>
      <c r="R505" s="90"/>
      <c r="S505" s="90"/>
      <c r="T505" s="90"/>
      <c r="U505" s="91"/>
      <c r="V505" s="86" t="s">
        <v>249</v>
      </c>
      <c r="W505" s="86"/>
      <c r="X505" s="87"/>
    </row>
    <row r="506" spans="1:24" s="12" customFormat="1" ht="15" customHeight="1">
      <c r="A506" s="220"/>
      <c r="B506" s="220" t="s">
        <v>85</v>
      </c>
      <c r="C506" s="221"/>
      <c r="D506" s="225">
        <v>0</v>
      </c>
      <c r="E506" s="226">
        <v>0</v>
      </c>
      <c r="F506" s="226">
        <v>0</v>
      </c>
      <c r="G506" s="226">
        <v>0</v>
      </c>
      <c r="H506" s="226">
        <v>0</v>
      </c>
      <c r="I506" s="226">
        <v>0</v>
      </c>
      <c r="J506" s="226">
        <v>0</v>
      </c>
      <c r="K506" s="226">
        <v>0</v>
      </c>
      <c r="L506" s="226">
        <v>0</v>
      </c>
      <c r="M506" s="226">
        <v>0</v>
      </c>
      <c r="N506" s="226">
        <v>0</v>
      </c>
      <c r="O506" s="226">
        <v>0</v>
      </c>
      <c r="P506" s="226">
        <v>0</v>
      </c>
      <c r="Q506" s="226">
        <v>0</v>
      </c>
      <c r="R506" s="226">
        <v>0</v>
      </c>
      <c r="S506" s="226">
        <v>0</v>
      </c>
      <c r="T506" s="226">
        <v>0</v>
      </c>
      <c r="U506" s="227">
        <v>0</v>
      </c>
      <c r="V506" s="220"/>
      <c r="W506" s="220" t="s">
        <v>85</v>
      </c>
      <c r="X506" s="221"/>
    </row>
    <row r="507" spans="1:24" s="12" customFormat="1" ht="15.75" customHeight="1">
      <c r="A507" s="220"/>
      <c r="B507" s="220" t="s">
        <v>87</v>
      </c>
      <c r="C507" s="221"/>
      <c r="D507" s="225">
        <v>0</v>
      </c>
      <c r="E507" s="251">
        <v>0</v>
      </c>
      <c r="F507" s="251">
        <v>0</v>
      </c>
      <c r="G507" s="251">
        <v>0</v>
      </c>
      <c r="H507" s="251">
        <v>0</v>
      </c>
      <c r="I507" s="251">
        <v>0</v>
      </c>
      <c r="J507" s="251">
        <v>0</v>
      </c>
      <c r="K507" s="251">
        <v>0</v>
      </c>
      <c r="L507" s="251">
        <v>0</v>
      </c>
      <c r="M507" s="251">
        <v>0</v>
      </c>
      <c r="N507" s="251">
        <v>0</v>
      </c>
      <c r="O507" s="251">
        <v>0</v>
      </c>
      <c r="P507" s="251">
        <v>0</v>
      </c>
      <c r="Q507" s="251">
        <v>0</v>
      </c>
      <c r="R507" s="251">
        <v>0</v>
      </c>
      <c r="S507" s="251">
        <v>0</v>
      </c>
      <c r="T507" s="251">
        <v>0</v>
      </c>
      <c r="U507" s="227">
        <v>0</v>
      </c>
      <c r="V507" s="220"/>
      <c r="W507" s="220" t="s">
        <v>87</v>
      </c>
      <c r="X507" s="221"/>
    </row>
    <row r="508" spans="1:24" s="6" customFormat="1" ht="15.75" customHeight="1">
      <c r="A508" s="9"/>
      <c r="B508" s="9"/>
      <c r="C508" s="243"/>
      <c r="D508" s="103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7"/>
      <c r="Q508" s="107"/>
      <c r="R508" s="107"/>
      <c r="S508" s="107"/>
      <c r="T508" s="107"/>
      <c r="U508" s="108"/>
      <c r="V508" s="9"/>
      <c r="W508" s="9"/>
      <c r="X508" s="243"/>
    </row>
    <row r="509" spans="1:24" s="6" customFormat="1" ht="15.75" customHeight="1">
      <c r="A509" s="86" t="s">
        <v>86</v>
      </c>
      <c r="B509" s="86"/>
      <c r="C509" s="230"/>
      <c r="D509" s="88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90"/>
      <c r="Q509" s="90"/>
      <c r="R509" s="90"/>
      <c r="S509" s="90"/>
      <c r="T509" s="90"/>
      <c r="U509" s="91"/>
      <c r="V509" s="86" t="s">
        <v>86</v>
      </c>
      <c r="W509" s="86"/>
      <c r="X509" s="230"/>
    </row>
    <row r="510" spans="1:24" s="12" customFormat="1" ht="15.75" customHeight="1">
      <c r="A510" s="9" t="s">
        <v>85</v>
      </c>
      <c r="C510" s="231" t="s">
        <v>229</v>
      </c>
      <c r="D510" s="103">
        <v>0</v>
      </c>
      <c r="E510" s="104">
        <v>0</v>
      </c>
      <c r="F510" s="104">
        <v>0</v>
      </c>
      <c r="G510" s="104">
        <v>0</v>
      </c>
      <c r="H510" s="104">
        <v>0</v>
      </c>
      <c r="I510" s="104">
        <v>0</v>
      </c>
      <c r="J510" s="104">
        <v>0</v>
      </c>
      <c r="K510" s="104">
        <v>0</v>
      </c>
      <c r="L510" s="104">
        <v>0</v>
      </c>
      <c r="M510" s="104">
        <v>0</v>
      </c>
      <c r="N510" s="104">
        <v>0</v>
      </c>
      <c r="O510" s="104">
        <v>0</v>
      </c>
      <c r="P510" s="104">
        <v>0</v>
      </c>
      <c r="Q510" s="104">
        <v>0</v>
      </c>
      <c r="R510" s="104">
        <v>0</v>
      </c>
      <c r="S510" s="104">
        <v>0</v>
      </c>
      <c r="T510" s="104">
        <v>0</v>
      </c>
      <c r="U510" s="108">
        <v>0</v>
      </c>
      <c r="V510" s="9" t="s">
        <v>85</v>
      </c>
      <c r="X510" s="231" t="s">
        <v>240</v>
      </c>
    </row>
    <row r="511" spans="1:24" s="6" customFormat="1" ht="15.75" customHeight="1">
      <c r="A511" s="9"/>
      <c r="B511" s="9"/>
      <c r="C511" s="231" t="s">
        <v>230</v>
      </c>
      <c r="D511" s="103">
        <v>5200</v>
      </c>
      <c r="E511" s="104">
        <v>0</v>
      </c>
      <c r="F511" s="104">
        <v>0</v>
      </c>
      <c r="G511" s="104">
        <v>0</v>
      </c>
      <c r="H511" s="104">
        <v>0</v>
      </c>
      <c r="I511" s="104">
        <v>0</v>
      </c>
      <c r="J511" s="104">
        <v>0</v>
      </c>
      <c r="K511" s="104">
        <v>0</v>
      </c>
      <c r="L511" s="104">
        <v>0</v>
      </c>
      <c r="M511" s="104">
        <v>0</v>
      </c>
      <c r="N511" s="104">
        <v>0</v>
      </c>
      <c r="O511" s="104">
        <v>0</v>
      </c>
      <c r="P511" s="107">
        <v>0</v>
      </c>
      <c r="Q511" s="107">
        <v>0</v>
      </c>
      <c r="R511" s="107">
        <v>0</v>
      </c>
      <c r="S511" s="107">
        <v>5200</v>
      </c>
      <c r="T511" s="107">
        <v>0</v>
      </c>
      <c r="U511" s="108">
        <v>0</v>
      </c>
      <c r="V511" s="9"/>
      <c r="W511" s="9"/>
      <c r="X511" s="231" t="s">
        <v>230</v>
      </c>
    </row>
    <row r="512" spans="1:24" s="6" customFormat="1" ht="15.75" customHeight="1">
      <c r="A512" s="9"/>
      <c r="B512" s="9"/>
      <c r="C512" s="231" t="s">
        <v>231</v>
      </c>
      <c r="D512" s="103">
        <v>0</v>
      </c>
      <c r="E512" s="104">
        <v>0</v>
      </c>
      <c r="F512" s="104">
        <v>0</v>
      </c>
      <c r="G512" s="104">
        <v>0</v>
      </c>
      <c r="H512" s="104">
        <v>0</v>
      </c>
      <c r="I512" s="104">
        <v>0</v>
      </c>
      <c r="J512" s="104">
        <v>0</v>
      </c>
      <c r="K512" s="104">
        <v>0</v>
      </c>
      <c r="L512" s="104">
        <v>0</v>
      </c>
      <c r="M512" s="104">
        <v>0</v>
      </c>
      <c r="N512" s="104">
        <v>0</v>
      </c>
      <c r="O512" s="104">
        <v>0</v>
      </c>
      <c r="P512" s="107">
        <v>0</v>
      </c>
      <c r="Q512" s="107">
        <v>0</v>
      </c>
      <c r="R512" s="107">
        <v>0</v>
      </c>
      <c r="S512" s="107">
        <v>0</v>
      </c>
      <c r="T512" s="107">
        <v>0</v>
      </c>
      <c r="U512" s="108">
        <v>0</v>
      </c>
      <c r="V512" s="9"/>
      <c r="W512" s="9"/>
      <c r="X512" s="231" t="s">
        <v>231</v>
      </c>
    </row>
    <row r="513" spans="1:24" s="6" customFormat="1" ht="15.75" customHeight="1">
      <c r="A513" s="9"/>
      <c r="B513" s="12"/>
      <c r="C513" s="9"/>
      <c r="D513" s="103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7"/>
      <c r="Q513" s="107"/>
      <c r="R513" s="107"/>
      <c r="S513" s="107"/>
      <c r="T513" s="107"/>
      <c r="U513" s="108"/>
      <c r="V513" s="9"/>
      <c r="W513" s="12"/>
      <c r="X513" s="9"/>
    </row>
    <row r="514" spans="1:24" s="12" customFormat="1" ht="15.75" customHeight="1">
      <c r="A514" s="9" t="s">
        <v>87</v>
      </c>
      <c r="C514" s="231" t="s">
        <v>240</v>
      </c>
      <c r="D514" s="103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8">
        <v>0</v>
      </c>
      <c r="V514" s="9" t="s">
        <v>87</v>
      </c>
      <c r="X514" s="231" t="s">
        <v>240</v>
      </c>
    </row>
    <row r="515" spans="1:24" s="6" customFormat="1" ht="15.75" customHeight="1">
      <c r="A515" s="9"/>
      <c r="B515" s="9"/>
      <c r="C515" s="231" t="s">
        <v>230</v>
      </c>
      <c r="D515" s="103">
        <v>50</v>
      </c>
      <c r="E515" s="104">
        <v>0</v>
      </c>
      <c r="F515" s="104">
        <v>0</v>
      </c>
      <c r="G515" s="104">
        <v>0</v>
      </c>
      <c r="H515" s="104">
        <v>0</v>
      </c>
      <c r="I515" s="104">
        <v>0</v>
      </c>
      <c r="J515" s="104">
        <v>0</v>
      </c>
      <c r="K515" s="104">
        <v>50</v>
      </c>
      <c r="L515" s="104">
        <v>0</v>
      </c>
      <c r="M515" s="104">
        <v>0</v>
      </c>
      <c r="N515" s="104">
        <v>0</v>
      </c>
      <c r="O515" s="104">
        <v>0</v>
      </c>
      <c r="P515" s="107">
        <v>0</v>
      </c>
      <c r="Q515" s="107">
        <v>0</v>
      </c>
      <c r="R515" s="107">
        <v>0</v>
      </c>
      <c r="S515" s="107">
        <v>0</v>
      </c>
      <c r="T515" s="107">
        <v>0</v>
      </c>
      <c r="U515" s="108">
        <v>0</v>
      </c>
      <c r="V515" s="9"/>
      <c r="W515" s="9"/>
      <c r="X515" s="231" t="s">
        <v>230</v>
      </c>
    </row>
    <row r="516" spans="1:24" s="6" customFormat="1" ht="15.75" customHeight="1" thickBot="1">
      <c r="A516" s="9"/>
      <c r="B516" s="9"/>
      <c r="C516" s="231" t="s">
        <v>231</v>
      </c>
      <c r="D516" s="119">
        <v>122.4</v>
      </c>
      <c r="E516" s="120">
        <v>0</v>
      </c>
      <c r="F516" s="120">
        <v>0</v>
      </c>
      <c r="G516" s="120">
        <v>0</v>
      </c>
      <c r="H516" s="120">
        <v>0</v>
      </c>
      <c r="I516" s="120">
        <v>0</v>
      </c>
      <c r="J516" s="120">
        <v>0</v>
      </c>
      <c r="K516" s="120">
        <v>0</v>
      </c>
      <c r="L516" s="120">
        <v>0</v>
      </c>
      <c r="M516" s="120">
        <v>0</v>
      </c>
      <c r="N516" s="120">
        <v>0</v>
      </c>
      <c r="O516" s="120">
        <v>0</v>
      </c>
      <c r="P516" s="121">
        <v>120</v>
      </c>
      <c r="Q516" s="121">
        <v>0</v>
      </c>
      <c r="R516" s="121">
        <v>2.4</v>
      </c>
      <c r="S516" s="121">
        <v>0</v>
      </c>
      <c r="T516" s="121">
        <v>0</v>
      </c>
      <c r="U516" s="122">
        <v>0</v>
      </c>
      <c r="V516" s="9"/>
      <c r="W516" s="9"/>
      <c r="X516" s="231" t="s">
        <v>231</v>
      </c>
    </row>
    <row r="517" spans="1:24" s="6" customFormat="1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</row>
    <row r="518" spans="1:24" s="6" customFormat="1" ht="15.75" customHeight="1">
      <c r="A518" s="7" t="s">
        <v>255</v>
      </c>
    </row>
    <row r="519" spans="1:24" s="6" customFormat="1" ht="15.75" customHeight="1">
      <c r="A519" s="7" t="s">
        <v>84</v>
      </c>
    </row>
    <row r="520" spans="1:24" s="6" customFormat="1" ht="15.75" customHeight="1">
      <c r="A520" s="7" t="s">
        <v>83</v>
      </c>
    </row>
    <row r="523" spans="1:24" s="6" customFormat="1" ht="18">
      <c r="A523" s="19" t="s">
        <v>210</v>
      </c>
      <c r="B523" s="26"/>
    </row>
    <row r="524" spans="1:24" s="6" customFormat="1" ht="15.75" customHeight="1" thickBo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25"/>
    </row>
    <row r="525" spans="1:24" s="6" customFormat="1" ht="15.75" customHeight="1">
      <c r="A525" s="304" t="s">
        <v>61</v>
      </c>
      <c r="B525" s="304"/>
      <c r="C525" s="304"/>
      <c r="D525" s="82" t="s">
        <v>79</v>
      </c>
      <c r="E525" s="83" t="s">
        <v>78</v>
      </c>
      <c r="F525" s="83" t="s">
        <v>77</v>
      </c>
      <c r="G525" s="83" t="s">
        <v>76</v>
      </c>
      <c r="H525" s="83" t="s">
        <v>75</v>
      </c>
      <c r="I525" s="83" t="s">
        <v>74</v>
      </c>
      <c r="J525" s="83" t="s">
        <v>73</v>
      </c>
      <c r="K525" s="83" t="s">
        <v>72</v>
      </c>
      <c r="L525" s="83" t="s">
        <v>71</v>
      </c>
      <c r="M525" s="83" t="s">
        <v>70</v>
      </c>
      <c r="N525" s="83" t="s">
        <v>69</v>
      </c>
      <c r="O525" s="83" t="s">
        <v>68</v>
      </c>
      <c r="P525" s="83" t="s">
        <v>67</v>
      </c>
      <c r="Q525" s="83" t="s">
        <v>66</v>
      </c>
      <c r="R525" s="83" t="s">
        <v>65</v>
      </c>
      <c r="S525" s="83" t="s">
        <v>64</v>
      </c>
      <c r="T525" s="83" t="s">
        <v>63</v>
      </c>
      <c r="U525" s="84" t="s">
        <v>62</v>
      </c>
      <c r="V525" s="306" t="s">
        <v>61</v>
      </c>
      <c r="W525" s="304"/>
      <c r="X525" s="304"/>
    </row>
    <row r="526" spans="1:24" s="6" customFormat="1" ht="15.75" customHeight="1">
      <c r="A526" s="305"/>
      <c r="B526" s="305"/>
      <c r="C526" s="305"/>
      <c r="D526" s="85" t="s">
        <v>22</v>
      </c>
      <c r="E526" s="14" t="s">
        <v>60</v>
      </c>
      <c r="F526" s="14" t="s">
        <v>59</v>
      </c>
      <c r="G526" s="14" t="s">
        <v>58</v>
      </c>
      <c r="H526" s="14" t="s">
        <v>57</v>
      </c>
      <c r="I526" s="14" t="s">
        <v>56</v>
      </c>
      <c r="J526" s="14" t="s">
        <v>55</v>
      </c>
      <c r="K526" s="14" t="s">
        <v>54</v>
      </c>
      <c r="L526" s="14" t="s">
        <v>53</v>
      </c>
      <c r="M526" s="14" t="s">
        <v>52</v>
      </c>
      <c r="N526" s="14" t="s">
        <v>51</v>
      </c>
      <c r="O526" s="14" t="s">
        <v>50</v>
      </c>
      <c r="P526" s="14" t="s">
        <v>49</v>
      </c>
      <c r="Q526" s="14" t="s">
        <v>48</v>
      </c>
      <c r="R526" s="14" t="s">
        <v>47</v>
      </c>
      <c r="S526" s="14" t="s">
        <v>46</v>
      </c>
      <c r="T526" s="14" t="s">
        <v>45</v>
      </c>
      <c r="U526" s="13" t="s">
        <v>44</v>
      </c>
      <c r="V526" s="307"/>
      <c r="W526" s="305"/>
      <c r="X526" s="305"/>
    </row>
    <row r="527" spans="1:24" s="12" customFormat="1" ht="15.75" customHeight="1">
      <c r="A527" s="87" t="s">
        <v>226</v>
      </c>
      <c r="B527" s="87"/>
      <c r="C527" s="87"/>
      <c r="D527" s="88">
        <v>308446.41972041142</v>
      </c>
      <c r="E527" s="89">
        <v>0</v>
      </c>
      <c r="F527" s="89">
        <v>7600.696269156032</v>
      </c>
      <c r="G527" s="89">
        <v>13684.30372472986</v>
      </c>
      <c r="H527" s="89">
        <v>19121.272032699133</v>
      </c>
      <c r="I527" s="89">
        <v>1992.266669094231</v>
      </c>
      <c r="J527" s="89">
        <v>13238.027949451285</v>
      </c>
      <c r="K527" s="89">
        <v>31984.847249913277</v>
      </c>
      <c r="L527" s="89">
        <v>816.56580805405133</v>
      </c>
      <c r="M527" s="89">
        <v>91638.905998225833</v>
      </c>
      <c r="N527" s="89">
        <v>0</v>
      </c>
      <c r="O527" s="89">
        <v>47014.890871661599</v>
      </c>
      <c r="P527" s="90">
        <v>12617.95243336635</v>
      </c>
      <c r="Q527" s="90">
        <v>20363.420764790295</v>
      </c>
      <c r="R527" s="90">
        <v>12162.927386631698</v>
      </c>
      <c r="S527" s="90">
        <v>17182.932176231585</v>
      </c>
      <c r="T527" s="90">
        <v>17939.658137403214</v>
      </c>
      <c r="U527" s="91">
        <v>1087.7522490029926</v>
      </c>
      <c r="V527" s="87" t="s">
        <v>226</v>
      </c>
      <c r="W527" s="87"/>
      <c r="X527" s="87"/>
    </row>
    <row r="528" spans="1:24" s="12" customFormat="1" ht="15.75" customHeight="1">
      <c r="A528" s="87" t="s">
        <v>237</v>
      </c>
      <c r="B528" s="87"/>
      <c r="C528" s="87"/>
      <c r="D528" s="88">
        <v>91821.403731365586</v>
      </c>
      <c r="E528" s="89">
        <v>0</v>
      </c>
      <c r="F528" s="89">
        <v>0</v>
      </c>
      <c r="G528" s="89">
        <v>0</v>
      </c>
      <c r="H528" s="89">
        <v>8024.2225285488621</v>
      </c>
      <c r="I528" s="89">
        <v>5538.7332260039839</v>
      </c>
      <c r="J528" s="89">
        <v>0</v>
      </c>
      <c r="K528" s="89">
        <v>0</v>
      </c>
      <c r="L528" s="89">
        <v>3833.6422913335746</v>
      </c>
      <c r="M528" s="89">
        <v>33328.878026366743</v>
      </c>
      <c r="N528" s="89">
        <v>0</v>
      </c>
      <c r="O528" s="89">
        <v>13407.072258392152</v>
      </c>
      <c r="P528" s="90">
        <v>9675.0385245229627</v>
      </c>
      <c r="Q528" s="90">
        <v>8420.1460829905536</v>
      </c>
      <c r="R528" s="90">
        <v>1544.4716868403759</v>
      </c>
      <c r="S528" s="90">
        <v>6000.4710262314111</v>
      </c>
      <c r="T528" s="90">
        <v>2048.7280801349689</v>
      </c>
      <c r="U528" s="91">
        <v>0</v>
      </c>
      <c r="V528" s="87" t="s">
        <v>237</v>
      </c>
      <c r="W528" s="87"/>
      <c r="X528" s="87"/>
    </row>
    <row r="529" spans="1:24" s="12" customFormat="1" ht="15.75" customHeight="1">
      <c r="A529" s="86" t="s">
        <v>249</v>
      </c>
      <c r="B529" s="86"/>
      <c r="C529" s="87"/>
      <c r="D529" s="88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90"/>
      <c r="Q529" s="90"/>
      <c r="R529" s="90"/>
      <c r="S529" s="90"/>
      <c r="T529" s="90"/>
      <c r="U529" s="91"/>
      <c r="V529" s="86" t="s">
        <v>249</v>
      </c>
      <c r="W529" s="86"/>
      <c r="X529" s="87"/>
    </row>
    <row r="530" spans="1:24" s="12" customFormat="1" ht="15.75" customHeight="1">
      <c r="A530" s="220"/>
      <c r="B530" s="220" t="s">
        <v>85</v>
      </c>
      <c r="C530" s="221"/>
      <c r="D530" s="225">
        <v>109607.97857218426</v>
      </c>
      <c r="E530" s="226">
        <v>0</v>
      </c>
      <c r="F530" s="226">
        <v>0</v>
      </c>
      <c r="G530" s="226">
        <v>0</v>
      </c>
      <c r="H530" s="226">
        <v>36910</v>
      </c>
      <c r="I530" s="226">
        <v>4360</v>
      </c>
      <c r="J530" s="226">
        <v>0</v>
      </c>
      <c r="K530" s="226">
        <v>0</v>
      </c>
      <c r="L530" s="226">
        <v>2428.3849325705355</v>
      </c>
      <c r="M530" s="226">
        <v>30783</v>
      </c>
      <c r="N530" s="226">
        <v>0</v>
      </c>
      <c r="O530" s="226">
        <v>16446.329166186231</v>
      </c>
      <c r="P530" s="251">
        <v>5850</v>
      </c>
      <c r="Q530" s="251">
        <v>3500.2644734274918</v>
      </c>
      <c r="R530" s="251">
        <v>1180</v>
      </c>
      <c r="S530" s="251">
        <v>5400</v>
      </c>
      <c r="T530" s="251">
        <v>2750</v>
      </c>
      <c r="U530" s="270">
        <v>0</v>
      </c>
      <c r="V530" s="220"/>
      <c r="W530" s="220" t="s">
        <v>85</v>
      </c>
      <c r="X530" s="221"/>
    </row>
    <row r="531" spans="1:24" s="12" customFormat="1" ht="15.75" customHeight="1">
      <c r="A531" s="220"/>
      <c r="B531" s="220" t="s">
        <v>87</v>
      </c>
      <c r="C531" s="221"/>
      <c r="D531" s="225">
        <v>3796.085</v>
      </c>
      <c r="E531" s="251">
        <v>0</v>
      </c>
      <c r="F531" s="251">
        <v>48.6</v>
      </c>
      <c r="G531" s="251">
        <v>83.8</v>
      </c>
      <c r="H531" s="251">
        <v>167.59999999999997</v>
      </c>
      <c r="I531" s="251">
        <v>171.8</v>
      </c>
      <c r="J531" s="226">
        <v>94</v>
      </c>
      <c r="K531" s="226">
        <v>315</v>
      </c>
      <c r="L531" s="226">
        <v>157</v>
      </c>
      <c r="M531" s="226">
        <v>1342.385</v>
      </c>
      <c r="N531" s="226">
        <v>0</v>
      </c>
      <c r="O531" s="226">
        <v>316.2</v>
      </c>
      <c r="P531" s="226">
        <v>166.4</v>
      </c>
      <c r="Q531" s="226">
        <v>198.8</v>
      </c>
      <c r="R531" s="226">
        <v>156.69999999999999</v>
      </c>
      <c r="S531" s="226">
        <v>257.8</v>
      </c>
      <c r="T531" s="226">
        <v>306</v>
      </c>
      <c r="U531" s="227">
        <v>14</v>
      </c>
      <c r="V531" s="220"/>
      <c r="W531" s="220" t="s">
        <v>87</v>
      </c>
      <c r="X531" s="221"/>
    </row>
    <row r="532" spans="1:24" s="6" customFormat="1" ht="15.75" customHeight="1">
      <c r="A532" s="9"/>
      <c r="B532" s="9"/>
      <c r="C532" s="243"/>
      <c r="D532" s="103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7"/>
      <c r="Q532" s="107"/>
      <c r="R532" s="107"/>
      <c r="S532" s="107"/>
      <c r="T532" s="107"/>
      <c r="U532" s="108"/>
      <c r="V532" s="9"/>
      <c r="W532" s="9"/>
      <c r="X532" s="243"/>
    </row>
    <row r="533" spans="1:24" s="6" customFormat="1" ht="15.75" customHeight="1">
      <c r="A533" s="86" t="s">
        <v>86</v>
      </c>
      <c r="B533" s="86"/>
      <c r="C533" s="230"/>
      <c r="D533" s="88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90"/>
      <c r="Q533" s="90"/>
      <c r="R533" s="90"/>
      <c r="S533" s="90"/>
      <c r="T533" s="90"/>
      <c r="U533" s="91"/>
      <c r="V533" s="86" t="s">
        <v>86</v>
      </c>
      <c r="W533" s="86"/>
      <c r="X533" s="230"/>
    </row>
    <row r="534" spans="1:24" s="12" customFormat="1" ht="15.75" customHeight="1">
      <c r="A534" s="9" t="s">
        <v>85</v>
      </c>
      <c r="C534" s="231" t="s">
        <v>229</v>
      </c>
      <c r="D534" s="103">
        <v>11400</v>
      </c>
      <c r="E534" s="104">
        <v>0</v>
      </c>
      <c r="F534" s="104">
        <v>0</v>
      </c>
      <c r="G534" s="104">
        <v>0</v>
      </c>
      <c r="H534" s="104">
        <v>0</v>
      </c>
      <c r="I534" s="104">
        <v>3100</v>
      </c>
      <c r="J534" s="104">
        <v>0</v>
      </c>
      <c r="K534" s="104">
        <v>0</v>
      </c>
      <c r="L534" s="104">
        <v>0</v>
      </c>
      <c r="M534" s="104">
        <v>8300</v>
      </c>
      <c r="N534" s="104">
        <v>0</v>
      </c>
      <c r="O534" s="104">
        <v>0</v>
      </c>
      <c r="P534" s="104">
        <v>0</v>
      </c>
      <c r="Q534" s="104">
        <v>0</v>
      </c>
      <c r="R534" s="104">
        <v>0</v>
      </c>
      <c r="S534" s="104">
        <v>0</v>
      </c>
      <c r="T534" s="107">
        <v>0</v>
      </c>
      <c r="U534" s="108">
        <v>0</v>
      </c>
      <c r="V534" s="9" t="s">
        <v>85</v>
      </c>
      <c r="X534" s="231" t="s">
        <v>240</v>
      </c>
    </row>
    <row r="535" spans="1:24" s="6" customFormat="1" ht="15.75" customHeight="1">
      <c r="A535" s="9"/>
      <c r="B535" s="9"/>
      <c r="C535" s="231" t="s">
        <v>230</v>
      </c>
      <c r="D535" s="103">
        <v>42233</v>
      </c>
      <c r="E535" s="104">
        <v>0</v>
      </c>
      <c r="F535" s="104">
        <v>0</v>
      </c>
      <c r="G535" s="104">
        <v>0</v>
      </c>
      <c r="H535" s="104">
        <v>19753</v>
      </c>
      <c r="I535" s="104">
        <v>0</v>
      </c>
      <c r="J535" s="104">
        <v>0</v>
      </c>
      <c r="K535" s="104">
        <v>0</v>
      </c>
      <c r="L535" s="104">
        <v>0</v>
      </c>
      <c r="M535" s="104">
        <v>16930</v>
      </c>
      <c r="N535" s="104">
        <v>0</v>
      </c>
      <c r="O535" s="104">
        <v>0</v>
      </c>
      <c r="P535" s="107">
        <v>2950</v>
      </c>
      <c r="Q535" s="107">
        <v>0</v>
      </c>
      <c r="R535" s="107">
        <v>0</v>
      </c>
      <c r="S535" s="107">
        <v>2600</v>
      </c>
      <c r="T535" s="107">
        <v>0</v>
      </c>
      <c r="U535" s="108">
        <v>0</v>
      </c>
      <c r="V535" s="9"/>
      <c r="W535" s="9"/>
      <c r="X535" s="231" t="s">
        <v>230</v>
      </c>
    </row>
    <row r="536" spans="1:24" s="6" customFormat="1" ht="15.75" customHeight="1">
      <c r="A536" s="9"/>
      <c r="B536" s="9"/>
      <c r="C536" s="231" t="s">
        <v>231</v>
      </c>
      <c r="D536" s="103">
        <v>6906</v>
      </c>
      <c r="E536" s="104">
        <v>0</v>
      </c>
      <c r="F536" s="104">
        <v>0</v>
      </c>
      <c r="G536" s="104">
        <v>0</v>
      </c>
      <c r="H536" s="104">
        <v>2980</v>
      </c>
      <c r="I536" s="104">
        <v>0</v>
      </c>
      <c r="J536" s="104">
        <v>0</v>
      </c>
      <c r="K536" s="104">
        <v>0</v>
      </c>
      <c r="L536" s="104">
        <v>0</v>
      </c>
      <c r="M536" s="104">
        <v>0</v>
      </c>
      <c r="N536" s="104">
        <v>0</v>
      </c>
      <c r="O536" s="104">
        <v>1176</v>
      </c>
      <c r="P536" s="107">
        <v>0</v>
      </c>
      <c r="Q536" s="107">
        <v>0</v>
      </c>
      <c r="R536" s="107">
        <v>0</v>
      </c>
      <c r="S536" s="107">
        <v>0</v>
      </c>
      <c r="T536" s="107">
        <v>2750</v>
      </c>
      <c r="U536" s="108">
        <v>0</v>
      </c>
      <c r="V536" s="9"/>
      <c r="W536" s="9"/>
      <c r="X536" s="231" t="s">
        <v>231</v>
      </c>
    </row>
    <row r="537" spans="1:24" s="6" customFormat="1" ht="15.75" customHeight="1">
      <c r="A537" s="92"/>
      <c r="C537" s="92"/>
      <c r="D537" s="115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3"/>
      <c r="Q537" s="113"/>
      <c r="R537" s="113"/>
      <c r="S537" s="113"/>
      <c r="T537" s="113"/>
      <c r="U537" s="114"/>
      <c r="V537" s="92"/>
      <c r="X537" s="92"/>
    </row>
    <row r="538" spans="1:24" s="12" customFormat="1" ht="15.75" customHeight="1">
      <c r="A538" s="9" t="s">
        <v>87</v>
      </c>
      <c r="C538" s="231" t="s">
        <v>240</v>
      </c>
      <c r="D538" s="103">
        <v>15</v>
      </c>
      <c r="E538" s="104">
        <v>0</v>
      </c>
      <c r="F538" s="104">
        <v>15</v>
      </c>
      <c r="G538" s="104">
        <v>0</v>
      </c>
      <c r="H538" s="104">
        <v>0</v>
      </c>
      <c r="I538" s="104">
        <v>0</v>
      </c>
      <c r="J538" s="104">
        <v>0</v>
      </c>
      <c r="K538" s="104">
        <v>0</v>
      </c>
      <c r="L538" s="104">
        <v>0</v>
      </c>
      <c r="M538" s="104">
        <v>0</v>
      </c>
      <c r="N538" s="104">
        <v>0</v>
      </c>
      <c r="O538" s="104">
        <v>0</v>
      </c>
      <c r="P538" s="104">
        <v>0</v>
      </c>
      <c r="Q538" s="104">
        <v>0</v>
      </c>
      <c r="R538" s="104">
        <v>0</v>
      </c>
      <c r="S538" s="104">
        <v>0</v>
      </c>
      <c r="T538" s="104">
        <v>0</v>
      </c>
      <c r="U538" s="108">
        <v>0</v>
      </c>
      <c r="V538" s="9" t="s">
        <v>87</v>
      </c>
      <c r="X538" s="231" t="s">
        <v>240</v>
      </c>
    </row>
    <row r="539" spans="1:24" s="6" customFormat="1" ht="15.75" customHeight="1">
      <c r="A539" s="92"/>
      <c r="B539" s="92"/>
      <c r="C539" s="231" t="s">
        <v>230</v>
      </c>
      <c r="D539" s="115">
        <v>106.6</v>
      </c>
      <c r="E539" s="110">
        <v>0</v>
      </c>
      <c r="F539" s="110">
        <v>0</v>
      </c>
      <c r="G539" s="110">
        <v>0</v>
      </c>
      <c r="H539" s="110">
        <v>15</v>
      </c>
      <c r="I539" s="110">
        <v>0</v>
      </c>
      <c r="J539" s="110">
        <v>0</v>
      </c>
      <c r="K539" s="110">
        <v>0</v>
      </c>
      <c r="L539" s="110">
        <v>0</v>
      </c>
      <c r="M539" s="110">
        <v>50</v>
      </c>
      <c r="N539" s="110">
        <v>0</v>
      </c>
      <c r="O539" s="110">
        <v>0</v>
      </c>
      <c r="P539" s="113">
        <v>0</v>
      </c>
      <c r="Q539" s="113">
        <v>0</v>
      </c>
      <c r="R539" s="113">
        <v>16.600000000000001</v>
      </c>
      <c r="S539" s="113">
        <v>25</v>
      </c>
      <c r="T539" s="113">
        <v>0</v>
      </c>
      <c r="U539" s="114">
        <v>0</v>
      </c>
      <c r="V539" s="92"/>
      <c r="W539" s="92"/>
      <c r="X539" s="231" t="s">
        <v>230</v>
      </c>
    </row>
    <row r="540" spans="1:24" s="6" customFormat="1" ht="15.75" customHeight="1" thickBot="1">
      <c r="A540" s="92"/>
      <c r="B540" s="92"/>
      <c r="C540" s="231" t="s">
        <v>231</v>
      </c>
      <c r="D540" s="255">
        <v>31.3</v>
      </c>
      <c r="E540" s="256">
        <v>0</v>
      </c>
      <c r="F540" s="256">
        <v>0</v>
      </c>
      <c r="G540" s="256">
        <v>31.3</v>
      </c>
      <c r="H540" s="256">
        <v>0</v>
      </c>
      <c r="I540" s="256">
        <v>0</v>
      </c>
      <c r="J540" s="256">
        <v>0</v>
      </c>
      <c r="K540" s="256">
        <v>0</v>
      </c>
      <c r="L540" s="256">
        <v>0</v>
      </c>
      <c r="M540" s="256">
        <v>0</v>
      </c>
      <c r="N540" s="256">
        <v>0</v>
      </c>
      <c r="O540" s="256">
        <v>0</v>
      </c>
      <c r="P540" s="257">
        <v>0</v>
      </c>
      <c r="Q540" s="257">
        <v>0</v>
      </c>
      <c r="R540" s="257">
        <v>0</v>
      </c>
      <c r="S540" s="257">
        <v>0</v>
      </c>
      <c r="T540" s="257">
        <v>0</v>
      </c>
      <c r="U540" s="258">
        <v>0</v>
      </c>
      <c r="V540" s="92"/>
      <c r="W540" s="92"/>
      <c r="X540" s="231" t="s">
        <v>231</v>
      </c>
    </row>
    <row r="541" spans="1:24" s="6" customFormat="1" ht="15.75" customHeight="1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  <c r="W541" s="263"/>
      <c r="X541" s="263"/>
    </row>
    <row r="542" spans="1:24" s="6" customFormat="1" ht="15.75" customHeight="1">
      <c r="A542" s="7" t="s">
        <v>255</v>
      </c>
    </row>
    <row r="543" spans="1:24" s="6" customFormat="1" ht="15.75" customHeight="1">
      <c r="A543" s="7" t="s">
        <v>84</v>
      </c>
    </row>
    <row r="544" spans="1:24" s="6" customFormat="1" ht="15.75" customHeight="1">
      <c r="A544" s="7" t="s">
        <v>83</v>
      </c>
    </row>
    <row r="547" spans="1:24" s="6" customFormat="1" ht="18">
      <c r="A547" s="19" t="s">
        <v>211</v>
      </c>
      <c r="B547" s="26"/>
    </row>
    <row r="548" spans="1:24" s="6" customFormat="1" ht="15.75" customHeight="1" thickBo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25"/>
    </row>
    <row r="549" spans="1:24" s="6" customFormat="1" ht="15.75" customHeight="1">
      <c r="A549" s="304" t="s">
        <v>61</v>
      </c>
      <c r="B549" s="304"/>
      <c r="C549" s="304"/>
      <c r="D549" s="82" t="s">
        <v>79</v>
      </c>
      <c r="E549" s="83" t="s">
        <v>78</v>
      </c>
      <c r="F549" s="83" t="s">
        <v>77</v>
      </c>
      <c r="G549" s="83" t="s">
        <v>76</v>
      </c>
      <c r="H549" s="83" t="s">
        <v>75</v>
      </c>
      <c r="I549" s="83" t="s">
        <v>74</v>
      </c>
      <c r="J549" s="83" t="s">
        <v>73</v>
      </c>
      <c r="K549" s="83" t="s">
        <v>72</v>
      </c>
      <c r="L549" s="83" t="s">
        <v>71</v>
      </c>
      <c r="M549" s="83" t="s">
        <v>70</v>
      </c>
      <c r="N549" s="83" t="s">
        <v>69</v>
      </c>
      <c r="O549" s="83" t="s">
        <v>68</v>
      </c>
      <c r="P549" s="83" t="s">
        <v>67</v>
      </c>
      <c r="Q549" s="83" t="s">
        <v>66</v>
      </c>
      <c r="R549" s="83" t="s">
        <v>65</v>
      </c>
      <c r="S549" s="83" t="s">
        <v>64</v>
      </c>
      <c r="T549" s="83" t="s">
        <v>63</v>
      </c>
      <c r="U549" s="84" t="s">
        <v>62</v>
      </c>
      <c r="V549" s="306" t="s">
        <v>61</v>
      </c>
      <c r="W549" s="304"/>
      <c r="X549" s="304"/>
    </row>
    <row r="550" spans="1:24" s="6" customFormat="1" ht="15.75" customHeight="1">
      <c r="A550" s="305"/>
      <c r="B550" s="305"/>
      <c r="C550" s="305"/>
      <c r="D550" s="85" t="s">
        <v>22</v>
      </c>
      <c r="E550" s="14" t="s">
        <v>60</v>
      </c>
      <c r="F550" s="14" t="s">
        <v>59</v>
      </c>
      <c r="G550" s="14" t="s">
        <v>58</v>
      </c>
      <c r="H550" s="14" t="s">
        <v>57</v>
      </c>
      <c r="I550" s="14" t="s">
        <v>56</v>
      </c>
      <c r="J550" s="14" t="s">
        <v>55</v>
      </c>
      <c r="K550" s="14" t="s">
        <v>54</v>
      </c>
      <c r="L550" s="14" t="s">
        <v>53</v>
      </c>
      <c r="M550" s="14" t="s">
        <v>52</v>
      </c>
      <c r="N550" s="14" t="s">
        <v>51</v>
      </c>
      <c r="O550" s="14" t="s">
        <v>50</v>
      </c>
      <c r="P550" s="14" t="s">
        <v>49</v>
      </c>
      <c r="Q550" s="14" t="s">
        <v>48</v>
      </c>
      <c r="R550" s="14" t="s">
        <v>47</v>
      </c>
      <c r="S550" s="14" t="s">
        <v>46</v>
      </c>
      <c r="T550" s="14" t="s">
        <v>45</v>
      </c>
      <c r="U550" s="13" t="s">
        <v>44</v>
      </c>
      <c r="V550" s="307"/>
      <c r="W550" s="305"/>
      <c r="X550" s="305"/>
    </row>
    <row r="551" spans="1:24" s="12" customFormat="1" ht="15.75" customHeight="1">
      <c r="A551" s="87" t="s">
        <v>226</v>
      </c>
      <c r="B551" s="271"/>
      <c r="C551" s="87"/>
      <c r="D551" s="272">
        <v>410219.04072523525</v>
      </c>
      <c r="E551" s="273">
        <v>69519.493815845475</v>
      </c>
      <c r="F551" s="273">
        <v>13131.414117656544</v>
      </c>
      <c r="G551" s="273">
        <v>7318.8226014081874</v>
      </c>
      <c r="H551" s="273">
        <v>26928.880169220018</v>
      </c>
      <c r="I551" s="89">
        <v>0</v>
      </c>
      <c r="J551" s="273">
        <v>6196.9662101404892</v>
      </c>
      <c r="K551" s="273">
        <v>15593.433307486104</v>
      </c>
      <c r="L551" s="273">
        <v>1790.2152332382418</v>
      </c>
      <c r="M551" s="273">
        <v>127651.37421548767</v>
      </c>
      <c r="N551" s="273">
        <v>9146.7832858494985</v>
      </c>
      <c r="O551" s="273">
        <v>17637.118314842468</v>
      </c>
      <c r="P551" s="274">
        <v>32249.640048640424</v>
      </c>
      <c r="Q551" s="274">
        <v>19787.371427361224</v>
      </c>
      <c r="R551" s="274">
        <v>7143.7585675618438</v>
      </c>
      <c r="S551" s="274">
        <v>12367.862895025601</v>
      </c>
      <c r="T551" s="274">
        <v>31432.811491324737</v>
      </c>
      <c r="U551" s="275">
        <v>12323.095024146734</v>
      </c>
      <c r="V551" s="87" t="s">
        <v>226</v>
      </c>
      <c r="W551" s="271"/>
      <c r="X551" s="87"/>
    </row>
    <row r="552" spans="1:24" s="12" customFormat="1" ht="15.75" customHeight="1">
      <c r="A552" s="87" t="s">
        <v>237</v>
      </c>
      <c r="B552" s="87"/>
      <c r="C552" s="87"/>
      <c r="D552" s="272">
        <v>187676.86602611694</v>
      </c>
      <c r="E552" s="89">
        <v>45911.971259757971</v>
      </c>
      <c r="F552" s="89">
        <v>2343.8966266220918</v>
      </c>
      <c r="G552" s="89">
        <v>1800.6262267754196</v>
      </c>
      <c r="H552" s="89">
        <v>445.52697052060665</v>
      </c>
      <c r="I552" s="89">
        <v>0</v>
      </c>
      <c r="J552" s="89">
        <v>0</v>
      </c>
      <c r="K552" s="89">
        <v>3046.161147280427</v>
      </c>
      <c r="L552" s="89">
        <v>0</v>
      </c>
      <c r="M552" s="89">
        <v>39691.15938077333</v>
      </c>
      <c r="N552" s="89">
        <v>3448.9128868616881</v>
      </c>
      <c r="O552" s="89">
        <v>7202.9191120756186</v>
      </c>
      <c r="P552" s="90">
        <v>1957.0769659054745</v>
      </c>
      <c r="Q552" s="90">
        <v>5465.054370761698</v>
      </c>
      <c r="R552" s="90">
        <v>0</v>
      </c>
      <c r="S552" s="90">
        <v>24202.843328227238</v>
      </c>
      <c r="T552" s="90">
        <v>15214.664900176851</v>
      </c>
      <c r="U552" s="91">
        <v>36946.052850378532</v>
      </c>
      <c r="V552" s="87" t="s">
        <v>237</v>
      </c>
      <c r="W552" s="87"/>
      <c r="X552" s="87"/>
    </row>
    <row r="553" spans="1:24" s="12" customFormat="1" ht="15.75" customHeight="1">
      <c r="A553" s="86" t="s">
        <v>249</v>
      </c>
      <c r="B553" s="86"/>
      <c r="C553" s="87"/>
      <c r="D553" s="88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90"/>
      <c r="Q553" s="90"/>
      <c r="R553" s="90"/>
      <c r="S553" s="90"/>
      <c r="T553" s="90"/>
      <c r="U553" s="91"/>
      <c r="V553" s="86" t="s">
        <v>249</v>
      </c>
      <c r="W553" s="86"/>
      <c r="X553" s="87"/>
    </row>
    <row r="554" spans="1:24" s="12" customFormat="1" ht="15.75" customHeight="1">
      <c r="A554" s="220"/>
      <c r="B554" s="220" t="s">
        <v>85</v>
      </c>
      <c r="C554" s="221"/>
      <c r="D554" s="225">
        <v>173520</v>
      </c>
      <c r="E554" s="226">
        <v>35150</v>
      </c>
      <c r="F554" s="226">
        <v>5800</v>
      </c>
      <c r="G554" s="226">
        <v>11900</v>
      </c>
      <c r="H554" s="226">
        <v>1800</v>
      </c>
      <c r="I554" s="226">
        <v>0</v>
      </c>
      <c r="J554" s="226">
        <v>0</v>
      </c>
      <c r="K554" s="226">
        <v>1500</v>
      </c>
      <c r="L554" s="226">
        <v>0</v>
      </c>
      <c r="M554" s="226">
        <v>34360</v>
      </c>
      <c r="N554" s="226">
        <v>4458</v>
      </c>
      <c r="O554" s="226">
        <v>3854</v>
      </c>
      <c r="P554" s="226">
        <v>7870</v>
      </c>
      <c r="Q554" s="226">
        <v>11000</v>
      </c>
      <c r="R554" s="226">
        <v>346</v>
      </c>
      <c r="S554" s="226">
        <v>24145</v>
      </c>
      <c r="T554" s="226">
        <v>10673</v>
      </c>
      <c r="U554" s="227">
        <v>20664</v>
      </c>
      <c r="V554" s="220"/>
      <c r="W554" s="220" t="s">
        <v>85</v>
      </c>
      <c r="X554" s="221"/>
    </row>
    <row r="555" spans="1:24" s="12" customFormat="1" ht="15.75" customHeight="1">
      <c r="A555" s="220"/>
      <c r="B555" s="220" t="s">
        <v>87</v>
      </c>
      <c r="C555" s="221"/>
      <c r="D555" s="225">
        <v>2961.3090000000002</v>
      </c>
      <c r="E555" s="251">
        <v>438.9</v>
      </c>
      <c r="F555" s="251">
        <v>93.830999999999989</v>
      </c>
      <c r="G555" s="251">
        <v>87.37</v>
      </c>
      <c r="H555" s="251">
        <v>194.02799999999999</v>
      </c>
      <c r="I555" s="251">
        <v>0</v>
      </c>
      <c r="J555" s="226">
        <v>62.4</v>
      </c>
      <c r="K555" s="226">
        <v>244.79999999999998</v>
      </c>
      <c r="L555" s="226">
        <v>8.5</v>
      </c>
      <c r="M555" s="226">
        <v>855.65999999999985</v>
      </c>
      <c r="N555" s="226">
        <v>98.339999999999989</v>
      </c>
      <c r="O555" s="226">
        <v>140.76000000000002</v>
      </c>
      <c r="P555" s="226">
        <v>163.10000000000002</v>
      </c>
      <c r="Q555" s="226">
        <v>90.9</v>
      </c>
      <c r="R555" s="226">
        <v>67.75</v>
      </c>
      <c r="S555" s="226">
        <v>117.61999999999999</v>
      </c>
      <c r="T555" s="226">
        <v>263.01000000000005</v>
      </c>
      <c r="U555" s="227">
        <v>34.340000000000003</v>
      </c>
      <c r="V555" s="220"/>
      <c r="W555" s="220" t="s">
        <v>87</v>
      </c>
      <c r="X555" s="221"/>
    </row>
    <row r="556" spans="1:24" s="6" customFormat="1" ht="15.75" customHeight="1">
      <c r="A556" s="9"/>
      <c r="B556" s="9"/>
      <c r="C556" s="243"/>
      <c r="D556" s="103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7"/>
      <c r="Q556" s="107"/>
      <c r="R556" s="107"/>
      <c r="S556" s="107"/>
      <c r="T556" s="107"/>
      <c r="U556" s="108"/>
      <c r="V556" s="9"/>
      <c r="W556" s="9"/>
      <c r="X556" s="243"/>
    </row>
    <row r="557" spans="1:24" s="6" customFormat="1" ht="15.75" customHeight="1">
      <c r="A557" s="86" t="s">
        <v>86</v>
      </c>
      <c r="B557" s="86"/>
      <c r="C557" s="230"/>
      <c r="D557" s="88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90"/>
      <c r="Q557" s="90"/>
      <c r="R557" s="90"/>
      <c r="S557" s="90"/>
      <c r="T557" s="90"/>
      <c r="U557" s="91"/>
      <c r="V557" s="86" t="s">
        <v>86</v>
      </c>
      <c r="W557" s="86"/>
      <c r="X557" s="230"/>
    </row>
    <row r="558" spans="1:24" s="12" customFormat="1" ht="15.75" customHeight="1">
      <c r="A558" s="9" t="s">
        <v>85</v>
      </c>
      <c r="C558" s="231" t="s">
        <v>229</v>
      </c>
      <c r="D558" s="103">
        <v>53400</v>
      </c>
      <c r="E558" s="104">
        <v>9500</v>
      </c>
      <c r="F558" s="104">
        <v>0</v>
      </c>
      <c r="G558" s="104">
        <v>9900</v>
      </c>
      <c r="H558" s="104">
        <v>1800</v>
      </c>
      <c r="I558" s="104">
        <v>0</v>
      </c>
      <c r="J558" s="104">
        <v>0</v>
      </c>
      <c r="K558" s="104">
        <v>0</v>
      </c>
      <c r="L558" s="104">
        <v>0</v>
      </c>
      <c r="M558" s="104">
        <v>0</v>
      </c>
      <c r="N558" s="104">
        <v>0</v>
      </c>
      <c r="O558" s="104">
        <v>0</v>
      </c>
      <c r="P558" s="107">
        <v>7000</v>
      </c>
      <c r="Q558" s="107">
        <v>6000</v>
      </c>
      <c r="R558" s="107">
        <v>0</v>
      </c>
      <c r="S558" s="107">
        <v>0</v>
      </c>
      <c r="T558" s="107">
        <v>0</v>
      </c>
      <c r="U558" s="108">
        <v>19200</v>
      </c>
      <c r="V558" s="9" t="s">
        <v>85</v>
      </c>
      <c r="X558" s="231" t="s">
        <v>240</v>
      </c>
    </row>
    <row r="559" spans="1:24" s="6" customFormat="1" ht="15.75" customHeight="1">
      <c r="A559" s="9"/>
      <c r="B559" s="9"/>
      <c r="C559" s="231" t="s">
        <v>230</v>
      </c>
      <c r="D559" s="103">
        <v>14780</v>
      </c>
      <c r="E559" s="104">
        <v>0</v>
      </c>
      <c r="F559" s="104">
        <v>0</v>
      </c>
      <c r="G559" s="104">
        <v>0</v>
      </c>
      <c r="H559" s="104">
        <v>0</v>
      </c>
      <c r="I559" s="104">
        <v>0</v>
      </c>
      <c r="J559" s="104">
        <v>0</v>
      </c>
      <c r="K559" s="104">
        <v>0</v>
      </c>
      <c r="L559" s="104">
        <v>0</v>
      </c>
      <c r="M559" s="104">
        <v>0</v>
      </c>
      <c r="N559" s="104">
        <v>250</v>
      </c>
      <c r="O559" s="104">
        <v>0</v>
      </c>
      <c r="P559" s="107">
        <v>430</v>
      </c>
      <c r="Q559" s="107">
        <v>0</v>
      </c>
      <c r="R559" s="107">
        <v>0</v>
      </c>
      <c r="S559" s="107">
        <v>14100</v>
      </c>
      <c r="T559" s="107">
        <v>0</v>
      </c>
      <c r="U559" s="108">
        <v>0</v>
      </c>
      <c r="V559" s="9"/>
      <c r="W559" s="9"/>
      <c r="X559" s="231" t="s">
        <v>230</v>
      </c>
    </row>
    <row r="560" spans="1:24" s="6" customFormat="1" ht="15.75" customHeight="1">
      <c r="A560" s="9"/>
      <c r="B560" s="9"/>
      <c r="C560" s="231" t="s">
        <v>231</v>
      </c>
      <c r="D560" s="103">
        <v>4060</v>
      </c>
      <c r="E560" s="104">
        <v>0</v>
      </c>
      <c r="F560" s="104">
        <v>0</v>
      </c>
      <c r="G560" s="104">
        <v>0</v>
      </c>
      <c r="H560" s="104">
        <v>0</v>
      </c>
      <c r="I560" s="104">
        <v>0</v>
      </c>
      <c r="J560" s="104">
        <v>0</v>
      </c>
      <c r="K560" s="104">
        <v>0</v>
      </c>
      <c r="L560" s="104">
        <v>0</v>
      </c>
      <c r="M560" s="104">
        <v>3900</v>
      </c>
      <c r="N560" s="104">
        <v>0</v>
      </c>
      <c r="O560" s="104">
        <v>0</v>
      </c>
      <c r="P560" s="107">
        <v>0</v>
      </c>
      <c r="Q560" s="107">
        <v>0</v>
      </c>
      <c r="R560" s="107">
        <v>0</v>
      </c>
      <c r="S560" s="107">
        <v>160</v>
      </c>
      <c r="T560" s="107">
        <v>0</v>
      </c>
      <c r="U560" s="108">
        <v>0</v>
      </c>
      <c r="V560" s="9"/>
      <c r="W560" s="9"/>
      <c r="X560" s="231" t="s">
        <v>231</v>
      </c>
    </row>
    <row r="561" spans="1:24" s="6" customFormat="1" ht="15.75" customHeight="1">
      <c r="A561" s="92"/>
      <c r="C561" s="92"/>
      <c r="D561" s="115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3"/>
      <c r="Q561" s="113"/>
      <c r="R561" s="113"/>
      <c r="S561" s="113"/>
      <c r="T561" s="113"/>
      <c r="U561" s="114"/>
      <c r="V561" s="92"/>
      <c r="X561" s="92"/>
    </row>
    <row r="562" spans="1:24" s="12" customFormat="1" ht="15.75" customHeight="1">
      <c r="A562" s="9" t="s">
        <v>87</v>
      </c>
      <c r="C562" s="231" t="s">
        <v>240</v>
      </c>
      <c r="D562" s="103">
        <v>0</v>
      </c>
      <c r="E562" s="104">
        <v>0</v>
      </c>
      <c r="F562" s="104">
        <v>0</v>
      </c>
      <c r="G562" s="104">
        <v>0</v>
      </c>
      <c r="H562" s="104">
        <v>0</v>
      </c>
      <c r="I562" s="104">
        <v>0</v>
      </c>
      <c r="J562" s="104">
        <v>0</v>
      </c>
      <c r="K562" s="104">
        <v>0</v>
      </c>
      <c r="L562" s="104">
        <v>0</v>
      </c>
      <c r="M562" s="104">
        <v>0</v>
      </c>
      <c r="N562" s="104">
        <v>0</v>
      </c>
      <c r="O562" s="104">
        <v>0</v>
      </c>
      <c r="P562" s="104">
        <v>0</v>
      </c>
      <c r="Q562" s="104">
        <v>0</v>
      </c>
      <c r="R562" s="107">
        <v>0</v>
      </c>
      <c r="S562" s="107">
        <v>0</v>
      </c>
      <c r="T562" s="107">
        <v>0</v>
      </c>
      <c r="U562" s="108">
        <v>0</v>
      </c>
      <c r="V562" s="9" t="s">
        <v>87</v>
      </c>
      <c r="X562" s="231" t="s">
        <v>240</v>
      </c>
    </row>
    <row r="563" spans="1:24" s="6" customFormat="1" ht="15.75" customHeight="1">
      <c r="A563" s="9"/>
      <c r="B563" s="9"/>
      <c r="C563" s="231" t="s">
        <v>230</v>
      </c>
      <c r="D563" s="103">
        <v>62.2</v>
      </c>
      <c r="E563" s="104">
        <v>0</v>
      </c>
      <c r="F563" s="104">
        <v>0</v>
      </c>
      <c r="G563" s="104">
        <v>0</v>
      </c>
      <c r="H563" s="104">
        <v>0</v>
      </c>
      <c r="I563" s="104">
        <v>0</v>
      </c>
      <c r="J563" s="104">
        <v>0</v>
      </c>
      <c r="K563" s="104">
        <v>0</v>
      </c>
      <c r="L563" s="104">
        <v>0</v>
      </c>
      <c r="M563" s="104">
        <v>0</v>
      </c>
      <c r="N563" s="104">
        <v>11</v>
      </c>
      <c r="O563" s="104">
        <v>44.7</v>
      </c>
      <c r="P563" s="107">
        <v>6.5</v>
      </c>
      <c r="Q563" s="107">
        <v>0</v>
      </c>
      <c r="R563" s="107">
        <v>0</v>
      </c>
      <c r="S563" s="107">
        <v>0</v>
      </c>
      <c r="T563" s="107">
        <v>0</v>
      </c>
      <c r="U563" s="108">
        <v>0</v>
      </c>
      <c r="V563" s="9"/>
      <c r="W563" s="9"/>
      <c r="X563" s="231" t="s">
        <v>230</v>
      </c>
    </row>
    <row r="564" spans="1:24" s="6" customFormat="1" ht="15.75" customHeight="1" thickBot="1">
      <c r="A564" s="92"/>
      <c r="B564" s="92"/>
      <c r="C564" s="231" t="s">
        <v>231</v>
      </c>
      <c r="D564" s="255">
        <v>2</v>
      </c>
      <c r="E564" s="256">
        <v>0</v>
      </c>
      <c r="F564" s="256">
        <v>0</v>
      </c>
      <c r="G564" s="256">
        <v>0</v>
      </c>
      <c r="H564" s="256">
        <v>0</v>
      </c>
      <c r="I564" s="256">
        <v>0</v>
      </c>
      <c r="J564" s="256">
        <v>0</v>
      </c>
      <c r="K564" s="256">
        <v>0</v>
      </c>
      <c r="L564" s="256">
        <v>0</v>
      </c>
      <c r="M564" s="256">
        <v>2</v>
      </c>
      <c r="N564" s="256">
        <v>0</v>
      </c>
      <c r="O564" s="256">
        <v>0</v>
      </c>
      <c r="P564" s="257">
        <v>0</v>
      </c>
      <c r="Q564" s="257">
        <v>0</v>
      </c>
      <c r="R564" s="257">
        <v>0</v>
      </c>
      <c r="S564" s="257">
        <v>0</v>
      </c>
      <c r="T564" s="257">
        <v>0</v>
      </c>
      <c r="U564" s="258">
        <v>0</v>
      </c>
      <c r="V564" s="92"/>
      <c r="W564" s="92"/>
      <c r="X564" s="231" t="s">
        <v>231</v>
      </c>
    </row>
    <row r="565" spans="1:24" s="6" customFormat="1" ht="15.75" customHeight="1">
      <c r="A565" s="263"/>
      <c r="B565" s="263"/>
      <c r="C565" s="263"/>
      <c r="D565" s="276"/>
      <c r="E565" s="276"/>
      <c r="F565" s="276"/>
      <c r="G565" s="276"/>
      <c r="H565" s="276"/>
      <c r="I565" s="276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  <c r="V565" s="276"/>
      <c r="W565" s="263"/>
      <c r="X565" s="263"/>
    </row>
    <row r="566" spans="1:24" s="6" customFormat="1" ht="15.75" customHeight="1">
      <c r="A566" s="7" t="s">
        <v>255</v>
      </c>
    </row>
    <row r="567" spans="1:24" s="6" customFormat="1" ht="15.75" customHeight="1">
      <c r="A567" s="7" t="s">
        <v>84</v>
      </c>
    </row>
    <row r="568" spans="1:24" s="6" customFormat="1" ht="15.75" customHeight="1">
      <c r="A568" s="7" t="s">
        <v>89</v>
      </c>
    </row>
    <row r="569" spans="1:24" s="6" customFormat="1" ht="15.75" customHeight="1">
      <c r="A569" s="7" t="s">
        <v>88</v>
      </c>
    </row>
    <row r="572" spans="1:24" s="6" customFormat="1" ht="18">
      <c r="A572" s="19" t="s">
        <v>212</v>
      </c>
      <c r="B572" s="26"/>
    </row>
    <row r="573" spans="1:24" s="6" customFormat="1" ht="15.75" customHeight="1" thickBo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25"/>
    </row>
    <row r="574" spans="1:24" s="6" customFormat="1" ht="15.75" customHeight="1">
      <c r="A574" s="304" t="s">
        <v>61</v>
      </c>
      <c r="B574" s="304"/>
      <c r="C574" s="304"/>
      <c r="D574" s="82" t="s">
        <v>79</v>
      </c>
      <c r="E574" s="83" t="s">
        <v>78</v>
      </c>
      <c r="F574" s="83" t="s">
        <v>77</v>
      </c>
      <c r="G574" s="83" t="s">
        <v>76</v>
      </c>
      <c r="H574" s="83" t="s">
        <v>75</v>
      </c>
      <c r="I574" s="83" t="s">
        <v>74</v>
      </c>
      <c r="J574" s="83" t="s">
        <v>73</v>
      </c>
      <c r="K574" s="83" t="s">
        <v>72</v>
      </c>
      <c r="L574" s="83" t="s">
        <v>71</v>
      </c>
      <c r="M574" s="83" t="s">
        <v>70</v>
      </c>
      <c r="N574" s="83" t="s">
        <v>69</v>
      </c>
      <c r="O574" s="83" t="s">
        <v>68</v>
      </c>
      <c r="P574" s="83" t="s">
        <v>67</v>
      </c>
      <c r="Q574" s="83" t="s">
        <v>66</v>
      </c>
      <c r="R574" s="83" t="s">
        <v>65</v>
      </c>
      <c r="S574" s="83" t="s">
        <v>64</v>
      </c>
      <c r="T574" s="83" t="s">
        <v>63</v>
      </c>
      <c r="U574" s="84" t="s">
        <v>62</v>
      </c>
      <c r="V574" s="306" t="s">
        <v>61</v>
      </c>
      <c r="W574" s="304"/>
      <c r="X574" s="304"/>
    </row>
    <row r="575" spans="1:24" s="6" customFormat="1" ht="15.75" customHeight="1">
      <c r="A575" s="305"/>
      <c r="B575" s="305"/>
      <c r="C575" s="305"/>
      <c r="D575" s="85" t="s">
        <v>22</v>
      </c>
      <c r="E575" s="14" t="s">
        <v>60</v>
      </c>
      <c r="F575" s="14" t="s">
        <v>59</v>
      </c>
      <c r="G575" s="14" t="s">
        <v>58</v>
      </c>
      <c r="H575" s="14" t="s">
        <v>57</v>
      </c>
      <c r="I575" s="14" t="s">
        <v>56</v>
      </c>
      <c r="J575" s="14" t="s">
        <v>55</v>
      </c>
      <c r="K575" s="14" t="s">
        <v>54</v>
      </c>
      <c r="L575" s="14" t="s">
        <v>53</v>
      </c>
      <c r="M575" s="14" t="s">
        <v>52</v>
      </c>
      <c r="N575" s="14" t="s">
        <v>51</v>
      </c>
      <c r="O575" s="14" t="s">
        <v>50</v>
      </c>
      <c r="P575" s="14" t="s">
        <v>49</v>
      </c>
      <c r="Q575" s="14" t="s">
        <v>48</v>
      </c>
      <c r="R575" s="14" t="s">
        <v>47</v>
      </c>
      <c r="S575" s="14" t="s">
        <v>46</v>
      </c>
      <c r="T575" s="14" t="s">
        <v>45</v>
      </c>
      <c r="U575" s="13" t="s">
        <v>44</v>
      </c>
      <c r="V575" s="307"/>
      <c r="W575" s="305"/>
      <c r="X575" s="305"/>
    </row>
    <row r="576" spans="1:24" s="12" customFormat="1" ht="15.75" customHeight="1">
      <c r="A576" s="316" t="s">
        <v>225</v>
      </c>
      <c r="B576" s="316"/>
      <c r="C576" s="317"/>
      <c r="D576" s="88">
        <v>234334.13429050788</v>
      </c>
      <c r="E576" s="89">
        <v>0</v>
      </c>
      <c r="F576" s="89">
        <v>0</v>
      </c>
      <c r="G576" s="89">
        <v>0</v>
      </c>
      <c r="H576" s="89">
        <v>0</v>
      </c>
      <c r="I576" s="89">
        <v>0</v>
      </c>
      <c r="J576" s="89">
        <v>0</v>
      </c>
      <c r="K576" s="89">
        <v>0</v>
      </c>
      <c r="L576" s="89">
        <v>0</v>
      </c>
      <c r="M576" s="89">
        <v>0</v>
      </c>
      <c r="N576" s="89">
        <v>165814.52659129901</v>
      </c>
      <c r="O576" s="89">
        <v>65721.270480961248</v>
      </c>
      <c r="P576" s="89">
        <v>0</v>
      </c>
      <c r="Q576" s="89">
        <v>0</v>
      </c>
      <c r="R576" s="89">
        <v>2798.3372182476214</v>
      </c>
      <c r="S576" s="90">
        <v>0</v>
      </c>
      <c r="T576" s="90">
        <v>0</v>
      </c>
      <c r="U576" s="91">
        <v>0</v>
      </c>
      <c r="V576" s="318" t="s">
        <v>226</v>
      </c>
      <c r="W576" s="316"/>
      <c r="X576" s="316"/>
    </row>
    <row r="577" spans="1:24" s="12" customFormat="1" ht="15.75" customHeight="1" thickBot="1">
      <c r="A577" s="309" t="s">
        <v>251</v>
      </c>
      <c r="B577" s="309"/>
      <c r="C577" s="313"/>
      <c r="D577" s="119">
        <v>1711593.6999999995</v>
      </c>
      <c r="E577" s="104">
        <v>0</v>
      </c>
      <c r="F577" s="104">
        <v>0</v>
      </c>
      <c r="G577" s="104">
        <v>0</v>
      </c>
      <c r="H577" s="104">
        <v>0</v>
      </c>
      <c r="I577" s="104">
        <v>0</v>
      </c>
      <c r="J577" s="104">
        <v>0</v>
      </c>
      <c r="K577" s="104">
        <v>0</v>
      </c>
      <c r="L577" s="104">
        <v>0</v>
      </c>
      <c r="M577" s="104">
        <v>0</v>
      </c>
      <c r="N577" s="104">
        <v>1091657.9999999995</v>
      </c>
      <c r="O577" s="104">
        <v>588790.69999999995</v>
      </c>
      <c r="P577" s="107">
        <v>0</v>
      </c>
      <c r="Q577" s="107">
        <v>0</v>
      </c>
      <c r="R577" s="107">
        <v>31145</v>
      </c>
      <c r="S577" s="107">
        <v>0</v>
      </c>
      <c r="T577" s="107">
        <v>0</v>
      </c>
      <c r="U577" s="108">
        <v>0</v>
      </c>
      <c r="V577" s="308" t="s">
        <v>252</v>
      </c>
      <c r="W577" s="309"/>
      <c r="X577" s="309"/>
    </row>
    <row r="578" spans="1:24" s="6" customFormat="1" ht="15.75" customHeight="1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  <c r="W578" s="263"/>
      <c r="X578" s="263"/>
    </row>
    <row r="579" spans="1:24" s="7" customFormat="1" ht="15.75" customHeight="1">
      <c r="A579" s="7" t="s">
        <v>255</v>
      </c>
      <c r="B579" s="277"/>
      <c r="C579" s="278"/>
      <c r="D579" s="279"/>
      <c r="E579" s="279"/>
      <c r="F579" s="279"/>
      <c r="G579" s="279"/>
      <c r="H579" s="279"/>
      <c r="J579" s="279"/>
      <c r="K579" s="279"/>
      <c r="L579" s="279"/>
      <c r="M579" s="279"/>
      <c r="N579" s="279"/>
      <c r="P579" s="280"/>
      <c r="Q579" s="280"/>
      <c r="R579" s="280"/>
      <c r="S579" s="280"/>
      <c r="T579" s="280"/>
      <c r="U579" s="280"/>
      <c r="V579" s="277"/>
      <c r="W579" s="277"/>
      <c r="X579" s="278"/>
    </row>
    <row r="580" spans="1:24" s="7" customFormat="1" ht="15.75" customHeight="1">
      <c r="A580" s="7" t="s">
        <v>84</v>
      </c>
    </row>
    <row r="581" spans="1:24" s="6" customFormat="1" ht="15.75" customHeight="1">
      <c r="A581" s="7" t="s">
        <v>83</v>
      </c>
    </row>
    <row r="584" spans="1:24" s="6" customFormat="1" ht="18">
      <c r="A584" s="19" t="s">
        <v>213</v>
      </c>
      <c r="B584" s="26"/>
    </row>
    <row r="585" spans="1:24" s="6" customFormat="1" ht="15.75" customHeight="1" thickBo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25"/>
    </row>
    <row r="586" spans="1:24" s="6" customFormat="1" ht="15.75" customHeight="1">
      <c r="A586" s="304" t="s">
        <v>61</v>
      </c>
      <c r="B586" s="304"/>
      <c r="C586" s="304"/>
      <c r="D586" s="82" t="s">
        <v>79</v>
      </c>
      <c r="E586" s="83" t="s">
        <v>78</v>
      </c>
      <c r="F586" s="83" t="s">
        <v>77</v>
      </c>
      <c r="G586" s="83" t="s">
        <v>76</v>
      </c>
      <c r="H586" s="83" t="s">
        <v>75</v>
      </c>
      <c r="I586" s="83" t="s">
        <v>74</v>
      </c>
      <c r="J586" s="83" t="s">
        <v>73</v>
      </c>
      <c r="K586" s="83" t="s">
        <v>72</v>
      </c>
      <c r="L586" s="83" t="s">
        <v>71</v>
      </c>
      <c r="M586" s="83" t="s">
        <v>70</v>
      </c>
      <c r="N586" s="83" t="s">
        <v>69</v>
      </c>
      <c r="O586" s="83" t="s">
        <v>68</v>
      </c>
      <c r="P586" s="83" t="s">
        <v>67</v>
      </c>
      <c r="Q586" s="83" t="s">
        <v>66</v>
      </c>
      <c r="R586" s="83" t="s">
        <v>65</v>
      </c>
      <c r="S586" s="83" t="s">
        <v>64</v>
      </c>
      <c r="T586" s="83" t="s">
        <v>63</v>
      </c>
      <c r="U586" s="84" t="s">
        <v>62</v>
      </c>
      <c r="V586" s="306" t="s">
        <v>61</v>
      </c>
      <c r="W586" s="304"/>
      <c r="X586" s="304"/>
    </row>
    <row r="587" spans="1:24" s="6" customFormat="1" ht="15.75" customHeight="1">
      <c r="A587" s="305"/>
      <c r="B587" s="305"/>
      <c r="C587" s="305"/>
      <c r="D587" s="85" t="s">
        <v>22</v>
      </c>
      <c r="E587" s="14" t="s">
        <v>60</v>
      </c>
      <c r="F587" s="14" t="s">
        <v>59</v>
      </c>
      <c r="G587" s="14" t="s">
        <v>58</v>
      </c>
      <c r="H587" s="14" t="s">
        <v>57</v>
      </c>
      <c r="I587" s="14" t="s">
        <v>56</v>
      </c>
      <c r="J587" s="14" t="s">
        <v>55</v>
      </c>
      <c r="K587" s="14" t="s">
        <v>54</v>
      </c>
      <c r="L587" s="14" t="s">
        <v>53</v>
      </c>
      <c r="M587" s="14" t="s">
        <v>52</v>
      </c>
      <c r="N587" s="14" t="s">
        <v>51</v>
      </c>
      <c r="O587" s="14" t="s">
        <v>50</v>
      </c>
      <c r="P587" s="14" t="s">
        <v>49</v>
      </c>
      <c r="Q587" s="14" t="s">
        <v>48</v>
      </c>
      <c r="R587" s="14" t="s">
        <v>47</v>
      </c>
      <c r="S587" s="14" t="s">
        <v>46</v>
      </c>
      <c r="T587" s="14" t="s">
        <v>45</v>
      </c>
      <c r="U587" s="13" t="s">
        <v>44</v>
      </c>
      <c r="V587" s="307"/>
      <c r="W587" s="305"/>
      <c r="X587" s="305"/>
    </row>
    <row r="588" spans="1:24" s="12" customFormat="1" ht="15.75" customHeight="1">
      <c r="A588" s="87" t="s">
        <v>226</v>
      </c>
      <c r="B588" s="87"/>
      <c r="C588" s="87"/>
      <c r="D588" s="88">
        <v>212993.23589705519</v>
      </c>
      <c r="E588" s="89">
        <v>0</v>
      </c>
      <c r="F588" s="89">
        <v>18242.027189537133</v>
      </c>
      <c r="G588" s="89">
        <v>790.34204982473966</v>
      </c>
      <c r="H588" s="89">
        <v>3020.3810099853267</v>
      </c>
      <c r="I588" s="89">
        <v>0</v>
      </c>
      <c r="J588" s="89">
        <v>8928.0557767638475</v>
      </c>
      <c r="K588" s="89">
        <v>38256.326080573577</v>
      </c>
      <c r="L588" s="89">
        <v>4939.7781508541029</v>
      </c>
      <c r="M588" s="89">
        <v>22237.605769596612</v>
      </c>
      <c r="N588" s="89">
        <v>4594.2493670029799</v>
      </c>
      <c r="O588" s="89">
        <v>22530.786874835707</v>
      </c>
      <c r="P588" s="90">
        <v>1198.8992568873668</v>
      </c>
      <c r="Q588" s="90">
        <v>12494.664167521118</v>
      </c>
      <c r="R588" s="90">
        <v>62630.369526471608</v>
      </c>
      <c r="S588" s="90">
        <v>5523.0654148486592</v>
      </c>
      <c r="T588" s="90">
        <v>7606.6852623524283</v>
      </c>
      <c r="U588" s="91">
        <v>0</v>
      </c>
      <c r="V588" s="87" t="s">
        <v>226</v>
      </c>
      <c r="W588" s="87"/>
      <c r="X588" s="87"/>
    </row>
    <row r="589" spans="1:24" s="12" customFormat="1" ht="15.75" customHeight="1">
      <c r="A589" s="87" t="s">
        <v>237</v>
      </c>
      <c r="B589" s="87"/>
      <c r="C589" s="87"/>
      <c r="D589" s="88">
        <v>159638.57672720603</v>
      </c>
      <c r="E589" s="89">
        <v>0</v>
      </c>
      <c r="F589" s="89">
        <v>41113.913008177231</v>
      </c>
      <c r="G589" s="89">
        <v>3451.3387627959946</v>
      </c>
      <c r="H589" s="89">
        <v>0</v>
      </c>
      <c r="I589" s="89">
        <v>0</v>
      </c>
      <c r="J589" s="89">
        <v>532.95401273971822</v>
      </c>
      <c r="K589" s="89">
        <v>2283.768594211585</v>
      </c>
      <c r="L589" s="89">
        <v>1219.4751226226624</v>
      </c>
      <c r="M589" s="89">
        <v>51.646603169823045</v>
      </c>
      <c r="N589" s="89">
        <v>21341.741855348402</v>
      </c>
      <c r="O589" s="89">
        <v>0</v>
      </c>
      <c r="P589" s="90">
        <v>5628.6350088608779</v>
      </c>
      <c r="Q589" s="90">
        <v>2025.7773199314572</v>
      </c>
      <c r="R589" s="90">
        <v>60286.093853763647</v>
      </c>
      <c r="S589" s="90">
        <v>21703.232585584621</v>
      </c>
      <c r="T589" s="90">
        <v>0</v>
      </c>
      <c r="U589" s="91">
        <v>0</v>
      </c>
      <c r="V589" s="87" t="s">
        <v>237</v>
      </c>
      <c r="W589" s="87"/>
      <c r="X589" s="87"/>
    </row>
    <row r="590" spans="1:24" s="6" customFormat="1" ht="15.75" customHeight="1">
      <c r="A590" s="86" t="s">
        <v>249</v>
      </c>
      <c r="B590" s="86"/>
      <c r="C590" s="87"/>
      <c r="D590" s="88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90"/>
      <c r="Q590" s="90"/>
      <c r="R590" s="90"/>
      <c r="S590" s="90"/>
      <c r="T590" s="90"/>
      <c r="U590" s="91"/>
      <c r="V590" s="86" t="s">
        <v>249</v>
      </c>
      <c r="W590" s="86"/>
      <c r="X590" s="87"/>
    </row>
    <row r="591" spans="1:24" s="12" customFormat="1" ht="15.75" customHeight="1">
      <c r="A591" s="220"/>
      <c r="B591" s="220" t="s">
        <v>85</v>
      </c>
      <c r="C591" s="221"/>
      <c r="D591" s="225">
        <v>138936.17161487974</v>
      </c>
      <c r="E591" s="226">
        <v>0</v>
      </c>
      <c r="F591" s="226">
        <v>33900</v>
      </c>
      <c r="G591" s="226">
        <v>3000</v>
      </c>
      <c r="H591" s="226">
        <v>0</v>
      </c>
      <c r="I591" s="226">
        <v>0</v>
      </c>
      <c r="J591" s="226">
        <v>4000</v>
      </c>
      <c r="K591" s="226">
        <v>5500</v>
      </c>
      <c r="L591" s="226">
        <v>821.61506742946403</v>
      </c>
      <c r="M591" s="226">
        <v>2950</v>
      </c>
      <c r="N591" s="226">
        <v>10000</v>
      </c>
      <c r="O591" s="226">
        <v>1800</v>
      </c>
      <c r="P591" s="226">
        <v>2990</v>
      </c>
      <c r="Q591" s="226">
        <v>2084.7355265725087</v>
      </c>
      <c r="R591" s="226">
        <v>59239.821020877775</v>
      </c>
      <c r="S591" s="226">
        <v>12650</v>
      </c>
      <c r="T591" s="226">
        <v>0</v>
      </c>
      <c r="U591" s="227">
        <v>0</v>
      </c>
      <c r="V591" s="220"/>
      <c r="W591" s="220" t="s">
        <v>85</v>
      </c>
      <c r="X591" s="221"/>
    </row>
    <row r="592" spans="1:24" s="12" customFormat="1" ht="15.75" customHeight="1">
      <c r="A592" s="220"/>
      <c r="B592" s="220" t="s">
        <v>87</v>
      </c>
      <c r="C592" s="221"/>
      <c r="D592" s="225">
        <v>2187.7850000000003</v>
      </c>
      <c r="E592" s="251">
        <v>0</v>
      </c>
      <c r="F592" s="251">
        <v>186</v>
      </c>
      <c r="G592" s="251">
        <v>0</v>
      </c>
      <c r="H592" s="251">
        <v>30</v>
      </c>
      <c r="I592" s="251">
        <v>0</v>
      </c>
      <c r="J592" s="226">
        <v>49.2</v>
      </c>
      <c r="K592" s="226">
        <v>229.9</v>
      </c>
      <c r="L592" s="226">
        <v>40</v>
      </c>
      <c r="M592" s="226">
        <v>312.08500000000004</v>
      </c>
      <c r="N592" s="226">
        <v>100.6</v>
      </c>
      <c r="O592" s="226">
        <v>212.2</v>
      </c>
      <c r="P592" s="226">
        <v>0</v>
      </c>
      <c r="Q592" s="226">
        <v>107.5</v>
      </c>
      <c r="R592" s="226">
        <v>817.4</v>
      </c>
      <c r="S592" s="226">
        <v>70.399999999999991</v>
      </c>
      <c r="T592" s="226">
        <v>32.5</v>
      </c>
      <c r="U592" s="227">
        <v>0</v>
      </c>
      <c r="V592" s="220"/>
      <c r="W592" s="220" t="s">
        <v>87</v>
      </c>
      <c r="X592" s="221"/>
    </row>
    <row r="593" spans="1:24" s="6" customFormat="1" ht="15.75" customHeight="1">
      <c r="A593" s="9"/>
      <c r="B593" s="9"/>
      <c r="C593" s="243"/>
      <c r="D593" s="103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7"/>
      <c r="Q593" s="107"/>
      <c r="R593" s="107"/>
      <c r="S593" s="107"/>
      <c r="T593" s="107"/>
      <c r="U593" s="108"/>
      <c r="V593" s="9"/>
      <c r="W593" s="9"/>
      <c r="X593" s="243"/>
    </row>
    <row r="594" spans="1:24" s="12" customFormat="1" ht="15.75" customHeight="1">
      <c r="A594" s="86" t="s">
        <v>86</v>
      </c>
      <c r="B594" s="86"/>
      <c r="C594" s="230"/>
      <c r="D594" s="88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90"/>
      <c r="Q594" s="90"/>
      <c r="R594" s="90"/>
      <c r="S594" s="90"/>
      <c r="T594" s="90"/>
      <c r="U594" s="91"/>
      <c r="V594" s="86" t="s">
        <v>86</v>
      </c>
      <c r="W594" s="86"/>
      <c r="X594" s="230"/>
    </row>
    <row r="595" spans="1:24" s="12" customFormat="1" ht="15.75" customHeight="1">
      <c r="A595" s="9" t="s">
        <v>85</v>
      </c>
      <c r="C595" s="231" t="s">
        <v>229</v>
      </c>
      <c r="D595" s="103">
        <v>0</v>
      </c>
      <c r="E595" s="104">
        <v>0</v>
      </c>
      <c r="F595" s="104">
        <v>0</v>
      </c>
      <c r="G595" s="104">
        <v>0</v>
      </c>
      <c r="H595" s="104">
        <v>0</v>
      </c>
      <c r="I595" s="104">
        <v>0</v>
      </c>
      <c r="J595" s="104">
        <v>0</v>
      </c>
      <c r="K595" s="104">
        <v>0</v>
      </c>
      <c r="L595" s="104">
        <v>0</v>
      </c>
      <c r="M595" s="104">
        <v>0</v>
      </c>
      <c r="N595" s="104">
        <v>0</v>
      </c>
      <c r="O595" s="104">
        <v>0</v>
      </c>
      <c r="P595" s="104">
        <v>0</v>
      </c>
      <c r="Q595" s="104">
        <v>0</v>
      </c>
      <c r="R595" s="104">
        <v>0</v>
      </c>
      <c r="S595" s="104">
        <v>0</v>
      </c>
      <c r="T595" s="104">
        <v>0</v>
      </c>
      <c r="U595" s="108">
        <v>0</v>
      </c>
      <c r="V595" s="9" t="s">
        <v>85</v>
      </c>
      <c r="X595" s="231" t="s">
        <v>240</v>
      </c>
    </row>
    <row r="596" spans="1:24" s="12" customFormat="1" ht="15.75" customHeight="1">
      <c r="A596" s="9"/>
      <c r="B596" s="9"/>
      <c r="C596" s="231" t="s">
        <v>230</v>
      </c>
      <c r="D596" s="103">
        <v>16311.574613529599</v>
      </c>
      <c r="E596" s="104">
        <v>0</v>
      </c>
      <c r="F596" s="104">
        <v>0</v>
      </c>
      <c r="G596" s="104">
        <v>0</v>
      </c>
      <c r="H596" s="104">
        <v>0</v>
      </c>
      <c r="I596" s="104">
        <v>0</v>
      </c>
      <c r="J596" s="104">
        <v>0</v>
      </c>
      <c r="K596" s="104">
        <v>0</v>
      </c>
      <c r="L596" s="104">
        <v>0</v>
      </c>
      <c r="M596" s="104">
        <v>2950</v>
      </c>
      <c r="N596" s="104">
        <v>0</v>
      </c>
      <c r="O596" s="104">
        <v>0</v>
      </c>
      <c r="P596" s="107">
        <v>0</v>
      </c>
      <c r="Q596" s="107">
        <v>0</v>
      </c>
      <c r="R596" s="107">
        <v>13361.574613529599</v>
      </c>
      <c r="S596" s="107">
        <v>0</v>
      </c>
      <c r="T596" s="107">
        <v>0</v>
      </c>
      <c r="U596" s="108">
        <v>0</v>
      </c>
      <c r="V596" s="9" t="s">
        <v>85</v>
      </c>
      <c r="W596" s="9"/>
      <c r="X596" s="231" t="s">
        <v>230</v>
      </c>
    </row>
    <row r="597" spans="1:24" s="12" customFormat="1" ht="15.75" customHeight="1">
      <c r="A597" s="9"/>
      <c r="B597" s="9"/>
      <c r="C597" s="231" t="s">
        <v>231</v>
      </c>
      <c r="D597" s="103">
        <v>19339</v>
      </c>
      <c r="E597" s="104">
        <v>0</v>
      </c>
      <c r="F597" s="104">
        <v>0</v>
      </c>
      <c r="G597" s="104">
        <v>0</v>
      </c>
      <c r="H597" s="104">
        <v>0</v>
      </c>
      <c r="I597" s="104">
        <v>0</v>
      </c>
      <c r="J597" s="104">
        <v>4000</v>
      </c>
      <c r="K597" s="104">
        <v>0</v>
      </c>
      <c r="L597" s="104">
        <v>1471</v>
      </c>
      <c r="M597" s="104">
        <v>0</v>
      </c>
      <c r="N597" s="104">
        <v>0</v>
      </c>
      <c r="O597" s="104">
        <v>0</v>
      </c>
      <c r="P597" s="107">
        <v>0</v>
      </c>
      <c r="Q597" s="107">
        <v>1218</v>
      </c>
      <c r="R597" s="107">
        <v>0</v>
      </c>
      <c r="S597" s="107">
        <v>12650</v>
      </c>
      <c r="T597" s="107">
        <v>0</v>
      </c>
      <c r="U597" s="108">
        <v>0</v>
      </c>
      <c r="V597" s="9"/>
      <c r="W597" s="9"/>
      <c r="X597" s="231" t="s">
        <v>231</v>
      </c>
    </row>
    <row r="598" spans="1:24" s="12" customFormat="1" ht="15.75" customHeight="1">
      <c r="A598" s="9"/>
      <c r="C598" s="9"/>
      <c r="D598" s="103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7"/>
      <c r="Q598" s="107"/>
      <c r="R598" s="107"/>
      <c r="S598" s="107"/>
      <c r="T598" s="107"/>
      <c r="U598" s="108"/>
      <c r="V598" s="9"/>
      <c r="X598" s="9"/>
    </row>
    <row r="599" spans="1:24" s="12" customFormat="1" ht="15.75" customHeight="1">
      <c r="A599" s="9" t="s">
        <v>87</v>
      </c>
      <c r="C599" s="231" t="s">
        <v>240</v>
      </c>
      <c r="D599" s="103">
        <v>0</v>
      </c>
      <c r="E599" s="104">
        <v>0</v>
      </c>
      <c r="F599" s="104">
        <v>0</v>
      </c>
      <c r="G599" s="104">
        <v>0</v>
      </c>
      <c r="H599" s="104">
        <v>0</v>
      </c>
      <c r="I599" s="104">
        <v>0</v>
      </c>
      <c r="J599" s="104">
        <v>0</v>
      </c>
      <c r="K599" s="104">
        <v>0</v>
      </c>
      <c r="L599" s="104">
        <v>0</v>
      </c>
      <c r="M599" s="104">
        <v>0</v>
      </c>
      <c r="N599" s="104">
        <v>0</v>
      </c>
      <c r="O599" s="104">
        <v>0</v>
      </c>
      <c r="P599" s="104">
        <v>0</v>
      </c>
      <c r="Q599" s="104">
        <v>0</v>
      </c>
      <c r="R599" s="104">
        <v>0</v>
      </c>
      <c r="S599" s="104">
        <v>0</v>
      </c>
      <c r="T599" s="104">
        <v>0</v>
      </c>
      <c r="U599" s="108">
        <v>0</v>
      </c>
      <c r="V599" s="9" t="s">
        <v>87</v>
      </c>
      <c r="X599" s="231" t="s">
        <v>240</v>
      </c>
    </row>
    <row r="600" spans="1:24" s="12" customFormat="1" ht="15.75" customHeight="1">
      <c r="A600" s="9"/>
      <c r="B600" s="9"/>
      <c r="C600" s="231" t="s">
        <v>230</v>
      </c>
      <c r="D600" s="103">
        <v>0</v>
      </c>
      <c r="E600" s="104">
        <v>0</v>
      </c>
      <c r="F600" s="104">
        <v>0</v>
      </c>
      <c r="G600" s="104">
        <v>0</v>
      </c>
      <c r="H600" s="104">
        <v>0</v>
      </c>
      <c r="I600" s="104">
        <v>0</v>
      </c>
      <c r="J600" s="104">
        <v>0</v>
      </c>
      <c r="K600" s="104">
        <v>0</v>
      </c>
      <c r="L600" s="104">
        <v>0</v>
      </c>
      <c r="M600" s="104">
        <v>0</v>
      </c>
      <c r="N600" s="104">
        <v>0</v>
      </c>
      <c r="O600" s="104">
        <v>0</v>
      </c>
      <c r="P600" s="107">
        <v>0</v>
      </c>
      <c r="Q600" s="107">
        <v>0</v>
      </c>
      <c r="R600" s="107">
        <v>0</v>
      </c>
      <c r="S600" s="107">
        <v>0</v>
      </c>
      <c r="T600" s="107">
        <v>0</v>
      </c>
      <c r="U600" s="108">
        <v>0</v>
      </c>
      <c r="V600" s="9" t="s">
        <v>87</v>
      </c>
      <c r="W600" s="9"/>
      <c r="X600" s="231" t="s">
        <v>230</v>
      </c>
    </row>
    <row r="601" spans="1:24" s="12" customFormat="1" ht="15.75" customHeight="1" thickBot="1">
      <c r="A601" s="118"/>
      <c r="B601" s="118"/>
      <c r="C601" s="231" t="s">
        <v>231</v>
      </c>
      <c r="D601" s="119">
        <v>131.19999999999999</v>
      </c>
      <c r="E601" s="120">
        <v>0</v>
      </c>
      <c r="F601" s="120">
        <v>0</v>
      </c>
      <c r="G601" s="120">
        <v>0</v>
      </c>
      <c r="H601" s="120">
        <v>0</v>
      </c>
      <c r="I601" s="120">
        <v>0</v>
      </c>
      <c r="J601" s="120">
        <v>49.2</v>
      </c>
      <c r="K601" s="120">
        <v>0</v>
      </c>
      <c r="L601" s="120">
        <v>0</v>
      </c>
      <c r="M601" s="120">
        <v>55</v>
      </c>
      <c r="N601" s="120">
        <v>0</v>
      </c>
      <c r="O601" s="120">
        <v>27</v>
      </c>
      <c r="P601" s="121">
        <v>0</v>
      </c>
      <c r="Q601" s="121">
        <v>0</v>
      </c>
      <c r="R601" s="121">
        <v>0</v>
      </c>
      <c r="S601" s="121">
        <v>0</v>
      </c>
      <c r="T601" s="121">
        <v>0</v>
      </c>
      <c r="U601" s="122">
        <v>0</v>
      </c>
      <c r="V601" s="118"/>
      <c r="W601" s="118"/>
      <c r="X601" s="231" t="s">
        <v>231</v>
      </c>
    </row>
    <row r="602" spans="1:24" s="6" customFormat="1" ht="15.75" customHeight="1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  <c r="W602" s="263"/>
      <c r="X602" s="263"/>
    </row>
    <row r="603" spans="1:24" s="6" customFormat="1" ht="15.75" customHeight="1">
      <c r="A603" s="7" t="s">
        <v>255</v>
      </c>
    </row>
    <row r="604" spans="1:24" s="6" customFormat="1" ht="15.75" customHeight="1">
      <c r="A604" s="7" t="s">
        <v>84</v>
      </c>
    </row>
    <row r="605" spans="1:24" s="6" customFormat="1" ht="15.75" customHeight="1">
      <c r="A605" s="7" t="s">
        <v>83</v>
      </c>
    </row>
    <row r="608" spans="1:24" s="6" customFormat="1" ht="18">
      <c r="A608" s="19" t="s">
        <v>214</v>
      </c>
      <c r="B608" s="26"/>
    </row>
    <row r="609" spans="1:24" s="6" customFormat="1" ht="15.75" customHeight="1" thickBo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25"/>
    </row>
    <row r="610" spans="1:24" s="6" customFormat="1" ht="15.75" customHeight="1">
      <c r="A610" s="304" t="s">
        <v>61</v>
      </c>
      <c r="B610" s="304"/>
      <c r="C610" s="304"/>
      <c r="D610" s="82" t="s">
        <v>79</v>
      </c>
      <c r="E610" s="83" t="s">
        <v>78</v>
      </c>
      <c r="F610" s="83" t="s">
        <v>77</v>
      </c>
      <c r="G610" s="83" t="s">
        <v>76</v>
      </c>
      <c r="H610" s="83" t="s">
        <v>75</v>
      </c>
      <c r="I610" s="83" t="s">
        <v>74</v>
      </c>
      <c r="J610" s="83" t="s">
        <v>73</v>
      </c>
      <c r="K610" s="83" t="s">
        <v>72</v>
      </c>
      <c r="L610" s="83" t="s">
        <v>71</v>
      </c>
      <c r="M610" s="83" t="s">
        <v>70</v>
      </c>
      <c r="N610" s="83" t="s">
        <v>69</v>
      </c>
      <c r="O610" s="83" t="s">
        <v>68</v>
      </c>
      <c r="P610" s="83" t="s">
        <v>67</v>
      </c>
      <c r="Q610" s="83" t="s">
        <v>66</v>
      </c>
      <c r="R610" s="83" t="s">
        <v>65</v>
      </c>
      <c r="S610" s="83" t="s">
        <v>64</v>
      </c>
      <c r="T610" s="83" t="s">
        <v>63</v>
      </c>
      <c r="U610" s="84" t="s">
        <v>62</v>
      </c>
      <c r="V610" s="306" t="s">
        <v>61</v>
      </c>
      <c r="W610" s="304"/>
      <c r="X610" s="304"/>
    </row>
    <row r="611" spans="1:24" s="6" customFormat="1" ht="15.75" customHeight="1">
      <c r="A611" s="305"/>
      <c r="B611" s="305"/>
      <c r="C611" s="305"/>
      <c r="D611" s="85" t="s">
        <v>22</v>
      </c>
      <c r="E611" s="14" t="s">
        <v>60</v>
      </c>
      <c r="F611" s="14" t="s">
        <v>59</v>
      </c>
      <c r="G611" s="14" t="s">
        <v>58</v>
      </c>
      <c r="H611" s="14" t="s">
        <v>57</v>
      </c>
      <c r="I611" s="14" t="s">
        <v>56</v>
      </c>
      <c r="J611" s="14" t="s">
        <v>55</v>
      </c>
      <c r="K611" s="14" t="s">
        <v>54</v>
      </c>
      <c r="L611" s="14" t="s">
        <v>53</v>
      </c>
      <c r="M611" s="14" t="s">
        <v>52</v>
      </c>
      <c r="N611" s="14" t="s">
        <v>51</v>
      </c>
      <c r="O611" s="14" t="s">
        <v>50</v>
      </c>
      <c r="P611" s="14" t="s">
        <v>49</v>
      </c>
      <c r="Q611" s="14" t="s">
        <v>48</v>
      </c>
      <c r="R611" s="14" t="s">
        <v>47</v>
      </c>
      <c r="S611" s="14" t="s">
        <v>46</v>
      </c>
      <c r="T611" s="14" t="s">
        <v>45</v>
      </c>
      <c r="U611" s="13" t="s">
        <v>44</v>
      </c>
      <c r="V611" s="307"/>
      <c r="W611" s="305"/>
      <c r="X611" s="305"/>
    </row>
    <row r="612" spans="1:24" s="12" customFormat="1" ht="15.75" customHeight="1">
      <c r="A612" s="87" t="s">
        <v>225</v>
      </c>
      <c r="B612" s="87"/>
      <c r="C612" s="87"/>
      <c r="D612" s="88">
        <v>0</v>
      </c>
      <c r="E612" s="89">
        <v>0</v>
      </c>
      <c r="F612" s="89">
        <v>0</v>
      </c>
      <c r="G612" s="89">
        <v>0</v>
      </c>
      <c r="H612" s="89">
        <v>0</v>
      </c>
      <c r="I612" s="89">
        <v>0</v>
      </c>
      <c r="J612" s="89">
        <v>0</v>
      </c>
      <c r="K612" s="89">
        <v>0</v>
      </c>
      <c r="L612" s="89">
        <v>0</v>
      </c>
      <c r="M612" s="89">
        <v>0</v>
      </c>
      <c r="N612" s="89">
        <v>0</v>
      </c>
      <c r="O612" s="89">
        <v>0</v>
      </c>
      <c r="P612" s="89">
        <v>0</v>
      </c>
      <c r="Q612" s="89">
        <v>0</v>
      </c>
      <c r="R612" s="89">
        <v>0</v>
      </c>
      <c r="S612" s="89">
        <v>0</v>
      </c>
      <c r="T612" s="89">
        <v>0</v>
      </c>
      <c r="U612" s="91">
        <v>0</v>
      </c>
      <c r="V612" s="87" t="s">
        <v>226</v>
      </c>
      <c r="W612" s="87"/>
      <c r="X612" s="87"/>
    </row>
    <row r="613" spans="1:24" s="12" customFormat="1" ht="15.75" customHeight="1">
      <c r="A613" s="87" t="s">
        <v>236</v>
      </c>
      <c r="B613" s="87"/>
      <c r="C613" s="87"/>
      <c r="D613" s="88">
        <v>0</v>
      </c>
      <c r="E613" s="89">
        <v>0</v>
      </c>
      <c r="F613" s="89">
        <v>0</v>
      </c>
      <c r="G613" s="89">
        <v>0</v>
      </c>
      <c r="H613" s="89">
        <v>0</v>
      </c>
      <c r="I613" s="89">
        <v>0</v>
      </c>
      <c r="J613" s="89">
        <v>0</v>
      </c>
      <c r="K613" s="89">
        <v>0</v>
      </c>
      <c r="L613" s="89">
        <v>0</v>
      </c>
      <c r="M613" s="89">
        <v>0</v>
      </c>
      <c r="N613" s="89">
        <v>0</v>
      </c>
      <c r="O613" s="89">
        <v>0</v>
      </c>
      <c r="P613" s="89">
        <v>0</v>
      </c>
      <c r="Q613" s="89">
        <v>0</v>
      </c>
      <c r="R613" s="90">
        <v>0</v>
      </c>
      <c r="S613" s="90">
        <v>0</v>
      </c>
      <c r="T613" s="90">
        <v>0</v>
      </c>
      <c r="U613" s="91">
        <v>0</v>
      </c>
      <c r="V613" s="87" t="s">
        <v>237</v>
      </c>
      <c r="W613" s="87"/>
      <c r="X613" s="87"/>
    </row>
    <row r="614" spans="1:24" s="6" customFormat="1" ht="15.75" customHeight="1">
      <c r="A614" s="86" t="s">
        <v>248</v>
      </c>
      <c r="B614" s="86"/>
      <c r="C614" s="87"/>
      <c r="D614" s="88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90"/>
      <c r="Q614" s="90"/>
      <c r="R614" s="90"/>
      <c r="S614" s="90"/>
      <c r="T614" s="90"/>
      <c r="U614" s="91"/>
      <c r="V614" s="86" t="s">
        <v>249</v>
      </c>
      <c r="W614" s="86"/>
      <c r="X614" s="87"/>
    </row>
    <row r="615" spans="1:24" s="12" customFormat="1" ht="15.75" customHeight="1">
      <c r="A615" s="220"/>
      <c r="B615" s="220" t="s">
        <v>85</v>
      </c>
      <c r="C615" s="221"/>
      <c r="D615" s="225">
        <v>0</v>
      </c>
      <c r="E615" s="226">
        <v>0</v>
      </c>
      <c r="F615" s="226">
        <v>0</v>
      </c>
      <c r="G615" s="226">
        <v>0</v>
      </c>
      <c r="H615" s="226">
        <v>0</v>
      </c>
      <c r="I615" s="226">
        <v>0</v>
      </c>
      <c r="J615" s="226">
        <v>0</v>
      </c>
      <c r="K615" s="226">
        <v>0</v>
      </c>
      <c r="L615" s="226">
        <v>0</v>
      </c>
      <c r="M615" s="226">
        <v>0</v>
      </c>
      <c r="N615" s="226">
        <v>0</v>
      </c>
      <c r="O615" s="226">
        <v>0</v>
      </c>
      <c r="P615" s="226">
        <v>0</v>
      </c>
      <c r="Q615" s="226">
        <v>0</v>
      </c>
      <c r="R615" s="226">
        <v>0</v>
      </c>
      <c r="S615" s="226">
        <v>0</v>
      </c>
      <c r="T615" s="226">
        <v>0</v>
      </c>
      <c r="U615" s="227">
        <v>0</v>
      </c>
      <c r="V615" s="220"/>
      <c r="W615" s="220" t="s">
        <v>85</v>
      </c>
      <c r="X615" s="221"/>
    </row>
    <row r="616" spans="1:24" s="6" customFormat="1" ht="15.75" customHeight="1">
      <c r="A616" s="9"/>
      <c r="B616" s="9"/>
      <c r="C616" s="243"/>
      <c r="D616" s="103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7"/>
      <c r="Q616" s="107"/>
      <c r="R616" s="107"/>
      <c r="S616" s="107"/>
      <c r="T616" s="107"/>
      <c r="U616" s="108"/>
      <c r="V616" s="9"/>
      <c r="W616" s="9"/>
      <c r="X616" s="243"/>
    </row>
    <row r="617" spans="1:24" s="12" customFormat="1" ht="15.75" customHeight="1">
      <c r="A617" s="86" t="s">
        <v>86</v>
      </c>
      <c r="B617" s="86"/>
      <c r="C617" s="230"/>
      <c r="D617" s="88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90"/>
      <c r="Q617" s="90"/>
      <c r="R617" s="90"/>
      <c r="S617" s="90"/>
      <c r="T617" s="90"/>
      <c r="U617" s="91"/>
      <c r="V617" s="86" t="s">
        <v>86</v>
      </c>
      <c r="W617" s="86"/>
      <c r="X617" s="230"/>
    </row>
    <row r="618" spans="1:24" s="12" customFormat="1" ht="15.75" customHeight="1">
      <c r="A618" s="9" t="s">
        <v>85</v>
      </c>
      <c r="C618" s="231" t="s">
        <v>229</v>
      </c>
      <c r="D618" s="103">
        <v>0</v>
      </c>
      <c r="E618" s="104">
        <v>0</v>
      </c>
      <c r="F618" s="104">
        <v>0</v>
      </c>
      <c r="G618" s="104">
        <v>0</v>
      </c>
      <c r="H618" s="104">
        <v>0</v>
      </c>
      <c r="I618" s="104">
        <v>0</v>
      </c>
      <c r="J618" s="104">
        <v>0</v>
      </c>
      <c r="K618" s="104">
        <v>0</v>
      </c>
      <c r="L618" s="104">
        <v>0</v>
      </c>
      <c r="M618" s="104">
        <v>0</v>
      </c>
      <c r="N618" s="104">
        <v>0</v>
      </c>
      <c r="O618" s="104">
        <v>0</v>
      </c>
      <c r="P618" s="104">
        <v>0</v>
      </c>
      <c r="Q618" s="104">
        <v>0</v>
      </c>
      <c r="R618" s="104">
        <v>0</v>
      </c>
      <c r="S618" s="104">
        <v>0</v>
      </c>
      <c r="T618" s="104">
        <v>0</v>
      </c>
      <c r="U618" s="108">
        <v>0</v>
      </c>
      <c r="V618" s="9" t="s">
        <v>85</v>
      </c>
      <c r="X618" s="231" t="s">
        <v>240</v>
      </c>
    </row>
    <row r="619" spans="1:24" s="12" customFormat="1" ht="15.75" customHeight="1">
      <c r="A619" s="9"/>
      <c r="B619" s="9"/>
      <c r="C619" s="231" t="s">
        <v>230</v>
      </c>
      <c r="D619" s="103">
        <v>1989.0558446648602</v>
      </c>
      <c r="E619" s="104">
        <v>0</v>
      </c>
      <c r="F619" s="104">
        <v>0</v>
      </c>
      <c r="G619" s="104">
        <v>0</v>
      </c>
      <c r="H619" s="104">
        <v>0</v>
      </c>
      <c r="I619" s="104">
        <v>0</v>
      </c>
      <c r="J619" s="104">
        <v>0</v>
      </c>
      <c r="K619" s="104">
        <v>0</v>
      </c>
      <c r="L619" s="104">
        <v>0</v>
      </c>
      <c r="M619" s="104">
        <v>0</v>
      </c>
      <c r="N619" s="104">
        <v>0</v>
      </c>
      <c r="O619" s="104">
        <v>1989.0558446648602</v>
      </c>
      <c r="P619" s="107">
        <v>0</v>
      </c>
      <c r="Q619" s="107">
        <v>0</v>
      </c>
      <c r="R619" s="107">
        <v>0</v>
      </c>
      <c r="S619" s="107">
        <v>0</v>
      </c>
      <c r="T619" s="107">
        <v>0</v>
      </c>
      <c r="U619" s="108">
        <v>0</v>
      </c>
      <c r="V619" s="9"/>
      <c r="W619" s="9"/>
      <c r="X619" s="231" t="s">
        <v>230</v>
      </c>
    </row>
    <row r="620" spans="1:24" s="12" customFormat="1" ht="15.75" customHeight="1" thickBot="1">
      <c r="A620" s="9"/>
      <c r="B620" s="9"/>
      <c r="C620" s="231" t="s">
        <v>231</v>
      </c>
      <c r="D620" s="119">
        <v>7487</v>
      </c>
      <c r="E620" s="120">
        <v>0</v>
      </c>
      <c r="F620" s="120">
        <v>0</v>
      </c>
      <c r="G620" s="120">
        <v>0</v>
      </c>
      <c r="H620" s="120">
        <v>6970</v>
      </c>
      <c r="I620" s="120">
        <v>0</v>
      </c>
      <c r="J620" s="120">
        <v>0</v>
      </c>
      <c r="K620" s="120">
        <v>0</v>
      </c>
      <c r="L620" s="120">
        <v>0</v>
      </c>
      <c r="M620" s="120">
        <v>0</v>
      </c>
      <c r="N620" s="120">
        <v>0</v>
      </c>
      <c r="O620" s="120">
        <v>517</v>
      </c>
      <c r="P620" s="121">
        <v>0</v>
      </c>
      <c r="Q620" s="121">
        <v>0</v>
      </c>
      <c r="R620" s="121">
        <v>0</v>
      </c>
      <c r="S620" s="121">
        <v>0</v>
      </c>
      <c r="T620" s="121">
        <v>0</v>
      </c>
      <c r="U620" s="122">
        <v>0</v>
      </c>
      <c r="V620" s="9"/>
      <c r="W620" s="9"/>
      <c r="X620" s="231" t="s">
        <v>231</v>
      </c>
    </row>
    <row r="621" spans="1:24" s="6" customFormat="1" ht="15.75" customHeight="1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</row>
    <row r="622" spans="1:24" s="6" customFormat="1" ht="15.75" customHeight="1">
      <c r="A622" s="7" t="s">
        <v>255</v>
      </c>
    </row>
    <row r="623" spans="1:24" s="6" customFormat="1" ht="15.75" customHeight="1">
      <c r="A623" s="7" t="s">
        <v>84</v>
      </c>
    </row>
    <row r="624" spans="1:24" s="6" customFormat="1" ht="15.75" customHeight="1">
      <c r="A624" s="7" t="s">
        <v>83</v>
      </c>
    </row>
    <row r="627" spans="1:24" s="6" customFormat="1" ht="18">
      <c r="B627" s="18"/>
      <c r="C627" s="24" t="s">
        <v>82</v>
      </c>
      <c r="U627" s="12"/>
      <c r="V627" s="12"/>
    </row>
    <row r="628" spans="1:24" s="6" customFormat="1" ht="15.75" customHeight="1" thickBot="1">
      <c r="A628" s="12"/>
      <c r="B628" s="12"/>
      <c r="C628" s="22"/>
      <c r="D628" s="23"/>
      <c r="E628" s="22"/>
      <c r="F628" s="22"/>
      <c r="G628" s="22"/>
      <c r="H628" s="22"/>
      <c r="I628" s="23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1"/>
      <c r="U628" s="12"/>
      <c r="V628" s="15"/>
    </row>
    <row r="629" spans="1:24" s="6" customFormat="1" ht="15.75" customHeight="1">
      <c r="C629" s="319" t="s">
        <v>61</v>
      </c>
      <c r="D629" s="319"/>
      <c r="E629" s="82" t="s">
        <v>79</v>
      </c>
      <c r="F629" s="83" t="s">
        <v>78</v>
      </c>
      <c r="G629" s="83" t="s">
        <v>77</v>
      </c>
      <c r="H629" s="83" t="s">
        <v>76</v>
      </c>
      <c r="I629" s="83" t="s">
        <v>75</v>
      </c>
      <c r="J629" s="83" t="s">
        <v>74</v>
      </c>
      <c r="K629" s="83" t="s">
        <v>73</v>
      </c>
      <c r="L629" s="83" t="s">
        <v>72</v>
      </c>
      <c r="M629" s="83" t="s">
        <v>71</v>
      </c>
      <c r="N629" s="83" t="s">
        <v>70</v>
      </c>
      <c r="O629" s="83" t="s">
        <v>69</v>
      </c>
      <c r="P629" s="83" t="s">
        <v>68</v>
      </c>
      <c r="Q629" s="83" t="s">
        <v>67</v>
      </c>
      <c r="R629" s="83" t="s">
        <v>66</v>
      </c>
      <c r="S629" s="83" t="s">
        <v>65</v>
      </c>
      <c r="T629" s="83" t="s">
        <v>64</v>
      </c>
      <c r="U629" s="83" t="s">
        <v>63</v>
      </c>
      <c r="V629" s="84" t="s">
        <v>62</v>
      </c>
      <c r="W629" s="321" t="s">
        <v>61</v>
      </c>
      <c r="X629" s="319"/>
    </row>
    <row r="630" spans="1:24" s="6" customFormat="1" ht="15.75" customHeight="1">
      <c r="C630" s="320"/>
      <c r="D630" s="320"/>
      <c r="E630" s="85" t="s">
        <v>22</v>
      </c>
      <c r="F630" s="14" t="s">
        <v>60</v>
      </c>
      <c r="G630" s="14" t="s">
        <v>59</v>
      </c>
      <c r="H630" s="14" t="s">
        <v>58</v>
      </c>
      <c r="I630" s="14" t="s">
        <v>57</v>
      </c>
      <c r="J630" s="14" t="s">
        <v>56</v>
      </c>
      <c r="K630" s="14" t="s">
        <v>55</v>
      </c>
      <c r="L630" s="14" t="s">
        <v>54</v>
      </c>
      <c r="M630" s="14" t="s">
        <v>53</v>
      </c>
      <c r="N630" s="14" t="s">
        <v>52</v>
      </c>
      <c r="O630" s="14" t="s">
        <v>51</v>
      </c>
      <c r="P630" s="14" t="s">
        <v>50</v>
      </c>
      <c r="Q630" s="14" t="s">
        <v>49</v>
      </c>
      <c r="R630" s="14" t="s">
        <v>48</v>
      </c>
      <c r="S630" s="14" t="s">
        <v>47</v>
      </c>
      <c r="T630" s="14" t="s">
        <v>46</v>
      </c>
      <c r="U630" s="14" t="s">
        <v>45</v>
      </c>
      <c r="V630" s="13" t="s">
        <v>44</v>
      </c>
      <c r="W630" s="322"/>
      <c r="X630" s="320"/>
    </row>
    <row r="631" spans="1:24" s="6" customFormat="1" ht="15.75" customHeight="1">
      <c r="C631" s="86" t="s">
        <v>225</v>
      </c>
      <c r="D631" s="87"/>
      <c r="E631" s="88">
        <v>750848.32696201745</v>
      </c>
      <c r="F631" s="89">
        <v>72814.489802418015</v>
      </c>
      <c r="G631" s="89">
        <v>39297.428180802905</v>
      </c>
      <c r="H631" s="89">
        <v>1738.8994742463253</v>
      </c>
      <c r="I631" s="89">
        <v>203137.24047650804</v>
      </c>
      <c r="J631" s="89">
        <v>752.07862371078625</v>
      </c>
      <c r="K631" s="89">
        <v>1909.7278839813353</v>
      </c>
      <c r="L631" s="89">
        <v>3015.143914549466</v>
      </c>
      <c r="M631" s="89">
        <v>8464.519359021795</v>
      </c>
      <c r="N631" s="89">
        <v>262644.38157355</v>
      </c>
      <c r="O631" s="89">
        <v>10492.034138179817</v>
      </c>
      <c r="P631" s="89">
        <v>142.83663783654464</v>
      </c>
      <c r="Q631" s="90">
        <v>97619.534093964117</v>
      </c>
      <c r="R631" s="90">
        <v>1847.0305101239267</v>
      </c>
      <c r="S631" s="90">
        <v>35813.177174159566</v>
      </c>
      <c r="T631" s="90">
        <v>6918.007332565252</v>
      </c>
      <c r="U631" s="90">
        <v>4198.0722850209058</v>
      </c>
      <c r="V631" s="91">
        <v>43.725501378534062</v>
      </c>
      <c r="W631" s="86" t="s">
        <v>225</v>
      </c>
      <c r="X631" s="87"/>
    </row>
    <row r="632" spans="1:24" s="6" customFormat="1" ht="15.75" customHeight="1">
      <c r="C632" s="86" t="s">
        <v>236</v>
      </c>
      <c r="D632" s="87"/>
      <c r="E632" s="281">
        <v>3522349.5664074817</v>
      </c>
      <c r="F632" s="89">
        <v>341376.11658271635</v>
      </c>
      <c r="G632" s="89">
        <v>184406.04144713937</v>
      </c>
      <c r="H632" s="89">
        <v>7977.8665269097164</v>
      </c>
      <c r="I632" s="89">
        <v>953567.47539324034</v>
      </c>
      <c r="J632" s="89">
        <v>3284.1861297414321</v>
      </c>
      <c r="K632" s="89">
        <v>8884.3426172110703</v>
      </c>
      <c r="L632" s="89">
        <v>13987.314150242211</v>
      </c>
      <c r="M632" s="89">
        <v>39734.26841082007</v>
      </c>
      <c r="N632" s="89">
        <v>1232435.2656804805</v>
      </c>
      <c r="O632" s="89">
        <v>49233.754102793959</v>
      </c>
      <c r="P632" s="89">
        <v>623.74077657879729</v>
      </c>
      <c r="Q632" s="90">
        <v>458191.49358384334</v>
      </c>
      <c r="R632" s="90">
        <v>8625.1290747769726</v>
      </c>
      <c r="S632" s="90">
        <v>168039.80828122084</v>
      </c>
      <c r="T632" s="90">
        <v>32155.23419083517</v>
      </c>
      <c r="U632" s="90">
        <v>19636.588404877319</v>
      </c>
      <c r="V632" s="91">
        <v>190.94105405473388</v>
      </c>
      <c r="W632" s="86" t="s">
        <v>236</v>
      </c>
      <c r="X632" s="87"/>
    </row>
    <row r="633" spans="1:24" s="6" customFormat="1" ht="15.75" customHeight="1">
      <c r="C633" s="86" t="s">
        <v>238</v>
      </c>
      <c r="D633" s="86"/>
      <c r="E633" s="88">
        <v>611567.75</v>
      </c>
      <c r="F633" s="89">
        <v>68902</v>
      </c>
      <c r="G633" s="89">
        <v>37836</v>
      </c>
      <c r="H633" s="89">
        <v>1606</v>
      </c>
      <c r="I633" s="89">
        <v>153763.75</v>
      </c>
      <c r="J633" s="89">
        <v>611</v>
      </c>
      <c r="K633" s="89">
        <v>1139</v>
      </c>
      <c r="L633" s="89">
        <v>10305</v>
      </c>
      <c r="M633" s="89">
        <v>5291</v>
      </c>
      <c r="N633" s="89">
        <v>201453.75</v>
      </c>
      <c r="O633" s="89">
        <v>15165</v>
      </c>
      <c r="P633" s="89">
        <v>113</v>
      </c>
      <c r="Q633" s="89">
        <v>64208</v>
      </c>
      <c r="R633" s="89">
        <v>6249</v>
      </c>
      <c r="S633" s="89">
        <v>35383.25</v>
      </c>
      <c r="T633" s="89">
        <v>6565</v>
      </c>
      <c r="U633" s="89">
        <v>2917</v>
      </c>
      <c r="V633" s="91">
        <v>60</v>
      </c>
      <c r="W633" s="86" t="s">
        <v>238</v>
      </c>
      <c r="X633" s="86"/>
    </row>
    <row r="634" spans="1:24" s="6" customFormat="1" ht="15.75" customHeight="1">
      <c r="C634" s="9"/>
      <c r="D634" s="9"/>
      <c r="E634" s="103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7"/>
      <c r="R634" s="107"/>
      <c r="S634" s="107"/>
      <c r="T634" s="107"/>
      <c r="U634" s="107"/>
      <c r="V634" s="108"/>
      <c r="W634" s="9"/>
      <c r="X634" s="9"/>
    </row>
    <row r="635" spans="1:24" s="6" customFormat="1" ht="15.75" customHeight="1">
      <c r="C635" s="86" t="s">
        <v>43</v>
      </c>
      <c r="D635" s="86"/>
      <c r="E635" s="88"/>
      <c r="F635" s="90"/>
      <c r="G635" s="90"/>
      <c r="H635" s="90"/>
      <c r="I635" s="90"/>
      <c r="J635" s="90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259"/>
      <c r="W635" s="86" t="s">
        <v>43</v>
      </c>
      <c r="X635" s="86"/>
    </row>
    <row r="636" spans="1:24" s="20" customFormat="1" ht="15.75" customHeight="1">
      <c r="C636" s="9"/>
      <c r="D636" s="102" t="s">
        <v>229</v>
      </c>
      <c r="E636" s="282">
        <v>156620</v>
      </c>
      <c r="F636" s="283">
        <v>26013</v>
      </c>
      <c r="G636" s="283">
        <v>100</v>
      </c>
      <c r="H636" s="283">
        <v>940</v>
      </c>
      <c r="I636" s="283">
        <v>58190</v>
      </c>
      <c r="J636" s="283">
        <v>190</v>
      </c>
      <c r="K636" s="283">
        <v>137</v>
      </c>
      <c r="L636" s="283">
        <v>6728</v>
      </c>
      <c r="M636" s="283">
        <v>5280</v>
      </c>
      <c r="N636" s="283">
        <v>28423</v>
      </c>
      <c r="O636" s="283">
        <v>15035</v>
      </c>
      <c r="P636" s="283">
        <v>30</v>
      </c>
      <c r="Q636" s="284">
        <v>90</v>
      </c>
      <c r="R636" s="284">
        <v>604</v>
      </c>
      <c r="S636" s="284">
        <v>9880</v>
      </c>
      <c r="T636" s="284">
        <v>2420</v>
      </c>
      <c r="U636" s="284">
        <v>2500</v>
      </c>
      <c r="V636" s="285">
        <v>60</v>
      </c>
      <c r="W636" s="9"/>
      <c r="X636" s="102" t="s">
        <v>229</v>
      </c>
    </row>
    <row r="637" spans="1:24" s="6" customFormat="1" ht="15.75" customHeight="1">
      <c r="C637" s="9"/>
      <c r="D637" s="102" t="s">
        <v>256</v>
      </c>
      <c r="E637" s="282">
        <v>121803</v>
      </c>
      <c r="F637" s="283">
        <v>39</v>
      </c>
      <c r="G637" s="283">
        <v>8</v>
      </c>
      <c r="H637" s="283">
        <v>23</v>
      </c>
      <c r="I637" s="283">
        <v>38758</v>
      </c>
      <c r="J637" s="283">
        <v>0</v>
      </c>
      <c r="K637" s="283">
        <v>930</v>
      </c>
      <c r="L637" s="283">
        <v>0</v>
      </c>
      <c r="M637" s="283">
        <v>6</v>
      </c>
      <c r="N637" s="283">
        <v>24525</v>
      </c>
      <c r="O637" s="283">
        <v>5</v>
      </c>
      <c r="P637" s="283">
        <v>30</v>
      </c>
      <c r="Q637" s="284">
        <v>55509</v>
      </c>
      <c r="R637" s="284">
        <v>840</v>
      </c>
      <c r="S637" s="284">
        <v>13</v>
      </c>
      <c r="T637" s="284">
        <v>892</v>
      </c>
      <c r="U637" s="284">
        <v>225</v>
      </c>
      <c r="V637" s="285">
        <v>0</v>
      </c>
      <c r="W637" s="9"/>
      <c r="X637" s="102" t="s">
        <v>256</v>
      </c>
    </row>
    <row r="638" spans="1:24" s="6" customFormat="1" ht="15.75" customHeight="1">
      <c r="C638" s="9"/>
      <c r="D638" s="102" t="s">
        <v>231</v>
      </c>
      <c r="E638" s="282">
        <v>97779</v>
      </c>
      <c r="F638" s="283">
        <v>56</v>
      </c>
      <c r="G638" s="283">
        <v>16</v>
      </c>
      <c r="H638" s="283">
        <v>442</v>
      </c>
      <c r="I638" s="283">
        <v>38072</v>
      </c>
      <c r="J638" s="283">
        <v>38</v>
      </c>
      <c r="K638" s="283">
        <v>4</v>
      </c>
      <c r="L638" s="283">
        <v>440</v>
      </c>
      <c r="M638" s="283">
        <v>5</v>
      </c>
      <c r="N638" s="283">
        <v>47653</v>
      </c>
      <c r="O638" s="283">
        <v>96</v>
      </c>
      <c r="P638" s="283">
        <v>0</v>
      </c>
      <c r="Q638" s="284">
        <v>36</v>
      </c>
      <c r="R638" s="284">
        <v>525</v>
      </c>
      <c r="S638" s="284">
        <v>10005</v>
      </c>
      <c r="T638" s="284">
        <v>266</v>
      </c>
      <c r="U638" s="284">
        <v>125</v>
      </c>
      <c r="V638" s="285">
        <v>0</v>
      </c>
      <c r="W638" s="9"/>
      <c r="X638" s="102" t="s">
        <v>231</v>
      </c>
    </row>
    <row r="639" spans="1:24" s="6" customFormat="1" ht="15.75" customHeight="1">
      <c r="C639" s="9"/>
      <c r="D639" s="9"/>
      <c r="E639" s="282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4"/>
      <c r="R639" s="284"/>
      <c r="S639" s="284"/>
      <c r="T639" s="284"/>
      <c r="U639" s="284"/>
      <c r="V639" s="285"/>
      <c r="W639" s="9"/>
      <c r="X639" s="9"/>
    </row>
    <row r="640" spans="1:24" s="12" customFormat="1" ht="15.75" customHeight="1">
      <c r="C640" s="86" t="s">
        <v>241</v>
      </c>
      <c r="D640" s="87"/>
      <c r="E640" s="286">
        <v>611567.75</v>
      </c>
      <c r="F640" s="203">
        <v>68902</v>
      </c>
      <c r="G640" s="203">
        <v>37836</v>
      </c>
      <c r="H640" s="203">
        <v>1606</v>
      </c>
      <c r="I640" s="203">
        <v>153763.75</v>
      </c>
      <c r="J640" s="203">
        <v>611</v>
      </c>
      <c r="K640" s="203">
        <v>1139</v>
      </c>
      <c r="L640" s="203">
        <v>10305</v>
      </c>
      <c r="M640" s="203">
        <v>5291</v>
      </c>
      <c r="N640" s="203">
        <v>201453.75</v>
      </c>
      <c r="O640" s="203">
        <v>15165</v>
      </c>
      <c r="P640" s="203">
        <v>113</v>
      </c>
      <c r="Q640" s="203">
        <v>64208</v>
      </c>
      <c r="R640" s="203">
        <v>6249</v>
      </c>
      <c r="S640" s="203">
        <v>35383.25</v>
      </c>
      <c r="T640" s="203">
        <v>6565</v>
      </c>
      <c r="U640" s="203">
        <v>2917</v>
      </c>
      <c r="V640" s="204">
        <v>60</v>
      </c>
      <c r="W640" s="86" t="s">
        <v>241</v>
      </c>
      <c r="X640" s="87"/>
    </row>
    <row r="641" spans="3:24" s="12" customFormat="1" ht="15.75" customHeight="1">
      <c r="D641" s="116" t="s">
        <v>42</v>
      </c>
      <c r="E641" s="282">
        <v>1809.75</v>
      </c>
      <c r="F641" s="283">
        <v>359</v>
      </c>
      <c r="G641" s="283">
        <v>22</v>
      </c>
      <c r="H641" s="283">
        <v>15</v>
      </c>
      <c r="I641" s="283">
        <v>73.75</v>
      </c>
      <c r="J641" s="283">
        <v>115</v>
      </c>
      <c r="K641" s="283">
        <v>71</v>
      </c>
      <c r="L641" s="283">
        <v>275</v>
      </c>
      <c r="M641" s="283">
        <v>0</v>
      </c>
      <c r="N641" s="283">
        <v>572.75</v>
      </c>
      <c r="O641" s="283">
        <v>24</v>
      </c>
      <c r="P641" s="283">
        <v>3</v>
      </c>
      <c r="Q641" s="284">
        <v>101</v>
      </c>
      <c r="R641" s="284">
        <v>0</v>
      </c>
      <c r="S641" s="284">
        <v>54.25</v>
      </c>
      <c r="T641" s="284">
        <v>124</v>
      </c>
      <c r="U641" s="284">
        <v>0</v>
      </c>
      <c r="V641" s="285">
        <v>0</v>
      </c>
      <c r="X641" s="116" t="s">
        <v>42</v>
      </c>
    </row>
    <row r="642" spans="3:24" s="12" customFormat="1" ht="15.75" customHeight="1">
      <c r="C642" s="9"/>
      <c r="D642" s="116" t="s">
        <v>41</v>
      </c>
      <c r="E642" s="282">
        <v>976</v>
      </c>
      <c r="F642" s="283">
        <v>334</v>
      </c>
      <c r="G642" s="283">
        <v>51</v>
      </c>
      <c r="H642" s="283">
        <v>5</v>
      </c>
      <c r="I642" s="283">
        <v>34</v>
      </c>
      <c r="J642" s="283">
        <v>10</v>
      </c>
      <c r="K642" s="283">
        <v>5</v>
      </c>
      <c r="L642" s="283">
        <v>0</v>
      </c>
      <c r="M642" s="283">
        <v>5</v>
      </c>
      <c r="N642" s="283">
        <v>194</v>
      </c>
      <c r="O642" s="283">
        <v>30</v>
      </c>
      <c r="P642" s="283">
        <v>90</v>
      </c>
      <c r="Q642" s="284">
        <v>35</v>
      </c>
      <c r="R642" s="284">
        <v>0</v>
      </c>
      <c r="S642" s="284">
        <v>38</v>
      </c>
      <c r="T642" s="284">
        <v>85</v>
      </c>
      <c r="U642" s="284">
        <v>0</v>
      </c>
      <c r="V642" s="285">
        <v>60</v>
      </c>
      <c r="W642" s="9"/>
      <c r="X642" s="116" t="s">
        <v>41</v>
      </c>
    </row>
    <row r="643" spans="3:24" s="12" customFormat="1" ht="15.75" customHeight="1">
      <c r="C643" s="9"/>
      <c r="D643" s="116" t="s">
        <v>40</v>
      </c>
      <c r="E643" s="282">
        <v>910</v>
      </c>
      <c r="F643" s="283">
        <v>58</v>
      </c>
      <c r="G643" s="283">
        <v>0</v>
      </c>
      <c r="H643" s="283">
        <v>35</v>
      </c>
      <c r="I643" s="283">
        <v>55</v>
      </c>
      <c r="J643" s="283">
        <v>250</v>
      </c>
      <c r="K643" s="283">
        <v>0</v>
      </c>
      <c r="L643" s="283">
        <v>0</v>
      </c>
      <c r="M643" s="283">
        <v>6</v>
      </c>
      <c r="N643" s="283">
        <v>244</v>
      </c>
      <c r="O643" s="283">
        <v>0</v>
      </c>
      <c r="P643" s="283">
        <v>0</v>
      </c>
      <c r="Q643" s="284">
        <v>10</v>
      </c>
      <c r="R643" s="284">
        <v>0</v>
      </c>
      <c r="S643" s="284">
        <v>0</v>
      </c>
      <c r="T643" s="284">
        <v>252</v>
      </c>
      <c r="U643" s="284">
        <v>0</v>
      </c>
      <c r="V643" s="285">
        <v>0</v>
      </c>
      <c r="W643" s="9"/>
      <c r="X643" s="116" t="s">
        <v>40</v>
      </c>
    </row>
    <row r="644" spans="3:24" s="12" customFormat="1" ht="15.75" customHeight="1">
      <c r="C644" s="9"/>
      <c r="D644" s="116" t="s">
        <v>39</v>
      </c>
      <c r="E644" s="282">
        <v>173</v>
      </c>
      <c r="F644" s="283">
        <v>24</v>
      </c>
      <c r="G644" s="283">
        <v>8</v>
      </c>
      <c r="H644" s="283">
        <v>30</v>
      </c>
      <c r="I644" s="283">
        <v>0</v>
      </c>
      <c r="J644" s="283">
        <v>0</v>
      </c>
      <c r="K644" s="283">
        <v>0</v>
      </c>
      <c r="L644" s="283">
        <v>10</v>
      </c>
      <c r="M644" s="283">
        <v>0</v>
      </c>
      <c r="N644" s="283">
        <v>45</v>
      </c>
      <c r="O644" s="283">
        <v>0</v>
      </c>
      <c r="P644" s="283">
        <v>0</v>
      </c>
      <c r="Q644" s="284">
        <v>5</v>
      </c>
      <c r="R644" s="284">
        <v>0</v>
      </c>
      <c r="S644" s="284">
        <v>0</v>
      </c>
      <c r="T644" s="284">
        <v>46</v>
      </c>
      <c r="U644" s="284">
        <v>5</v>
      </c>
      <c r="V644" s="285">
        <v>0</v>
      </c>
      <c r="W644" s="9"/>
      <c r="X644" s="116" t="s">
        <v>39</v>
      </c>
    </row>
    <row r="645" spans="3:24" s="12" customFormat="1" ht="15.75" customHeight="1">
      <c r="C645" s="9"/>
      <c r="D645" s="116" t="s">
        <v>38</v>
      </c>
      <c r="E645" s="282">
        <v>202</v>
      </c>
      <c r="F645" s="283">
        <v>22</v>
      </c>
      <c r="G645" s="283">
        <v>22</v>
      </c>
      <c r="H645" s="283">
        <v>20</v>
      </c>
      <c r="I645" s="283">
        <v>2</v>
      </c>
      <c r="J645" s="283">
        <v>52</v>
      </c>
      <c r="K645" s="283">
        <v>4</v>
      </c>
      <c r="L645" s="283">
        <v>5</v>
      </c>
      <c r="M645" s="283">
        <v>0</v>
      </c>
      <c r="N645" s="283">
        <v>30</v>
      </c>
      <c r="O645" s="283">
        <v>0</v>
      </c>
      <c r="P645" s="283">
        <v>5</v>
      </c>
      <c r="Q645" s="283">
        <v>10</v>
      </c>
      <c r="R645" s="283">
        <v>0</v>
      </c>
      <c r="S645" s="283">
        <v>20</v>
      </c>
      <c r="T645" s="283">
        <v>0</v>
      </c>
      <c r="U645" s="283">
        <v>10</v>
      </c>
      <c r="V645" s="287">
        <v>0</v>
      </c>
      <c r="W645" s="9"/>
      <c r="X645" s="116" t="s">
        <v>38</v>
      </c>
    </row>
    <row r="646" spans="3:24" s="12" customFormat="1" ht="15.75" customHeight="1">
      <c r="C646" s="9"/>
      <c r="D646" s="116" t="s">
        <v>37</v>
      </c>
      <c r="E646" s="282">
        <v>1750</v>
      </c>
      <c r="F646" s="283">
        <v>90</v>
      </c>
      <c r="G646" s="283">
        <v>80</v>
      </c>
      <c r="H646" s="283">
        <v>140</v>
      </c>
      <c r="I646" s="283">
        <v>90</v>
      </c>
      <c r="J646" s="283">
        <v>180</v>
      </c>
      <c r="K646" s="283">
        <v>124</v>
      </c>
      <c r="L646" s="283">
        <v>65</v>
      </c>
      <c r="M646" s="283">
        <v>0</v>
      </c>
      <c r="N646" s="283">
        <v>282</v>
      </c>
      <c r="O646" s="283">
        <v>10</v>
      </c>
      <c r="P646" s="283">
        <v>15</v>
      </c>
      <c r="Q646" s="284">
        <v>110</v>
      </c>
      <c r="R646" s="283">
        <v>164</v>
      </c>
      <c r="S646" s="283">
        <v>190</v>
      </c>
      <c r="T646" s="283">
        <v>70</v>
      </c>
      <c r="U646" s="283">
        <v>140</v>
      </c>
      <c r="V646" s="287">
        <v>0</v>
      </c>
      <c r="W646" s="9"/>
      <c r="X646" s="116" t="s">
        <v>37</v>
      </c>
    </row>
    <row r="647" spans="3:24" s="12" customFormat="1" ht="15.75" customHeight="1">
      <c r="C647" s="9"/>
      <c r="D647" s="116" t="s">
        <v>36</v>
      </c>
      <c r="E647" s="282">
        <v>604814</v>
      </c>
      <c r="F647" s="283">
        <v>67800</v>
      </c>
      <c r="G647" s="283">
        <v>37600</v>
      </c>
      <c r="H647" s="283">
        <v>1197</v>
      </c>
      <c r="I647" s="283">
        <v>153440</v>
      </c>
      <c r="J647" s="283">
        <v>0</v>
      </c>
      <c r="K647" s="283">
        <v>900</v>
      </c>
      <c r="L647" s="283">
        <v>9938</v>
      </c>
      <c r="M647" s="283">
        <v>5280</v>
      </c>
      <c r="N647" s="283">
        <v>199910</v>
      </c>
      <c r="O647" s="283">
        <v>15096</v>
      </c>
      <c r="P647" s="283">
        <v>0</v>
      </c>
      <c r="Q647" s="284">
        <v>63920</v>
      </c>
      <c r="R647" s="284">
        <v>6060</v>
      </c>
      <c r="S647" s="284">
        <v>35080</v>
      </c>
      <c r="T647" s="284">
        <v>5878</v>
      </c>
      <c r="U647" s="284">
        <v>2715</v>
      </c>
      <c r="V647" s="285">
        <v>0</v>
      </c>
      <c r="W647" s="9"/>
      <c r="X647" s="116" t="s">
        <v>36</v>
      </c>
    </row>
    <row r="648" spans="3:24" s="12" customFormat="1" ht="15.75" customHeight="1">
      <c r="C648" s="9"/>
      <c r="D648" s="116" t="s">
        <v>35</v>
      </c>
      <c r="E648" s="282">
        <v>933</v>
      </c>
      <c r="F648" s="283">
        <v>215</v>
      </c>
      <c r="G648" s="283">
        <v>53</v>
      </c>
      <c r="H648" s="283">
        <v>164</v>
      </c>
      <c r="I648" s="283">
        <v>69</v>
      </c>
      <c r="J648" s="283">
        <v>4</v>
      </c>
      <c r="K648" s="283">
        <v>35</v>
      </c>
      <c r="L648" s="283">
        <v>12</v>
      </c>
      <c r="M648" s="283">
        <v>0</v>
      </c>
      <c r="N648" s="283">
        <v>176</v>
      </c>
      <c r="O648" s="283">
        <v>5</v>
      </c>
      <c r="P648" s="283">
        <v>0</v>
      </c>
      <c r="Q648" s="284">
        <v>17</v>
      </c>
      <c r="R648" s="284">
        <v>25</v>
      </c>
      <c r="S648" s="284">
        <v>1</v>
      </c>
      <c r="T648" s="284">
        <v>110</v>
      </c>
      <c r="U648" s="284">
        <v>47</v>
      </c>
      <c r="V648" s="285">
        <v>0</v>
      </c>
      <c r="W648" s="9"/>
      <c r="X648" s="116" t="s">
        <v>35</v>
      </c>
    </row>
    <row r="649" spans="3:24" s="12" customFormat="1" ht="15.75" customHeight="1">
      <c r="C649" s="9"/>
      <c r="D649" s="9"/>
      <c r="E649" s="282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4"/>
      <c r="R649" s="284"/>
      <c r="S649" s="284"/>
      <c r="T649" s="284"/>
      <c r="U649" s="284"/>
      <c r="V649" s="285"/>
      <c r="W649" s="9"/>
      <c r="X649" s="9"/>
    </row>
    <row r="650" spans="3:24" s="6" customFormat="1" ht="15.75" customHeight="1">
      <c r="C650" s="97" t="s">
        <v>243</v>
      </c>
      <c r="D650" s="86"/>
      <c r="E650" s="286">
        <v>611567.75</v>
      </c>
      <c r="F650" s="203">
        <v>68902</v>
      </c>
      <c r="G650" s="203">
        <v>37836</v>
      </c>
      <c r="H650" s="203">
        <v>1606</v>
      </c>
      <c r="I650" s="203">
        <v>153763.75</v>
      </c>
      <c r="J650" s="203">
        <v>611</v>
      </c>
      <c r="K650" s="203">
        <v>1139</v>
      </c>
      <c r="L650" s="203">
        <v>10305</v>
      </c>
      <c r="M650" s="203">
        <v>5291</v>
      </c>
      <c r="N650" s="203">
        <v>201453.75</v>
      </c>
      <c r="O650" s="203">
        <v>15165</v>
      </c>
      <c r="P650" s="203">
        <v>113</v>
      </c>
      <c r="Q650" s="203">
        <v>64208</v>
      </c>
      <c r="R650" s="203">
        <v>6249</v>
      </c>
      <c r="S650" s="203">
        <v>35383.25</v>
      </c>
      <c r="T650" s="203">
        <v>6565</v>
      </c>
      <c r="U650" s="203">
        <v>2917</v>
      </c>
      <c r="V650" s="204">
        <v>60</v>
      </c>
      <c r="W650" s="97" t="s">
        <v>243</v>
      </c>
      <c r="X650" s="86"/>
    </row>
    <row r="651" spans="3:24" s="6" customFormat="1" ht="15.75" customHeight="1">
      <c r="C651" s="9"/>
      <c r="D651" s="9" t="s">
        <v>34</v>
      </c>
      <c r="E651" s="282">
        <v>1307.75</v>
      </c>
      <c r="F651" s="283">
        <v>270</v>
      </c>
      <c r="G651" s="283">
        <v>23</v>
      </c>
      <c r="H651" s="283">
        <v>6</v>
      </c>
      <c r="I651" s="283">
        <v>37.75</v>
      </c>
      <c r="J651" s="283">
        <v>116</v>
      </c>
      <c r="K651" s="283">
        <v>64</v>
      </c>
      <c r="L651" s="283">
        <v>0</v>
      </c>
      <c r="M651" s="283">
        <v>0</v>
      </c>
      <c r="N651" s="283">
        <v>480.75</v>
      </c>
      <c r="O651" s="283">
        <v>25</v>
      </c>
      <c r="P651" s="283">
        <v>3</v>
      </c>
      <c r="Q651" s="284">
        <v>102</v>
      </c>
      <c r="R651" s="284">
        <v>0</v>
      </c>
      <c r="S651" s="283">
        <v>55.25</v>
      </c>
      <c r="T651" s="283">
        <v>124</v>
      </c>
      <c r="U651" s="283">
        <v>1</v>
      </c>
      <c r="V651" s="287">
        <v>0</v>
      </c>
      <c r="W651" s="9"/>
      <c r="X651" s="9" t="s">
        <v>34</v>
      </c>
    </row>
    <row r="652" spans="3:24" s="6" customFormat="1" ht="15.75" customHeight="1">
      <c r="C652" s="9"/>
      <c r="D652" s="9" t="s">
        <v>33</v>
      </c>
      <c r="E652" s="282">
        <v>109</v>
      </c>
      <c r="F652" s="283">
        <v>25</v>
      </c>
      <c r="G652" s="283">
        <v>7</v>
      </c>
      <c r="H652" s="283">
        <v>8</v>
      </c>
      <c r="I652" s="283">
        <v>9</v>
      </c>
      <c r="J652" s="283">
        <v>5</v>
      </c>
      <c r="K652" s="283">
        <v>8</v>
      </c>
      <c r="L652" s="283">
        <v>2</v>
      </c>
      <c r="M652" s="283">
        <v>0</v>
      </c>
      <c r="N652" s="283">
        <v>28</v>
      </c>
      <c r="O652" s="283">
        <v>0</v>
      </c>
      <c r="P652" s="283">
        <v>0</v>
      </c>
      <c r="Q652" s="284">
        <v>6</v>
      </c>
      <c r="R652" s="284">
        <v>0</v>
      </c>
      <c r="S652" s="284">
        <v>0</v>
      </c>
      <c r="T652" s="284">
        <v>5</v>
      </c>
      <c r="U652" s="284">
        <v>6</v>
      </c>
      <c r="V652" s="285">
        <v>0</v>
      </c>
      <c r="W652" s="9"/>
      <c r="X652" s="9" t="s">
        <v>33</v>
      </c>
    </row>
    <row r="653" spans="3:24" s="6" customFormat="1" ht="15.75" customHeight="1">
      <c r="C653" s="9"/>
      <c r="D653" s="9" t="s">
        <v>32</v>
      </c>
      <c r="E653" s="282">
        <v>2010</v>
      </c>
      <c r="F653" s="283">
        <v>242</v>
      </c>
      <c r="G653" s="283">
        <v>135</v>
      </c>
      <c r="H653" s="283">
        <v>345</v>
      </c>
      <c r="I653" s="283">
        <v>145</v>
      </c>
      <c r="J653" s="283">
        <v>70</v>
      </c>
      <c r="K653" s="283">
        <v>89</v>
      </c>
      <c r="L653" s="283">
        <v>110</v>
      </c>
      <c r="M653" s="283">
        <v>11</v>
      </c>
      <c r="N653" s="283">
        <v>311</v>
      </c>
      <c r="O653" s="283">
        <v>29</v>
      </c>
      <c r="P653" s="283">
        <v>30</v>
      </c>
      <c r="Q653" s="284">
        <v>70</v>
      </c>
      <c r="R653" s="284">
        <v>85</v>
      </c>
      <c r="S653" s="284">
        <v>45</v>
      </c>
      <c r="T653" s="284">
        <v>158</v>
      </c>
      <c r="U653" s="284">
        <v>135</v>
      </c>
      <c r="V653" s="285">
        <v>0</v>
      </c>
      <c r="W653" s="9"/>
      <c r="X653" s="9" t="s">
        <v>32</v>
      </c>
    </row>
    <row r="654" spans="3:24" s="6" customFormat="1" ht="15.75" customHeight="1">
      <c r="C654" s="9"/>
      <c r="D654" s="9" t="s">
        <v>31</v>
      </c>
      <c r="E654" s="282">
        <v>2457</v>
      </c>
      <c r="F654" s="104">
        <v>315</v>
      </c>
      <c r="G654" s="104">
        <v>71</v>
      </c>
      <c r="H654" s="104">
        <v>50</v>
      </c>
      <c r="I654" s="104">
        <v>132</v>
      </c>
      <c r="J654" s="104">
        <v>170</v>
      </c>
      <c r="K654" s="104">
        <v>78</v>
      </c>
      <c r="L654" s="104">
        <v>255</v>
      </c>
      <c r="M654" s="104">
        <v>0</v>
      </c>
      <c r="N654" s="104">
        <v>724</v>
      </c>
      <c r="O654" s="104">
        <v>15</v>
      </c>
      <c r="P654" s="104">
        <v>80</v>
      </c>
      <c r="Q654" s="107">
        <v>110</v>
      </c>
      <c r="R654" s="107">
        <v>104</v>
      </c>
      <c r="S654" s="107">
        <v>203</v>
      </c>
      <c r="T654" s="107">
        <v>90</v>
      </c>
      <c r="U654" s="107">
        <v>60</v>
      </c>
      <c r="V654" s="108">
        <v>0</v>
      </c>
      <c r="W654" s="9"/>
      <c r="X654" s="9" t="s">
        <v>31</v>
      </c>
    </row>
    <row r="655" spans="3:24" s="6" customFormat="1" ht="15.75" customHeight="1">
      <c r="C655" s="9"/>
      <c r="D655" s="9" t="s">
        <v>30</v>
      </c>
      <c r="E655" s="282">
        <v>316</v>
      </c>
      <c r="F655" s="104">
        <v>0</v>
      </c>
      <c r="G655" s="104">
        <v>0</v>
      </c>
      <c r="H655" s="104">
        <v>0</v>
      </c>
      <c r="I655" s="104">
        <v>0</v>
      </c>
      <c r="J655" s="104">
        <v>0</v>
      </c>
      <c r="K655" s="104">
        <v>0</v>
      </c>
      <c r="L655" s="104">
        <v>0</v>
      </c>
      <c r="M655" s="104">
        <v>0</v>
      </c>
      <c r="N655" s="104">
        <v>100</v>
      </c>
      <c r="O655" s="104">
        <v>96</v>
      </c>
      <c r="P655" s="104">
        <v>0</v>
      </c>
      <c r="Q655" s="107">
        <v>0</v>
      </c>
      <c r="R655" s="107">
        <v>0</v>
      </c>
      <c r="S655" s="107">
        <v>0</v>
      </c>
      <c r="T655" s="107">
        <v>60</v>
      </c>
      <c r="U655" s="107">
        <v>0</v>
      </c>
      <c r="V655" s="108">
        <v>60</v>
      </c>
      <c r="W655" s="9"/>
      <c r="X655" s="9" t="s">
        <v>30</v>
      </c>
    </row>
    <row r="656" spans="3:24" s="6" customFormat="1" ht="15.75" customHeight="1">
      <c r="C656" s="9"/>
      <c r="D656" s="9" t="s">
        <v>29</v>
      </c>
      <c r="E656" s="282">
        <v>2860</v>
      </c>
      <c r="F656" s="104">
        <v>250</v>
      </c>
      <c r="G656" s="104">
        <v>0</v>
      </c>
      <c r="H656" s="104">
        <v>297</v>
      </c>
      <c r="I656" s="104">
        <v>0</v>
      </c>
      <c r="J656" s="104">
        <v>250</v>
      </c>
      <c r="K656" s="104">
        <v>0</v>
      </c>
      <c r="L656" s="104">
        <v>440</v>
      </c>
      <c r="M656" s="104">
        <v>0</v>
      </c>
      <c r="N656" s="104">
        <v>440</v>
      </c>
      <c r="O656" s="104">
        <v>0</v>
      </c>
      <c r="P656" s="104">
        <v>0</v>
      </c>
      <c r="Q656" s="107">
        <v>0</v>
      </c>
      <c r="R656" s="107">
        <v>420</v>
      </c>
      <c r="S656" s="107">
        <v>0</v>
      </c>
      <c r="T656" s="107">
        <v>448</v>
      </c>
      <c r="U656" s="107">
        <v>315</v>
      </c>
      <c r="V656" s="108">
        <v>0</v>
      </c>
      <c r="W656" s="9"/>
      <c r="X656" s="9" t="s">
        <v>29</v>
      </c>
    </row>
    <row r="657" spans="3:24" s="6" customFormat="1" ht="15.75" customHeight="1">
      <c r="C657" s="9"/>
      <c r="D657" s="9" t="s">
        <v>28</v>
      </c>
      <c r="E657" s="282">
        <v>6400</v>
      </c>
      <c r="F657" s="104">
        <v>0</v>
      </c>
      <c r="G657" s="104">
        <v>0</v>
      </c>
      <c r="H657" s="104">
        <v>900</v>
      </c>
      <c r="I657" s="104">
        <v>0</v>
      </c>
      <c r="J657" s="104">
        <v>0</v>
      </c>
      <c r="K657" s="104">
        <v>900</v>
      </c>
      <c r="L657" s="104">
        <v>1000</v>
      </c>
      <c r="M657" s="104">
        <v>0</v>
      </c>
      <c r="N657" s="104">
        <v>880</v>
      </c>
      <c r="O657" s="104">
        <v>0</v>
      </c>
      <c r="P657" s="104">
        <v>0</v>
      </c>
      <c r="Q657" s="107">
        <v>1000</v>
      </c>
      <c r="R657" s="107">
        <v>840</v>
      </c>
      <c r="S657" s="107">
        <v>0</v>
      </c>
      <c r="T657" s="107">
        <v>880</v>
      </c>
      <c r="U657" s="107">
        <v>0</v>
      </c>
      <c r="V657" s="108">
        <v>0</v>
      </c>
      <c r="W657" s="9"/>
      <c r="X657" s="9" t="s">
        <v>28</v>
      </c>
    </row>
    <row r="658" spans="3:24" s="6" customFormat="1" ht="15.75" customHeight="1">
      <c r="C658" s="9"/>
      <c r="D658" s="9" t="s">
        <v>27</v>
      </c>
      <c r="E658" s="282">
        <v>65708</v>
      </c>
      <c r="F658" s="104">
        <v>2400</v>
      </c>
      <c r="G658" s="104">
        <v>1200</v>
      </c>
      <c r="H658" s="104">
        <v>0</v>
      </c>
      <c r="I658" s="104">
        <v>2400</v>
      </c>
      <c r="J658" s="104">
        <v>0</v>
      </c>
      <c r="K658" s="104">
        <v>0</v>
      </c>
      <c r="L658" s="104">
        <v>8498</v>
      </c>
      <c r="M658" s="104">
        <v>0</v>
      </c>
      <c r="N658" s="104">
        <v>29410</v>
      </c>
      <c r="O658" s="104">
        <v>0</v>
      </c>
      <c r="P658" s="104">
        <v>0</v>
      </c>
      <c r="Q658" s="107">
        <v>0</v>
      </c>
      <c r="R658" s="107">
        <v>4800</v>
      </c>
      <c r="S658" s="107">
        <v>9800</v>
      </c>
      <c r="T658" s="107">
        <v>4800</v>
      </c>
      <c r="U658" s="107">
        <v>2400</v>
      </c>
      <c r="V658" s="108">
        <v>0</v>
      </c>
      <c r="W658" s="9"/>
      <c r="X658" s="9" t="s">
        <v>27</v>
      </c>
    </row>
    <row r="659" spans="3:24" s="6" customFormat="1" ht="15.75" customHeight="1">
      <c r="C659" s="9"/>
      <c r="D659" s="9" t="s">
        <v>26</v>
      </c>
      <c r="E659" s="282">
        <v>106680</v>
      </c>
      <c r="F659" s="104">
        <v>6000</v>
      </c>
      <c r="G659" s="104">
        <v>5600</v>
      </c>
      <c r="H659" s="104">
        <v>0</v>
      </c>
      <c r="I659" s="104">
        <v>0</v>
      </c>
      <c r="J659" s="104">
        <v>0</v>
      </c>
      <c r="K659" s="104">
        <v>0</v>
      </c>
      <c r="L659" s="104">
        <v>0</v>
      </c>
      <c r="M659" s="104">
        <v>5280</v>
      </c>
      <c r="N659" s="104">
        <v>51760</v>
      </c>
      <c r="O659" s="104">
        <v>0</v>
      </c>
      <c r="P659" s="104">
        <v>0</v>
      </c>
      <c r="Q659" s="107">
        <v>12760</v>
      </c>
      <c r="R659" s="107">
        <v>0</v>
      </c>
      <c r="S659" s="107">
        <v>25280</v>
      </c>
      <c r="T659" s="107">
        <v>0</v>
      </c>
      <c r="U659" s="107">
        <v>0</v>
      </c>
      <c r="V659" s="108">
        <v>0</v>
      </c>
      <c r="W659" s="9"/>
      <c r="X659" s="9" t="s">
        <v>26</v>
      </c>
    </row>
    <row r="660" spans="3:24" s="6" customFormat="1" ht="15.75" customHeight="1">
      <c r="C660" s="9"/>
      <c r="D660" s="9" t="s">
        <v>25</v>
      </c>
      <c r="E660" s="282">
        <v>216000</v>
      </c>
      <c r="F660" s="104">
        <v>59400</v>
      </c>
      <c r="G660" s="104">
        <v>30800</v>
      </c>
      <c r="H660" s="104">
        <v>0</v>
      </c>
      <c r="I660" s="104">
        <v>52280</v>
      </c>
      <c r="J660" s="104">
        <v>0</v>
      </c>
      <c r="K660" s="104">
        <v>0</v>
      </c>
      <c r="L660" s="104">
        <v>0</v>
      </c>
      <c r="M660" s="104">
        <v>0</v>
      </c>
      <c r="N660" s="104">
        <v>58520</v>
      </c>
      <c r="O660" s="104">
        <v>15000</v>
      </c>
      <c r="P660" s="104">
        <v>0</v>
      </c>
      <c r="Q660" s="107">
        <v>0</v>
      </c>
      <c r="R660" s="107">
        <v>0</v>
      </c>
      <c r="S660" s="107">
        <v>0</v>
      </c>
      <c r="T660" s="107">
        <v>0</v>
      </c>
      <c r="U660" s="107">
        <v>0</v>
      </c>
      <c r="V660" s="108">
        <v>0</v>
      </c>
      <c r="W660" s="9"/>
      <c r="X660" s="9" t="s">
        <v>25</v>
      </c>
    </row>
    <row r="661" spans="3:24" s="6" customFormat="1" ht="15.75" customHeight="1" thickBot="1">
      <c r="C661" s="118"/>
      <c r="D661" s="118" t="s">
        <v>24</v>
      </c>
      <c r="E661" s="119">
        <v>207720</v>
      </c>
      <c r="F661" s="120">
        <v>0</v>
      </c>
      <c r="G661" s="120">
        <v>0</v>
      </c>
      <c r="H661" s="120">
        <v>0</v>
      </c>
      <c r="I661" s="120">
        <v>98760</v>
      </c>
      <c r="J661" s="120">
        <v>0</v>
      </c>
      <c r="K661" s="120">
        <v>0</v>
      </c>
      <c r="L661" s="120">
        <v>0</v>
      </c>
      <c r="M661" s="120">
        <v>0</v>
      </c>
      <c r="N661" s="120">
        <v>58800</v>
      </c>
      <c r="O661" s="120">
        <v>0</v>
      </c>
      <c r="P661" s="120">
        <v>0</v>
      </c>
      <c r="Q661" s="121">
        <v>50160</v>
      </c>
      <c r="R661" s="121">
        <v>0</v>
      </c>
      <c r="S661" s="121">
        <v>0</v>
      </c>
      <c r="T661" s="121">
        <v>0</v>
      </c>
      <c r="U661" s="121">
        <v>0</v>
      </c>
      <c r="V661" s="122">
        <v>0</v>
      </c>
      <c r="W661" s="118"/>
      <c r="X661" s="118" t="s">
        <v>24</v>
      </c>
    </row>
    <row r="662" spans="3:24" s="6" customFormat="1" ht="15.75" customHeight="1">
      <c r="C662" s="9"/>
      <c r="D662" s="9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0"/>
      <c r="R662" s="10"/>
      <c r="S662" s="10"/>
      <c r="T662" s="10"/>
      <c r="U662" s="10"/>
      <c r="V662" s="10"/>
      <c r="W662" s="9"/>
      <c r="X662" s="9"/>
    </row>
    <row r="663" spans="3:24" s="6" customFormat="1" ht="15.75" customHeight="1">
      <c r="C663" s="8" t="s">
        <v>81</v>
      </c>
      <c r="D663" s="12"/>
      <c r="W663" s="12"/>
      <c r="X663" s="12"/>
    </row>
    <row r="666" spans="3:24" s="6" customFormat="1" ht="18">
      <c r="C666" s="19" t="s">
        <v>80</v>
      </c>
      <c r="D666" s="18"/>
      <c r="W666" s="12"/>
      <c r="X666" s="12"/>
    </row>
    <row r="667" spans="3:24" s="6" customFormat="1" ht="15.75" customHeight="1" thickBot="1">
      <c r="C667" s="16"/>
      <c r="D667" s="17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W667" s="12"/>
      <c r="X667" s="15"/>
    </row>
    <row r="668" spans="3:24" s="6" customFormat="1" ht="15.75" customHeight="1">
      <c r="C668" s="304" t="s">
        <v>61</v>
      </c>
      <c r="D668" s="304"/>
      <c r="E668" s="82" t="s">
        <v>79</v>
      </c>
      <c r="F668" s="83" t="s">
        <v>78</v>
      </c>
      <c r="G668" s="83" t="s">
        <v>77</v>
      </c>
      <c r="H668" s="83" t="s">
        <v>76</v>
      </c>
      <c r="I668" s="83" t="s">
        <v>75</v>
      </c>
      <c r="J668" s="83" t="s">
        <v>74</v>
      </c>
      <c r="K668" s="83" t="s">
        <v>73</v>
      </c>
      <c r="L668" s="83" t="s">
        <v>72</v>
      </c>
      <c r="M668" s="83" t="s">
        <v>71</v>
      </c>
      <c r="N668" s="83" t="s">
        <v>70</v>
      </c>
      <c r="O668" s="83" t="s">
        <v>69</v>
      </c>
      <c r="P668" s="288" t="s">
        <v>68</v>
      </c>
      <c r="Q668" s="83" t="s">
        <v>67</v>
      </c>
      <c r="R668" s="83" t="s">
        <v>66</v>
      </c>
      <c r="S668" s="83" t="s">
        <v>65</v>
      </c>
      <c r="T668" s="83" t="s">
        <v>64</v>
      </c>
      <c r="U668" s="83" t="s">
        <v>63</v>
      </c>
      <c r="V668" s="84" t="s">
        <v>62</v>
      </c>
      <c r="W668" s="321" t="s">
        <v>61</v>
      </c>
      <c r="X668" s="319"/>
    </row>
    <row r="669" spans="3:24" s="6" customFormat="1" ht="15.75" customHeight="1">
      <c r="C669" s="305"/>
      <c r="D669" s="305"/>
      <c r="E669" s="85" t="s">
        <v>22</v>
      </c>
      <c r="F669" s="14" t="s">
        <v>60</v>
      </c>
      <c r="G669" s="14" t="s">
        <v>59</v>
      </c>
      <c r="H669" s="14" t="s">
        <v>58</v>
      </c>
      <c r="I669" s="14" t="s">
        <v>57</v>
      </c>
      <c r="J669" s="14" t="s">
        <v>56</v>
      </c>
      <c r="K669" s="14" t="s">
        <v>55</v>
      </c>
      <c r="L669" s="14" t="s">
        <v>54</v>
      </c>
      <c r="M669" s="14" t="s">
        <v>53</v>
      </c>
      <c r="N669" s="14" t="s">
        <v>52</v>
      </c>
      <c r="O669" s="14" t="s">
        <v>51</v>
      </c>
      <c r="P669" s="289" t="s">
        <v>50</v>
      </c>
      <c r="Q669" s="14" t="s">
        <v>49</v>
      </c>
      <c r="R669" s="14" t="s">
        <v>48</v>
      </c>
      <c r="S669" s="14" t="s">
        <v>47</v>
      </c>
      <c r="T669" s="14" t="s">
        <v>46</v>
      </c>
      <c r="U669" s="14" t="s">
        <v>45</v>
      </c>
      <c r="V669" s="13" t="s">
        <v>44</v>
      </c>
      <c r="W669" s="322"/>
      <c r="X669" s="320"/>
    </row>
    <row r="670" spans="3:24" s="12" customFormat="1" ht="15.75" customHeight="1">
      <c r="C670" s="86" t="s">
        <v>225</v>
      </c>
      <c r="D670" s="87"/>
      <c r="E670" s="88">
        <v>506380.61939999997</v>
      </c>
      <c r="F670" s="89">
        <v>0</v>
      </c>
      <c r="G670" s="89">
        <v>0</v>
      </c>
      <c r="H670" s="89">
        <v>0</v>
      </c>
      <c r="I670" s="89">
        <v>0</v>
      </c>
      <c r="J670" s="89">
        <v>0</v>
      </c>
      <c r="K670" s="89">
        <v>0</v>
      </c>
      <c r="L670" s="89">
        <v>0</v>
      </c>
      <c r="M670" s="89">
        <v>0</v>
      </c>
      <c r="N670" s="89">
        <v>0</v>
      </c>
      <c r="O670" s="89">
        <v>0</v>
      </c>
      <c r="P670" s="210">
        <v>0</v>
      </c>
      <c r="Q670" s="89">
        <v>506380.61939999997</v>
      </c>
      <c r="R670" s="90">
        <v>0</v>
      </c>
      <c r="S670" s="90">
        <v>0</v>
      </c>
      <c r="T670" s="90">
        <v>0</v>
      </c>
      <c r="U670" s="90">
        <v>0</v>
      </c>
      <c r="V670" s="91">
        <v>0</v>
      </c>
      <c r="W670" s="86" t="s">
        <v>226</v>
      </c>
      <c r="X670" s="87"/>
    </row>
    <row r="671" spans="3:24" s="12" customFormat="1" ht="15.75" customHeight="1">
      <c r="C671" s="86" t="s">
        <v>236</v>
      </c>
      <c r="D671" s="87"/>
      <c r="E671" s="281">
        <v>2377373.7999999998</v>
      </c>
      <c r="F671" s="89">
        <v>0</v>
      </c>
      <c r="G671" s="89">
        <v>0</v>
      </c>
      <c r="H671" s="89">
        <v>0</v>
      </c>
      <c r="I671" s="89">
        <v>0</v>
      </c>
      <c r="J671" s="89">
        <v>0</v>
      </c>
      <c r="K671" s="89">
        <v>0</v>
      </c>
      <c r="L671" s="89">
        <v>0</v>
      </c>
      <c r="M671" s="89">
        <v>0</v>
      </c>
      <c r="N671" s="89">
        <v>0</v>
      </c>
      <c r="O671" s="89">
        <v>0</v>
      </c>
      <c r="P671" s="210">
        <v>0</v>
      </c>
      <c r="Q671" s="90">
        <v>2377373.7999999998</v>
      </c>
      <c r="R671" s="90">
        <v>0</v>
      </c>
      <c r="S671" s="90">
        <v>0</v>
      </c>
      <c r="T671" s="90">
        <v>0</v>
      </c>
      <c r="U671" s="90">
        <v>0</v>
      </c>
      <c r="V671" s="91">
        <v>0</v>
      </c>
      <c r="W671" s="86" t="s">
        <v>237</v>
      </c>
      <c r="X671" s="87"/>
    </row>
    <row r="672" spans="3:24" s="12" customFormat="1" ht="15.75" customHeight="1">
      <c r="C672" s="86" t="s">
        <v>238</v>
      </c>
      <c r="D672" s="86"/>
      <c r="E672" s="88">
        <v>346330</v>
      </c>
      <c r="F672" s="89">
        <v>0</v>
      </c>
      <c r="G672" s="89">
        <v>0</v>
      </c>
      <c r="H672" s="89">
        <v>0</v>
      </c>
      <c r="I672" s="89">
        <v>0</v>
      </c>
      <c r="J672" s="89">
        <v>0</v>
      </c>
      <c r="K672" s="89">
        <v>0</v>
      </c>
      <c r="L672" s="89">
        <v>0</v>
      </c>
      <c r="M672" s="89">
        <v>0</v>
      </c>
      <c r="N672" s="89">
        <v>0</v>
      </c>
      <c r="O672" s="89">
        <v>0</v>
      </c>
      <c r="P672" s="210">
        <v>0</v>
      </c>
      <c r="Q672" s="89">
        <v>346330</v>
      </c>
      <c r="R672" s="90">
        <v>0</v>
      </c>
      <c r="S672" s="90">
        <v>0</v>
      </c>
      <c r="T672" s="90">
        <v>0</v>
      </c>
      <c r="U672" s="90">
        <v>0</v>
      </c>
      <c r="V672" s="91">
        <v>0</v>
      </c>
      <c r="W672" s="86" t="s">
        <v>239</v>
      </c>
      <c r="X672" s="86"/>
    </row>
    <row r="673" spans="3:24" s="12" customFormat="1" ht="15.75" customHeight="1">
      <c r="C673" s="9"/>
      <c r="D673" s="9"/>
      <c r="E673" s="103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73"/>
      <c r="Q673" s="107"/>
      <c r="R673" s="107"/>
      <c r="S673" s="107"/>
      <c r="T673" s="107"/>
      <c r="U673" s="107"/>
      <c r="V673" s="108"/>
      <c r="W673" s="9"/>
      <c r="X673" s="9"/>
    </row>
    <row r="674" spans="3:24" s="12" customFormat="1" ht="15.75" customHeight="1">
      <c r="C674" s="86" t="s">
        <v>43</v>
      </c>
      <c r="D674" s="86"/>
      <c r="E674" s="88"/>
      <c r="F674" s="90"/>
      <c r="G674" s="90"/>
      <c r="H674" s="90"/>
      <c r="I674" s="90"/>
      <c r="J674" s="90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259"/>
      <c r="W674" s="86" t="s">
        <v>43</v>
      </c>
      <c r="X674" s="86"/>
    </row>
    <row r="675" spans="3:24" s="12" customFormat="1" ht="15.75" customHeight="1">
      <c r="C675" s="9"/>
      <c r="D675" s="102" t="s">
        <v>229</v>
      </c>
      <c r="E675" s="103">
        <v>0</v>
      </c>
      <c r="F675" s="104">
        <v>0</v>
      </c>
      <c r="G675" s="104">
        <v>0</v>
      </c>
      <c r="H675" s="104">
        <v>0</v>
      </c>
      <c r="I675" s="104">
        <v>0</v>
      </c>
      <c r="J675" s="104">
        <v>0</v>
      </c>
      <c r="K675" s="104">
        <v>0</v>
      </c>
      <c r="L675" s="104">
        <v>0</v>
      </c>
      <c r="M675" s="104">
        <v>0</v>
      </c>
      <c r="N675" s="104">
        <v>0</v>
      </c>
      <c r="O675" s="104">
        <v>0</v>
      </c>
      <c r="P675" s="104">
        <v>0</v>
      </c>
      <c r="Q675" s="107">
        <v>0</v>
      </c>
      <c r="R675" s="107">
        <v>0</v>
      </c>
      <c r="S675" s="107">
        <v>0</v>
      </c>
      <c r="T675" s="107">
        <v>0</v>
      </c>
      <c r="U675" s="107">
        <v>0</v>
      </c>
      <c r="V675" s="108">
        <v>0</v>
      </c>
      <c r="W675" s="9"/>
      <c r="X675" s="102" t="s">
        <v>229</v>
      </c>
    </row>
    <row r="676" spans="3:24" s="12" customFormat="1" ht="15.75" customHeight="1">
      <c r="C676" s="9"/>
      <c r="D676" s="102" t="s">
        <v>256</v>
      </c>
      <c r="E676" s="103">
        <v>0</v>
      </c>
      <c r="F676" s="104">
        <v>0</v>
      </c>
      <c r="G676" s="104">
        <v>0</v>
      </c>
      <c r="H676" s="104">
        <v>0</v>
      </c>
      <c r="I676" s="104">
        <v>0</v>
      </c>
      <c r="J676" s="104">
        <v>0</v>
      </c>
      <c r="K676" s="104">
        <v>0</v>
      </c>
      <c r="L676" s="104">
        <v>0</v>
      </c>
      <c r="M676" s="104">
        <v>0</v>
      </c>
      <c r="N676" s="104">
        <v>0</v>
      </c>
      <c r="O676" s="104">
        <v>0</v>
      </c>
      <c r="P676" s="104">
        <v>0</v>
      </c>
      <c r="Q676" s="107">
        <v>0</v>
      </c>
      <c r="R676" s="107">
        <v>0</v>
      </c>
      <c r="S676" s="107">
        <v>0</v>
      </c>
      <c r="T676" s="107">
        <v>0</v>
      </c>
      <c r="U676" s="107">
        <v>0</v>
      </c>
      <c r="V676" s="108">
        <v>0</v>
      </c>
      <c r="W676" s="9"/>
      <c r="X676" s="102" t="s">
        <v>256</v>
      </c>
    </row>
    <row r="677" spans="3:24" s="12" customFormat="1" ht="15.75" customHeight="1">
      <c r="C677" s="9"/>
      <c r="D677" s="102" t="s">
        <v>231</v>
      </c>
      <c r="E677" s="103">
        <v>0</v>
      </c>
      <c r="F677" s="104">
        <v>0</v>
      </c>
      <c r="G677" s="104">
        <v>0</v>
      </c>
      <c r="H677" s="104">
        <v>0</v>
      </c>
      <c r="I677" s="104">
        <v>0</v>
      </c>
      <c r="J677" s="104">
        <v>0</v>
      </c>
      <c r="K677" s="104">
        <v>0</v>
      </c>
      <c r="L677" s="104">
        <v>0</v>
      </c>
      <c r="M677" s="104">
        <v>0</v>
      </c>
      <c r="N677" s="104">
        <v>0</v>
      </c>
      <c r="O677" s="104">
        <v>0</v>
      </c>
      <c r="P677" s="104">
        <v>0</v>
      </c>
      <c r="Q677" s="107">
        <v>0</v>
      </c>
      <c r="R677" s="107">
        <v>0</v>
      </c>
      <c r="S677" s="107">
        <v>0</v>
      </c>
      <c r="T677" s="107">
        <v>0</v>
      </c>
      <c r="U677" s="107">
        <v>0</v>
      </c>
      <c r="V677" s="108">
        <v>0</v>
      </c>
      <c r="W677" s="9"/>
      <c r="X677" s="102" t="s">
        <v>231</v>
      </c>
    </row>
    <row r="678" spans="3:24" s="12" customFormat="1" ht="15.75" customHeight="1">
      <c r="C678" s="9"/>
      <c r="D678" s="9"/>
      <c r="E678" s="103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7"/>
      <c r="R678" s="107"/>
      <c r="S678" s="107"/>
      <c r="T678" s="107"/>
      <c r="U678" s="107"/>
      <c r="V678" s="108"/>
      <c r="W678" s="9"/>
      <c r="X678" s="9"/>
    </row>
    <row r="679" spans="3:24" s="12" customFormat="1" ht="15.75" customHeight="1">
      <c r="C679" s="86" t="s">
        <v>241</v>
      </c>
      <c r="D679" s="87"/>
      <c r="E679" s="88">
        <v>346330</v>
      </c>
      <c r="F679" s="89">
        <v>0</v>
      </c>
      <c r="G679" s="89">
        <v>0</v>
      </c>
      <c r="H679" s="89">
        <v>0</v>
      </c>
      <c r="I679" s="89">
        <v>0</v>
      </c>
      <c r="J679" s="89">
        <v>0</v>
      </c>
      <c r="K679" s="89">
        <v>0</v>
      </c>
      <c r="L679" s="89">
        <v>0</v>
      </c>
      <c r="M679" s="89">
        <v>0</v>
      </c>
      <c r="N679" s="89">
        <v>0</v>
      </c>
      <c r="O679" s="89">
        <v>0</v>
      </c>
      <c r="P679" s="89">
        <v>0</v>
      </c>
      <c r="Q679" s="90">
        <v>346330</v>
      </c>
      <c r="R679" s="90">
        <v>0</v>
      </c>
      <c r="S679" s="90">
        <v>0</v>
      </c>
      <c r="T679" s="90">
        <v>0</v>
      </c>
      <c r="U679" s="90">
        <v>0</v>
      </c>
      <c r="V679" s="91">
        <v>0</v>
      </c>
      <c r="W679" s="86" t="s">
        <v>241</v>
      </c>
      <c r="X679" s="87"/>
    </row>
    <row r="680" spans="3:24" s="12" customFormat="1" ht="15.75" customHeight="1">
      <c r="D680" s="116" t="s">
        <v>42</v>
      </c>
      <c r="E680" s="103">
        <v>0</v>
      </c>
      <c r="F680" s="104">
        <v>0</v>
      </c>
      <c r="G680" s="104">
        <v>0</v>
      </c>
      <c r="H680" s="104">
        <v>0</v>
      </c>
      <c r="I680" s="104">
        <v>0</v>
      </c>
      <c r="J680" s="104">
        <v>0</v>
      </c>
      <c r="K680" s="104">
        <v>0</v>
      </c>
      <c r="L680" s="104">
        <v>0</v>
      </c>
      <c r="M680" s="104">
        <v>0</v>
      </c>
      <c r="N680" s="104">
        <v>0</v>
      </c>
      <c r="O680" s="104">
        <v>0</v>
      </c>
      <c r="P680" s="104">
        <v>0</v>
      </c>
      <c r="Q680" s="107">
        <v>0</v>
      </c>
      <c r="R680" s="107">
        <v>0</v>
      </c>
      <c r="S680" s="107">
        <v>0</v>
      </c>
      <c r="T680" s="107">
        <v>0</v>
      </c>
      <c r="U680" s="107">
        <v>0</v>
      </c>
      <c r="V680" s="108">
        <v>0</v>
      </c>
      <c r="X680" s="116" t="s">
        <v>42</v>
      </c>
    </row>
    <row r="681" spans="3:24" s="12" customFormat="1" ht="15.75" customHeight="1">
      <c r="C681" s="9"/>
      <c r="D681" s="116" t="s">
        <v>41</v>
      </c>
      <c r="E681" s="103">
        <v>0</v>
      </c>
      <c r="F681" s="104">
        <v>0</v>
      </c>
      <c r="G681" s="104">
        <v>0</v>
      </c>
      <c r="H681" s="104">
        <v>0</v>
      </c>
      <c r="I681" s="104">
        <v>0</v>
      </c>
      <c r="J681" s="104">
        <v>0</v>
      </c>
      <c r="K681" s="104">
        <v>0</v>
      </c>
      <c r="L681" s="104">
        <v>0</v>
      </c>
      <c r="M681" s="104">
        <v>0</v>
      </c>
      <c r="N681" s="104">
        <v>0</v>
      </c>
      <c r="O681" s="104">
        <v>0</v>
      </c>
      <c r="P681" s="104">
        <v>0</v>
      </c>
      <c r="Q681" s="107">
        <v>0</v>
      </c>
      <c r="R681" s="107">
        <v>0</v>
      </c>
      <c r="S681" s="107">
        <v>0</v>
      </c>
      <c r="T681" s="107">
        <v>0</v>
      </c>
      <c r="U681" s="107">
        <v>0</v>
      </c>
      <c r="V681" s="108">
        <v>0</v>
      </c>
      <c r="W681" s="9"/>
      <c r="X681" s="116" t="s">
        <v>41</v>
      </c>
    </row>
    <row r="682" spans="3:24" s="12" customFormat="1" ht="15.75" customHeight="1">
      <c r="C682" s="9"/>
      <c r="D682" s="116" t="s">
        <v>40</v>
      </c>
      <c r="E682" s="103">
        <v>0</v>
      </c>
      <c r="F682" s="104">
        <v>0</v>
      </c>
      <c r="G682" s="104">
        <v>0</v>
      </c>
      <c r="H682" s="104">
        <v>0</v>
      </c>
      <c r="I682" s="104">
        <v>0</v>
      </c>
      <c r="J682" s="104">
        <v>0</v>
      </c>
      <c r="K682" s="104">
        <v>0</v>
      </c>
      <c r="L682" s="104">
        <v>0</v>
      </c>
      <c r="M682" s="104">
        <v>0</v>
      </c>
      <c r="N682" s="104">
        <v>0</v>
      </c>
      <c r="O682" s="104">
        <v>0</v>
      </c>
      <c r="P682" s="104">
        <v>0</v>
      </c>
      <c r="Q682" s="107">
        <v>0</v>
      </c>
      <c r="R682" s="107">
        <v>0</v>
      </c>
      <c r="S682" s="107">
        <v>0</v>
      </c>
      <c r="T682" s="107">
        <v>0</v>
      </c>
      <c r="U682" s="107">
        <v>0</v>
      </c>
      <c r="V682" s="108">
        <v>0</v>
      </c>
      <c r="W682" s="9"/>
      <c r="X682" s="116" t="s">
        <v>40</v>
      </c>
    </row>
    <row r="683" spans="3:24" s="12" customFormat="1" ht="15.75" customHeight="1">
      <c r="C683" s="9"/>
      <c r="D683" s="116" t="s">
        <v>39</v>
      </c>
      <c r="E683" s="103">
        <v>0</v>
      </c>
      <c r="F683" s="104">
        <v>0</v>
      </c>
      <c r="G683" s="104">
        <v>0</v>
      </c>
      <c r="H683" s="104">
        <v>0</v>
      </c>
      <c r="I683" s="104">
        <v>0</v>
      </c>
      <c r="J683" s="104">
        <v>0</v>
      </c>
      <c r="K683" s="104">
        <v>0</v>
      </c>
      <c r="L683" s="104">
        <v>0</v>
      </c>
      <c r="M683" s="104">
        <v>0</v>
      </c>
      <c r="N683" s="104">
        <v>0</v>
      </c>
      <c r="O683" s="104">
        <v>0</v>
      </c>
      <c r="P683" s="104">
        <v>0</v>
      </c>
      <c r="Q683" s="107">
        <v>0</v>
      </c>
      <c r="R683" s="107">
        <v>0</v>
      </c>
      <c r="S683" s="107">
        <v>0</v>
      </c>
      <c r="T683" s="107">
        <v>0</v>
      </c>
      <c r="U683" s="107">
        <v>0</v>
      </c>
      <c r="V683" s="108">
        <v>0</v>
      </c>
      <c r="W683" s="9"/>
      <c r="X683" s="116" t="s">
        <v>39</v>
      </c>
    </row>
    <row r="684" spans="3:24" s="12" customFormat="1" ht="15.75" customHeight="1">
      <c r="C684" s="9"/>
      <c r="D684" s="116" t="s">
        <v>38</v>
      </c>
      <c r="E684" s="103">
        <v>0</v>
      </c>
      <c r="F684" s="104">
        <v>0</v>
      </c>
      <c r="G684" s="104">
        <v>0</v>
      </c>
      <c r="H684" s="104">
        <v>0</v>
      </c>
      <c r="I684" s="104">
        <v>0</v>
      </c>
      <c r="J684" s="104">
        <v>0</v>
      </c>
      <c r="K684" s="104">
        <v>0</v>
      </c>
      <c r="L684" s="104">
        <v>0</v>
      </c>
      <c r="M684" s="104">
        <v>0</v>
      </c>
      <c r="N684" s="104">
        <v>0</v>
      </c>
      <c r="O684" s="104">
        <v>0</v>
      </c>
      <c r="P684" s="104">
        <v>0</v>
      </c>
      <c r="Q684" s="104">
        <v>0</v>
      </c>
      <c r="R684" s="104">
        <v>0</v>
      </c>
      <c r="S684" s="104">
        <v>0</v>
      </c>
      <c r="T684" s="104">
        <v>0</v>
      </c>
      <c r="U684" s="104">
        <v>0</v>
      </c>
      <c r="V684" s="178">
        <v>0</v>
      </c>
      <c r="W684" s="9"/>
      <c r="X684" s="116" t="s">
        <v>38</v>
      </c>
    </row>
    <row r="685" spans="3:24" s="12" customFormat="1" ht="15.75" customHeight="1">
      <c r="C685" s="9"/>
      <c r="D685" s="116" t="s">
        <v>37</v>
      </c>
      <c r="E685" s="103">
        <v>0</v>
      </c>
      <c r="F685" s="104">
        <v>0</v>
      </c>
      <c r="G685" s="104">
        <v>0</v>
      </c>
      <c r="H685" s="104">
        <v>0</v>
      </c>
      <c r="I685" s="104">
        <v>0</v>
      </c>
      <c r="J685" s="104">
        <v>0</v>
      </c>
      <c r="K685" s="104">
        <v>0</v>
      </c>
      <c r="L685" s="104">
        <v>0</v>
      </c>
      <c r="M685" s="104">
        <v>0</v>
      </c>
      <c r="N685" s="104">
        <v>0</v>
      </c>
      <c r="O685" s="104">
        <v>0</v>
      </c>
      <c r="P685" s="104">
        <v>0</v>
      </c>
      <c r="Q685" s="107">
        <v>0</v>
      </c>
      <c r="R685" s="104">
        <v>0</v>
      </c>
      <c r="S685" s="104">
        <v>0</v>
      </c>
      <c r="T685" s="104">
        <v>0</v>
      </c>
      <c r="U685" s="104">
        <v>0</v>
      </c>
      <c r="V685" s="178">
        <v>0</v>
      </c>
      <c r="W685" s="9"/>
      <c r="X685" s="116" t="s">
        <v>37</v>
      </c>
    </row>
    <row r="686" spans="3:24" s="12" customFormat="1" ht="15.75" customHeight="1">
      <c r="C686" s="9"/>
      <c r="D686" s="116" t="s">
        <v>36</v>
      </c>
      <c r="E686" s="103">
        <v>346330</v>
      </c>
      <c r="F686" s="104">
        <v>0</v>
      </c>
      <c r="G686" s="104">
        <v>0</v>
      </c>
      <c r="H686" s="104">
        <v>0</v>
      </c>
      <c r="I686" s="104">
        <v>0</v>
      </c>
      <c r="J686" s="104">
        <v>0</v>
      </c>
      <c r="K686" s="104">
        <v>0</v>
      </c>
      <c r="L686" s="104">
        <v>0</v>
      </c>
      <c r="M686" s="104">
        <v>0</v>
      </c>
      <c r="N686" s="104">
        <v>0</v>
      </c>
      <c r="O686" s="104">
        <v>0</v>
      </c>
      <c r="P686" s="104">
        <v>0</v>
      </c>
      <c r="Q686" s="107">
        <v>346330</v>
      </c>
      <c r="R686" s="107">
        <v>0</v>
      </c>
      <c r="S686" s="107">
        <v>0</v>
      </c>
      <c r="T686" s="107">
        <v>0</v>
      </c>
      <c r="U686" s="107">
        <v>0</v>
      </c>
      <c r="V686" s="108">
        <v>0</v>
      </c>
      <c r="W686" s="9"/>
      <c r="X686" s="116" t="s">
        <v>36</v>
      </c>
    </row>
    <row r="687" spans="3:24" s="12" customFormat="1" ht="15.75" customHeight="1">
      <c r="C687" s="9"/>
      <c r="D687" s="116" t="s">
        <v>35</v>
      </c>
      <c r="E687" s="103">
        <v>0</v>
      </c>
      <c r="F687" s="104">
        <v>0</v>
      </c>
      <c r="G687" s="104">
        <v>0</v>
      </c>
      <c r="H687" s="104">
        <v>0</v>
      </c>
      <c r="I687" s="104">
        <v>0</v>
      </c>
      <c r="J687" s="104">
        <v>0</v>
      </c>
      <c r="K687" s="104">
        <v>0</v>
      </c>
      <c r="L687" s="104">
        <v>0</v>
      </c>
      <c r="M687" s="104">
        <v>0</v>
      </c>
      <c r="N687" s="104">
        <v>0</v>
      </c>
      <c r="O687" s="104">
        <v>0</v>
      </c>
      <c r="P687" s="104">
        <v>0</v>
      </c>
      <c r="Q687" s="107">
        <v>0</v>
      </c>
      <c r="R687" s="107">
        <v>0</v>
      </c>
      <c r="S687" s="107">
        <v>0</v>
      </c>
      <c r="T687" s="107">
        <v>0</v>
      </c>
      <c r="U687" s="107">
        <v>0</v>
      </c>
      <c r="V687" s="108">
        <v>0</v>
      </c>
      <c r="W687" s="9"/>
      <c r="X687" s="116" t="s">
        <v>35</v>
      </c>
    </row>
    <row r="688" spans="3:24" s="12" customFormat="1" ht="15.75" customHeight="1">
      <c r="C688" s="9"/>
      <c r="D688" s="9"/>
      <c r="E688" s="103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7"/>
      <c r="R688" s="107"/>
      <c r="S688" s="107"/>
      <c r="T688" s="107"/>
      <c r="U688" s="107"/>
      <c r="V688" s="108"/>
      <c r="W688" s="9"/>
      <c r="X688" s="9"/>
    </row>
    <row r="689" spans="3:24" s="6" customFormat="1" ht="15.75" customHeight="1">
      <c r="C689" s="97" t="s">
        <v>243</v>
      </c>
      <c r="D689" s="86"/>
      <c r="E689" s="88">
        <v>346330</v>
      </c>
      <c r="F689" s="89">
        <v>0</v>
      </c>
      <c r="G689" s="89">
        <v>0</v>
      </c>
      <c r="H689" s="89">
        <v>0</v>
      </c>
      <c r="I689" s="89">
        <v>0</v>
      </c>
      <c r="J689" s="89">
        <v>0</v>
      </c>
      <c r="K689" s="89">
        <v>0</v>
      </c>
      <c r="L689" s="89">
        <v>0</v>
      </c>
      <c r="M689" s="89">
        <v>0</v>
      </c>
      <c r="N689" s="89">
        <v>0</v>
      </c>
      <c r="O689" s="89">
        <v>0</v>
      </c>
      <c r="P689" s="89">
        <v>0</v>
      </c>
      <c r="Q689" s="90">
        <v>346330</v>
      </c>
      <c r="R689" s="90">
        <v>0</v>
      </c>
      <c r="S689" s="90">
        <v>0</v>
      </c>
      <c r="T689" s="90">
        <v>0</v>
      </c>
      <c r="U689" s="90">
        <v>0</v>
      </c>
      <c r="V689" s="91">
        <v>0</v>
      </c>
      <c r="W689" s="86" t="s">
        <v>243</v>
      </c>
      <c r="X689" s="86"/>
    </row>
    <row r="690" spans="3:24" s="6" customFormat="1" ht="15.75" customHeight="1">
      <c r="C690" s="92"/>
      <c r="D690" s="9" t="s">
        <v>34</v>
      </c>
      <c r="E690" s="103">
        <v>0</v>
      </c>
      <c r="F690" s="104">
        <v>0</v>
      </c>
      <c r="G690" s="104">
        <v>0</v>
      </c>
      <c r="H690" s="104">
        <v>0</v>
      </c>
      <c r="I690" s="104">
        <v>0</v>
      </c>
      <c r="J690" s="104">
        <v>0</v>
      </c>
      <c r="K690" s="104">
        <v>0</v>
      </c>
      <c r="L690" s="104">
        <v>0</v>
      </c>
      <c r="M690" s="104">
        <v>0</v>
      </c>
      <c r="N690" s="104">
        <v>0</v>
      </c>
      <c r="O690" s="104">
        <v>0</v>
      </c>
      <c r="P690" s="104">
        <v>0</v>
      </c>
      <c r="Q690" s="107">
        <v>0</v>
      </c>
      <c r="R690" s="107">
        <v>0</v>
      </c>
      <c r="S690" s="104">
        <v>0</v>
      </c>
      <c r="T690" s="104">
        <v>0</v>
      </c>
      <c r="U690" s="104">
        <v>0</v>
      </c>
      <c r="V690" s="178">
        <v>0</v>
      </c>
      <c r="W690" s="9"/>
      <c r="X690" s="9" t="s">
        <v>34</v>
      </c>
    </row>
    <row r="691" spans="3:24" s="6" customFormat="1" ht="15.75" customHeight="1">
      <c r="C691" s="92"/>
      <c r="D691" s="9" t="s">
        <v>33</v>
      </c>
      <c r="E691" s="103">
        <v>0</v>
      </c>
      <c r="F691" s="104">
        <v>0</v>
      </c>
      <c r="G691" s="104">
        <v>0</v>
      </c>
      <c r="H691" s="104">
        <v>0</v>
      </c>
      <c r="I691" s="104">
        <v>0</v>
      </c>
      <c r="J691" s="104">
        <v>0</v>
      </c>
      <c r="K691" s="104">
        <v>0</v>
      </c>
      <c r="L691" s="104">
        <v>0</v>
      </c>
      <c r="M691" s="104">
        <v>0</v>
      </c>
      <c r="N691" s="104">
        <v>0</v>
      </c>
      <c r="O691" s="104">
        <v>0</v>
      </c>
      <c r="P691" s="104">
        <v>0</v>
      </c>
      <c r="Q691" s="107">
        <v>0</v>
      </c>
      <c r="R691" s="107">
        <v>0</v>
      </c>
      <c r="S691" s="107">
        <v>0</v>
      </c>
      <c r="T691" s="107">
        <v>0</v>
      </c>
      <c r="U691" s="107">
        <v>0</v>
      </c>
      <c r="V691" s="108">
        <v>0</v>
      </c>
      <c r="W691" s="9"/>
      <c r="X691" s="9" t="s">
        <v>33</v>
      </c>
    </row>
    <row r="692" spans="3:24" s="6" customFormat="1" ht="15.75" customHeight="1">
      <c r="C692" s="92"/>
      <c r="D692" s="9" t="s">
        <v>32</v>
      </c>
      <c r="E692" s="103">
        <v>0</v>
      </c>
      <c r="F692" s="104">
        <v>0</v>
      </c>
      <c r="G692" s="104">
        <v>0</v>
      </c>
      <c r="H692" s="104">
        <v>0</v>
      </c>
      <c r="I692" s="104">
        <v>0</v>
      </c>
      <c r="J692" s="104">
        <v>0</v>
      </c>
      <c r="K692" s="104">
        <v>0</v>
      </c>
      <c r="L692" s="104">
        <v>0</v>
      </c>
      <c r="M692" s="104">
        <v>0</v>
      </c>
      <c r="N692" s="104">
        <v>0</v>
      </c>
      <c r="O692" s="104">
        <v>0</v>
      </c>
      <c r="P692" s="104">
        <v>0</v>
      </c>
      <c r="Q692" s="107">
        <v>0</v>
      </c>
      <c r="R692" s="107">
        <v>0</v>
      </c>
      <c r="S692" s="107">
        <v>0</v>
      </c>
      <c r="T692" s="107">
        <v>0</v>
      </c>
      <c r="U692" s="107">
        <v>0</v>
      </c>
      <c r="V692" s="108">
        <v>0</v>
      </c>
      <c r="W692" s="9"/>
      <c r="X692" s="9" t="s">
        <v>32</v>
      </c>
    </row>
    <row r="693" spans="3:24" s="6" customFormat="1" ht="15.75" customHeight="1">
      <c r="C693" s="92"/>
      <c r="D693" s="9" t="s">
        <v>31</v>
      </c>
      <c r="E693" s="103">
        <v>0</v>
      </c>
      <c r="F693" s="104">
        <v>0</v>
      </c>
      <c r="G693" s="104">
        <v>0</v>
      </c>
      <c r="H693" s="104">
        <v>0</v>
      </c>
      <c r="I693" s="104">
        <v>0</v>
      </c>
      <c r="J693" s="104">
        <v>0</v>
      </c>
      <c r="K693" s="104">
        <v>0</v>
      </c>
      <c r="L693" s="104">
        <v>0</v>
      </c>
      <c r="M693" s="104">
        <v>0</v>
      </c>
      <c r="N693" s="104">
        <v>0</v>
      </c>
      <c r="O693" s="104">
        <v>0</v>
      </c>
      <c r="P693" s="104">
        <v>0</v>
      </c>
      <c r="Q693" s="107">
        <v>0</v>
      </c>
      <c r="R693" s="107">
        <v>0</v>
      </c>
      <c r="S693" s="107">
        <v>0</v>
      </c>
      <c r="T693" s="107">
        <v>0</v>
      </c>
      <c r="U693" s="107">
        <v>0</v>
      </c>
      <c r="V693" s="108">
        <v>0</v>
      </c>
      <c r="W693" s="9"/>
      <c r="X693" s="9" t="s">
        <v>31</v>
      </c>
    </row>
    <row r="694" spans="3:24" s="6" customFormat="1" ht="15.75" customHeight="1">
      <c r="C694" s="92"/>
      <c r="D694" s="9" t="s">
        <v>30</v>
      </c>
      <c r="E694" s="103">
        <v>0</v>
      </c>
      <c r="F694" s="104">
        <v>0</v>
      </c>
      <c r="G694" s="104">
        <v>0</v>
      </c>
      <c r="H694" s="104">
        <v>0</v>
      </c>
      <c r="I694" s="104">
        <v>0</v>
      </c>
      <c r="J694" s="104">
        <v>0</v>
      </c>
      <c r="K694" s="104">
        <v>0</v>
      </c>
      <c r="L694" s="104">
        <v>0</v>
      </c>
      <c r="M694" s="104">
        <v>0</v>
      </c>
      <c r="N694" s="104">
        <v>0</v>
      </c>
      <c r="O694" s="104">
        <v>0</v>
      </c>
      <c r="P694" s="104">
        <v>0</v>
      </c>
      <c r="Q694" s="107">
        <v>0</v>
      </c>
      <c r="R694" s="107">
        <v>0</v>
      </c>
      <c r="S694" s="107">
        <v>0</v>
      </c>
      <c r="T694" s="107">
        <v>0</v>
      </c>
      <c r="U694" s="107">
        <v>0</v>
      </c>
      <c r="V694" s="108">
        <v>0</v>
      </c>
      <c r="W694" s="9"/>
      <c r="X694" s="9" t="s">
        <v>30</v>
      </c>
    </row>
    <row r="695" spans="3:24" s="6" customFormat="1" ht="15.75" customHeight="1">
      <c r="C695" s="92"/>
      <c r="D695" s="9" t="s">
        <v>29</v>
      </c>
      <c r="E695" s="103">
        <v>0</v>
      </c>
      <c r="F695" s="104">
        <v>0</v>
      </c>
      <c r="G695" s="104">
        <v>0</v>
      </c>
      <c r="H695" s="104">
        <v>0</v>
      </c>
      <c r="I695" s="104">
        <v>0</v>
      </c>
      <c r="J695" s="104">
        <v>0</v>
      </c>
      <c r="K695" s="104">
        <v>0</v>
      </c>
      <c r="L695" s="104">
        <v>0</v>
      </c>
      <c r="M695" s="104">
        <v>0</v>
      </c>
      <c r="N695" s="104">
        <v>0</v>
      </c>
      <c r="O695" s="104">
        <v>0</v>
      </c>
      <c r="P695" s="104">
        <v>0</v>
      </c>
      <c r="Q695" s="107">
        <v>0</v>
      </c>
      <c r="R695" s="107">
        <v>0</v>
      </c>
      <c r="S695" s="107">
        <v>0</v>
      </c>
      <c r="T695" s="107">
        <v>0</v>
      </c>
      <c r="U695" s="107">
        <v>0</v>
      </c>
      <c r="V695" s="108">
        <v>0</v>
      </c>
      <c r="W695" s="9"/>
      <c r="X695" s="9" t="s">
        <v>29</v>
      </c>
    </row>
    <row r="696" spans="3:24" s="6" customFormat="1" ht="15.75" customHeight="1">
      <c r="C696" s="92"/>
      <c r="D696" s="9" t="s">
        <v>28</v>
      </c>
      <c r="E696" s="103">
        <v>0</v>
      </c>
      <c r="F696" s="104">
        <v>0</v>
      </c>
      <c r="G696" s="104">
        <v>0</v>
      </c>
      <c r="H696" s="104">
        <v>0</v>
      </c>
      <c r="I696" s="104">
        <v>0</v>
      </c>
      <c r="J696" s="104">
        <v>0</v>
      </c>
      <c r="K696" s="104">
        <v>0</v>
      </c>
      <c r="L696" s="104">
        <v>0</v>
      </c>
      <c r="M696" s="104">
        <v>0</v>
      </c>
      <c r="N696" s="104">
        <v>0</v>
      </c>
      <c r="O696" s="104">
        <v>0</v>
      </c>
      <c r="P696" s="104">
        <v>0</v>
      </c>
      <c r="Q696" s="107">
        <v>0</v>
      </c>
      <c r="R696" s="107">
        <v>0</v>
      </c>
      <c r="S696" s="107">
        <v>0</v>
      </c>
      <c r="T696" s="107">
        <v>0</v>
      </c>
      <c r="U696" s="107">
        <v>0</v>
      </c>
      <c r="V696" s="108">
        <v>0</v>
      </c>
      <c r="W696" s="9"/>
      <c r="X696" s="9" t="s">
        <v>28</v>
      </c>
    </row>
    <row r="697" spans="3:24" s="6" customFormat="1" ht="15.75" customHeight="1">
      <c r="C697" s="92"/>
      <c r="D697" s="9" t="s">
        <v>27</v>
      </c>
      <c r="E697" s="103">
        <v>0</v>
      </c>
      <c r="F697" s="104">
        <v>0</v>
      </c>
      <c r="G697" s="104">
        <v>0</v>
      </c>
      <c r="H697" s="104">
        <v>0</v>
      </c>
      <c r="I697" s="104">
        <v>0</v>
      </c>
      <c r="J697" s="104">
        <v>0</v>
      </c>
      <c r="K697" s="104">
        <v>0</v>
      </c>
      <c r="L697" s="104">
        <v>0</v>
      </c>
      <c r="M697" s="104">
        <v>0</v>
      </c>
      <c r="N697" s="104">
        <v>0</v>
      </c>
      <c r="O697" s="104">
        <v>0</v>
      </c>
      <c r="P697" s="104">
        <v>0</v>
      </c>
      <c r="Q697" s="107">
        <v>0</v>
      </c>
      <c r="R697" s="107">
        <v>0</v>
      </c>
      <c r="S697" s="107">
        <v>0</v>
      </c>
      <c r="T697" s="107">
        <v>0</v>
      </c>
      <c r="U697" s="107">
        <v>0</v>
      </c>
      <c r="V697" s="108">
        <v>0</v>
      </c>
      <c r="W697" s="9"/>
      <c r="X697" s="9" t="s">
        <v>27</v>
      </c>
    </row>
    <row r="698" spans="3:24" s="6" customFormat="1" ht="15.75" customHeight="1">
      <c r="C698" s="92"/>
      <c r="D698" s="9" t="s">
        <v>26</v>
      </c>
      <c r="E698" s="103">
        <v>0</v>
      </c>
      <c r="F698" s="104">
        <v>0</v>
      </c>
      <c r="G698" s="104">
        <v>0</v>
      </c>
      <c r="H698" s="104">
        <v>0</v>
      </c>
      <c r="I698" s="104">
        <v>0</v>
      </c>
      <c r="J698" s="104">
        <v>0</v>
      </c>
      <c r="K698" s="104">
        <v>0</v>
      </c>
      <c r="L698" s="104">
        <v>0</v>
      </c>
      <c r="M698" s="104">
        <v>0</v>
      </c>
      <c r="N698" s="104">
        <v>0</v>
      </c>
      <c r="O698" s="104">
        <v>0</v>
      </c>
      <c r="P698" s="104">
        <v>0</v>
      </c>
      <c r="Q698" s="107">
        <v>0</v>
      </c>
      <c r="R698" s="107">
        <v>0</v>
      </c>
      <c r="S698" s="107">
        <v>0</v>
      </c>
      <c r="T698" s="107">
        <v>0</v>
      </c>
      <c r="U698" s="107">
        <v>0</v>
      </c>
      <c r="V698" s="108">
        <v>0</v>
      </c>
      <c r="W698" s="9"/>
      <c r="X698" s="9" t="s">
        <v>26</v>
      </c>
    </row>
    <row r="699" spans="3:24" s="6" customFormat="1" ht="15.75" customHeight="1">
      <c r="C699" s="92"/>
      <c r="D699" s="9" t="s">
        <v>25</v>
      </c>
      <c r="E699" s="103">
        <v>0</v>
      </c>
      <c r="F699" s="104">
        <v>0</v>
      </c>
      <c r="G699" s="104">
        <v>0</v>
      </c>
      <c r="H699" s="104">
        <v>0</v>
      </c>
      <c r="I699" s="104">
        <v>0</v>
      </c>
      <c r="J699" s="104">
        <v>0</v>
      </c>
      <c r="K699" s="104">
        <v>0</v>
      </c>
      <c r="L699" s="104">
        <v>0</v>
      </c>
      <c r="M699" s="104">
        <v>0</v>
      </c>
      <c r="N699" s="104">
        <v>0</v>
      </c>
      <c r="O699" s="104">
        <v>0</v>
      </c>
      <c r="P699" s="104">
        <v>0</v>
      </c>
      <c r="Q699" s="107">
        <v>0</v>
      </c>
      <c r="R699" s="107">
        <v>0</v>
      </c>
      <c r="S699" s="107">
        <v>0</v>
      </c>
      <c r="T699" s="107">
        <v>0</v>
      </c>
      <c r="U699" s="107">
        <v>0</v>
      </c>
      <c r="V699" s="108">
        <v>0</v>
      </c>
      <c r="W699" s="9"/>
      <c r="X699" s="9" t="s">
        <v>25</v>
      </c>
    </row>
    <row r="700" spans="3:24" s="6" customFormat="1" ht="15.75" customHeight="1" thickBot="1">
      <c r="C700" s="202"/>
      <c r="D700" s="118" t="s">
        <v>24</v>
      </c>
      <c r="E700" s="119">
        <v>346330</v>
      </c>
      <c r="F700" s="120">
        <v>0</v>
      </c>
      <c r="G700" s="120">
        <v>0</v>
      </c>
      <c r="H700" s="120">
        <v>0</v>
      </c>
      <c r="I700" s="120">
        <v>0</v>
      </c>
      <c r="J700" s="120">
        <v>0</v>
      </c>
      <c r="K700" s="120">
        <v>0</v>
      </c>
      <c r="L700" s="120">
        <v>0</v>
      </c>
      <c r="M700" s="120">
        <v>0</v>
      </c>
      <c r="N700" s="120">
        <v>0</v>
      </c>
      <c r="O700" s="120">
        <v>0</v>
      </c>
      <c r="P700" s="120">
        <v>0</v>
      </c>
      <c r="Q700" s="121">
        <v>346330</v>
      </c>
      <c r="R700" s="121">
        <v>0</v>
      </c>
      <c r="S700" s="121">
        <v>0</v>
      </c>
      <c r="T700" s="121">
        <v>0</v>
      </c>
      <c r="U700" s="121">
        <v>0</v>
      </c>
      <c r="V700" s="122">
        <v>0</v>
      </c>
      <c r="W700" s="118"/>
      <c r="X700" s="118" t="s">
        <v>24</v>
      </c>
    </row>
    <row r="701" spans="3:24" s="6" customFormat="1" ht="15.75" customHeight="1">
      <c r="C701" s="68"/>
      <c r="D701" s="68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80"/>
      <c r="P701" s="70"/>
      <c r="Q701" s="71"/>
      <c r="R701" s="71"/>
      <c r="S701" s="71"/>
      <c r="T701" s="71"/>
      <c r="U701" s="71"/>
      <c r="V701" s="71"/>
      <c r="W701" s="68"/>
      <c r="X701" s="68"/>
    </row>
    <row r="702" spans="3:24" s="7" customFormat="1" ht="15.75" customHeight="1">
      <c r="C702" s="72" t="s">
        <v>23</v>
      </c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6"/>
      <c r="P702" s="72"/>
      <c r="Q702" s="72"/>
      <c r="R702" s="72"/>
      <c r="S702" s="72"/>
      <c r="T702" s="72"/>
      <c r="U702" s="72"/>
      <c r="V702" s="72"/>
      <c r="W702" s="72"/>
      <c r="X702" s="72"/>
    </row>
  </sheetData>
  <mergeCells count="67">
    <mergeCell ref="C629:D630"/>
    <mergeCell ref="C668:D669"/>
    <mergeCell ref="A577:C577"/>
    <mergeCell ref="V577:X577"/>
    <mergeCell ref="A586:C587"/>
    <mergeCell ref="V586:X587"/>
    <mergeCell ref="A610:C611"/>
    <mergeCell ref="V610:X611"/>
    <mergeCell ref="W629:X630"/>
    <mergeCell ref="W668:X669"/>
    <mergeCell ref="A549:C550"/>
    <mergeCell ref="V549:X550"/>
    <mergeCell ref="A574:C575"/>
    <mergeCell ref="V574:X575"/>
    <mergeCell ref="A576:C576"/>
    <mergeCell ref="V576:X576"/>
    <mergeCell ref="A483:C484"/>
    <mergeCell ref="V483:X484"/>
    <mergeCell ref="A501:C502"/>
    <mergeCell ref="V501:X502"/>
    <mergeCell ref="A525:C526"/>
    <mergeCell ref="V525:X526"/>
    <mergeCell ref="A413:C414"/>
    <mergeCell ref="V413:X414"/>
    <mergeCell ref="A436:C437"/>
    <mergeCell ref="V436:X437"/>
    <mergeCell ref="A459:C460"/>
    <mergeCell ref="V459:X460"/>
    <mergeCell ref="A357:C357"/>
    <mergeCell ref="A358:C358"/>
    <mergeCell ref="A366:C367"/>
    <mergeCell ref="V366:X367"/>
    <mergeCell ref="A390:C391"/>
    <mergeCell ref="V390:X391"/>
    <mergeCell ref="V344:X345"/>
    <mergeCell ref="A346:C346"/>
    <mergeCell ref="A347:C347"/>
    <mergeCell ref="A355:C356"/>
    <mergeCell ref="V355:X356"/>
    <mergeCell ref="C5:D6"/>
    <mergeCell ref="W5:X6"/>
    <mergeCell ref="C39:D40"/>
    <mergeCell ref="W39:X40"/>
    <mergeCell ref="C78:D79"/>
    <mergeCell ref="W78:X79"/>
    <mergeCell ref="C117:D118"/>
    <mergeCell ref="W117:X118"/>
    <mergeCell ref="C156:D157"/>
    <mergeCell ref="W156:X157"/>
    <mergeCell ref="C195:D196"/>
    <mergeCell ref="W195:X196"/>
    <mergeCell ref="C229:D230"/>
    <mergeCell ref="W229:X230"/>
    <mergeCell ref="V347:X347"/>
    <mergeCell ref="A263:C264"/>
    <mergeCell ref="V263:X264"/>
    <mergeCell ref="A286:C287"/>
    <mergeCell ref="V286:X287"/>
    <mergeCell ref="A309:C310"/>
    <mergeCell ref="V309:X310"/>
    <mergeCell ref="A311:C311"/>
    <mergeCell ref="V311:X311"/>
    <mergeCell ref="A312:C312"/>
    <mergeCell ref="V312:X312"/>
    <mergeCell ref="A320:C321"/>
    <mergeCell ref="V320:X321"/>
    <mergeCell ref="A344:C345"/>
  </mergeCells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3BCB-F422-49E0-816B-936CD0A04335}">
  <dimension ref="A1:R28"/>
  <sheetViews>
    <sheetView workbookViewId="0">
      <selection activeCell="I5" sqref="I5"/>
    </sheetView>
  </sheetViews>
  <sheetFormatPr defaultColWidth="7.6640625" defaultRowHeight="14.4"/>
  <cols>
    <col min="1" max="1" width="27.88671875" bestFit="1" customWidth="1"/>
    <col min="2" max="2" width="15.88671875" bestFit="1" customWidth="1"/>
    <col min="3" max="3" width="11.44140625" bestFit="1" customWidth="1"/>
    <col min="4" max="4" width="18.77734375" bestFit="1" customWidth="1"/>
    <col min="5" max="5" width="11.77734375" bestFit="1" customWidth="1"/>
    <col min="6" max="6" width="16.6640625" bestFit="1" customWidth="1"/>
    <col min="7" max="7" width="26.88671875" bestFit="1" customWidth="1"/>
    <col min="8" max="8" width="27.21875" bestFit="1" customWidth="1"/>
    <col min="10" max="10" width="9.109375" customWidth="1"/>
    <col min="11" max="11" width="10.109375" customWidth="1"/>
    <col min="12" max="12" width="9.77734375" customWidth="1"/>
    <col min="13" max="13" width="10.6640625" customWidth="1"/>
    <col min="14" max="14" width="9.88671875" customWidth="1"/>
    <col min="15" max="15" width="9.77734375" customWidth="1"/>
    <col min="16" max="16" width="10.6640625" customWidth="1"/>
    <col min="17" max="17" width="11.109375" customWidth="1"/>
  </cols>
  <sheetData>
    <row r="1" spans="1:10" ht="25.5" customHeight="1">
      <c r="A1" s="63" t="s">
        <v>264</v>
      </c>
    </row>
    <row r="3" spans="1:10">
      <c r="A3" s="323" t="s">
        <v>265</v>
      </c>
      <c r="B3" s="326" t="s">
        <v>258</v>
      </c>
      <c r="C3" s="326" t="s">
        <v>258</v>
      </c>
      <c r="D3" s="326" t="s">
        <v>258</v>
      </c>
      <c r="E3" s="326" t="s">
        <v>258</v>
      </c>
      <c r="F3" s="326" t="s">
        <v>258</v>
      </c>
      <c r="G3" s="326" t="s">
        <v>258</v>
      </c>
      <c r="H3" s="326" t="s">
        <v>258</v>
      </c>
    </row>
    <row r="4" spans="1:10">
      <c r="A4" s="324" t="s">
        <v>163</v>
      </c>
      <c r="B4" s="64" t="s">
        <v>266</v>
      </c>
      <c r="C4" s="327" t="s">
        <v>268</v>
      </c>
      <c r="D4" s="326" t="s">
        <v>164</v>
      </c>
      <c r="E4" s="326" t="s">
        <v>267</v>
      </c>
      <c r="F4" s="326" t="s">
        <v>165</v>
      </c>
      <c r="G4" s="326" t="s">
        <v>269</v>
      </c>
      <c r="H4" s="326" t="s">
        <v>166</v>
      </c>
    </row>
    <row r="5" spans="1:10" ht="43.2">
      <c r="A5" s="325" t="s">
        <v>163</v>
      </c>
      <c r="B5" s="64" t="s">
        <v>297</v>
      </c>
      <c r="C5" s="64" t="s">
        <v>298</v>
      </c>
      <c r="D5" s="64" t="s">
        <v>299</v>
      </c>
      <c r="E5" s="64" t="s">
        <v>300</v>
      </c>
      <c r="F5" s="64" t="s">
        <v>301</v>
      </c>
      <c r="G5" s="64" t="s">
        <v>302</v>
      </c>
      <c r="H5" s="301" t="s">
        <v>303</v>
      </c>
      <c r="I5" s="64" t="s">
        <v>167</v>
      </c>
      <c r="J5" s="64" t="s">
        <v>168</v>
      </c>
    </row>
    <row r="6" spans="1:10">
      <c r="A6" s="293" t="s">
        <v>79</v>
      </c>
      <c r="B6" s="291">
        <v>51829023</v>
      </c>
      <c r="C6" s="291">
        <v>47570964</v>
      </c>
      <c r="D6" s="291">
        <v>4258059</v>
      </c>
      <c r="E6" s="291">
        <v>47200100</v>
      </c>
      <c r="F6" s="291">
        <v>4628923</v>
      </c>
      <c r="G6" s="292">
        <v>91.78</v>
      </c>
      <c r="H6" s="292">
        <v>91.07</v>
      </c>
      <c r="I6">
        <f>G6/100</f>
        <v>0.91780000000000006</v>
      </c>
      <c r="J6">
        <f>1-I6</f>
        <v>8.219999999999994E-2</v>
      </c>
    </row>
    <row r="7" spans="1:10">
      <c r="A7" s="293" t="s">
        <v>169</v>
      </c>
      <c r="B7" s="291">
        <v>9668465</v>
      </c>
      <c r="C7" s="291">
        <v>9668465</v>
      </c>
      <c r="D7" s="291" t="s">
        <v>215</v>
      </c>
      <c r="E7" s="291">
        <v>9668465</v>
      </c>
      <c r="F7" s="291" t="s">
        <v>215</v>
      </c>
      <c r="G7" s="292">
        <v>100</v>
      </c>
      <c r="H7" s="292">
        <v>100</v>
      </c>
      <c r="I7">
        <f t="shared" ref="I7:I23" si="0">G7/100</f>
        <v>1</v>
      </c>
      <c r="J7">
        <f t="shared" ref="J7:J23" si="1">1-I7</f>
        <v>0</v>
      </c>
    </row>
    <row r="8" spans="1:10">
      <c r="A8" s="293" t="s">
        <v>170</v>
      </c>
      <c r="B8" s="291">
        <v>3391946</v>
      </c>
      <c r="C8" s="291">
        <v>3391946</v>
      </c>
      <c r="D8" s="291" t="s">
        <v>215</v>
      </c>
      <c r="E8" s="291">
        <v>3361317</v>
      </c>
      <c r="F8" s="291">
        <v>30629</v>
      </c>
      <c r="G8" s="292">
        <v>100</v>
      </c>
      <c r="H8" s="292">
        <v>99.1</v>
      </c>
      <c r="I8">
        <f t="shared" si="0"/>
        <v>1</v>
      </c>
      <c r="J8">
        <f t="shared" si="1"/>
        <v>0</v>
      </c>
    </row>
    <row r="9" spans="1:10">
      <c r="A9" s="293" t="s">
        <v>171</v>
      </c>
      <c r="B9" s="291">
        <v>2418346</v>
      </c>
      <c r="C9" s="291">
        <v>2413450</v>
      </c>
      <c r="D9" s="291">
        <v>4896</v>
      </c>
      <c r="E9" s="291">
        <v>2393409</v>
      </c>
      <c r="F9" s="291">
        <v>24937</v>
      </c>
      <c r="G9" s="292">
        <v>99.8</v>
      </c>
      <c r="H9" s="292">
        <v>98.97</v>
      </c>
      <c r="I9">
        <f t="shared" si="0"/>
        <v>0.998</v>
      </c>
      <c r="J9">
        <f t="shared" si="1"/>
        <v>2.0000000000000018E-3</v>
      </c>
    </row>
    <row r="10" spans="1:10">
      <c r="A10" s="293" t="s">
        <v>172</v>
      </c>
      <c r="B10" s="291">
        <v>2942828</v>
      </c>
      <c r="C10" s="291">
        <v>2875877</v>
      </c>
      <c r="D10" s="291">
        <v>66951</v>
      </c>
      <c r="E10" s="291">
        <v>2875877</v>
      </c>
      <c r="F10" s="291">
        <v>66951</v>
      </c>
      <c r="G10" s="292">
        <v>97.72</v>
      </c>
      <c r="H10" s="292">
        <v>97.72</v>
      </c>
      <c r="I10">
        <f t="shared" si="0"/>
        <v>0.97719999999999996</v>
      </c>
      <c r="J10">
        <f t="shared" si="1"/>
        <v>2.2800000000000042E-2</v>
      </c>
    </row>
    <row r="11" spans="1:10">
      <c r="A11" s="293" t="s">
        <v>173</v>
      </c>
      <c r="B11" s="291">
        <v>1450062</v>
      </c>
      <c r="C11" s="291">
        <v>1450062</v>
      </c>
      <c r="D11" s="291" t="s">
        <v>215</v>
      </c>
      <c r="E11" s="291">
        <v>1450062</v>
      </c>
      <c r="F11" s="291" t="s">
        <v>215</v>
      </c>
      <c r="G11" s="292">
        <v>100</v>
      </c>
      <c r="H11" s="292">
        <v>100</v>
      </c>
      <c r="I11">
        <f t="shared" si="0"/>
        <v>1</v>
      </c>
      <c r="J11">
        <f t="shared" si="1"/>
        <v>0</v>
      </c>
    </row>
    <row r="12" spans="1:10">
      <c r="A12" s="293" t="s">
        <v>174</v>
      </c>
      <c r="B12" s="291">
        <v>1463882</v>
      </c>
      <c r="C12" s="291">
        <v>1463882</v>
      </c>
      <c r="D12" s="291" t="s">
        <v>215</v>
      </c>
      <c r="E12" s="291">
        <v>1463882</v>
      </c>
      <c r="F12" s="291" t="s">
        <v>215</v>
      </c>
      <c r="G12" s="292">
        <v>100</v>
      </c>
      <c r="H12" s="292">
        <v>100</v>
      </c>
      <c r="I12">
        <f t="shared" si="0"/>
        <v>1</v>
      </c>
      <c r="J12">
        <f t="shared" si="1"/>
        <v>0</v>
      </c>
    </row>
    <row r="13" spans="1:10">
      <c r="A13" s="293" t="s">
        <v>175</v>
      </c>
      <c r="B13" s="291">
        <v>1136017</v>
      </c>
      <c r="C13" s="291">
        <v>1133881</v>
      </c>
      <c r="D13" s="291">
        <v>2136</v>
      </c>
      <c r="E13" s="291">
        <v>1102749</v>
      </c>
      <c r="F13" s="291">
        <v>33268</v>
      </c>
      <c r="G13" s="292">
        <v>99.81</v>
      </c>
      <c r="H13" s="292">
        <v>97.07</v>
      </c>
      <c r="I13">
        <f t="shared" si="0"/>
        <v>0.99809999999999999</v>
      </c>
      <c r="J13">
        <f t="shared" si="1"/>
        <v>1.9000000000000128E-3</v>
      </c>
    </row>
    <row r="14" spans="1:10">
      <c r="A14" s="293" t="s">
        <v>176</v>
      </c>
      <c r="B14" s="291">
        <v>355831</v>
      </c>
      <c r="C14" s="291">
        <v>323806</v>
      </c>
      <c r="D14" s="291">
        <v>32025</v>
      </c>
      <c r="E14" s="291">
        <v>308942</v>
      </c>
      <c r="F14" s="291">
        <v>46889</v>
      </c>
      <c r="G14" s="292">
        <v>91</v>
      </c>
      <c r="H14" s="292">
        <v>86.82</v>
      </c>
      <c r="I14">
        <f t="shared" si="0"/>
        <v>0.91</v>
      </c>
      <c r="J14">
        <f t="shared" si="1"/>
        <v>8.9999999999999969E-2</v>
      </c>
    </row>
    <row r="15" spans="1:10">
      <c r="A15" s="293" t="s">
        <v>177</v>
      </c>
      <c r="B15" s="291">
        <v>13427014</v>
      </c>
      <c r="C15" s="291">
        <v>12380374</v>
      </c>
      <c r="D15" s="291">
        <v>1046640</v>
      </c>
      <c r="E15" s="291">
        <v>12681769</v>
      </c>
      <c r="F15" s="291">
        <v>745245</v>
      </c>
      <c r="G15" s="292">
        <v>92.2</v>
      </c>
      <c r="H15" s="292">
        <v>94.45</v>
      </c>
      <c r="I15">
        <f t="shared" si="0"/>
        <v>0.92200000000000004</v>
      </c>
      <c r="J15">
        <f t="shared" si="1"/>
        <v>7.7999999999999958E-2</v>
      </c>
    </row>
    <row r="16" spans="1:10">
      <c r="A16" s="293" t="s">
        <v>259</v>
      </c>
      <c r="B16" s="291">
        <v>1542840</v>
      </c>
      <c r="C16" s="291">
        <v>1276651</v>
      </c>
      <c r="D16" s="291">
        <v>266189</v>
      </c>
      <c r="E16" s="291">
        <v>1181249</v>
      </c>
      <c r="F16" s="291">
        <v>361591</v>
      </c>
      <c r="G16" s="292">
        <v>82.75</v>
      </c>
      <c r="H16" s="292">
        <v>76.56</v>
      </c>
      <c r="I16">
        <f t="shared" si="0"/>
        <v>0.82750000000000001</v>
      </c>
      <c r="J16">
        <f t="shared" si="1"/>
        <v>0.17249999999999999</v>
      </c>
    </row>
    <row r="17" spans="1:18">
      <c r="A17" s="293" t="s">
        <v>178</v>
      </c>
      <c r="B17" s="291">
        <v>1600837</v>
      </c>
      <c r="C17" s="291">
        <v>1262746</v>
      </c>
      <c r="D17" s="291">
        <v>338091</v>
      </c>
      <c r="E17" s="291">
        <v>1273213</v>
      </c>
      <c r="F17" s="291">
        <v>327624</v>
      </c>
      <c r="G17" s="292">
        <v>78.88</v>
      </c>
      <c r="H17" s="292">
        <v>79.53</v>
      </c>
      <c r="I17">
        <f t="shared" si="0"/>
        <v>0.78879999999999995</v>
      </c>
      <c r="J17">
        <f t="shared" si="1"/>
        <v>0.21120000000000005</v>
      </c>
    </row>
    <row r="18" spans="1:18">
      <c r="A18" s="293" t="s">
        <v>179</v>
      </c>
      <c r="B18" s="291">
        <v>2121029</v>
      </c>
      <c r="C18" s="291">
        <v>1573042</v>
      </c>
      <c r="D18" s="291">
        <v>547987</v>
      </c>
      <c r="E18" s="291">
        <v>1494885</v>
      </c>
      <c r="F18" s="291">
        <v>626144</v>
      </c>
      <c r="G18" s="292">
        <v>74.16</v>
      </c>
      <c r="H18" s="292">
        <v>70.48</v>
      </c>
      <c r="I18">
        <f t="shared" si="0"/>
        <v>0.74159999999999993</v>
      </c>
      <c r="J18">
        <f t="shared" si="1"/>
        <v>0.25840000000000007</v>
      </c>
    </row>
    <row r="19" spans="1:18">
      <c r="A19" s="293" t="s">
        <v>260</v>
      </c>
      <c r="B19" s="291">
        <v>1804104</v>
      </c>
      <c r="C19" s="291">
        <v>1468963</v>
      </c>
      <c r="D19" s="291">
        <v>335141</v>
      </c>
      <c r="E19" s="291">
        <v>1429319</v>
      </c>
      <c r="F19" s="291">
        <v>374785</v>
      </c>
      <c r="G19" s="292">
        <v>81.42</v>
      </c>
      <c r="H19" s="292">
        <v>79.23</v>
      </c>
      <c r="I19">
        <f t="shared" si="0"/>
        <v>0.81420000000000003</v>
      </c>
      <c r="J19">
        <f t="shared" si="1"/>
        <v>0.18579999999999997</v>
      </c>
    </row>
    <row r="20" spans="1:18">
      <c r="A20" s="293" t="s">
        <v>180</v>
      </c>
      <c r="B20" s="291">
        <v>1851549</v>
      </c>
      <c r="C20" s="291">
        <v>1324815</v>
      </c>
      <c r="D20" s="291">
        <v>526734</v>
      </c>
      <c r="E20" s="291">
        <v>1247486</v>
      </c>
      <c r="F20" s="291">
        <v>604063</v>
      </c>
      <c r="G20" s="292">
        <v>71.55</v>
      </c>
      <c r="H20" s="292">
        <v>67.38</v>
      </c>
      <c r="I20">
        <f t="shared" si="0"/>
        <v>0.71550000000000002</v>
      </c>
      <c r="J20">
        <f t="shared" si="1"/>
        <v>0.28449999999999998</v>
      </c>
    </row>
    <row r="21" spans="1:18">
      <c r="A21" s="293" t="s">
        <v>181</v>
      </c>
      <c r="B21" s="291">
        <v>2639422</v>
      </c>
      <c r="C21" s="291">
        <v>2059868</v>
      </c>
      <c r="D21" s="291">
        <v>579554</v>
      </c>
      <c r="E21" s="291">
        <v>1991775</v>
      </c>
      <c r="F21" s="291">
        <v>647647</v>
      </c>
      <c r="G21" s="292">
        <v>78.040000000000006</v>
      </c>
      <c r="H21" s="292">
        <v>75.459999999999994</v>
      </c>
      <c r="I21">
        <f t="shared" si="0"/>
        <v>0.78040000000000009</v>
      </c>
      <c r="J21">
        <f t="shared" si="1"/>
        <v>0.21959999999999991</v>
      </c>
    </row>
    <row r="22" spans="1:18">
      <c r="A22" s="293" t="s">
        <v>182</v>
      </c>
      <c r="B22" s="291">
        <v>3340216</v>
      </c>
      <c r="C22" s="291">
        <v>2891466</v>
      </c>
      <c r="D22" s="291">
        <v>448750</v>
      </c>
      <c r="E22" s="291">
        <v>2637819</v>
      </c>
      <c r="F22" s="291">
        <v>702397</v>
      </c>
      <c r="G22" s="292">
        <v>86.57</v>
      </c>
      <c r="H22" s="292">
        <v>78.97</v>
      </c>
      <c r="I22">
        <f t="shared" si="0"/>
        <v>0.86569999999999991</v>
      </c>
      <c r="J22">
        <f t="shared" si="1"/>
        <v>0.13430000000000009</v>
      </c>
    </row>
    <row r="23" spans="1:18">
      <c r="A23" s="294" t="s">
        <v>183</v>
      </c>
      <c r="B23" s="291">
        <v>674635</v>
      </c>
      <c r="C23" s="291">
        <v>611670</v>
      </c>
      <c r="D23" s="291">
        <v>62965</v>
      </c>
      <c r="E23" s="291">
        <v>637882</v>
      </c>
      <c r="F23" s="291">
        <v>36753</v>
      </c>
      <c r="G23" s="292">
        <v>90.67</v>
      </c>
      <c r="H23" s="292">
        <v>94.55</v>
      </c>
      <c r="I23">
        <f t="shared" si="0"/>
        <v>0.90670000000000006</v>
      </c>
      <c r="J23">
        <f t="shared" si="1"/>
        <v>9.3299999999999939E-2</v>
      </c>
    </row>
    <row r="24" spans="1:18">
      <c r="A24" s="298"/>
      <c r="B24" s="296"/>
      <c r="C24" s="296"/>
      <c r="D24" s="296"/>
      <c r="E24" s="296"/>
      <c r="F24" s="296"/>
      <c r="G24" s="297"/>
      <c r="H24" s="297"/>
    </row>
    <row r="25" spans="1:18">
      <c r="A25" s="298"/>
      <c r="B25" s="293" t="s">
        <v>169</v>
      </c>
      <c r="C25" s="293" t="s">
        <v>170</v>
      </c>
      <c r="D25" s="293" t="s">
        <v>171</v>
      </c>
      <c r="E25" s="293" t="s">
        <v>172</v>
      </c>
      <c r="F25" s="293" t="s">
        <v>173</v>
      </c>
      <c r="G25" s="293" t="s">
        <v>174</v>
      </c>
      <c r="H25" s="293" t="s">
        <v>175</v>
      </c>
      <c r="I25" s="293" t="s">
        <v>176</v>
      </c>
      <c r="J25" s="293" t="s">
        <v>177</v>
      </c>
      <c r="K25" s="293" t="s">
        <v>259</v>
      </c>
      <c r="L25" s="293" t="s">
        <v>178</v>
      </c>
      <c r="M25" s="293" t="s">
        <v>179</v>
      </c>
      <c r="N25" s="293" t="s">
        <v>260</v>
      </c>
      <c r="O25" s="293" t="s">
        <v>180</v>
      </c>
      <c r="P25" s="293" t="s">
        <v>181</v>
      </c>
      <c r="Q25" s="293" t="s">
        <v>182</v>
      </c>
      <c r="R25" s="294" t="s">
        <v>183</v>
      </c>
    </row>
    <row r="26" spans="1:18" ht="20.25" customHeight="1">
      <c r="A26" s="299"/>
      <c r="B26" s="31" t="s">
        <v>60</v>
      </c>
      <c r="C26" s="28" t="s">
        <v>59</v>
      </c>
      <c r="D26" s="28" t="s">
        <v>58</v>
      </c>
      <c r="E26" s="28" t="s">
        <v>57</v>
      </c>
      <c r="F26" s="30" t="s">
        <v>56</v>
      </c>
      <c r="G26" s="14" t="s">
        <v>55</v>
      </c>
      <c r="H26" s="14" t="s">
        <v>54</v>
      </c>
      <c r="I26" s="14" t="s">
        <v>53</v>
      </c>
      <c r="J26" s="14" t="s">
        <v>52</v>
      </c>
      <c r="K26" s="14" t="s">
        <v>51</v>
      </c>
      <c r="L26" s="14" t="s">
        <v>50</v>
      </c>
      <c r="M26" s="14" t="s">
        <v>49</v>
      </c>
      <c r="N26" s="14" t="s">
        <v>48</v>
      </c>
      <c r="O26" s="14" t="s">
        <v>47</v>
      </c>
      <c r="P26" s="14" t="s">
        <v>46</v>
      </c>
      <c r="Q26" s="14" t="s">
        <v>45</v>
      </c>
      <c r="R26" s="13" t="s">
        <v>44</v>
      </c>
    </row>
    <row r="27" spans="1:18">
      <c r="A27" s="65" t="s">
        <v>167</v>
      </c>
      <c r="B27">
        <f>INDEX($I$7:$J$23,MATCH(B$25,$A$7:$A$23,0),MATCH($A27,$I$5:$J$5,0))</f>
        <v>1</v>
      </c>
      <c r="C27">
        <f t="shared" ref="C27:R28" si="2">INDEX($I$7:$J$23,MATCH(C$25,$A$7:$A$23,0),MATCH($A27,$I$5:$J$5,0))</f>
        <v>1</v>
      </c>
      <c r="D27">
        <f t="shared" si="2"/>
        <v>0.998</v>
      </c>
      <c r="E27">
        <f t="shared" si="2"/>
        <v>0.97719999999999996</v>
      </c>
      <c r="F27">
        <f t="shared" si="2"/>
        <v>1</v>
      </c>
      <c r="G27">
        <f t="shared" si="2"/>
        <v>1</v>
      </c>
      <c r="H27">
        <f t="shared" si="2"/>
        <v>0.99809999999999999</v>
      </c>
      <c r="I27">
        <f t="shared" si="2"/>
        <v>0.91</v>
      </c>
      <c r="J27">
        <f t="shared" si="2"/>
        <v>0.92200000000000004</v>
      </c>
      <c r="K27">
        <f t="shared" si="2"/>
        <v>0.82750000000000001</v>
      </c>
      <c r="L27">
        <f t="shared" si="2"/>
        <v>0.78879999999999995</v>
      </c>
      <c r="M27">
        <f t="shared" si="2"/>
        <v>0.74159999999999993</v>
      </c>
      <c r="N27">
        <f t="shared" si="2"/>
        <v>0.81420000000000003</v>
      </c>
      <c r="O27">
        <f t="shared" si="2"/>
        <v>0.71550000000000002</v>
      </c>
      <c r="P27">
        <f t="shared" si="2"/>
        <v>0.78040000000000009</v>
      </c>
      <c r="Q27">
        <f t="shared" si="2"/>
        <v>0.86569999999999991</v>
      </c>
      <c r="R27">
        <f t="shared" si="2"/>
        <v>0.90670000000000006</v>
      </c>
    </row>
    <row r="28" spans="1:18">
      <c r="A28" s="65" t="s">
        <v>168</v>
      </c>
      <c r="B28">
        <f>INDEX($I$7:$J$23,MATCH(B$25,$A$7:$A$23,0),MATCH($A28,$I$5:$J$5,0))</f>
        <v>0</v>
      </c>
      <c r="C28">
        <f t="shared" si="2"/>
        <v>0</v>
      </c>
      <c r="D28">
        <f t="shared" si="2"/>
        <v>2.0000000000000018E-3</v>
      </c>
      <c r="E28">
        <f t="shared" si="2"/>
        <v>2.2800000000000042E-2</v>
      </c>
      <c r="F28">
        <f t="shared" si="2"/>
        <v>0</v>
      </c>
      <c r="G28">
        <f t="shared" si="2"/>
        <v>0</v>
      </c>
      <c r="H28">
        <f t="shared" si="2"/>
        <v>1.9000000000000128E-3</v>
      </c>
      <c r="I28">
        <f t="shared" si="2"/>
        <v>8.9999999999999969E-2</v>
      </c>
      <c r="J28">
        <f t="shared" si="2"/>
        <v>7.7999999999999958E-2</v>
      </c>
      <c r="K28">
        <f t="shared" si="2"/>
        <v>0.17249999999999999</v>
      </c>
      <c r="L28">
        <f t="shared" si="2"/>
        <v>0.21120000000000005</v>
      </c>
      <c r="M28">
        <f t="shared" si="2"/>
        <v>0.25840000000000007</v>
      </c>
      <c r="N28">
        <f t="shared" si="2"/>
        <v>0.18579999999999997</v>
      </c>
      <c r="O28">
        <f t="shared" si="2"/>
        <v>0.28449999999999998</v>
      </c>
      <c r="P28">
        <f t="shared" si="2"/>
        <v>0.21959999999999991</v>
      </c>
      <c r="Q28">
        <f t="shared" si="2"/>
        <v>0.13430000000000009</v>
      </c>
      <c r="R28">
        <f t="shared" si="2"/>
        <v>9.3299999999999939E-2</v>
      </c>
    </row>
  </sheetData>
  <mergeCells count="5">
    <mergeCell ref="A3:A5"/>
    <mergeCell ref="B3:H3"/>
    <mergeCell ref="C4:D4"/>
    <mergeCell ref="E4:F4"/>
    <mergeCell ref="G4:H4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AA65-F7BB-44AB-ACFE-8282F027B7E9}">
  <dimension ref="A1:Z80"/>
  <sheetViews>
    <sheetView zoomScale="85" zoomScaleNormal="85" workbookViewId="0">
      <selection activeCell="K16" sqref="K16"/>
    </sheetView>
  </sheetViews>
  <sheetFormatPr defaultColWidth="11.6640625" defaultRowHeight="14.4"/>
  <cols>
    <col min="1" max="1" width="26.6640625" customWidth="1"/>
    <col min="2" max="2" width="11.21875" customWidth="1"/>
    <col min="3" max="3" width="11.6640625" customWidth="1"/>
    <col min="5" max="5" width="26.6640625" customWidth="1"/>
    <col min="9" max="26" width="17.6640625" customWidth="1"/>
  </cols>
  <sheetData>
    <row r="1" spans="3:8">
      <c r="C1" s="328" t="s">
        <v>162</v>
      </c>
      <c r="D1" s="328"/>
      <c r="E1" s="330">
        <f>About!A22</f>
        <v>2020</v>
      </c>
      <c r="F1" s="331" t="s">
        <v>144</v>
      </c>
      <c r="G1" s="331"/>
      <c r="H1" s="331"/>
    </row>
    <row r="2" spans="3:8">
      <c r="C2" s="328"/>
      <c r="D2" s="328"/>
      <c r="E2" s="330"/>
      <c r="F2" s="332" t="s">
        <v>143</v>
      </c>
      <c r="G2" s="332"/>
      <c r="H2" s="333" t="s">
        <v>129</v>
      </c>
    </row>
    <row r="3" spans="3:8">
      <c r="E3" s="6"/>
      <c r="F3" s="45" t="s">
        <v>142</v>
      </c>
      <c r="G3" s="44" t="s">
        <v>141</v>
      </c>
      <c r="H3" s="333"/>
    </row>
    <row r="4" spans="3:8">
      <c r="E4" s="52" t="s">
        <v>12</v>
      </c>
      <c r="F4" s="53">
        <v>0</v>
      </c>
      <c r="G4" s="53">
        <v>0</v>
      </c>
      <c r="H4" s="53">
        <v>0</v>
      </c>
    </row>
    <row r="5" spans="3:8">
      <c r="E5" s="54" t="s">
        <v>0</v>
      </c>
      <c r="F5" s="53">
        <v>0</v>
      </c>
      <c r="G5" s="53">
        <v>0</v>
      </c>
      <c r="H5" s="53">
        <v>0</v>
      </c>
    </row>
    <row r="6" spans="3:8">
      <c r="E6" s="54" t="s">
        <v>1</v>
      </c>
      <c r="F6" s="53">
        <v>0</v>
      </c>
      <c r="G6" s="53">
        <v>0</v>
      </c>
      <c r="H6" s="53">
        <v>0</v>
      </c>
    </row>
    <row r="7" spans="3:8">
      <c r="E7" s="33" t="s">
        <v>2</v>
      </c>
      <c r="F7" s="41">
        <f>F45</f>
        <v>0</v>
      </c>
      <c r="G7" s="41">
        <f>F46</f>
        <v>0.09</v>
      </c>
      <c r="H7" s="41">
        <f>F47</f>
        <v>1.4237500000000001</v>
      </c>
    </row>
    <row r="8" spans="3:8">
      <c r="E8" s="33" t="s">
        <v>13</v>
      </c>
      <c r="F8" s="41">
        <f>F36</f>
        <v>0</v>
      </c>
      <c r="G8" s="41">
        <f>F37</f>
        <v>8.4780999999999995</v>
      </c>
      <c r="H8" s="41">
        <f>F38</f>
        <v>4.7723199999999997</v>
      </c>
    </row>
    <row r="9" spans="3:8">
      <c r="E9" s="33" t="s">
        <v>3</v>
      </c>
      <c r="F9" s="41">
        <f>F26</f>
        <v>1376.5727545176001</v>
      </c>
      <c r="G9" s="41">
        <f>F27</f>
        <v>240.72332048239997</v>
      </c>
      <c r="H9" s="41">
        <f>F28</f>
        <v>794.46575500000006</v>
      </c>
    </row>
    <row r="10" spans="3:8">
      <c r="E10" s="52" t="s">
        <v>4</v>
      </c>
      <c r="F10" s="53">
        <v>0</v>
      </c>
      <c r="G10" s="53">
        <v>0</v>
      </c>
      <c r="H10" s="53">
        <v>0</v>
      </c>
    </row>
    <row r="11" spans="3:8">
      <c r="E11" s="54" t="s">
        <v>5</v>
      </c>
      <c r="F11" s="53">
        <v>0</v>
      </c>
      <c r="G11" s="53">
        <v>0</v>
      </c>
      <c r="H11" s="53">
        <v>0</v>
      </c>
    </row>
    <row r="12" spans="3:8">
      <c r="E12" s="54" t="s">
        <v>6</v>
      </c>
      <c r="F12" s="53">
        <v>0</v>
      </c>
      <c r="G12" s="53">
        <v>0</v>
      </c>
      <c r="H12" s="53">
        <v>0</v>
      </c>
    </row>
    <row r="13" spans="3:8">
      <c r="E13" s="54" t="s">
        <v>7</v>
      </c>
      <c r="F13" s="53">
        <v>0</v>
      </c>
      <c r="G13" s="53">
        <v>0</v>
      </c>
      <c r="H13" s="53">
        <v>0</v>
      </c>
    </row>
    <row r="14" spans="3:8">
      <c r="E14" s="54" t="s">
        <v>8</v>
      </c>
      <c r="F14" s="53">
        <v>0</v>
      </c>
      <c r="G14" s="53">
        <v>0</v>
      </c>
      <c r="H14" s="53">
        <v>0</v>
      </c>
    </row>
    <row r="15" spans="3:8">
      <c r="E15" s="54" t="s">
        <v>11</v>
      </c>
      <c r="F15" s="53">
        <v>0</v>
      </c>
      <c r="G15" s="53">
        <v>0</v>
      </c>
      <c r="H15" s="53">
        <v>0</v>
      </c>
    </row>
    <row r="16" spans="3:8">
      <c r="E16" s="54" t="s">
        <v>14</v>
      </c>
      <c r="F16" s="53">
        <v>0</v>
      </c>
      <c r="G16" s="53">
        <v>0</v>
      </c>
      <c r="H16" s="53">
        <v>0</v>
      </c>
    </row>
    <row r="17" spans="1:26">
      <c r="E17" s="54" t="s">
        <v>15</v>
      </c>
      <c r="F17" s="53">
        <v>0</v>
      </c>
      <c r="G17" s="53">
        <v>0</v>
      </c>
      <c r="H17" s="53">
        <v>0</v>
      </c>
    </row>
    <row r="18" spans="1:26">
      <c r="E18" s="54" t="s">
        <v>16</v>
      </c>
      <c r="F18" s="53">
        <v>0</v>
      </c>
      <c r="G18" s="53">
        <v>0</v>
      </c>
      <c r="H18" s="53">
        <v>0</v>
      </c>
    </row>
    <row r="19" spans="1:26">
      <c r="E19" s="54" t="s">
        <v>17</v>
      </c>
      <c r="F19" s="53">
        <v>0</v>
      </c>
      <c r="G19" s="53">
        <v>0</v>
      </c>
      <c r="H19" s="53">
        <v>0</v>
      </c>
      <c r="L19" s="41"/>
    </row>
    <row r="21" spans="1:26" ht="38.25" customHeight="1">
      <c r="E21" s="329" t="s">
        <v>155</v>
      </c>
      <c r="F21" s="329"/>
      <c r="G21" s="329"/>
      <c r="H21" s="329"/>
    </row>
    <row r="22" spans="1:26" ht="23.4">
      <c r="A22" s="43" t="s">
        <v>156</v>
      </c>
      <c r="L22" s="43"/>
    </row>
    <row r="23" spans="1:26" ht="18">
      <c r="A23" s="19" t="s">
        <v>140</v>
      </c>
      <c r="L23" s="19"/>
    </row>
    <row r="24" spans="1:26" ht="28.8">
      <c r="B24" s="37" t="s">
        <v>135</v>
      </c>
      <c r="F24" s="36" t="s">
        <v>135</v>
      </c>
      <c r="I24" s="62" t="s">
        <v>188</v>
      </c>
      <c r="J24" s="31" t="s">
        <v>60</v>
      </c>
      <c r="K24" s="28" t="s">
        <v>59</v>
      </c>
      <c r="L24" s="28" t="s">
        <v>58</v>
      </c>
      <c r="M24" s="28" t="s">
        <v>57</v>
      </c>
      <c r="N24" s="30" t="s">
        <v>56</v>
      </c>
      <c r="O24" s="14" t="s">
        <v>55</v>
      </c>
      <c r="P24" s="14" t="s">
        <v>54</v>
      </c>
      <c r="Q24" s="14" t="s">
        <v>53</v>
      </c>
      <c r="R24" s="14" t="s">
        <v>52</v>
      </c>
      <c r="S24" s="14" t="s">
        <v>51</v>
      </c>
      <c r="T24" s="14" t="s">
        <v>50</v>
      </c>
      <c r="U24" s="14" t="s">
        <v>49</v>
      </c>
      <c r="V24" s="14" t="s">
        <v>48</v>
      </c>
      <c r="W24" s="14" t="s">
        <v>47</v>
      </c>
      <c r="X24" s="14" t="s">
        <v>46</v>
      </c>
      <c r="Y24" s="14" t="s">
        <v>45</v>
      </c>
      <c r="Z24" s="13" t="s">
        <v>44</v>
      </c>
    </row>
    <row r="25" spans="1:26">
      <c r="A25" t="s">
        <v>133</v>
      </c>
      <c r="B25" t="s">
        <v>134</v>
      </c>
      <c r="E25" t="s">
        <v>133</v>
      </c>
      <c r="F25" s="33" t="s">
        <v>132</v>
      </c>
      <c r="I25" t="s">
        <v>131</v>
      </c>
      <c r="J25" s="66">
        <f>(KNREC!F$51+KNREC!F$58)*KOSIS!B27</f>
        <v>99875.065000001428</v>
      </c>
      <c r="K25" s="66">
        <f>(KNREC!G$51+KNREC!G$58)*KOSIS!C27</f>
        <v>39531.111999999921</v>
      </c>
      <c r="L25" s="66">
        <f>(KNREC!H$51+KNREC!H$58)*KOSIS!D27</f>
        <v>28777.335988000174</v>
      </c>
      <c r="M25" s="66">
        <f>(KNREC!I$51+KNREC!I$58)*KOSIS!E27</f>
        <v>36123.400933200035</v>
      </c>
      <c r="N25" s="66">
        <f>(KNREC!J$51+KNREC!J$58)*KOSIS!F27</f>
        <v>29460.996000000283</v>
      </c>
      <c r="O25" s="66">
        <f>(KNREC!K$51+KNREC!K$58)*KOSIS!G27</f>
        <v>24221.191000000075</v>
      </c>
      <c r="P25" s="66">
        <f>(KNREC!L$51+KNREC!L$58)*KOSIS!H27</f>
        <v>28409.249673000082</v>
      </c>
      <c r="Q25" s="66">
        <f>(KNREC!M$51+KNREC!M$58)*KOSIS!I27</f>
        <v>10350.039700000001</v>
      </c>
      <c r="R25" s="66">
        <f>(KNREC!N$51+KNREC!N$58)*KOSIS!J27</f>
        <v>235720.73279999709</v>
      </c>
      <c r="S25" s="66">
        <f>(KNREC!O$51+KNREC!O$58)*KOSIS!K27</f>
        <v>84467.362882500034</v>
      </c>
      <c r="T25" s="66">
        <f>(KNREC!P$51+KNREC!P$58)*KOSIS!L27</f>
        <v>106977.53401280029</v>
      </c>
      <c r="U25" s="66">
        <f>(KNREC!Q$51+KNREC!Q$58)*KOSIS!M27</f>
        <v>108611.10364319991</v>
      </c>
      <c r="V25" s="66">
        <f>(KNREC!R$51+KNREC!R$58)*KOSIS!N27</f>
        <v>121190.03134019936</v>
      </c>
      <c r="W25" s="66">
        <f>(KNREC!S$51+KNREC!S$58)*KOSIS!O27</f>
        <v>123088.37082299992</v>
      </c>
      <c r="X25" s="66">
        <f>(KNREC!T$51+KNREC!T$58)*KOSIS!P27</f>
        <v>106612.49255000056</v>
      </c>
      <c r="Y25" s="66">
        <f>(KNREC!U$51+KNREC!U$58)*KOSIS!Q27</f>
        <v>157634.95027170103</v>
      </c>
      <c r="Z25" s="66">
        <f>(KNREC!V$51+KNREC!V$58)*KOSIS!R27</f>
        <v>35521.785900000039</v>
      </c>
    </row>
    <row r="26" spans="1:26">
      <c r="A26" t="s">
        <v>131</v>
      </c>
      <c r="B26" s="41">
        <f>SUM(J25:Z25)</f>
        <v>1376572.7545176002</v>
      </c>
      <c r="E26" s="35" t="s">
        <v>131</v>
      </c>
      <c r="F26" s="41">
        <f>B26/1000</f>
        <v>1376.5727545176001</v>
      </c>
      <c r="I26" t="s">
        <v>130</v>
      </c>
      <c r="J26" s="66">
        <f>(KNREC!F$51+KNREC!F$58)*KOSIS!B28</f>
        <v>0</v>
      </c>
      <c r="K26" s="66">
        <f>(KNREC!G$51+KNREC!G$58)*KOSIS!C28</f>
        <v>0</v>
      </c>
      <c r="L26" s="66">
        <f>(KNREC!H$51+KNREC!H$58)*KOSIS!D28</f>
        <v>57.670012000000398</v>
      </c>
      <c r="M26" s="66">
        <f>(KNREC!I$51+KNREC!I$58)*KOSIS!E28</f>
        <v>842.83006680000244</v>
      </c>
      <c r="N26" s="66">
        <f>(KNREC!J$51+KNREC!J$58)*KOSIS!F28</f>
        <v>0</v>
      </c>
      <c r="O26" s="66">
        <f>(KNREC!K$51+KNREC!K$58)*KOSIS!G28</f>
        <v>0</v>
      </c>
      <c r="P26" s="66">
        <f>(KNREC!L$51+KNREC!L$58)*KOSIS!H28</f>
        <v>54.080327000000523</v>
      </c>
      <c r="Q26" s="66">
        <f>(KNREC!M$51+KNREC!M$58)*KOSIS!I28</f>
        <v>1023.6302999999997</v>
      </c>
      <c r="R26" s="66">
        <f>(KNREC!N$51+KNREC!N$58)*KOSIS!J28</f>
        <v>19941.667199999742</v>
      </c>
      <c r="S26" s="66">
        <f>(KNREC!O$51+KNREC!O$58)*KOSIS!K28</f>
        <v>17608.000117500007</v>
      </c>
      <c r="T26" s="66">
        <f>(KNREC!P$51+KNREC!P$58)*KOSIS!L28</f>
        <v>28643.071987200088</v>
      </c>
      <c r="U26" s="66">
        <f>(KNREC!Q$51+KNREC!Q$58)*KOSIS!M28</f>
        <v>37843.998356799981</v>
      </c>
      <c r="V26" s="66">
        <f>(KNREC!R$51+KNREC!R$58)*KOSIS!N28</f>
        <v>27655.499659799847</v>
      </c>
      <c r="W26" s="66">
        <f>(KNREC!S$51+KNREC!S$58)*KOSIS!O28</f>
        <v>48942.895176999962</v>
      </c>
      <c r="X26" s="66">
        <f>(KNREC!T$51+KNREC!T$58)*KOSIS!P28</f>
        <v>30000.132450000139</v>
      </c>
      <c r="Y26" s="66">
        <f>(KNREC!U$51+KNREC!U$58)*KOSIS!Q28</f>
        <v>24454.630728300177</v>
      </c>
      <c r="Z26" s="66">
        <f>(KNREC!V$51+KNREC!V$58)*KOSIS!R28</f>
        <v>3655.2141000000011</v>
      </c>
    </row>
    <row r="27" spans="1:26" ht="16.5" customHeight="1">
      <c r="A27" t="s">
        <v>130</v>
      </c>
      <c r="B27" s="41">
        <f>SUM(J26:Z26)</f>
        <v>240723.32048239998</v>
      </c>
      <c r="E27" s="5" t="s">
        <v>130</v>
      </c>
      <c r="F27" s="41">
        <f t="shared" ref="F27:F28" si="0">B27/1000</f>
        <v>240.72332048239997</v>
      </c>
      <c r="I27" t="s">
        <v>129</v>
      </c>
      <c r="J27" s="66">
        <f>SUM(KNREC!F$52:F$56)</f>
        <v>50247.623750000013</v>
      </c>
      <c r="K27" s="66">
        <f>SUM(KNREC!G$52:G$56)</f>
        <v>36627.938749999994</v>
      </c>
      <c r="L27" s="66">
        <f>SUM(KNREC!H$52:H$56)</f>
        <v>31976.403750000001</v>
      </c>
      <c r="M27" s="66">
        <f>SUM(KNREC!I$52:I$56)</f>
        <v>40870.951750000022</v>
      </c>
      <c r="N27" s="66">
        <f>SUM(KNREC!J$52:J$56)</f>
        <v>21361.993750000001</v>
      </c>
      <c r="O27" s="66">
        <f>SUM(KNREC!K$52:K$56)</f>
        <v>20120.847750000001</v>
      </c>
      <c r="P27" s="66">
        <f>SUM(KNREC!L$52:L$56)</f>
        <v>16395.236749999993</v>
      </c>
      <c r="Q27" s="66">
        <f>SUM(KNREC!M$52:M$56)</f>
        <v>12729.139999999998</v>
      </c>
      <c r="R27" s="66">
        <f>SUM(KNREC!N$52:N$56)</f>
        <v>121886.45075000006</v>
      </c>
      <c r="S27" s="66">
        <f>SUM(KNREC!O$52:O$56)</f>
        <v>45959.09175</v>
      </c>
      <c r="T27" s="66">
        <f>SUM(KNREC!P$52:P$56)</f>
        <v>60805.455749999994</v>
      </c>
      <c r="U27" s="66">
        <f>SUM(KNREC!Q$52:Q$56)</f>
        <v>56017.093750000029</v>
      </c>
      <c r="V27" s="66">
        <f>SUM(KNREC!R$52:R$56)</f>
        <v>42472.083749999983</v>
      </c>
      <c r="W27" s="66">
        <f>SUM(KNREC!S$52:S$56)</f>
        <v>66477.988750000033</v>
      </c>
      <c r="X27" s="66">
        <f>SUM(KNREC!T$52:T$56)</f>
        <v>63362.30574999997</v>
      </c>
      <c r="Y27" s="66">
        <f>SUM(KNREC!U$52:U$56)</f>
        <v>82364.386750000034</v>
      </c>
      <c r="Z27" s="66">
        <f>SUM(KNREC!V$52:V$56)</f>
        <v>24790.761749999998</v>
      </c>
    </row>
    <row r="28" spans="1:26" ht="15.6">
      <c r="A28" t="s">
        <v>129</v>
      </c>
      <c r="B28" s="41">
        <f>SUM(J27:Z27)</f>
        <v>794465.755</v>
      </c>
      <c r="E28" s="34" t="s">
        <v>129</v>
      </c>
      <c r="F28" s="41">
        <f t="shared" si="0"/>
        <v>794.46575500000006</v>
      </c>
      <c r="L28" s="2"/>
      <c r="M28" s="55"/>
      <c r="N28" s="53"/>
      <c r="O28" s="53"/>
      <c r="P28" s="53"/>
    </row>
    <row r="29" spans="1:26">
      <c r="B29" s="46"/>
      <c r="E29" s="49"/>
    </row>
    <row r="30" spans="1:26">
      <c r="E30" s="40" t="s">
        <v>194</v>
      </c>
      <c r="F30" s="58">
        <f>KNREC!E42*1000/(KNREC!E43*365*24)*100</f>
        <v>12.717133468137368</v>
      </c>
      <c r="G30" s="59"/>
    </row>
    <row r="31" spans="1:26">
      <c r="E31" s="39" t="s">
        <v>187</v>
      </c>
    </row>
    <row r="33" spans="1:16" ht="20.25" customHeight="1">
      <c r="A33" s="19" t="s">
        <v>139</v>
      </c>
      <c r="B33" s="38" t="s">
        <v>138</v>
      </c>
      <c r="C33" s="6"/>
      <c r="L33" s="2"/>
      <c r="M33" s="55"/>
      <c r="N33" s="53"/>
      <c r="O33" s="53"/>
      <c r="P33" s="53"/>
    </row>
    <row r="34" spans="1:16" ht="28.8">
      <c r="B34" s="37" t="s">
        <v>135</v>
      </c>
      <c r="F34" s="36" t="s">
        <v>135</v>
      </c>
      <c r="L34" s="2"/>
      <c r="M34" s="55"/>
      <c r="N34" s="53"/>
      <c r="O34" s="53"/>
      <c r="P34" s="53"/>
    </row>
    <row r="35" spans="1:16" ht="15.6">
      <c r="A35" t="s">
        <v>133</v>
      </c>
      <c r="B35" t="s">
        <v>134</v>
      </c>
      <c r="E35" t="s">
        <v>133</v>
      </c>
      <c r="F35" s="33" t="s">
        <v>132</v>
      </c>
      <c r="L35" s="2"/>
      <c r="M35" s="55"/>
      <c r="N35" s="53"/>
      <c r="O35" s="53"/>
      <c r="P35" s="53"/>
    </row>
    <row r="36" spans="1:16" ht="15.6">
      <c r="A36" t="s">
        <v>131</v>
      </c>
      <c r="B36" s="41">
        <f>(KNREC!E90+KNREC!E97)*Calculations!F39</f>
        <v>0</v>
      </c>
      <c r="E36" s="35" t="s">
        <v>131</v>
      </c>
      <c r="F36" s="41">
        <f>B36/1000</f>
        <v>0</v>
      </c>
      <c r="L36" s="2"/>
      <c r="M36" s="55"/>
      <c r="N36" s="53"/>
      <c r="O36" s="53"/>
      <c r="P36" s="53"/>
    </row>
    <row r="37" spans="1:16" ht="15.6">
      <c r="A37" t="s">
        <v>130</v>
      </c>
      <c r="B37" s="41">
        <f>(KNREC!E90+KNREC!E97)*(1-Calculations!F39)</f>
        <v>8478.1</v>
      </c>
      <c r="E37" s="5" t="s">
        <v>130</v>
      </c>
      <c r="F37" s="41">
        <f>B37/1000</f>
        <v>8.4780999999999995</v>
      </c>
      <c r="L37" s="2"/>
      <c r="M37" s="55"/>
      <c r="N37" s="53"/>
      <c r="O37" s="53"/>
      <c r="P37" s="53"/>
    </row>
    <row r="38" spans="1:16" ht="15.6">
      <c r="A38" t="s">
        <v>129</v>
      </c>
      <c r="B38" s="42">
        <f>SUM(KNREC!E91:E95)</f>
        <v>4772.32</v>
      </c>
      <c r="E38" s="34" t="s">
        <v>129</v>
      </c>
      <c r="F38" s="41">
        <f>B38/1000</f>
        <v>4.7723199999999997</v>
      </c>
      <c r="L38" s="2"/>
      <c r="M38" s="55"/>
      <c r="N38" s="53"/>
      <c r="O38" s="53"/>
      <c r="P38" s="53"/>
    </row>
    <row r="39" spans="1:16" ht="15.6">
      <c r="E39" s="40" t="s">
        <v>136</v>
      </c>
      <c r="F39" s="57">
        <f>0</f>
        <v>0</v>
      </c>
      <c r="G39" s="38" t="s">
        <v>184</v>
      </c>
      <c r="L39" s="2"/>
      <c r="M39" s="55"/>
      <c r="N39" s="53"/>
      <c r="O39" s="53"/>
      <c r="P39" s="53"/>
    </row>
    <row r="40" spans="1:16" ht="15.6">
      <c r="E40" s="40" t="s">
        <v>194</v>
      </c>
      <c r="F40" s="58">
        <f>KNREC!E81*1000/(KNREC!E82*365*24)*100</f>
        <v>21.854058135940242</v>
      </c>
      <c r="G40" s="39" t="s">
        <v>185</v>
      </c>
      <c r="L40" s="2"/>
      <c r="M40" s="55"/>
      <c r="N40" s="53"/>
      <c r="O40" s="53"/>
      <c r="P40" s="53"/>
    </row>
    <row r="41" spans="1:16" ht="15.6">
      <c r="E41" s="39"/>
      <c r="L41" s="2"/>
      <c r="M41" s="55"/>
      <c r="N41" s="53"/>
      <c r="O41" s="53"/>
      <c r="P41" s="53"/>
    </row>
    <row r="42" spans="1:16" ht="18">
      <c r="A42" s="19" t="s">
        <v>137</v>
      </c>
    </row>
    <row r="43" spans="1:16" ht="28.8">
      <c r="B43" s="37" t="s">
        <v>135</v>
      </c>
      <c r="F43" s="36" t="s">
        <v>135</v>
      </c>
    </row>
    <row r="44" spans="1:16">
      <c r="A44" t="s">
        <v>133</v>
      </c>
      <c r="B44" s="56" t="s">
        <v>134</v>
      </c>
      <c r="E44" t="s">
        <v>133</v>
      </c>
      <c r="F44" s="33" t="s">
        <v>132</v>
      </c>
    </row>
    <row r="45" spans="1:16">
      <c r="A45" t="s">
        <v>131</v>
      </c>
      <c r="B45" s="41">
        <f>(KNREC!E129+KNREC!E136)*Calculations!F48</f>
        <v>0</v>
      </c>
      <c r="E45" s="35" t="s">
        <v>131</v>
      </c>
      <c r="F45" s="41">
        <f>B45/1000</f>
        <v>0</v>
      </c>
    </row>
    <row r="46" spans="1:16">
      <c r="A46" t="s">
        <v>130</v>
      </c>
      <c r="B46" s="41">
        <f>(KNREC!E129+KNREC!E136)*(1-Calculations!F48)</f>
        <v>90</v>
      </c>
      <c r="E46" s="5" t="s">
        <v>130</v>
      </c>
      <c r="F46" s="41">
        <f>B46/1000</f>
        <v>0.09</v>
      </c>
    </row>
    <row r="47" spans="1:16">
      <c r="A47" t="s">
        <v>129</v>
      </c>
      <c r="B47" s="42">
        <f>SUM(KNREC!E130:E134)</f>
        <v>1423.75</v>
      </c>
      <c r="E47" s="34" t="s">
        <v>129</v>
      </c>
      <c r="F47" s="41">
        <f>B47/1000</f>
        <v>1.4237500000000001</v>
      </c>
      <c r="G47" s="59"/>
    </row>
    <row r="48" spans="1:16">
      <c r="E48" s="40" t="s">
        <v>136</v>
      </c>
      <c r="F48" s="57">
        <f>0</f>
        <v>0</v>
      </c>
      <c r="G48" s="38" t="s">
        <v>186</v>
      </c>
    </row>
    <row r="49" spans="1:20">
      <c r="E49" s="40" t="s">
        <v>194</v>
      </c>
      <c r="F49" s="58">
        <f>KNREC!E120*1000/(KNREC!E121*365*24)*100</f>
        <v>24.503627323618794</v>
      </c>
      <c r="G49" s="39" t="s">
        <v>185</v>
      </c>
    </row>
    <row r="50" spans="1:20">
      <c r="E50" s="39"/>
    </row>
    <row r="56" spans="1:20" ht="16.5" customHeight="1">
      <c r="L56" s="43"/>
    </row>
    <row r="57" spans="1:20" ht="16.5" customHeight="1">
      <c r="G57" s="59"/>
      <c r="L57" s="19"/>
    </row>
    <row r="58" spans="1:20">
      <c r="L58" s="32"/>
      <c r="M58" s="32"/>
      <c r="N58" s="32"/>
      <c r="O58" s="32"/>
      <c r="Q58" s="32"/>
      <c r="R58" s="32"/>
      <c r="S58" s="32"/>
      <c r="T58" s="32"/>
    </row>
    <row r="59" spans="1:20" ht="18">
      <c r="A59" s="61"/>
      <c r="L59" s="2"/>
      <c r="M59" s="41"/>
      <c r="N59" s="41"/>
      <c r="O59" s="41"/>
      <c r="Q59" s="32"/>
    </row>
    <row r="60" spans="1:20">
      <c r="B60" s="37"/>
      <c r="F60" s="37"/>
      <c r="Q60" s="32"/>
    </row>
    <row r="61" spans="1:20">
      <c r="F61" s="33"/>
    </row>
    <row r="62" spans="1:20">
      <c r="B62" s="53"/>
      <c r="F62" s="53"/>
    </row>
    <row r="63" spans="1:20">
      <c r="B63" s="53"/>
      <c r="F63" s="53"/>
    </row>
    <row r="64" spans="1:20">
      <c r="B64" s="53"/>
      <c r="F64" s="53"/>
    </row>
    <row r="65" spans="1:7">
      <c r="E65" s="49"/>
      <c r="F65" s="49"/>
      <c r="G65" s="49"/>
    </row>
    <row r="66" spans="1:7" ht="18">
      <c r="A66" s="61"/>
    </row>
    <row r="67" spans="1:7">
      <c r="B67" s="37"/>
      <c r="F67" s="37"/>
    </row>
    <row r="68" spans="1:7">
      <c r="F68" s="33"/>
    </row>
    <row r="69" spans="1:7">
      <c r="B69" s="53"/>
      <c r="F69" s="53"/>
    </row>
    <row r="70" spans="1:7">
      <c r="B70" s="53"/>
      <c r="F70" s="53"/>
    </row>
    <row r="71" spans="1:7">
      <c r="B71" s="53"/>
      <c r="F71" s="53"/>
    </row>
    <row r="73" spans="1:7" ht="18">
      <c r="A73" s="61"/>
      <c r="B73" s="38"/>
    </row>
    <row r="74" spans="1:7">
      <c r="B74" s="37"/>
      <c r="F74" s="37"/>
    </row>
    <row r="75" spans="1:7">
      <c r="F75" s="33"/>
    </row>
    <row r="76" spans="1:7">
      <c r="B76" s="53"/>
      <c r="F76" s="53"/>
    </row>
    <row r="77" spans="1:7">
      <c r="B77" s="53"/>
      <c r="F77" s="53"/>
    </row>
    <row r="78" spans="1:7">
      <c r="B78" s="53"/>
      <c r="F78" s="53"/>
    </row>
    <row r="80" spans="1:7">
      <c r="A80" s="33"/>
    </row>
  </sheetData>
  <mergeCells count="6">
    <mergeCell ref="C1:D2"/>
    <mergeCell ref="E21:H21"/>
    <mergeCell ref="E1:E2"/>
    <mergeCell ref="F1:H1"/>
    <mergeCell ref="F2:G2"/>
    <mergeCell ref="H2:H3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D25"/>
  <sheetViews>
    <sheetView tabSelected="1" topLeftCell="A2" workbookViewId="0">
      <selection activeCell="I16" sqref="I16"/>
    </sheetView>
  </sheetViews>
  <sheetFormatPr defaultRowHeight="14.4"/>
  <cols>
    <col min="1" max="4" width="23.33203125" customWidth="1"/>
  </cols>
  <sheetData>
    <row r="1" spans="1:4">
      <c r="A1" t="s">
        <v>18</v>
      </c>
      <c r="B1" s="4" t="s">
        <v>19</v>
      </c>
      <c r="C1" s="4" t="s">
        <v>20</v>
      </c>
      <c r="D1" s="4" t="s">
        <v>21</v>
      </c>
    </row>
    <row r="2" spans="1:4">
      <c r="A2" s="5" t="s">
        <v>12</v>
      </c>
      <c r="B2" s="41">
        <f>Calculations!F4</f>
        <v>0</v>
      </c>
      <c r="C2" s="41">
        <f>Calculations!G4</f>
        <v>0</v>
      </c>
      <c r="D2" s="41">
        <f>Calculations!H4</f>
        <v>0</v>
      </c>
    </row>
    <row r="3" spans="1:4">
      <c r="A3" s="6" t="s">
        <v>216</v>
      </c>
      <c r="B3" s="41">
        <f>Calculations!F5</f>
        <v>0</v>
      </c>
      <c r="C3" s="41">
        <f>Calculations!G5</f>
        <v>0</v>
      </c>
      <c r="D3" s="41">
        <f>Calculations!H5</f>
        <v>0</v>
      </c>
    </row>
    <row r="4" spans="1:4">
      <c r="A4" s="6" t="s">
        <v>217</v>
      </c>
      <c r="B4" s="41">
        <v>0</v>
      </c>
      <c r="C4" s="41">
        <v>0</v>
      </c>
      <c r="D4" s="41">
        <v>0</v>
      </c>
    </row>
    <row r="5" spans="1:4">
      <c r="A5" s="5" t="s">
        <v>1</v>
      </c>
      <c r="B5" s="41">
        <f>Calculations!F6</f>
        <v>0</v>
      </c>
      <c r="C5" s="41">
        <f>Calculations!G6</f>
        <v>0</v>
      </c>
      <c r="D5" s="41">
        <f>Calculations!H6</f>
        <v>0</v>
      </c>
    </row>
    <row r="6" spans="1:4">
      <c r="A6" s="5" t="s">
        <v>2</v>
      </c>
      <c r="B6" s="41">
        <f>Calculations!F7</f>
        <v>0</v>
      </c>
      <c r="C6" s="41">
        <f>Calculations!G7</f>
        <v>0.09</v>
      </c>
      <c r="D6" s="41">
        <f>Calculations!H7</f>
        <v>1.4237500000000001</v>
      </c>
    </row>
    <row r="7" spans="1:4">
      <c r="A7" s="5" t="s">
        <v>13</v>
      </c>
      <c r="B7" s="41">
        <f>Calculations!F8</f>
        <v>0</v>
      </c>
      <c r="C7" s="41">
        <f>Calculations!G8</f>
        <v>8.4780999999999995</v>
      </c>
      <c r="D7" s="41">
        <f>Calculations!H8</f>
        <v>4.7723199999999997</v>
      </c>
    </row>
    <row r="8" spans="1:4">
      <c r="A8" s="5" t="s">
        <v>3</v>
      </c>
      <c r="B8" s="41">
        <f>Calculations!F9</f>
        <v>1376.5727545176001</v>
      </c>
      <c r="C8" s="41">
        <f>Calculations!G9</f>
        <v>240.72332048239997</v>
      </c>
      <c r="D8" s="41">
        <f>Calculations!H9</f>
        <v>794.46575500000006</v>
      </c>
    </row>
    <row r="9" spans="1:4">
      <c r="A9" s="5" t="s">
        <v>4</v>
      </c>
      <c r="B9" s="41">
        <f>Calculations!F10</f>
        <v>0</v>
      </c>
      <c r="C9" s="41">
        <f>Calculations!G10</f>
        <v>0</v>
      </c>
      <c r="D9" s="41">
        <f>Calculations!H10</f>
        <v>0</v>
      </c>
    </row>
    <row r="10" spans="1:4">
      <c r="A10" s="5" t="s">
        <v>5</v>
      </c>
      <c r="B10" s="41">
        <f>Calculations!F11</f>
        <v>0</v>
      </c>
      <c r="C10" s="41">
        <f>Calculations!G11</f>
        <v>0</v>
      </c>
      <c r="D10" s="41">
        <f>Calculations!H11</f>
        <v>0</v>
      </c>
    </row>
    <row r="11" spans="1:4">
      <c r="A11" s="5" t="s">
        <v>6</v>
      </c>
      <c r="B11" s="41">
        <f>Calculations!F12</f>
        <v>0</v>
      </c>
      <c r="C11" s="41">
        <f>Calculations!G12</f>
        <v>0</v>
      </c>
      <c r="D11" s="41">
        <f>Calculations!H12</f>
        <v>0</v>
      </c>
    </row>
    <row r="12" spans="1:4">
      <c r="A12" s="5" t="s">
        <v>7</v>
      </c>
      <c r="B12" s="41">
        <f>Calculations!F13</f>
        <v>0</v>
      </c>
      <c r="C12" s="41">
        <f>Calculations!G13</f>
        <v>0</v>
      </c>
      <c r="D12" s="41">
        <f>Calculations!H13</f>
        <v>0</v>
      </c>
    </row>
    <row r="13" spans="1:4">
      <c r="A13" s="5" t="s">
        <v>8</v>
      </c>
      <c r="B13" s="41">
        <f>Calculations!F14</f>
        <v>0</v>
      </c>
      <c r="C13" s="41">
        <f>Calculations!G14</f>
        <v>0</v>
      </c>
      <c r="D13" s="41">
        <f>Calculations!H14</f>
        <v>0</v>
      </c>
    </row>
    <row r="14" spans="1:4">
      <c r="A14" s="5" t="s">
        <v>11</v>
      </c>
      <c r="B14" s="41">
        <f>Calculations!F15</f>
        <v>0</v>
      </c>
      <c r="C14" s="41">
        <f>Calculations!G15</f>
        <v>0</v>
      </c>
      <c r="D14" s="41">
        <f>Calculations!H15</f>
        <v>0</v>
      </c>
    </row>
    <row r="15" spans="1:4">
      <c r="A15" s="5" t="s">
        <v>14</v>
      </c>
      <c r="B15" s="41">
        <f>Calculations!F16</f>
        <v>0</v>
      </c>
      <c r="C15" s="41">
        <f>Calculations!G16</f>
        <v>0</v>
      </c>
      <c r="D15" s="41">
        <f>Calculations!H16</f>
        <v>0</v>
      </c>
    </row>
    <row r="16" spans="1:4">
      <c r="A16" s="5" t="s">
        <v>15</v>
      </c>
      <c r="B16" s="41">
        <f>Calculations!F17</f>
        <v>0</v>
      </c>
      <c r="C16" s="41">
        <f>Calculations!G17</f>
        <v>0</v>
      </c>
      <c r="D16" s="41">
        <f>Calculations!H17</f>
        <v>0</v>
      </c>
    </row>
    <row r="17" spans="1:4">
      <c r="A17" s="5" t="s">
        <v>16</v>
      </c>
      <c r="B17" s="41">
        <f>Calculations!F18</f>
        <v>0</v>
      </c>
      <c r="C17" s="41">
        <f>Calculations!G18</f>
        <v>0</v>
      </c>
      <c r="D17" s="41">
        <f>Calculations!H18</f>
        <v>0</v>
      </c>
    </row>
    <row r="18" spans="1:4">
      <c r="A18" s="5" t="s">
        <v>17</v>
      </c>
      <c r="B18" s="41">
        <f>Calculations!F19</f>
        <v>0</v>
      </c>
      <c r="C18" s="41">
        <f>Calculations!G19</f>
        <v>0</v>
      </c>
      <c r="D18" s="41">
        <f>Calculations!H19</f>
        <v>0</v>
      </c>
    </row>
    <row r="19" spans="1:4">
      <c r="A19" s="6" t="s">
        <v>218</v>
      </c>
      <c r="B19" s="41">
        <v>0</v>
      </c>
      <c r="C19" s="41">
        <v>0</v>
      </c>
      <c r="D19" s="41">
        <v>0</v>
      </c>
    </row>
    <row r="20" spans="1:4">
      <c r="A20" s="6" t="s">
        <v>219</v>
      </c>
      <c r="B20" s="41">
        <v>0</v>
      </c>
      <c r="C20" s="41">
        <v>0</v>
      </c>
      <c r="D20" s="41">
        <v>0</v>
      </c>
    </row>
    <row r="21" spans="1:4">
      <c r="A21" s="6" t="s">
        <v>220</v>
      </c>
      <c r="B21" s="41">
        <v>0</v>
      </c>
      <c r="C21" s="41">
        <v>0</v>
      </c>
      <c r="D21" s="41">
        <v>0</v>
      </c>
    </row>
    <row r="22" spans="1:4">
      <c r="A22" s="6" t="s">
        <v>221</v>
      </c>
      <c r="B22" s="41">
        <v>0</v>
      </c>
      <c r="C22" s="41">
        <v>0</v>
      </c>
      <c r="D22" s="41">
        <v>0</v>
      </c>
    </row>
    <row r="23" spans="1:4">
      <c r="A23" s="6" t="s">
        <v>222</v>
      </c>
      <c r="B23" s="41">
        <v>0</v>
      </c>
      <c r="C23" s="41">
        <v>0</v>
      </c>
      <c r="D23" s="41">
        <v>0</v>
      </c>
    </row>
    <row r="24" spans="1:4">
      <c r="A24" s="6" t="s">
        <v>223</v>
      </c>
      <c r="B24" s="41">
        <v>0</v>
      </c>
      <c r="C24" s="41">
        <v>0</v>
      </c>
      <c r="D24" s="41">
        <v>0</v>
      </c>
    </row>
    <row r="25" spans="1:4">
      <c r="A25" s="6" t="s">
        <v>224</v>
      </c>
      <c r="B25" s="41">
        <v>0</v>
      </c>
      <c r="C25" s="41">
        <v>0</v>
      </c>
      <c r="D25" s="41">
        <v>0</v>
      </c>
    </row>
  </sheetData>
  <phoneticPr fontId="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081983-C054-4D21-B9DE-295F402E9D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0DFE3B-646D-4DF2-B7F0-FAF7606D29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3E5099-7325-43F2-B9AF-DDA913304C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KNREC</vt:lpstr>
      <vt:lpstr>KOSIS</vt:lpstr>
      <vt:lpstr>Calculations</vt:lpstr>
      <vt:lpstr>SYDEC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2016-01-26T19:10:58Z</dcterms:created>
  <dcterms:modified xsi:type="dcterms:W3CDTF">2025-09-16T14:37:58Z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