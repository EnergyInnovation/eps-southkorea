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4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kjh_local\NEXTgroup_local\2025_local\2. EPS\업데이트 파일\eps-southkorea-3.3.1_2025update_v4.0.3\InputData\ccs\BCS\"/>
    </mc:Choice>
  </mc:AlternateContent>
  <xr:revisionPtr revIDLastSave="0" documentId="13_ncr:1_{217D5070-3C15-40E1-AE61-02F08EE4A9DD}" xr6:coauthVersionLast="47" xr6:coauthVersionMax="47" xr10:uidLastSave="{00000000-0000-0000-0000-000000000000}"/>
  <bookViews>
    <workbookView xWindow="390" yWindow="390" windowWidth="25785" windowHeight="15345" xr2:uid="{00000000-000D-0000-FFFF-FFFF00000000}"/>
  </bookViews>
  <sheets>
    <sheet name="About" sheetId="1" r:id="rId1"/>
    <sheet name="Electricity Calculations" sheetId="5" r:id="rId2"/>
    <sheet name="BCS-BCS" sheetId="4" r:id="rId3"/>
    <sheet name="BCS-DoSfCS" sheetId="6" r:id="rId4"/>
  </sheets>
  <definedNames>
    <definedName name="solver_adj" localSheetId="0" hidden="1">About!$A$11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nwt" localSheetId="0" hidden="1">1</definedName>
    <definedName name="solver_opt" localSheetId="0" hidden="1">About!$A$9</definedName>
    <definedName name="solver_pre" localSheetId="0" hidden="1">0.000001</definedName>
    <definedName name="solver_rbv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3</definedName>
    <definedName name="solver_val" localSheetId="0" hidden="1">0.15</definedName>
    <definedName name="solver_ver" localSheetId="0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2" i="6" l="1"/>
  <c r="F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D2" i="6"/>
  <c r="C2" i="6"/>
  <c r="B1" i="5"/>
  <c r="B4" i="5" s="1"/>
</calcChain>
</file>

<file path=xl/sharedStrings.xml><?xml version="1.0" encoding="utf-8"?>
<sst xmlns="http://schemas.openxmlformats.org/spreadsheetml/2006/main" count="18" uniqueCount="18">
  <si>
    <t>Source:</t>
  </si>
  <si>
    <t>Notes:</t>
  </si>
  <si>
    <t>electricity sector</t>
  </si>
  <si>
    <t>industry sector</t>
  </si>
  <si>
    <t>None needed</t>
  </si>
  <si>
    <t>2022 to 2012 USD</t>
  </si>
  <si>
    <t>BCS BAU CCS Subsidy</t>
  </si>
  <si>
    <t>$ / metric ton</t>
  </si>
  <si>
    <t>45Q Tax Credit Amount</t>
  </si>
  <si>
    <t>Credit Amount</t>
  </si>
  <si>
    <t>Repayment Period for Financing</t>
  </si>
  <si>
    <t>45Q Credit Duration</t>
  </si>
  <si>
    <t>Credit Value</t>
  </si>
  <si>
    <t>Years</t>
  </si>
  <si>
    <t>Duration</t>
  </si>
  <si>
    <t>45Q Duration</t>
  </si>
  <si>
    <t>12 years</t>
  </si>
  <si>
    <t>South Korea does not have a subsidy system for CCS (Carbon Capture and Storage)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</si>
</sst>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_(&quot;$&quot;* #,##0.00_);_(&quot;$&quot;* \(#,##0.00\);_(&quot;$&quot;* &quot;-&quot;??_);_(@_)"/>
  </numFmts>
  <fonts count="5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11"/>
      <color rgb="FFFF0000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">
    <xf numFmtId="0" fontId="0" fillId="0" borderId="0" xfId="0"/>
    <xf numFmtId="0" fontId="2" fillId="0" borderId="0" xfId="0" applyFont="1"/>
    <xf numFmtId="0" fontId="0" fillId="0" borderId="0" xfId="0" applyAlignment="1">
      <alignment horizontal="right" wrapText="1"/>
    </xf>
    <xf numFmtId="10" fontId="0" fillId="0" borderId="0" xfId="0" applyNumberFormat="1"/>
    <xf numFmtId="1" fontId="0" fillId="0" borderId="0" xfId="0" applyNumberFormat="1"/>
    <xf numFmtId="2" fontId="0" fillId="0" borderId="0" xfId="2" applyNumberFormat="1" applyFont="1"/>
    <xf numFmtId="176" fontId="0" fillId="0" borderId="0" xfId="1" applyFont="1"/>
    <xf numFmtId="176" fontId="0" fillId="0" borderId="0" xfId="0" applyNumberFormat="1"/>
    <xf numFmtId="0" fontId="3" fillId="0" borderId="0" xfId="0" applyFont="1"/>
  </cellXfs>
  <cellStyles count="3">
    <cellStyle name="백분율" xfId="2" builtinId="5"/>
    <cellStyle name="통화" xfId="1" builtinId="4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tabSelected="1" workbookViewId="0">
      <selection activeCell="A8" sqref="A8"/>
    </sheetView>
  </sheetViews>
  <sheetFormatPr defaultRowHeight="16.5" x14ac:dyDescent="0.3"/>
  <cols>
    <col min="1" max="1" width="30.375" customWidth="1"/>
    <col min="2" max="2" width="55.875" customWidth="1"/>
    <col min="4" max="4" width="30.5" customWidth="1"/>
  </cols>
  <sheetData>
    <row r="1" spans="1:2" x14ac:dyDescent="0.3">
      <c r="A1" s="1" t="s">
        <v>6</v>
      </c>
    </row>
    <row r="3" spans="1:2" x14ac:dyDescent="0.3">
      <c r="A3" s="1" t="s">
        <v>0</v>
      </c>
      <c r="B3" t="s">
        <v>4</v>
      </c>
    </row>
    <row r="5" spans="1:2" x14ac:dyDescent="0.3">
      <c r="A5" s="1" t="s">
        <v>1</v>
      </c>
    </row>
    <row r="6" spans="1:2" x14ac:dyDescent="0.3">
      <c r="A6" s="8" t="s">
        <v>17</v>
      </c>
    </row>
    <row r="7" spans="1:2" x14ac:dyDescent="0.3"/>
    <row r="9" spans="1:2" x14ac:dyDescent="0.3">
      <c r="A9" s="5">
        <v>0.78500000000000003</v>
      </c>
      <c r="B9" t="s">
        <v>5</v>
      </c>
    </row>
    <row r="11" spans="1:2" x14ac:dyDescent="0.3">
      <c r="A11" s="3" t="s">
        <v>8</v>
      </c>
      <c r="B11" s="6">
        <v>85</v>
      </c>
    </row>
    <row r="13" spans="1:2" x14ac:dyDescent="0.3">
      <c r="A13" t="s">
        <v>15</v>
      </c>
      <c r="B13" t="s">
        <v>16</v>
      </c>
    </row>
  </sheetData>
  <phoneticPr fontId="4" type="noConversion"/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35C55-7F27-44A6-A8A7-496D78F28576}">
  <dimension ref="A1:B4"/>
  <sheetViews>
    <sheetView workbookViewId="0">
      <selection activeCell="B4" sqref="B4"/>
    </sheetView>
  </sheetViews>
  <sheetFormatPr defaultRowHeight="16.5" x14ac:dyDescent="0.3"/>
  <cols>
    <col min="1" max="1" width="30" bestFit="1" customWidth="1"/>
  </cols>
  <sheetData>
    <row r="1" spans="1:2" x14ac:dyDescent="0.3">
      <c r="A1" t="s">
        <v>9</v>
      </c>
      <c r="B1" s="7">
        <f>About!B11</f>
        <v>85</v>
      </c>
    </row>
    <row r="2" spans="1:2" x14ac:dyDescent="0.3">
      <c r="A2" t="s">
        <v>10</v>
      </c>
      <c r="B2">
        <v>20</v>
      </c>
    </row>
    <row r="3" spans="1:2" x14ac:dyDescent="0.3">
      <c r="A3" t="s">
        <v>11</v>
      </c>
      <c r="B3">
        <v>12</v>
      </c>
    </row>
    <row r="4" spans="1:2" x14ac:dyDescent="0.3">
      <c r="A4" t="s">
        <v>12</v>
      </c>
      <c r="B4" s="7">
        <f>B1*B3/B2</f>
        <v>51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E3"/>
  <sheetViews>
    <sheetView workbookViewId="0">
      <selection activeCell="U8" sqref="U8"/>
    </sheetView>
  </sheetViews>
  <sheetFormatPr defaultRowHeight="16.5" x14ac:dyDescent="0.3"/>
  <cols>
    <col min="1" max="1" width="19.5" customWidth="1"/>
    <col min="2" max="2" width="24.5" customWidth="1"/>
  </cols>
  <sheetData>
    <row r="1" spans="1:31" x14ac:dyDescent="0.3">
      <c r="A1" t="s">
        <v>7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  <c r="O1" s="2">
        <v>2034</v>
      </c>
      <c r="P1" s="2">
        <v>2035</v>
      </c>
      <c r="Q1" s="2">
        <v>2036</v>
      </c>
      <c r="R1" s="2">
        <v>2037</v>
      </c>
      <c r="S1" s="2">
        <v>2038</v>
      </c>
      <c r="T1" s="2">
        <v>2039</v>
      </c>
      <c r="U1" s="2">
        <v>2040</v>
      </c>
      <c r="V1" s="2">
        <v>2041</v>
      </c>
      <c r="W1" s="2">
        <v>2042</v>
      </c>
      <c r="X1" s="2">
        <v>2043</v>
      </c>
      <c r="Y1" s="2">
        <v>2044</v>
      </c>
      <c r="Z1" s="2">
        <v>2045</v>
      </c>
      <c r="AA1" s="2">
        <v>2046</v>
      </c>
      <c r="AB1" s="2">
        <v>2047</v>
      </c>
      <c r="AC1" s="2">
        <v>2048</v>
      </c>
      <c r="AD1" s="2">
        <v>2049</v>
      </c>
      <c r="AE1" s="2">
        <v>2050</v>
      </c>
    </row>
    <row r="2" spans="1:31" x14ac:dyDescent="0.3">
      <c r="A2" t="s">
        <v>2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</row>
    <row r="3" spans="1:31" x14ac:dyDescent="0.3">
      <c r="A3" t="s">
        <v>3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98252-CD29-4D86-9D7F-2214C5598602}">
  <sheetPr>
    <tabColor theme="3"/>
  </sheetPr>
  <dimension ref="A1:AE2"/>
  <sheetViews>
    <sheetView workbookViewId="0">
      <selection activeCell="C32" sqref="C32"/>
    </sheetView>
  </sheetViews>
  <sheetFormatPr defaultRowHeight="16.5" x14ac:dyDescent="0.3"/>
  <sheetData>
    <row r="1" spans="1:31" x14ac:dyDescent="0.3">
      <c r="A1" t="s">
        <v>13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3">
      <c r="A2" t="s">
        <v>14</v>
      </c>
      <c r="B2">
        <v>12</v>
      </c>
      <c r="C2">
        <f>$B$2</f>
        <v>12</v>
      </c>
      <c r="D2">
        <f>$B$2</f>
        <v>12</v>
      </c>
      <c r="E2">
        <f t="shared" ref="E2:AE2" si="0">$B$2</f>
        <v>12</v>
      </c>
      <c r="F2">
        <f t="shared" si="0"/>
        <v>12</v>
      </c>
      <c r="G2">
        <f t="shared" si="0"/>
        <v>12</v>
      </c>
      <c r="H2">
        <f t="shared" si="0"/>
        <v>12</v>
      </c>
      <c r="I2">
        <f t="shared" si="0"/>
        <v>12</v>
      </c>
      <c r="J2">
        <f t="shared" si="0"/>
        <v>12</v>
      </c>
      <c r="K2">
        <f t="shared" si="0"/>
        <v>12</v>
      </c>
      <c r="L2">
        <f t="shared" si="0"/>
        <v>12</v>
      </c>
      <c r="M2">
        <f t="shared" si="0"/>
        <v>12</v>
      </c>
      <c r="N2">
        <f t="shared" si="0"/>
        <v>12</v>
      </c>
      <c r="O2">
        <f t="shared" si="0"/>
        <v>12</v>
      </c>
      <c r="P2">
        <f t="shared" si="0"/>
        <v>12</v>
      </c>
      <c r="Q2">
        <f t="shared" si="0"/>
        <v>12</v>
      </c>
      <c r="R2">
        <f t="shared" si="0"/>
        <v>12</v>
      </c>
      <c r="S2">
        <f t="shared" si="0"/>
        <v>12</v>
      </c>
      <c r="T2">
        <f t="shared" si="0"/>
        <v>12</v>
      </c>
      <c r="U2">
        <f t="shared" si="0"/>
        <v>12</v>
      </c>
      <c r="V2">
        <f t="shared" si="0"/>
        <v>12</v>
      </c>
      <c r="W2">
        <f t="shared" si="0"/>
        <v>12</v>
      </c>
      <c r="X2">
        <f t="shared" si="0"/>
        <v>12</v>
      </c>
      <c r="Y2">
        <f t="shared" si="0"/>
        <v>12</v>
      </c>
      <c r="Z2">
        <f t="shared" si="0"/>
        <v>12</v>
      </c>
      <c r="AA2">
        <f t="shared" si="0"/>
        <v>12</v>
      </c>
      <c r="AB2">
        <f t="shared" si="0"/>
        <v>12</v>
      </c>
      <c r="AC2">
        <f t="shared" si="0"/>
        <v>12</v>
      </c>
      <c r="AD2">
        <f t="shared" si="0"/>
        <v>12</v>
      </c>
      <c r="AE2">
        <f t="shared" si="0"/>
        <v>12</v>
      </c>
    </row>
  </sheetData>
  <phoneticPr fontId="4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6EEE8E6-9E29-41FB-AA42-7A86BE820E0F}"/>
</file>

<file path=customXml/itemProps2.xml><?xml version="1.0" encoding="utf-8"?>
<ds:datastoreItem xmlns:ds="http://schemas.openxmlformats.org/officeDocument/2006/customXml" ds:itemID="{226F896D-BB2E-447D-A74E-6E1EEF393833}"/>
</file>

<file path=customXml/itemProps3.xml><?xml version="1.0" encoding="utf-8"?>
<ds:datastoreItem xmlns:ds="http://schemas.openxmlformats.org/officeDocument/2006/customXml" ds:itemID="{94781E0A-71D3-4C72-91B2-0B5F4C52ACB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About</vt:lpstr>
      <vt:lpstr>Electricity Calculations</vt:lpstr>
      <vt:lpstr>BCS-BCS</vt:lpstr>
      <vt:lpstr>BCS-DoSfCS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공용계정2</cp:lastModifiedBy>
  <dcterms:created xsi:type="dcterms:W3CDTF">2014-08-18T23:28:12Z</dcterms:created>
  <dcterms:modified xsi:type="dcterms:W3CDTF">2025-03-06T01:26:34Z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