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mc:AlternateContent xmlns:mc="http://schemas.openxmlformats.org/markup-compatibility/2006">
    <mc:Choice Requires="x15">
      <x15ac:absPath xmlns:x15ac="http://schemas.microsoft.com/office/spreadsheetml/2010/11/ac" url="C:\Users\minhe\Downloads\"/>
    </mc:Choice>
  </mc:AlternateContent>
  <xr:revisionPtr revIDLastSave="0" documentId="13_ncr:1_{9C01DB74-9CE6-444E-94FD-EE8D71FD4439}" xr6:coauthVersionLast="36" xr6:coauthVersionMax="47" xr10:uidLastSave="{00000000-0000-0000-0000-000000000000}"/>
  <bookViews>
    <workbookView xWindow="-105" yWindow="-105" windowWidth="25815" windowHeight="14025" activeTab="2" xr2:uid="{00000000-000D-0000-FFFF-FFFF00000000}"/>
  </bookViews>
  <sheets>
    <sheet name="About" sheetId="1" r:id="rId1"/>
    <sheet name="Calculations" sheetId="3" r:id="rId2"/>
    <sheet name="EoSEUwGDPiR" sheetId="7"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 i="7" l="1"/>
  <c r="B9" i="3" l="1"/>
  <c r="E9" i="3" l="1"/>
  <c r="B2" i="7" s="1"/>
  <c r="C9" i="3" l="1"/>
  <c r="B5" i="7" s="1"/>
  <c r="B4" i="7"/>
  <c r="D9" i="3"/>
  <c r="F9" i="3"/>
  <c r="B3" i="7" l="1"/>
</calcChain>
</file>

<file path=xl/sharedStrings.xml><?xml version="1.0" encoding="utf-8"?>
<sst xmlns="http://schemas.openxmlformats.org/spreadsheetml/2006/main" count="51" uniqueCount="51">
  <si>
    <t>About</t>
  </si>
  <si>
    <t>Energy Use by Sector</t>
  </si>
  <si>
    <t>Industry</t>
  </si>
  <si>
    <t>Transport</t>
  </si>
  <si>
    <t>Electricity</t>
  </si>
  <si>
    <t>% Change</t>
  </si>
  <si>
    <t>Residential Buildings</t>
  </si>
  <si>
    <t>Commercial Buildings</t>
  </si>
  <si>
    <t>Sensitivity to GDP Cng</t>
  </si>
  <si>
    <t>transportation sector</t>
  </si>
  <si>
    <t>residential buildings sector</t>
  </si>
  <si>
    <t>commercial buildings sector</t>
  </si>
  <si>
    <t>industry sector</t>
  </si>
  <si>
    <t>district heat and hydrogen sector (NOT USED)</t>
  </si>
  <si>
    <t>geoengineering sector (NOT USED)</t>
  </si>
  <si>
    <t>LULUCF sector (NOT USED)</t>
  </si>
  <si>
    <t>electricity sector</t>
  </si>
  <si>
    <t>Elasticity</t>
  </si>
  <si>
    <t>for products and energy-using services).  This relationship ought to be determined</t>
  </si>
  <si>
    <t>during an economic expansion.</t>
  </si>
  <si>
    <t>Unit: dimensionless</t>
  </si>
  <si>
    <t>EoSEUwGDPiR Elasticity of Sectoral Energy Use with respect to GDP in Recession</t>
  </si>
  <si>
    <t>This variable sets the relationship between a recession-driven drop in GDP</t>
  </si>
  <si>
    <t>and resulting drops in sectoral energy use (e.g. due to reductions in demand</t>
  </si>
  <si>
    <t>based on data for a recession, because the relationship between a drop in GDP</t>
  </si>
  <si>
    <t>during a recession and energy use may be governed by a different elasticity</t>
  </si>
  <si>
    <t>than the relationship between an increase in GDP and energy use</t>
  </si>
  <si>
    <t>Source:</t>
  </si>
  <si>
    <t>The EIA Short-Term Energy Outlook does not include total energy demand by</t>
  </si>
  <si>
    <t>For the U.S. in EPS 2.1.1, we use EIA's 2020 projections from January 2020</t>
  </si>
  <si>
    <t>to understand the expected trend if not for COVID-19. We then compare GDP,</t>
  </si>
  <si>
    <t>electricity use, and travel demand in this counter-factual case to the most</t>
  </si>
  <si>
    <t xml:space="preserve"> recent Short-Term Energy Outlook which incorporates COVID-19 impacts.</t>
  </si>
  <si>
    <t xml:space="preserve">However, if region-specific projections for COVID-19 impacts are not available, </t>
  </si>
  <si>
    <t>this variable may use historical data from another recent recession,</t>
  </si>
  <si>
    <t>such as the Great Recession.</t>
  </si>
  <si>
    <t>For transportation, we use change in vehicle-miles traveled as a proxy for</t>
  </si>
  <si>
    <t>changes in total energy demand because the model structure applies the</t>
  </si>
  <si>
    <t>elasticity to the variable Cargo Dist Transported Allocated by Last Year</t>
  </si>
  <si>
    <t>Vehicle Technologies.</t>
  </si>
  <si>
    <t>sector, so we use a weighted average of sectoral changes in electricity, coal,</t>
  </si>
  <si>
    <t>and natural gas consumption for buildings and industry.</t>
  </si>
  <si>
    <t>Impacts by Sector</t>
  </si>
  <si>
    <t>Note that the Electricity Sector energy use multiplier is only used to adjust imports and exports of electricity and of certain fuels used by the electricity sector. Changes in domestic electricity demand are derived from the buildings, transport, and industry sectors' multipliers.</t>
  </si>
  <si>
    <t>Impacts of Covid-19 on energy demand and consumption: challenges, lessons and emerging opportunities</t>
  </si>
  <si>
    <t>Peng Jiang, Yee Van Fan, Jiri Jaromir Klemes</t>
  </si>
  <si>
    <t>Applied Energy</t>
  </si>
  <si>
    <t>https://www.ncbi.nlm.nih.gov/pmc/articles/PMC7834155/pdf/main.pdf</t>
  </si>
  <si>
    <t>7 Nov 2020</t>
  </si>
  <si>
    <t>South Korea: Use the difference in 2019 to 2020 energy demand to represent change in industrial energy demand (-6.8 in 2020 compared to -.3 in 2019 for a difference of -6.5)</t>
  </si>
  <si>
    <t>difference between bau vs alternate gdp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</si>
</sst>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5" x14ac:knownFonts="1">
    <font>
      <sz val="11"/>
      <color theme="1"/>
      <name val="맑은 고딕"/>
      <family val="2"/>
      <scheme val="minor"/>
    </font>
    <font>
      <b/>
      <sz val="11"/>
      <color theme="1"/>
      <name val="맑은 고딕"/>
      <family val="2"/>
      <scheme val="minor"/>
    </font>
    <font>
      <sz val="11"/>
      <color theme="1"/>
      <name val="맑은 고딕"/>
      <family val="2"/>
      <scheme val="minor"/>
    </font>
    <font>
      <i/>
      <sz val="11"/>
      <color theme="1"/>
      <name val="맑은 고딕"/>
      <family val="2"/>
      <scheme val="minor"/>
    </font>
    <font>
      <sz val="8"/>
      <name val="맑은 고딕"/>
      <family val="3"/>
      <charset val="129"/>
      <scheme val="minor"/>
    </font>
  </fonts>
  <fills count="7">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rgb="FFFF000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25">
    <xf numFmtId="0" fontId="0" fillId="0" borderId="0" xfId="0"/>
    <xf numFmtId="0" fontId="1" fillId="0" borderId="0" xfId="0" applyFont="1"/>
    <xf numFmtId="0" fontId="0" fillId="2" borderId="0" xfId="0" applyFill="1"/>
    <xf numFmtId="0" fontId="0" fillId="0" borderId="0" xfId="0" applyFont="1"/>
    <xf numFmtId="0" fontId="1" fillId="2" borderId="0" xfId="0" applyFont="1" applyFill="1"/>
    <xf numFmtId="176" fontId="0" fillId="0" borderId="0" xfId="1" applyNumberFormat="1" applyFont="1"/>
    <xf numFmtId="2" fontId="0" fillId="0" borderId="0" xfId="0" applyNumberFormat="1"/>
    <xf numFmtId="0" fontId="1" fillId="0" borderId="0" xfId="0" applyFont="1" applyAlignment="1">
      <alignment wrapText="1"/>
    </xf>
    <xf numFmtId="0" fontId="0" fillId="0" borderId="0" xfId="0" applyFont="1" applyFill="1"/>
    <xf numFmtId="0" fontId="3" fillId="0" borderId="0" xfId="0" applyFont="1" applyAlignment="1">
      <alignment wrapText="1"/>
    </xf>
    <xf numFmtId="2" fontId="0" fillId="4" borderId="0" xfId="0" applyNumberFormat="1" applyFill="1"/>
    <xf numFmtId="0" fontId="0" fillId="0" borderId="0" xfId="0" applyFill="1"/>
    <xf numFmtId="176" fontId="0" fillId="0" borderId="0" xfId="1" applyNumberFormat="1" applyFont="1" applyFill="1"/>
    <xf numFmtId="2" fontId="0" fillId="0" borderId="0" xfId="0" applyNumberFormat="1" applyFill="1"/>
    <xf numFmtId="10" fontId="0" fillId="0" borderId="0" xfId="1" applyNumberFormat="1" applyFont="1"/>
    <xf numFmtId="176" fontId="1" fillId="4" borderId="0" xfId="0" applyNumberFormat="1" applyFont="1" applyFill="1"/>
    <xf numFmtId="0" fontId="1" fillId="3" borderId="0" xfId="0" applyFont="1" applyFill="1"/>
    <xf numFmtId="0" fontId="0" fillId="0" borderId="0" xfId="0" applyAlignment="1">
      <alignment horizontal="right"/>
    </xf>
    <xf numFmtId="17" fontId="0" fillId="0" borderId="0" xfId="0" applyNumberFormat="1" applyAlignment="1">
      <alignment horizontal="left"/>
    </xf>
    <xf numFmtId="0" fontId="3" fillId="0" borderId="0" xfId="0" applyFont="1"/>
    <xf numFmtId="176" fontId="2" fillId="0" borderId="0" xfId="1" applyNumberFormat="1" applyFont="1" applyFill="1"/>
    <xf numFmtId="0" fontId="0" fillId="3" borderId="0" xfId="0" applyFont="1" applyFill="1" applyAlignment="1">
      <alignment wrapText="1"/>
    </xf>
    <xf numFmtId="49" fontId="0" fillId="0" borderId="0" xfId="0" applyNumberFormat="1"/>
    <xf numFmtId="0" fontId="0" fillId="5" borderId="0" xfId="0" applyFill="1"/>
    <xf numFmtId="2" fontId="0" fillId="6" borderId="0" xfId="0" applyNumberFormat="1" applyFill="1"/>
  </cellXfs>
  <cellStyles count="2">
    <cellStyle name="백분율" xfId="1" builtinId="5"/>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9"/>
  <sheetViews>
    <sheetView topLeftCell="A13" workbookViewId="0">
      <selection activeCell="B33" sqref="B33"/>
    </sheetView>
  </sheetViews>
  <sheetFormatPr defaultRowHeight="16.5" x14ac:dyDescent="0.3"/>
  <cols>
    <col min="2" max="2" width="52.625" customWidth="1"/>
  </cols>
  <sheetData>
    <row r="1" spans="1:2" x14ac:dyDescent="0.3">
      <c r="A1" s="1" t="s">
        <v>21</v>
      </c>
    </row>
    <row r="3" spans="1:2" x14ac:dyDescent="0.3">
      <c r="A3" s="1" t="s">
        <v>27</v>
      </c>
      <c r="B3" s="23" t="s">
        <v>44</v>
      </c>
    </row>
    <row r="4" spans="1:2" x14ac:dyDescent="0.3">
      <c r="B4" s="18" t="s">
        <v>45</v>
      </c>
    </row>
    <row r="5" spans="1:2" x14ac:dyDescent="0.3">
      <c r="B5" s="22" t="s">
        <v>46</v>
      </c>
    </row>
    <row r="6" spans="1:2" x14ac:dyDescent="0.3">
      <c r="B6" s="22" t="s">
        <v>48</v>
      </c>
    </row>
    <row r="7" spans="1:2" x14ac:dyDescent="0.3">
      <c r="B7" t="s">
        <v>47</v>
      </c>
    </row>
    <row r="9" spans="1:2" x14ac:dyDescent="0.3">
      <c r="B9" s="19"/>
    </row>
    <row r="13" spans="1:2" x14ac:dyDescent="0.3">
      <c r="A13" s="1" t="s">
        <v>0</v>
      </c>
      <c r="B13" s="3"/>
    </row>
    <row r="14" spans="1:2" s="3" customFormat="1" x14ac:dyDescent="0.3">
      <c r="A14" s="3" t="s">
        <v>22</v>
      </c>
    </row>
    <row r="15" spans="1:2" s="3" customFormat="1" x14ac:dyDescent="0.3">
      <c r="A15" s="3" t="s">
        <v>23</v>
      </c>
    </row>
    <row r="16" spans="1:2" s="3" customFormat="1" x14ac:dyDescent="0.3">
      <c r="A16" s="3" t="s">
        <v>18</v>
      </c>
    </row>
    <row r="17" spans="1:3" s="3" customFormat="1" x14ac:dyDescent="0.3">
      <c r="A17" s="8" t="s">
        <v>24</v>
      </c>
      <c r="B17" s="8"/>
      <c r="C17" s="8"/>
    </row>
    <row r="18" spans="1:3" s="3" customFormat="1" x14ac:dyDescent="0.3">
      <c r="A18" s="8" t="s">
        <v>25</v>
      </c>
      <c r="B18" s="8"/>
      <c r="C18" s="8"/>
    </row>
    <row r="19" spans="1:3" s="3" customFormat="1" x14ac:dyDescent="0.3">
      <c r="A19" s="8" t="s">
        <v>26</v>
      </c>
      <c r="B19" s="8"/>
      <c r="C19" s="8"/>
    </row>
    <row r="20" spans="1:3" s="3" customFormat="1" x14ac:dyDescent="0.3">
      <c r="A20" s="3" t="s">
        <v>19</v>
      </c>
    </row>
    <row r="21" spans="1:3" s="3" customFormat="1" x14ac:dyDescent="0.3"/>
    <row r="22" spans="1:3" s="3" customFormat="1" x14ac:dyDescent="0.3">
      <c r="A22" s="3" t="s">
        <v>29</v>
      </c>
    </row>
    <row r="23" spans="1:3" s="3" customFormat="1" x14ac:dyDescent="0.3">
      <c r="A23" s="3" t="s">
        <v>30</v>
      </c>
    </row>
    <row r="24" spans="1:3" s="3" customFormat="1" x14ac:dyDescent="0.3">
      <c r="A24" s="3" t="s">
        <v>31</v>
      </c>
    </row>
    <row r="25" spans="1:3" s="3" customFormat="1" x14ac:dyDescent="0.3">
      <c r="A25" s="3" t="s">
        <v>32</v>
      </c>
    </row>
    <row r="26" spans="1:3" s="3" customFormat="1" x14ac:dyDescent="0.3">
      <c r="A26" s="3" t="s">
        <v>33</v>
      </c>
    </row>
    <row r="27" spans="1:3" s="3" customFormat="1" x14ac:dyDescent="0.3">
      <c r="A27" s="3" t="s">
        <v>34</v>
      </c>
    </row>
    <row r="28" spans="1:3" s="3" customFormat="1" x14ac:dyDescent="0.3">
      <c r="A28" s="3" t="s">
        <v>35</v>
      </c>
    </row>
    <row r="29" spans="1:3" s="3" customFormat="1" x14ac:dyDescent="0.3">
      <c r="B29"/>
    </row>
    <row r="30" spans="1:3" s="3" customFormat="1" x14ac:dyDescent="0.3">
      <c r="A30" s="3" t="s">
        <v>28</v>
      </c>
      <c r="B30"/>
    </row>
    <row r="31" spans="1:3" s="3" customFormat="1" x14ac:dyDescent="0.3">
      <c r="A31" s="3" t="s">
        <v>40</v>
      </c>
      <c r="B31"/>
    </row>
    <row r="32" spans="1:3" s="3" customFormat="1" x14ac:dyDescent="0.3">
      <c r="A32" s="3" t="s">
        <v>41</v>
      </c>
      <c r="B32"/>
    </row>
    <row r="33" spans="1:2" s="3" customFormat="1" x14ac:dyDescent="0.3">
      <c r="B33"/>
    </row>
    <row r="34" spans="1:2" x14ac:dyDescent="0.3">
      <c r="A34" t="s">
        <v>36</v>
      </c>
    </row>
    <row r="35" spans="1:2" x14ac:dyDescent="0.3">
      <c r="A35" t="s">
        <v>37</v>
      </c>
    </row>
    <row r="36" spans="1:2" x14ac:dyDescent="0.3">
      <c r="A36" t="s">
        <v>38</v>
      </c>
    </row>
    <row r="37" spans="1:2" x14ac:dyDescent="0.3">
      <c r="A37" t="s">
        <v>39</v>
      </c>
    </row>
    <row r="39" spans="1:2" x14ac:dyDescent="0.3">
      <c r="A39" t="s">
        <v>49</v>
      </c>
    </row>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G9"/>
  <sheetViews>
    <sheetView workbookViewId="0">
      <selection activeCell="D10" sqref="D10"/>
    </sheetView>
  </sheetViews>
  <sheetFormatPr defaultRowHeight="16.5" x14ac:dyDescent="0.3"/>
  <cols>
    <col min="1" max="1" width="17.625" customWidth="1"/>
    <col min="2" max="2" width="27.375" customWidth="1"/>
    <col min="3" max="3" width="17.25" customWidth="1"/>
    <col min="4" max="4" width="16.75" customWidth="1"/>
    <col min="5" max="5" width="19.25" customWidth="1"/>
    <col min="6" max="6" width="11.25" customWidth="1"/>
    <col min="7" max="7" width="87.75" customWidth="1"/>
  </cols>
  <sheetData>
    <row r="1" spans="1:7" x14ac:dyDescent="0.3">
      <c r="A1" s="4" t="s">
        <v>42</v>
      </c>
      <c r="B1" s="4"/>
      <c r="C1" s="4"/>
    </row>
    <row r="3" spans="1:7" x14ac:dyDescent="0.3">
      <c r="A3" s="15">
        <v>-2.9000000000000001E-2</v>
      </c>
      <c r="B3" s="1" t="s">
        <v>50</v>
      </c>
      <c r="C3" s="14"/>
    </row>
    <row r="5" spans="1:7" x14ac:dyDescent="0.3">
      <c r="A5" s="1" t="s">
        <v>1</v>
      </c>
    </row>
    <row r="6" spans="1:7" ht="49.5" x14ac:dyDescent="0.3">
      <c r="B6" s="7" t="s">
        <v>6</v>
      </c>
      <c r="C6" s="7" t="s">
        <v>7</v>
      </c>
      <c r="D6" s="1" t="s">
        <v>2</v>
      </c>
      <c r="E6" s="1" t="s">
        <v>3</v>
      </c>
      <c r="F6" s="16" t="s">
        <v>4</v>
      </c>
      <c r="G6" s="21" t="s">
        <v>43</v>
      </c>
    </row>
    <row r="7" spans="1:7" x14ac:dyDescent="0.3">
      <c r="A7" s="1" t="s">
        <v>5</v>
      </c>
      <c r="B7" s="5">
        <v>0</v>
      </c>
      <c r="C7" s="5">
        <v>0</v>
      </c>
      <c r="D7" s="5">
        <v>-6.5000000000000002E-2</v>
      </c>
      <c r="E7" s="5">
        <v>0</v>
      </c>
      <c r="F7" s="12">
        <v>0</v>
      </c>
      <c r="G7" s="20"/>
    </row>
    <row r="8" spans="1:7" x14ac:dyDescent="0.3">
      <c r="F8" s="11"/>
      <c r="G8" s="8"/>
    </row>
    <row r="9" spans="1:7" ht="33" x14ac:dyDescent="0.3">
      <c r="A9" s="7" t="s">
        <v>8</v>
      </c>
      <c r="B9" s="10">
        <f>B7/$A$3</f>
        <v>0</v>
      </c>
      <c r="C9" s="10">
        <f>C7/$A$3</f>
        <v>0</v>
      </c>
      <c r="D9" s="10">
        <f>D7/$A$3</f>
        <v>2.2413793103448274</v>
      </c>
      <c r="E9" s="10">
        <f>E7/$A$3</f>
        <v>0</v>
      </c>
      <c r="F9" s="10">
        <f>F7/$A$3</f>
        <v>0</v>
      </c>
      <c r="G9" s="13"/>
    </row>
  </sheetData>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B9"/>
  <sheetViews>
    <sheetView tabSelected="1" workbookViewId="0">
      <selection activeCell="I13" sqref="I13"/>
    </sheetView>
  </sheetViews>
  <sheetFormatPr defaultRowHeight="16.5" x14ac:dyDescent="0.3"/>
  <cols>
    <col min="1" max="1" width="41.125" customWidth="1"/>
  </cols>
  <sheetData>
    <row r="1" spans="1:2" x14ac:dyDescent="0.3">
      <c r="A1" s="9" t="s">
        <v>20</v>
      </c>
      <c r="B1" s="17" t="s">
        <v>17</v>
      </c>
    </row>
    <row r="2" spans="1:2" x14ac:dyDescent="0.3">
      <c r="A2" t="s">
        <v>9</v>
      </c>
      <c r="B2" s="6">
        <f>Calculations!E9</f>
        <v>0</v>
      </c>
    </row>
    <row r="3" spans="1:2" x14ac:dyDescent="0.3">
      <c r="A3" s="11" t="s">
        <v>16</v>
      </c>
      <c r="B3" s="13">
        <f>Calculations!F9</f>
        <v>0</v>
      </c>
    </row>
    <row r="4" spans="1:2" x14ac:dyDescent="0.3">
      <c r="A4" t="s">
        <v>10</v>
      </c>
      <c r="B4" s="6">
        <f>Calculations!B9</f>
        <v>0</v>
      </c>
    </row>
    <row r="5" spans="1:2" x14ac:dyDescent="0.3">
      <c r="A5" t="s">
        <v>11</v>
      </c>
      <c r="B5" s="6">
        <f>Calculations!C9</f>
        <v>0</v>
      </c>
    </row>
    <row r="6" spans="1:2" x14ac:dyDescent="0.3">
      <c r="A6" t="s">
        <v>12</v>
      </c>
      <c r="B6" s="24">
        <f>Calculations!D9</f>
        <v>2.2413793103448274</v>
      </c>
    </row>
    <row r="7" spans="1:2" x14ac:dyDescent="0.3">
      <c r="A7" s="2" t="s">
        <v>13</v>
      </c>
      <c r="B7" s="2">
        <v>0</v>
      </c>
    </row>
    <row r="8" spans="1:2" x14ac:dyDescent="0.3">
      <c r="A8" s="2" t="s">
        <v>15</v>
      </c>
      <c r="B8" s="2">
        <v>0</v>
      </c>
    </row>
    <row r="9" spans="1:2" x14ac:dyDescent="0.3">
      <c r="A9" s="2" t="s">
        <v>14</v>
      </c>
      <c r="B9" s="2">
        <v>0</v>
      </c>
    </row>
  </sheetData>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9C87379D9A4242BB3A95F198D6F941" ma:contentTypeVersion="4" ma:contentTypeDescription="Create a new document." ma:contentTypeScope="" ma:versionID="07a235b40ffe2d9a960bde50f6511605">
  <xsd:schema xmlns:xsd="http://www.w3.org/2001/XMLSchema" xmlns:xs="http://www.w3.org/2001/XMLSchema" xmlns:p="http://schemas.microsoft.com/office/2006/metadata/properties" xmlns:ns2="40f4d404-d193-41dc-bb72-733c1e774208" targetNamespace="http://schemas.microsoft.com/office/2006/metadata/properties" ma:root="true" ma:fieldsID="485fc8e6f691b86ce0aee9b7e82feca0" ns2:_="">
    <xsd:import namespace="40f4d404-d193-41dc-bb72-733c1e7742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4d404-d193-41dc-bb72-733c1e7742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9E701A0-9563-495F-978E-20F095B4909C}"/>
</file>

<file path=customXml/itemProps2.xml><?xml version="1.0" encoding="utf-8"?>
<ds:datastoreItem xmlns:ds="http://schemas.openxmlformats.org/officeDocument/2006/customXml" ds:itemID="{6DCA7EF4-40A4-4081-BA9A-943CBC4056A5}"/>
</file>

<file path=customXml/itemProps3.xml><?xml version="1.0" encoding="utf-8"?>
<ds:datastoreItem xmlns:ds="http://schemas.openxmlformats.org/officeDocument/2006/customXml" ds:itemID="{8F3EA0AD-DB24-4504-AB05-207C0FA669C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About</vt:lpstr>
      <vt:lpstr>Calculations</vt:lpstr>
      <vt:lpstr>EoSEUwGDPiR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minhe</cp:lastModifiedBy>
  <dcterms:created xsi:type="dcterms:W3CDTF">2019-05-23T18:52:04Z</dcterms:created>
  <dcterms:modified xsi:type="dcterms:W3CDTF">2025-01-23T04:31:25Z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0x010100E59C87379D9A4242BB3A95F198D6F941</vt:lpwstr>
  </property>
</Properties>
</file>