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dist-heat\BFoHPbF\"/>
    </mc:Choice>
  </mc:AlternateContent>
  <xr:revisionPtr revIDLastSave="0" documentId="13_ncr:1_{90B0334B-0B92-47FC-9257-232EBAB424BF}" xr6:coauthVersionLast="47" xr6:coauthVersionMax="47" xr10:uidLastSave="{00000000-0000-0000-0000-000000000000}"/>
  <bookViews>
    <workbookView xWindow="195" yWindow="645" windowWidth="23085" windowHeight="19980" xr2:uid="{00000000-000D-0000-FFFF-FFFF00000000}"/>
  </bookViews>
  <sheets>
    <sheet name="About" sheetId="1" r:id="rId1"/>
    <sheet name="Data" sheetId="2" r:id="rId2"/>
    <sheet name="Calculation" sheetId="4" r:id="rId3"/>
    <sheet name="BFoHPbF" sheetId="3" r:id="rId4"/>
  </sheets>
  <definedNames>
    <definedName name="_xlnm._FilterDatabase" localSheetId="1" hidden="1">Data!$A$1:$E$88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H11" i="3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H10" i="3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H9" i="3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H8" i="3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H7" i="3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H5" i="3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H2" i="3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G11" i="3"/>
  <c r="G10" i="3"/>
  <c r="G9" i="3"/>
  <c r="G8" i="3"/>
  <c r="G7" i="3"/>
  <c r="G5" i="3"/>
  <c r="G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C4" i="4" l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C2" i="4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C3" i="4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D2" i="3"/>
  <c r="E2" i="3"/>
  <c r="F2" i="3"/>
  <c r="D7" i="3"/>
  <c r="E7" i="3"/>
  <c r="F7" i="3"/>
  <c r="C7" i="3"/>
  <c r="C2" i="3"/>
  <c r="F5" i="3" l="1"/>
  <c r="C5" i="3"/>
  <c r="E5" i="3"/>
  <c r="D5" i="3"/>
  <c r="D3" i="3"/>
  <c r="E3" i="3"/>
  <c r="C3" i="3"/>
  <c r="D6" i="3"/>
  <c r="E6" i="3"/>
  <c r="C6" i="3"/>
  <c r="D4" i="3" l="1"/>
  <c r="C4" i="3"/>
  <c r="E4" i="3"/>
</calcChain>
</file>

<file path=xl/sharedStrings.xml><?xml version="1.0" encoding="utf-8"?>
<sst xmlns="http://schemas.openxmlformats.org/spreadsheetml/2006/main" count="373" uniqueCount="158">
  <si>
    <t>Source:</t>
  </si>
  <si>
    <t>Note:</t>
  </si>
  <si>
    <t>electricity</t>
  </si>
  <si>
    <t>coal</t>
  </si>
  <si>
    <t>natural gas</t>
  </si>
  <si>
    <t>biomass</t>
  </si>
  <si>
    <t>petroleum diesel</t>
  </si>
  <si>
    <t>heat</t>
  </si>
  <si>
    <t>BFoHPbF BAU Fraction of Heat Provided by Fuel</t>
  </si>
  <si>
    <t>crude oil</t>
  </si>
  <si>
    <t>heavy or residual fuel oil</t>
  </si>
  <si>
    <t>LPG propane or butane</t>
  </si>
  <si>
    <t>hydrogen</t>
  </si>
  <si>
    <t>Fraction of Heat Provided by Fuel (dimensionless)</t>
  </si>
  <si>
    <t>반월열병합</t>
  </si>
  <si>
    <t>구미열병합</t>
  </si>
  <si>
    <t>논현열병합</t>
  </si>
  <si>
    <t>새만금열병합#1</t>
  </si>
  <si>
    <t>새만금열병합#2</t>
  </si>
  <si>
    <t>금호여수열병합</t>
  </si>
  <si>
    <t>금호여수열병합#2</t>
  </si>
  <si>
    <t>김천열병합</t>
  </si>
  <si>
    <t>대구그린파워(주)</t>
  </si>
  <si>
    <t>대전열병합발전(주)</t>
  </si>
  <si>
    <t>대전열병합</t>
  </si>
  <si>
    <t>디에스파워(주)</t>
  </si>
  <si>
    <t>상공에너지열병합</t>
  </si>
  <si>
    <t>서울에너지공사</t>
  </si>
  <si>
    <t>신정열병합</t>
  </si>
  <si>
    <t>목동열병합</t>
  </si>
  <si>
    <t>노원열병합</t>
  </si>
  <si>
    <t>수완에너지주식회사</t>
  </si>
  <si>
    <t>전북집단에너지(주)</t>
  </si>
  <si>
    <t>주식회사 지에스포천그린에너지</t>
  </si>
  <si>
    <t>포천그린에너지</t>
  </si>
  <si>
    <t>중부</t>
  </si>
  <si>
    <t>춘천에너지(주)</t>
  </si>
  <si>
    <t>수원열병합</t>
  </si>
  <si>
    <t>대전서남부열병합</t>
  </si>
  <si>
    <t>KPX</t>
    <phoneticPr fontId="4" type="noConversion"/>
  </si>
  <si>
    <t>Generation capacity by turbine</t>
    <phoneticPr fontId="4" type="noConversion"/>
  </si>
  <si>
    <t>http://epsis.kpx.or.kr/epsisnew/selectEkpoBcrGrid.do?menuId=020400</t>
  </si>
  <si>
    <t xml:space="preserve">Fuel use by fuel is not provided. </t>
    <phoneticPr fontId="4" type="noConversion"/>
  </si>
  <si>
    <t>통합</t>
  </si>
  <si>
    <t>Power plant</t>
    <phoneticPr fontId="4" type="noConversion"/>
  </si>
  <si>
    <t>Company</t>
    <phoneticPr fontId="4" type="noConversion"/>
  </si>
  <si>
    <t>Capacity</t>
    <phoneticPr fontId="4" type="noConversion"/>
  </si>
  <si>
    <t>Fuel</t>
    <phoneticPr fontId="4" type="noConversion"/>
  </si>
  <si>
    <t>CCGT</t>
  </si>
  <si>
    <t>CCST</t>
  </si>
  <si>
    <t>ST</t>
  </si>
  <si>
    <t>coal</t>
    <phoneticPr fontId="4" type="noConversion"/>
  </si>
  <si>
    <t>oil</t>
    <phoneticPr fontId="4" type="noConversion"/>
  </si>
  <si>
    <t>gas</t>
    <phoneticPr fontId="4" type="noConversion"/>
  </si>
  <si>
    <t>share (%)</t>
    <phoneticPr fontId="4" type="noConversion"/>
  </si>
  <si>
    <t>We use the capacity share by fuel of CHP.</t>
    <phoneticPr fontId="4" type="noConversion"/>
  </si>
  <si>
    <t>Type</t>
    <phoneticPr fontId="4" type="noConversion"/>
  </si>
  <si>
    <t>(주)GS반월열병합발전</t>
  </si>
  <si>
    <t>OCI SE 주식회사</t>
  </si>
  <si>
    <t>금호석유화학(주)</t>
  </si>
  <si>
    <t>김천에너지서비스(주)</t>
  </si>
  <si>
    <t>대구염색산업단지관리공단</t>
  </si>
  <si>
    <t>보임열병합발전 주식회사</t>
  </si>
  <si>
    <t>부산패션칼라산업협동조합</t>
  </si>
  <si>
    <t>상공에너지(주)</t>
  </si>
  <si>
    <t>에스지씨에너지(주)군산사업부문</t>
  </si>
  <si>
    <t>주식회사 GS구미열병합발전</t>
  </si>
  <si>
    <t>대구염색열병합</t>
  </si>
  <si>
    <t>보임열병합발전(주)</t>
  </si>
  <si>
    <t>부산염색열병합</t>
  </si>
  <si>
    <t>SGC에너지 #1(#1 #2 #5)</t>
  </si>
  <si>
    <t>전북집단에너지</t>
  </si>
  <si>
    <t>(주)대륜발전</t>
  </si>
  <si>
    <t>별내열병합 ST1</t>
  </si>
  <si>
    <t>별내열병합 GT1</t>
  </si>
  <si>
    <t>별내열병합 GT2</t>
  </si>
  <si>
    <t>양주열병합 GT1</t>
  </si>
  <si>
    <t>양주열병합 GT2</t>
  </si>
  <si>
    <t>양주열병합 ST1</t>
  </si>
  <si>
    <t>나래에너지서비스 주식회사</t>
  </si>
  <si>
    <t>하남열병합 GT1</t>
  </si>
  <si>
    <t>하남열병합 ST1</t>
  </si>
  <si>
    <t>위례열병합 GT1</t>
  </si>
  <si>
    <t>위례열병합 ST1</t>
  </si>
  <si>
    <t>남부</t>
  </si>
  <si>
    <t>신세종열병합GT</t>
  </si>
  <si>
    <t>신세종열병합ST</t>
  </si>
  <si>
    <t>내포그린에너지 주식회사</t>
  </si>
  <si>
    <t>내포그린에너지 열병합 발전소 GT</t>
  </si>
  <si>
    <t>내포그린에너지 열병합 발전소 ST</t>
  </si>
  <si>
    <t>대구그린파워 GT1</t>
  </si>
  <si>
    <t>대구그린파워 ST1</t>
  </si>
  <si>
    <t>명품오산열병합 GT1</t>
  </si>
  <si>
    <t>명품오산열병합 ST1</t>
  </si>
  <si>
    <t>무림파워텍(주)</t>
  </si>
  <si>
    <t>무림파워텍열병합(중앙)</t>
  </si>
  <si>
    <t>서부</t>
  </si>
  <si>
    <t>김포열병합 GT</t>
  </si>
  <si>
    <t>김포열병합 ST</t>
  </si>
  <si>
    <t>수완열병합 GT1</t>
  </si>
  <si>
    <t>수완열병합 GT2</t>
  </si>
  <si>
    <t>수완열병합 ST1</t>
  </si>
  <si>
    <t>안산도시개발(주)</t>
  </si>
  <si>
    <t>안산도시개발열병합</t>
  </si>
  <si>
    <t>위드인천에너지 주식회사</t>
  </si>
  <si>
    <t>인천공항에너지(주)</t>
  </si>
  <si>
    <t>인천공항복합 ST1</t>
  </si>
  <si>
    <t>인천공항복합 GT1</t>
  </si>
  <si>
    <t>인천공항복합 GT2</t>
  </si>
  <si>
    <t>인천종합에너지(주)</t>
  </si>
  <si>
    <t>송도열병합 ST1</t>
  </si>
  <si>
    <t>송도열병합 GT1</t>
  </si>
  <si>
    <t>송도열병합 GT2</t>
  </si>
  <si>
    <t>세종열병합 ST1</t>
  </si>
  <si>
    <t>세종열병합 GT1</t>
  </si>
  <si>
    <t>세종열병합 GT2</t>
  </si>
  <si>
    <t>지에스파워(주)</t>
  </si>
  <si>
    <t>부천복합 GT1</t>
  </si>
  <si>
    <t>부천복합 GT2</t>
  </si>
  <si>
    <t>부천복합 GT3</t>
  </si>
  <si>
    <t>부천복합 ST1</t>
  </si>
  <si>
    <t>안양열병합2-1CC GT1</t>
  </si>
  <si>
    <t>안양열병합2-1CC ST1</t>
  </si>
  <si>
    <t>안양열병합2-2CC GT</t>
  </si>
  <si>
    <t>안양열병합2-2CC ST</t>
  </si>
  <si>
    <t>춘천열병합 GT1</t>
  </si>
  <si>
    <t>춘천열병합 ST1</t>
  </si>
  <si>
    <t>한국지역난방공사</t>
  </si>
  <si>
    <t>대구열병합1GT</t>
  </si>
  <si>
    <t>대구열병합1ST</t>
  </si>
  <si>
    <t>화성열병합 GT1</t>
  </si>
  <si>
    <t>화성열병합 GT2</t>
  </si>
  <si>
    <t>화성열병합 ST1</t>
  </si>
  <si>
    <t>판교열병합 GT1</t>
  </si>
  <si>
    <t>판교열병합 ST1</t>
  </si>
  <si>
    <t>파주열병합 ST1</t>
  </si>
  <si>
    <t>파주열병합 GT1</t>
  </si>
  <si>
    <t>파주열병합 GT2</t>
  </si>
  <si>
    <t>동탄열병합 CC1 GT1</t>
  </si>
  <si>
    <t>동탄열병합 CC1 ST1</t>
  </si>
  <si>
    <t>동탄열병합 CC2 GT2</t>
  </si>
  <si>
    <t>동탄열병합 CC2 ST2</t>
  </si>
  <si>
    <t>수원광교열병합 GT1</t>
  </si>
  <si>
    <t>수원광교열병합 ST1</t>
  </si>
  <si>
    <t>양산열병합1GT</t>
  </si>
  <si>
    <t>양산열병합1ST</t>
  </si>
  <si>
    <t>한국토지주택공사 대전에너지사업단</t>
  </si>
  <si>
    <t>한국토지주택공사 아산에너지사업단</t>
  </si>
  <si>
    <t>아산배방열병합 ST1</t>
  </si>
  <si>
    <t>아산배방열병합 GT1</t>
  </si>
  <si>
    <t>아산배방열병합 GT2</t>
  </si>
  <si>
    <t>ST</t>
    <phoneticPr fontId="4" type="noConversion"/>
  </si>
  <si>
    <t>coal</t>
    <phoneticPr fontId="4" type="noConversion"/>
  </si>
  <si>
    <t>gas</t>
    <phoneticPr fontId="4" type="noConversion"/>
  </si>
  <si>
    <t>oil</t>
    <phoneticPr fontId="4" type="noConversion"/>
  </si>
  <si>
    <t>CCGT</t>
    <phoneticPr fontId="4" type="noConversion"/>
  </si>
  <si>
    <t>CCST</t>
    <phoneticPr fontId="4" type="noConversion"/>
  </si>
  <si>
    <t>etc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</si>
</sst>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0"/>
      <color theme="4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3"/>
      <color indexed="0"/>
      <name val="맑은 고딕"/>
      <family val="3"/>
      <charset val="129"/>
    </font>
    <font>
      <sz val="10"/>
      <color rgb="FF31393F"/>
      <name val="맑은 고딕"/>
      <family val="3"/>
      <charset val="129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1" applyAlignment="1" applyProtection="1"/>
    <xf numFmtId="0" fontId="1" fillId="0" borderId="0" xfId="0" applyFont="1" applyAlignment="1">
      <alignment wrapText="1"/>
    </xf>
    <xf numFmtId="0" fontId="5" fillId="0" borderId="0" xfId="3">
      <alignment vertical="center"/>
    </xf>
    <xf numFmtId="9" fontId="0" fillId="0" borderId="0" xfId="2" applyFont="1" applyAlignment="1"/>
    <xf numFmtId="176" fontId="0" fillId="0" borderId="0" xfId="0" applyNumberFormat="1"/>
    <xf numFmtId="0" fontId="6" fillId="0" borderId="1" xfId="0" applyFont="1" applyBorder="1" applyAlignment="1">
      <alignment horizontal="left" vertical="top"/>
    </xf>
    <xf numFmtId="4" fontId="6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</cellXfs>
  <cellStyles count="4">
    <cellStyle name="백분율" xfId="2" builtinId="5"/>
    <cellStyle name="표준" xfId="0" builtinId="0"/>
    <cellStyle name="표준 2" xfId="3" xr:uid="{A1125AFF-6B06-47FC-8546-E1E154F31157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12" sqref="E12"/>
    </sheetView>
  </sheetViews>
  <sheetFormatPr defaultRowHeight="16.5" x14ac:dyDescent="0.3"/>
  <cols>
    <col min="2" max="2" width="58.125" customWidth="1"/>
  </cols>
  <sheetData>
    <row r="1" spans="1:2" x14ac:dyDescent="0.3">
      <c r="A1" s="1" t="s">
        <v>8</v>
      </c>
    </row>
    <row r="3" spans="1:2" x14ac:dyDescent="0.3">
      <c r="A3" s="1" t="s">
        <v>0</v>
      </c>
      <c r="B3" t="s">
        <v>39</v>
      </c>
    </row>
    <row r="4" spans="1:2" x14ac:dyDescent="0.3">
      <c r="B4" s="10">
        <v>2024</v>
      </c>
    </row>
    <row r="5" spans="1:2" x14ac:dyDescent="0.3">
      <c r="B5" t="s">
        <v>40</v>
      </c>
    </row>
    <row r="6" spans="1:2" x14ac:dyDescent="0.3">
      <c r="B6" s="3" t="s">
        <v>41</v>
      </c>
    </row>
    <row r="9" spans="1:2" x14ac:dyDescent="0.3">
      <c r="A9" s="1" t="s">
        <v>1</v>
      </c>
    </row>
    <row r="10" spans="1:2" x14ac:dyDescent="0.3">
      <c r="A10" t="s">
        <v>42</v>
      </c>
    </row>
    <row r="11" spans="1:2" x14ac:dyDescent="0.3">
      <c r="A11" t="s">
        <v>55</v>
      </c>
    </row>
    <row r="18" spans="1:1" x14ac:dyDescent="0.3">
      <c r="A18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8"/>
  <sheetViews>
    <sheetView zoomScaleNormal="100" workbookViewId="0">
      <selection activeCell="G13" sqref="G13"/>
    </sheetView>
  </sheetViews>
  <sheetFormatPr defaultRowHeight="16.5" x14ac:dyDescent="0.3"/>
  <cols>
    <col min="1" max="1" width="34.125" bestFit="1" customWidth="1"/>
    <col min="2" max="2" width="22.5" bestFit="1" customWidth="1"/>
    <col min="3" max="3" width="10.75" bestFit="1" customWidth="1"/>
    <col min="4" max="4" width="7.875" bestFit="1" customWidth="1"/>
    <col min="5" max="5" width="10" bestFit="1" customWidth="1"/>
    <col min="7" max="7" width="20.75" bestFit="1" customWidth="1"/>
  </cols>
  <sheetData>
    <row r="1" spans="1:5" ht="19.5" x14ac:dyDescent="0.3">
      <c r="A1" s="5" t="s">
        <v>45</v>
      </c>
      <c r="B1" s="5" t="s">
        <v>44</v>
      </c>
      <c r="C1" s="5" t="s">
        <v>46</v>
      </c>
      <c r="D1" s="5" t="s">
        <v>47</v>
      </c>
      <c r="E1" s="5" t="s">
        <v>56</v>
      </c>
    </row>
    <row r="2" spans="1:5" x14ac:dyDescent="0.3">
      <c r="A2" s="8" t="s">
        <v>57</v>
      </c>
      <c r="B2" s="8" t="s">
        <v>14</v>
      </c>
      <c r="C2" s="9">
        <v>83.454999999999998</v>
      </c>
      <c r="D2" t="s">
        <v>152</v>
      </c>
      <c r="E2" t="s">
        <v>151</v>
      </c>
    </row>
    <row r="3" spans="1:5" x14ac:dyDescent="0.3">
      <c r="A3" s="8" t="s">
        <v>72</v>
      </c>
      <c r="B3" s="8" t="s">
        <v>73</v>
      </c>
      <c r="C3" s="9">
        <v>35.35</v>
      </c>
      <c r="D3" t="s">
        <v>153</v>
      </c>
      <c r="E3" t="s">
        <v>156</v>
      </c>
    </row>
    <row r="4" spans="1:5" x14ac:dyDescent="0.3">
      <c r="A4" s="8" t="s">
        <v>72</v>
      </c>
      <c r="B4" s="8" t="s">
        <v>74</v>
      </c>
      <c r="C4" s="9">
        <v>40.03</v>
      </c>
      <c r="D4" t="s">
        <v>153</v>
      </c>
      <c r="E4" t="s">
        <v>155</v>
      </c>
    </row>
    <row r="5" spans="1:5" x14ac:dyDescent="0.3">
      <c r="A5" s="8" t="s">
        <v>72</v>
      </c>
      <c r="B5" s="8" t="s">
        <v>75</v>
      </c>
      <c r="C5" s="9">
        <v>40.03</v>
      </c>
      <c r="D5" t="s">
        <v>153</v>
      </c>
      <c r="E5" t="s">
        <v>155</v>
      </c>
    </row>
    <row r="6" spans="1:5" x14ac:dyDescent="0.3">
      <c r="A6" s="8" t="s">
        <v>72</v>
      </c>
      <c r="B6" s="8" t="s">
        <v>76</v>
      </c>
      <c r="C6" s="9">
        <v>165</v>
      </c>
      <c r="D6" t="s">
        <v>153</v>
      </c>
      <c r="E6" t="s">
        <v>155</v>
      </c>
    </row>
    <row r="7" spans="1:5" x14ac:dyDescent="0.3">
      <c r="A7" s="8" t="s">
        <v>72</v>
      </c>
      <c r="B7" s="8" t="s">
        <v>77</v>
      </c>
      <c r="C7" s="9">
        <v>165</v>
      </c>
      <c r="D7" t="s">
        <v>153</v>
      </c>
      <c r="E7" t="s">
        <v>155</v>
      </c>
    </row>
    <row r="8" spans="1:5" x14ac:dyDescent="0.3">
      <c r="A8" s="8" t="s">
        <v>72</v>
      </c>
      <c r="B8" s="8" t="s">
        <v>78</v>
      </c>
      <c r="C8" s="9">
        <v>194.3</v>
      </c>
      <c r="D8" t="s">
        <v>153</v>
      </c>
      <c r="E8" t="s">
        <v>156</v>
      </c>
    </row>
    <row r="9" spans="1:5" x14ac:dyDescent="0.3">
      <c r="A9" s="8" t="s">
        <v>58</v>
      </c>
      <c r="B9" s="8" t="s">
        <v>17</v>
      </c>
      <c r="C9" s="9">
        <v>151.5</v>
      </c>
      <c r="D9" t="s">
        <v>152</v>
      </c>
      <c r="E9" t="s">
        <v>151</v>
      </c>
    </row>
    <row r="10" spans="1:5" x14ac:dyDescent="0.3">
      <c r="A10" s="8" t="s">
        <v>58</v>
      </c>
      <c r="B10" s="8" t="s">
        <v>18</v>
      </c>
      <c r="C10" s="9">
        <v>151.5</v>
      </c>
      <c r="D10" t="s">
        <v>152</v>
      </c>
      <c r="E10" t="s">
        <v>151</v>
      </c>
    </row>
    <row r="11" spans="1:5" x14ac:dyDescent="0.3">
      <c r="A11" s="8" t="s">
        <v>59</v>
      </c>
      <c r="B11" s="8" t="s">
        <v>19</v>
      </c>
      <c r="C11" s="9">
        <v>119.13</v>
      </c>
      <c r="D11" t="s">
        <v>152</v>
      </c>
      <c r="E11" t="s">
        <v>151</v>
      </c>
    </row>
    <row r="12" spans="1:5" x14ac:dyDescent="0.3">
      <c r="A12" s="8" t="s">
        <v>59</v>
      </c>
      <c r="B12" s="8" t="s">
        <v>20</v>
      </c>
      <c r="C12" s="9">
        <v>144.97</v>
      </c>
      <c r="D12" t="s">
        <v>152</v>
      </c>
      <c r="E12" t="s">
        <v>151</v>
      </c>
    </row>
    <row r="13" spans="1:5" x14ac:dyDescent="0.3">
      <c r="A13" s="8" t="s">
        <v>60</v>
      </c>
      <c r="B13" s="8" t="s">
        <v>21</v>
      </c>
      <c r="C13" s="9">
        <v>59</v>
      </c>
      <c r="D13" t="s">
        <v>152</v>
      </c>
      <c r="E13" t="s">
        <v>151</v>
      </c>
    </row>
    <row r="14" spans="1:5" x14ac:dyDescent="0.3">
      <c r="A14" s="8" t="s">
        <v>79</v>
      </c>
      <c r="B14" s="8" t="s">
        <v>80</v>
      </c>
      <c r="C14" s="9">
        <v>240.75</v>
      </c>
      <c r="D14" t="s">
        <v>153</v>
      </c>
      <c r="E14" t="s">
        <v>155</v>
      </c>
    </row>
    <row r="15" spans="1:5" x14ac:dyDescent="0.3">
      <c r="A15" s="8" t="s">
        <v>79</v>
      </c>
      <c r="B15" s="8" t="s">
        <v>81</v>
      </c>
      <c r="C15" s="9">
        <v>123.06100000000001</v>
      </c>
      <c r="D15" t="s">
        <v>153</v>
      </c>
      <c r="E15" t="s">
        <v>156</v>
      </c>
    </row>
    <row r="16" spans="1:5" x14ac:dyDescent="0.3">
      <c r="A16" s="8" t="s">
        <v>79</v>
      </c>
      <c r="B16" s="8" t="s">
        <v>82</v>
      </c>
      <c r="C16" s="9">
        <v>270.39999999999998</v>
      </c>
      <c r="D16" t="s">
        <v>153</v>
      </c>
      <c r="E16" t="s">
        <v>155</v>
      </c>
    </row>
    <row r="17" spans="1:5" x14ac:dyDescent="0.3">
      <c r="A17" s="8" t="s">
        <v>79</v>
      </c>
      <c r="B17" s="8" t="s">
        <v>83</v>
      </c>
      <c r="C17" s="9">
        <v>142.19999999999999</v>
      </c>
      <c r="D17" t="s">
        <v>153</v>
      </c>
      <c r="E17" t="s">
        <v>156</v>
      </c>
    </row>
    <row r="18" spans="1:5" x14ac:dyDescent="0.3">
      <c r="A18" s="8" t="s">
        <v>84</v>
      </c>
      <c r="B18" s="8" t="s">
        <v>85</v>
      </c>
      <c r="C18" s="9">
        <v>395.37099999999998</v>
      </c>
      <c r="D18" t="s">
        <v>153</v>
      </c>
      <c r="E18" t="s">
        <v>155</v>
      </c>
    </row>
    <row r="19" spans="1:5" x14ac:dyDescent="0.3">
      <c r="A19" s="8" t="s">
        <v>84</v>
      </c>
      <c r="B19" s="8" t="s">
        <v>86</v>
      </c>
      <c r="C19" s="9">
        <v>201.8</v>
      </c>
      <c r="D19" t="s">
        <v>153</v>
      </c>
      <c r="E19" t="s">
        <v>156</v>
      </c>
    </row>
    <row r="20" spans="1:5" x14ac:dyDescent="0.3">
      <c r="A20" s="8" t="s">
        <v>87</v>
      </c>
      <c r="B20" s="8" t="s">
        <v>88</v>
      </c>
      <c r="C20" s="9">
        <v>329</v>
      </c>
      <c r="D20" t="s">
        <v>153</v>
      </c>
      <c r="E20" t="s">
        <v>155</v>
      </c>
    </row>
    <row r="21" spans="1:5" x14ac:dyDescent="0.3">
      <c r="A21" s="8" t="s">
        <v>87</v>
      </c>
      <c r="B21" s="8" t="s">
        <v>89</v>
      </c>
      <c r="C21" s="9">
        <v>166</v>
      </c>
      <c r="D21" t="s">
        <v>153</v>
      </c>
      <c r="E21" t="s">
        <v>156</v>
      </c>
    </row>
    <row r="22" spans="1:5" x14ac:dyDescent="0.3">
      <c r="A22" s="8" t="s">
        <v>22</v>
      </c>
      <c r="B22" s="8" t="s">
        <v>90</v>
      </c>
      <c r="C22" s="9">
        <v>239.9</v>
      </c>
      <c r="D22" t="s">
        <v>153</v>
      </c>
      <c r="E22" t="s">
        <v>155</v>
      </c>
    </row>
    <row r="23" spans="1:5" x14ac:dyDescent="0.3">
      <c r="A23" s="8" t="s">
        <v>22</v>
      </c>
      <c r="B23" s="8" t="s">
        <v>91</v>
      </c>
      <c r="C23" s="9">
        <v>130.80000000000001</v>
      </c>
      <c r="D23" t="s">
        <v>153</v>
      </c>
      <c r="E23" t="s">
        <v>156</v>
      </c>
    </row>
    <row r="24" spans="1:5" x14ac:dyDescent="0.3">
      <c r="A24" s="8" t="s">
        <v>61</v>
      </c>
      <c r="B24" s="8" t="s">
        <v>67</v>
      </c>
      <c r="C24" s="9">
        <v>72.900000000000006</v>
      </c>
      <c r="D24" t="s">
        <v>152</v>
      </c>
      <c r="E24" t="s">
        <v>151</v>
      </c>
    </row>
    <row r="25" spans="1:5" x14ac:dyDescent="0.3">
      <c r="A25" s="8" t="s">
        <v>23</v>
      </c>
      <c r="B25" s="8" t="s">
        <v>24</v>
      </c>
      <c r="C25" s="9">
        <v>88</v>
      </c>
      <c r="D25" t="s">
        <v>154</v>
      </c>
      <c r="E25" t="s">
        <v>157</v>
      </c>
    </row>
    <row r="26" spans="1:5" x14ac:dyDescent="0.3">
      <c r="A26" s="8" t="s">
        <v>25</v>
      </c>
      <c r="B26" s="8" t="s">
        <v>92</v>
      </c>
      <c r="C26" s="9">
        <v>289.3</v>
      </c>
      <c r="D26" t="s">
        <v>153</v>
      </c>
      <c r="E26" t="s">
        <v>155</v>
      </c>
    </row>
    <row r="27" spans="1:5" x14ac:dyDescent="0.3">
      <c r="A27" s="8" t="s">
        <v>25</v>
      </c>
      <c r="B27" s="8" t="s">
        <v>93</v>
      </c>
      <c r="C27" s="9">
        <v>146.80000000000001</v>
      </c>
      <c r="D27" t="s">
        <v>153</v>
      </c>
      <c r="E27" t="s">
        <v>156</v>
      </c>
    </row>
    <row r="28" spans="1:5" x14ac:dyDescent="0.3">
      <c r="A28" s="8" t="s">
        <v>94</v>
      </c>
      <c r="B28" s="8" t="s">
        <v>95</v>
      </c>
      <c r="C28" s="9">
        <v>26.3</v>
      </c>
      <c r="D28" t="s">
        <v>154</v>
      </c>
      <c r="E28" t="s">
        <v>151</v>
      </c>
    </row>
    <row r="29" spans="1:5" x14ac:dyDescent="0.3">
      <c r="A29" s="8" t="s">
        <v>62</v>
      </c>
      <c r="B29" s="8" t="s">
        <v>68</v>
      </c>
      <c r="C29" s="9">
        <v>48.4</v>
      </c>
      <c r="D29" t="s">
        <v>152</v>
      </c>
      <c r="E29" t="s">
        <v>151</v>
      </c>
    </row>
    <row r="30" spans="1:5" x14ac:dyDescent="0.3">
      <c r="A30" s="8" t="s">
        <v>63</v>
      </c>
      <c r="B30" s="8" t="s">
        <v>69</v>
      </c>
      <c r="C30" s="9">
        <v>19</v>
      </c>
      <c r="D30" t="s">
        <v>152</v>
      </c>
      <c r="E30" t="s">
        <v>151</v>
      </c>
    </row>
    <row r="31" spans="1:5" x14ac:dyDescent="0.3">
      <c r="A31" s="8" t="s">
        <v>64</v>
      </c>
      <c r="B31" s="8" t="s">
        <v>26</v>
      </c>
      <c r="C31" s="9">
        <v>9.8000000000000007</v>
      </c>
      <c r="D31" t="s">
        <v>152</v>
      </c>
      <c r="E31" t="s">
        <v>151</v>
      </c>
    </row>
    <row r="32" spans="1:5" x14ac:dyDescent="0.3">
      <c r="A32" s="8" t="s">
        <v>96</v>
      </c>
      <c r="B32" s="8" t="s">
        <v>97</v>
      </c>
      <c r="C32" s="9">
        <v>229.62</v>
      </c>
      <c r="D32" t="s">
        <v>153</v>
      </c>
      <c r="E32" t="s">
        <v>155</v>
      </c>
    </row>
    <row r="33" spans="1:5" x14ac:dyDescent="0.3">
      <c r="A33" s="8" t="s">
        <v>96</v>
      </c>
      <c r="B33" s="8" t="s">
        <v>98</v>
      </c>
      <c r="C33" s="9">
        <v>120.84</v>
      </c>
      <c r="D33" t="s">
        <v>153</v>
      </c>
      <c r="E33" t="s">
        <v>156</v>
      </c>
    </row>
    <row r="34" spans="1:5" x14ac:dyDescent="0.3">
      <c r="A34" s="8" t="s">
        <v>27</v>
      </c>
      <c r="B34" s="8" t="s">
        <v>29</v>
      </c>
      <c r="C34" s="9">
        <v>21</v>
      </c>
      <c r="D34" t="s">
        <v>153</v>
      </c>
      <c r="E34" t="s">
        <v>151</v>
      </c>
    </row>
    <row r="35" spans="1:5" x14ac:dyDescent="0.3">
      <c r="A35" s="8" t="s">
        <v>27</v>
      </c>
      <c r="B35" s="8" t="s">
        <v>30</v>
      </c>
      <c r="C35" s="9">
        <v>37</v>
      </c>
      <c r="D35" t="s">
        <v>153</v>
      </c>
      <c r="E35" t="s">
        <v>151</v>
      </c>
    </row>
    <row r="36" spans="1:5" x14ac:dyDescent="0.3">
      <c r="A36" s="8" t="s">
        <v>27</v>
      </c>
      <c r="B36" s="8" t="s">
        <v>28</v>
      </c>
      <c r="C36" s="9">
        <v>6</v>
      </c>
      <c r="D36" t="s">
        <v>153</v>
      </c>
      <c r="E36" t="s">
        <v>151</v>
      </c>
    </row>
    <row r="37" spans="1:5" x14ac:dyDescent="0.3">
      <c r="A37" s="8" t="s">
        <v>31</v>
      </c>
      <c r="B37" s="8" t="s">
        <v>99</v>
      </c>
      <c r="C37" s="9">
        <v>40.033000000000001</v>
      </c>
      <c r="D37" t="s">
        <v>153</v>
      </c>
      <c r="E37" t="s">
        <v>155</v>
      </c>
    </row>
    <row r="38" spans="1:5" x14ac:dyDescent="0.3">
      <c r="A38" s="8" t="s">
        <v>31</v>
      </c>
      <c r="B38" s="8" t="s">
        <v>100</v>
      </c>
      <c r="C38" s="9">
        <v>40.033000000000001</v>
      </c>
      <c r="D38" t="s">
        <v>153</v>
      </c>
      <c r="E38" t="s">
        <v>155</v>
      </c>
    </row>
    <row r="39" spans="1:5" x14ac:dyDescent="0.3">
      <c r="A39" s="8" t="s">
        <v>31</v>
      </c>
      <c r="B39" s="8" t="s">
        <v>101</v>
      </c>
      <c r="C39" s="9">
        <v>35.18</v>
      </c>
      <c r="D39" t="s">
        <v>153</v>
      </c>
      <c r="E39" t="s">
        <v>156</v>
      </c>
    </row>
    <row r="40" spans="1:5" x14ac:dyDescent="0.3">
      <c r="A40" s="8" t="s">
        <v>102</v>
      </c>
      <c r="B40" s="8" t="s">
        <v>103</v>
      </c>
      <c r="C40" s="9">
        <v>60</v>
      </c>
      <c r="D40" t="s">
        <v>153</v>
      </c>
      <c r="E40" t="s">
        <v>151</v>
      </c>
    </row>
    <row r="41" spans="1:5" x14ac:dyDescent="0.3">
      <c r="A41" s="8" t="s">
        <v>65</v>
      </c>
      <c r="B41" s="8" t="s">
        <v>70</v>
      </c>
      <c r="C41" s="9">
        <v>113.569</v>
      </c>
      <c r="D41" t="s">
        <v>152</v>
      </c>
      <c r="E41" t="s">
        <v>151</v>
      </c>
    </row>
    <row r="42" spans="1:5" x14ac:dyDescent="0.3">
      <c r="A42" s="8" t="s">
        <v>104</v>
      </c>
      <c r="B42" s="8" t="s">
        <v>16</v>
      </c>
      <c r="C42" s="9">
        <v>24</v>
      </c>
      <c r="D42" t="s">
        <v>153</v>
      </c>
      <c r="E42" t="s">
        <v>151</v>
      </c>
    </row>
    <row r="43" spans="1:5" x14ac:dyDescent="0.3">
      <c r="A43" s="8" t="s">
        <v>105</v>
      </c>
      <c r="B43" s="8" t="s">
        <v>106</v>
      </c>
      <c r="C43" s="9">
        <v>33</v>
      </c>
      <c r="D43" t="s">
        <v>153</v>
      </c>
      <c r="E43" t="s">
        <v>156</v>
      </c>
    </row>
    <row r="44" spans="1:5" x14ac:dyDescent="0.3">
      <c r="A44" s="8" t="s">
        <v>105</v>
      </c>
      <c r="B44" s="8" t="s">
        <v>107</v>
      </c>
      <c r="C44" s="9">
        <v>47</v>
      </c>
      <c r="D44" t="s">
        <v>153</v>
      </c>
      <c r="E44" t="s">
        <v>48</v>
      </c>
    </row>
    <row r="45" spans="1:5" x14ac:dyDescent="0.3">
      <c r="A45" s="8" t="s">
        <v>105</v>
      </c>
      <c r="B45" s="8" t="s">
        <v>108</v>
      </c>
      <c r="C45" s="9">
        <v>47</v>
      </c>
      <c r="D45" t="s">
        <v>153</v>
      </c>
      <c r="E45" t="s">
        <v>48</v>
      </c>
    </row>
    <row r="46" spans="1:5" x14ac:dyDescent="0.3">
      <c r="A46" s="8" t="s">
        <v>109</v>
      </c>
      <c r="B46" s="8" t="s">
        <v>110</v>
      </c>
      <c r="C46" s="9">
        <v>52.4</v>
      </c>
      <c r="D46" t="s">
        <v>153</v>
      </c>
      <c r="E46" t="s">
        <v>49</v>
      </c>
    </row>
    <row r="47" spans="1:5" x14ac:dyDescent="0.3">
      <c r="A47" s="8" t="s">
        <v>109</v>
      </c>
      <c r="B47" s="8" t="s">
        <v>111</v>
      </c>
      <c r="C47" s="9">
        <v>67.45</v>
      </c>
      <c r="D47" t="s">
        <v>153</v>
      </c>
      <c r="E47" t="s">
        <v>48</v>
      </c>
    </row>
    <row r="48" spans="1:5" x14ac:dyDescent="0.3">
      <c r="A48" s="8" t="s">
        <v>109</v>
      </c>
      <c r="B48" s="8" t="s">
        <v>112</v>
      </c>
      <c r="C48" s="9">
        <v>67.45</v>
      </c>
      <c r="D48" t="s">
        <v>153</v>
      </c>
      <c r="E48" t="s">
        <v>48</v>
      </c>
    </row>
    <row r="49" spans="1:5" x14ac:dyDescent="0.3">
      <c r="A49" s="8" t="s">
        <v>32</v>
      </c>
      <c r="B49" s="8" t="s">
        <v>71</v>
      </c>
      <c r="C49" s="9">
        <v>19</v>
      </c>
      <c r="D49" t="s">
        <v>152</v>
      </c>
      <c r="E49" t="s">
        <v>50</v>
      </c>
    </row>
    <row r="50" spans="1:5" x14ac:dyDescent="0.3">
      <c r="A50" s="8" t="s">
        <v>66</v>
      </c>
      <c r="B50" s="8" t="s">
        <v>15</v>
      </c>
      <c r="C50" s="9">
        <v>97.1</v>
      </c>
      <c r="D50" t="s">
        <v>152</v>
      </c>
      <c r="E50" t="s">
        <v>50</v>
      </c>
    </row>
    <row r="51" spans="1:5" x14ac:dyDescent="0.3">
      <c r="A51" s="8" t="s">
        <v>33</v>
      </c>
      <c r="B51" s="8" t="s">
        <v>34</v>
      </c>
      <c r="C51" s="9">
        <v>169.9</v>
      </c>
      <c r="D51" t="s">
        <v>152</v>
      </c>
      <c r="E51" t="s">
        <v>50</v>
      </c>
    </row>
    <row r="52" spans="1:5" x14ac:dyDescent="0.3">
      <c r="A52" s="8" t="s">
        <v>35</v>
      </c>
      <c r="B52" s="8" t="s">
        <v>113</v>
      </c>
      <c r="C52" s="9">
        <v>196.233</v>
      </c>
      <c r="D52" t="s">
        <v>153</v>
      </c>
      <c r="E52" t="s">
        <v>49</v>
      </c>
    </row>
    <row r="53" spans="1:5" x14ac:dyDescent="0.3">
      <c r="A53" s="8" t="s">
        <v>35</v>
      </c>
      <c r="B53" s="8" t="s">
        <v>114</v>
      </c>
      <c r="C53" s="9">
        <v>167.10400000000001</v>
      </c>
      <c r="D53" t="s">
        <v>153</v>
      </c>
      <c r="E53" t="s">
        <v>48</v>
      </c>
    </row>
    <row r="54" spans="1:5" x14ac:dyDescent="0.3">
      <c r="A54" s="8" t="s">
        <v>35</v>
      </c>
      <c r="B54" s="8" t="s">
        <v>115</v>
      </c>
      <c r="C54" s="9">
        <v>167.10400000000001</v>
      </c>
      <c r="D54" t="s">
        <v>153</v>
      </c>
      <c r="E54" t="s">
        <v>48</v>
      </c>
    </row>
    <row r="55" spans="1:5" x14ac:dyDescent="0.3">
      <c r="A55" s="8" t="s">
        <v>116</v>
      </c>
      <c r="B55" s="8" t="s">
        <v>117</v>
      </c>
      <c r="C55" s="9">
        <v>100</v>
      </c>
      <c r="D55" t="s">
        <v>153</v>
      </c>
      <c r="E55" t="s">
        <v>48</v>
      </c>
    </row>
    <row r="56" spans="1:5" x14ac:dyDescent="0.3">
      <c r="A56" s="8" t="s">
        <v>116</v>
      </c>
      <c r="B56" s="8" t="s">
        <v>118</v>
      </c>
      <c r="C56" s="9">
        <v>100</v>
      </c>
      <c r="D56" t="s">
        <v>153</v>
      </c>
      <c r="E56" t="s">
        <v>48</v>
      </c>
    </row>
    <row r="57" spans="1:5" x14ac:dyDescent="0.3">
      <c r="A57" s="8" t="s">
        <v>116</v>
      </c>
      <c r="B57" s="8" t="s">
        <v>119</v>
      </c>
      <c r="C57" s="9">
        <v>100</v>
      </c>
      <c r="D57" t="s">
        <v>153</v>
      </c>
      <c r="E57" t="s">
        <v>48</v>
      </c>
    </row>
    <row r="58" spans="1:5" x14ac:dyDescent="0.3">
      <c r="A58" s="8" t="s">
        <v>116</v>
      </c>
      <c r="B58" s="8" t="s">
        <v>120</v>
      </c>
      <c r="C58" s="9">
        <v>150</v>
      </c>
      <c r="D58" t="s">
        <v>153</v>
      </c>
      <c r="E58" t="s">
        <v>49</v>
      </c>
    </row>
    <row r="59" spans="1:5" x14ac:dyDescent="0.3">
      <c r="A59" s="8" t="s">
        <v>116</v>
      </c>
      <c r="B59" s="8" t="s">
        <v>121</v>
      </c>
      <c r="C59" s="9">
        <v>320.72000000000003</v>
      </c>
      <c r="D59" t="s">
        <v>153</v>
      </c>
      <c r="E59" t="s">
        <v>48</v>
      </c>
    </row>
    <row r="60" spans="1:5" x14ac:dyDescent="0.3">
      <c r="A60" s="8" t="s">
        <v>116</v>
      </c>
      <c r="B60" s="8" t="s">
        <v>122</v>
      </c>
      <c r="C60" s="9">
        <v>160.97</v>
      </c>
      <c r="D60" t="s">
        <v>153</v>
      </c>
      <c r="E60" t="s">
        <v>49</v>
      </c>
    </row>
    <row r="61" spans="1:5" x14ac:dyDescent="0.3">
      <c r="A61" s="8" t="s">
        <v>116</v>
      </c>
      <c r="B61" s="8" t="s">
        <v>123</v>
      </c>
      <c r="C61" s="9">
        <v>320.72000000000003</v>
      </c>
      <c r="D61" t="s">
        <v>153</v>
      </c>
      <c r="E61" t="s">
        <v>48</v>
      </c>
    </row>
    <row r="62" spans="1:5" x14ac:dyDescent="0.3">
      <c r="A62" s="8" t="s">
        <v>116</v>
      </c>
      <c r="B62" s="8" t="s">
        <v>124</v>
      </c>
      <c r="C62" s="9">
        <v>160.97</v>
      </c>
      <c r="D62" t="s">
        <v>153</v>
      </c>
      <c r="E62" t="s">
        <v>49</v>
      </c>
    </row>
    <row r="63" spans="1:5" x14ac:dyDescent="0.3">
      <c r="A63" s="8" t="s">
        <v>36</v>
      </c>
      <c r="B63" s="8" t="s">
        <v>125</v>
      </c>
      <c r="C63" s="9">
        <v>287.8</v>
      </c>
      <c r="D63" t="s">
        <v>153</v>
      </c>
      <c r="E63" t="s">
        <v>48</v>
      </c>
    </row>
    <row r="64" spans="1:5" x14ac:dyDescent="0.3">
      <c r="A64" s="8" t="s">
        <v>36</v>
      </c>
      <c r="B64" s="8" t="s">
        <v>126</v>
      </c>
      <c r="C64" s="9">
        <v>143.4</v>
      </c>
      <c r="D64" t="s">
        <v>153</v>
      </c>
      <c r="E64" t="s">
        <v>49</v>
      </c>
    </row>
    <row r="65" spans="1:5" x14ac:dyDescent="0.3">
      <c r="A65" s="8" t="s">
        <v>127</v>
      </c>
      <c r="B65" s="8" t="s">
        <v>128</v>
      </c>
      <c r="C65" s="9">
        <v>166.655</v>
      </c>
      <c r="D65" t="s">
        <v>153</v>
      </c>
      <c r="E65" t="s">
        <v>50</v>
      </c>
    </row>
    <row r="66" spans="1:5" x14ac:dyDescent="0.3">
      <c r="A66" s="8" t="s">
        <v>127</v>
      </c>
      <c r="B66" s="8" t="s">
        <v>129</v>
      </c>
      <c r="C66" s="9">
        <v>103.345</v>
      </c>
      <c r="D66" t="s">
        <v>153</v>
      </c>
      <c r="E66" t="s">
        <v>50</v>
      </c>
    </row>
    <row r="67" spans="1:5" x14ac:dyDescent="0.3">
      <c r="A67" s="8" t="s">
        <v>127</v>
      </c>
      <c r="B67" s="8" t="s">
        <v>130</v>
      </c>
      <c r="C67" s="9">
        <v>160.80000000000001</v>
      </c>
      <c r="D67" t="s">
        <v>153</v>
      </c>
      <c r="E67" t="s">
        <v>48</v>
      </c>
    </row>
    <row r="68" spans="1:5" x14ac:dyDescent="0.3">
      <c r="A68" s="8" t="s">
        <v>127</v>
      </c>
      <c r="B68" s="8" t="s">
        <v>131</v>
      </c>
      <c r="C68" s="9">
        <v>160.80000000000001</v>
      </c>
      <c r="D68" t="s">
        <v>153</v>
      </c>
      <c r="E68" t="s">
        <v>48</v>
      </c>
    </row>
    <row r="69" spans="1:5" x14ac:dyDescent="0.3">
      <c r="A69" s="8" t="s">
        <v>127</v>
      </c>
      <c r="B69" s="8" t="s">
        <v>132</v>
      </c>
      <c r="C69" s="9">
        <v>190.2</v>
      </c>
      <c r="D69" t="s">
        <v>153</v>
      </c>
      <c r="E69" t="s">
        <v>49</v>
      </c>
    </row>
    <row r="70" spans="1:5" x14ac:dyDescent="0.3">
      <c r="A70" s="8" t="s">
        <v>127</v>
      </c>
      <c r="B70" s="8" t="s">
        <v>133</v>
      </c>
      <c r="C70" s="9">
        <v>77.863</v>
      </c>
      <c r="D70" t="s">
        <v>153</v>
      </c>
      <c r="E70" t="s">
        <v>48</v>
      </c>
    </row>
    <row r="71" spans="1:5" x14ac:dyDescent="0.3">
      <c r="A71" s="8" t="s">
        <v>127</v>
      </c>
      <c r="B71" s="8" t="s">
        <v>134</v>
      </c>
      <c r="C71" s="9">
        <v>68.450999999999993</v>
      </c>
      <c r="D71" t="s">
        <v>153</v>
      </c>
      <c r="E71" t="s">
        <v>49</v>
      </c>
    </row>
    <row r="72" spans="1:5" x14ac:dyDescent="0.3">
      <c r="A72" s="8" t="s">
        <v>127</v>
      </c>
      <c r="B72" s="8" t="s">
        <v>135</v>
      </c>
      <c r="C72" s="9">
        <v>188.7</v>
      </c>
      <c r="D72" t="s">
        <v>153</v>
      </c>
      <c r="E72" t="s">
        <v>49</v>
      </c>
    </row>
    <row r="73" spans="1:5" x14ac:dyDescent="0.3">
      <c r="A73" s="8" t="s">
        <v>127</v>
      </c>
      <c r="B73" s="8" t="s">
        <v>136</v>
      </c>
      <c r="C73" s="9">
        <v>163.4</v>
      </c>
      <c r="D73" t="s">
        <v>153</v>
      </c>
      <c r="E73" t="s">
        <v>48</v>
      </c>
    </row>
    <row r="74" spans="1:5" x14ac:dyDescent="0.3">
      <c r="A74" s="8" t="s">
        <v>127</v>
      </c>
      <c r="B74" s="8" t="s">
        <v>137</v>
      </c>
      <c r="C74" s="9">
        <v>163.4</v>
      </c>
      <c r="D74" t="s">
        <v>153</v>
      </c>
      <c r="E74" t="s">
        <v>48</v>
      </c>
    </row>
    <row r="75" spans="1:5" x14ac:dyDescent="0.3">
      <c r="A75" s="8" t="s">
        <v>127</v>
      </c>
      <c r="B75" s="8" t="s">
        <v>138</v>
      </c>
      <c r="C75" s="9">
        <v>246.47</v>
      </c>
      <c r="D75" t="s">
        <v>153</v>
      </c>
      <c r="E75" t="s">
        <v>48</v>
      </c>
    </row>
    <row r="76" spans="1:5" x14ac:dyDescent="0.3">
      <c r="A76" s="8" t="s">
        <v>127</v>
      </c>
      <c r="B76" s="8" t="s">
        <v>139</v>
      </c>
      <c r="C76" s="9">
        <v>131.91</v>
      </c>
      <c r="D76" t="s">
        <v>153</v>
      </c>
      <c r="E76" t="s">
        <v>49</v>
      </c>
    </row>
    <row r="77" spans="1:5" x14ac:dyDescent="0.3">
      <c r="A77" s="8" t="s">
        <v>127</v>
      </c>
      <c r="B77" s="8" t="s">
        <v>140</v>
      </c>
      <c r="C77" s="9">
        <v>246.47</v>
      </c>
      <c r="D77" t="s">
        <v>153</v>
      </c>
      <c r="E77" t="s">
        <v>48</v>
      </c>
    </row>
    <row r="78" spans="1:5" x14ac:dyDescent="0.3">
      <c r="A78" s="8" t="s">
        <v>127</v>
      </c>
      <c r="B78" s="8" t="s">
        <v>141</v>
      </c>
      <c r="C78" s="9">
        <v>131.91</v>
      </c>
      <c r="D78" t="s">
        <v>153</v>
      </c>
      <c r="E78" t="s">
        <v>49</v>
      </c>
    </row>
    <row r="79" spans="1:5" x14ac:dyDescent="0.3">
      <c r="A79" s="8" t="s">
        <v>127</v>
      </c>
      <c r="B79" s="8" t="s">
        <v>142</v>
      </c>
      <c r="C79" s="9">
        <v>102.58799999999999</v>
      </c>
      <c r="D79" t="s">
        <v>153</v>
      </c>
      <c r="E79" t="s">
        <v>48</v>
      </c>
    </row>
    <row r="80" spans="1:5" x14ac:dyDescent="0.3">
      <c r="A80" s="8" t="s">
        <v>127</v>
      </c>
      <c r="B80" s="8" t="s">
        <v>143</v>
      </c>
      <c r="C80" s="9">
        <v>42.2</v>
      </c>
      <c r="D80" t="s">
        <v>153</v>
      </c>
      <c r="E80" t="s">
        <v>49</v>
      </c>
    </row>
    <row r="81" spans="1:5" x14ac:dyDescent="0.3">
      <c r="A81" s="8" t="s">
        <v>127</v>
      </c>
      <c r="B81" s="8" t="s">
        <v>37</v>
      </c>
      <c r="C81" s="9">
        <v>38.9</v>
      </c>
      <c r="D81" t="s">
        <v>154</v>
      </c>
      <c r="E81" t="s">
        <v>50</v>
      </c>
    </row>
    <row r="82" spans="1:5" x14ac:dyDescent="0.3">
      <c r="A82" s="8" t="s">
        <v>127</v>
      </c>
      <c r="B82" s="8" t="s">
        <v>144</v>
      </c>
      <c r="C82" s="9">
        <v>78.012</v>
      </c>
      <c r="D82" t="s">
        <v>153</v>
      </c>
      <c r="E82" t="s">
        <v>48</v>
      </c>
    </row>
    <row r="83" spans="1:5" x14ac:dyDescent="0.3">
      <c r="A83" s="8" t="s">
        <v>127</v>
      </c>
      <c r="B83" s="8" t="s">
        <v>145</v>
      </c>
      <c r="C83" s="9">
        <v>40.96</v>
      </c>
      <c r="D83" t="s">
        <v>153</v>
      </c>
      <c r="E83" t="s">
        <v>49</v>
      </c>
    </row>
    <row r="84" spans="1:5" x14ac:dyDescent="0.3">
      <c r="A84" s="8" t="s">
        <v>146</v>
      </c>
      <c r="B84" s="8" t="s">
        <v>38</v>
      </c>
      <c r="C84" s="9">
        <v>48.3</v>
      </c>
      <c r="D84" t="s">
        <v>153</v>
      </c>
      <c r="E84" t="s">
        <v>50</v>
      </c>
    </row>
    <row r="85" spans="1:5" x14ac:dyDescent="0.3">
      <c r="A85" s="8" t="s">
        <v>147</v>
      </c>
      <c r="B85" s="8" t="s">
        <v>148</v>
      </c>
      <c r="C85" s="9">
        <v>22.4</v>
      </c>
      <c r="D85" t="s">
        <v>153</v>
      </c>
      <c r="E85" t="s">
        <v>49</v>
      </c>
    </row>
    <row r="86" spans="1:5" x14ac:dyDescent="0.3">
      <c r="A86" s="8" t="s">
        <v>147</v>
      </c>
      <c r="B86" s="8" t="s">
        <v>149</v>
      </c>
      <c r="C86" s="9">
        <v>39.65</v>
      </c>
      <c r="D86" t="s">
        <v>153</v>
      </c>
      <c r="E86" t="s">
        <v>48</v>
      </c>
    </row>
    <row r="87" spans="1:5" x14ac:dyDescent="0.3">
      <c r="A87" s="8" t="s">
        <v>147</v>
      </c>
      <c r="B87" s="8" t="s">
        <v>150</v>
      </c>
      <c r="C87" s="9">
        <v>39.65</v>
      </c>
      <c r="D87" t="s">
        <v>153</v>
      </c>
      <c r="E87" t="s">
        <v>48</v>
      </c>
    </row>
    <row r="88" spans="1:5" ht="19.5" x14ac:dyDescent="0.3">
      <c r="A88" s="5"/>
      <c r="B88" s="5" t="s">
        <v>43</v>
      </c>
      <c r="C88" s="5">
        <v>9190.9839999999967</v>
      </c>
      <c r="D88" s="5"/>
      <c r="E88" s="5"/>
    </row>
  </sheetData>
  <autoFilter ref="A1:E88" xr:uid="{00000000-0001-0000-0100-000000000000}"/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252F-23AA-4D7A-9766-03EEE7D58F8C}">
  <dimension ref="A1:C4"/>
  <sheetViews>
    <sheetView workbookViewId="0">
      <selection activeCell="G24" sqref="G24"/>
    </sheetView>
  </sheetViews>
  <sheetFormatPr defaultRowHeight="16.5" x14ac:dyDescent="0.3"/>
  <sheetData>
    <row r="1" spans="1:3" x14ac:dyDescent="0.3">
      <c r="C1" t="s">
        <v>54</v>
      </c>
    </row>
    <row r="2" spans="1:3" ht="19.5" x14ac:dyDescent="0.3">
      <c r="A2" s="5" t="s">
        <v>51</v>
      </c>
      <c r="B2">
        <f>SUMIF(Data!$D$2:$D$87, A2, Data!$C$2:$C$87)</f>
        <v>1259.2239999999999</v>
      </c>
      <c r="C2" s="6">
        <f>B2/SUM($B$2:$B$4)</f>
        <v>0.11829612115050556</v>
      </c>
    </row>
    <row r="3" spans="1:3" ht="19.5" x14ac:dyDescent="0.3">
      <c r="A3" s="5" t="s">
        <v>52</v>
      </c>
      <c r="B3">
        <f>SUMIF(Data!$D$2:$D$87, A3, Data!$C$2:$C$87)</f>
        <v>153.19999999999999</v>
      </c>
      <c r="C3" s="6">
        <f>B3/SUM($B$2:$B$4)</f>
        <v>1.4392169908020693E-2</v>
      </c>
    </row>
    <row r="4" spans="1:3" ht="19.5" x14ac:dyDescent="0.3">
      <c r="A4" s="5" t="s">
        <v>53</v>
      </c>
      <c r="B4">
        <f>SUMIF(Data!$D$2:$D$87, A4, Data!$C$2:$C$87)</f>
        <v>9232.2529999999988</v>
      </c>
      <c r="C4" s="6">
        <f>B4/SUM($B$2:$B$4)</f>
        <v>0.86731170894147369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11"/>
  <sheetViews>
    <sheetView workbookViewId="0">
      <selection activeCell="G19" sqref="G19"/>
    </sheetView>
  </sheetViews>
  <sheetFormatPr defaultRowHeight="16.5" x14ac:dyDescent="0.3"/>
  <cols>
    <col min="1" max="1" width="24.125" customWidth="1"/>
    <col min="2" max="2" width="9.375" customWidth="1"/>
  </cols>
  <sheetData>
    <row r="1" spans="1:37" ht="33" x14ac:dyDescent="0.3">
      <c r="A1" s="4" t="s">
        <v>13</v>
      </c>
      <c r="B1" s="2">
        <v>2015</v>
      </c>
      <c r="C1">
        <v>2016</v>
      </c>
      <c r="D1" s="2">
        <v>2017</v>
      </c>
      <c r="E1">
        <v>2018</v>
      </c>
      <c r="F1" s="2">
        <v>2019</v>
      </c>
      <c r="G1">
        <v>2020</v>
      </c>
      <c r="H1" s="2">
        <v>2021</v>
      </c>
      <c r="I1">
        <v>2022</v>
      </c>
      <c r="J1" s="2">
        <v>2023</v>
      </c>
      <c r="K1">
        <v>2024</v>
      </c>
      <c r="L1" s="2">
        <v>2025</v>
      </c>
      <c r="M1">
        <v>2026</v>
      </c>
      <c r="N1" s="2">
        <v>2027</v>
      </c>
      <c r="O1">
        <v>2028</v>
      </c>
      <c r="P1" s="2">
        <v>2029</v>
      </c>
      <c r="Q1">
        <v>2030</v>
      </c>
      <c r="R1" s="2">
        <v>2031</v>
      </c>
      <c r="S1">
        <v>2032</v>
      </c>
      <c r="T1" s="2">
        <v>2033</v>
      </c>
      <c r="U1">
        <v>2034</v>
      </c>
      <c r="V1" s="2">
        <v>2035</v>
      </c>
      <c r="W1">
        <v>2036</v>
      </c>
      <c r="X1" s="2">
        <v>2037</v>
      </c>
      <c r="Y1">
        <v>2038</v>
      </c>
      <c r="Z1" s="2">
        <v>2039</v>
      </c>
      <c r="AA1">
        <v>2040</v>
      </c>
      <c r="AB1" s="2">
        <v>2041</v>
      </c>
      <c r="AC1">
        <v>2042</v>
      </c>
      <c r="AD1" s="2">
        <v>2043</v>
      </c>
      <c r="AE1">
        <v>2044</v>
      </c>
      <c r="AF1" s="2">
        <v>2045</v>
      </c>
      <c r="AG1">
        <v>2046</v>
      </c>
      <c r="AH1" s="2">
        <v>2047</v>
      </c>
      <c r="AI1">
        <v>2048</v>
      </c>
      <c r="AJ1" s="2">
        <v>2049</v>
      </c>
      <c r="AK1">
        <v>2050</v>
      </c>
    </row>
    <row r="2" spans="1:37" x14ac:dyDescent="0.3">
      <c r="A2" t="s">
        <v>2</v>
      </c>
      <c r="B2" s="7">
        <v>0</v>
      </c>
      <c r="C2" s="7">
        <f>$B2</f>
        <v>0</v>
      </c>
      <c r="D2" s="7">
        <f t="shared" ref="D2:F7" si="0">$B2</f>
        <v>0</v>
      </c>
      <c r="E2" s="7">
        <f t="shared" si="0"/>
        <v>0</v>
      </c>
      <c r="F2" s="7">
        <f t="shared" si="0"/>
        <v>0</v>
      </c>
      <c r="G2" s="7">
        <f>F2</f>
        <v>0</v>
      </c>
      <c r="H2" s="7">
        <f t="shared" ref="H2:AK10" si="1">G2</f>
        <v>0</v>
      </c>
      <c r="I2" s="7">
        <f t="shared" si="1"/>
        <v>0</v>
      </c>
      <c r="J2" s="7">
        <f t="shared" si="1"/>
        <v>0</v>
      </c>
      <c r="K2" s="7">
        <f t="shared" si="1"/>
        <v>0</v>
      </c>
      <c r="L2" s="7">
        <f t="shared" si="1"/>
        <v>0</v>
      </c>
      <c r="M2" s="7">
        <f t="shared" si="1"/>
        <v>0</v>
      </c>
      <c r="N2" s="7">
        <f t="shared" si="1"/>
        <v>0</v>
      </c>
      <c r="O2" s="7">
        <f t="shared" si="1"/>
        <v>0</v>
      </c>
      <c r="P2" s="7">
        <f t="shared" si="1"/>
        <v>0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</v>
      </c>
      <c r="AC2" s="7">
        <f t="shared" si="1"/>
        <v>0</v>
      </c>
      <c r="AD2" s="7">
        <f t="shared" si="1"/>
        <v>0</v>
      </c>
      <c r="AE2" s="7">
        <f t="shared" si="1"/>
        <v>0</v>
      </c>
      <c r="AF2" s="7">
        <f t="shared" si="1"/>
        <v>0</v>
      </c>
      <c r="AG2" s="7">
        <f t="shared" si="1"/>
        <v>0</v>
      </c>
      <c r="AH2" s="7">
        <f t="shared" si="1"/>
        <v>0</v>
      </c>
      <c r="AI2" s="7">
        <f t="shared" si="1"/>
        <v>0</v>
      </c>
      <c r="AJ2" s="7">
        <f t="shared" si="1"/>
        <v>0</v>
      </c>
      <c r="AK2" s="7">
        <f t="shared" si="1"/>
        <v>0</v>
      </c>
    </row>
    <row r="3" spans="1:37" x14ac:dyDescent="0.3">
      <c r="A3" t="s">
        <v>3</v>
      </c>
      <c r="B3" s="7">
        <v>0</v>
      </c>
      <c r="C3" s="7">
        <f t="shared" ref="C3:F11" si="2">$B3</f>
        <v>0</v>
      </c>
      <c r="D3" s="7">
        <f t="shared" si="2"/>
        <v>0</v>
      </c>
      <c r="E3" s="7">
        <f t="shared" si="2"/>
        <v>0</v>
      </c>
      <c r="F3" s="7">
        <f>Calculation!C2</f>
        <v>0.11829612115050556</v>
      </c>
      <c r="G3" s="7">
        <f t="shared" ref="G3:V11" si="3">F3</f>
        <v>0.11829612115050556</v>
      </c>
      <c r="H3" s="7">
        <f t="shared" si="3"/>
        <v>0.11829612115050556</v>
      </c>
      <c r="I3" s="7">
        <f t="shared" si="3"/>
        <v>0.11829612115050556</v>
      </c>
      <c r="J3" s="7">
        <f t="shared" si="3"/>
        <v>0.11829612115050556</v>
      </c>
      <c r="K3" s="7">
        <f t="shared" si="3"/>
        <v>0.11829612115050556</v>
      </c>
      <c r="L3" s="7">
        <f t="shared" si="3"/>
        <v>0.11829612115050556</v>
      </c>
      <c r="M3" s="7">
        <f t="shared" si="3"/>
        <v>0.11829612115050556</v>
      </c>
      <c r="N3" s="7">
        <f t="shared" si="3"/>
        <v>0.11829612115050556</v>
      </c>
      <c r="O3" s="7">
        <f t="shared" si="3"/>
        <v>0.11829612115050556</v>
      </c>
      <c r="P3" s="7">
        <f t="shared" si="3"/>
        <v>0.11829612115050556</v>
      </c>
      <c r="Q3" s="7">
        <f t="shared" si="3"/>
        <v>0.11829612115050556</v>
      </c>
      <c r="R3" s="7">
        <f t="shared" si="3"/>
        <v>0.11829612115050556</v>
      </c>
      <c r="S3" s="7">
        <f t="shared" si="3"/>
        <v>0.11829612115050556</v>
      </c>
      <c r="T3" s="7">
        <f t="shared" si="3"/>
        <v>0.11829612115050556</v>
      </c>
      <c r="U3" s="7">
        <f t="shared" si="3"/>
        <v>0.11829612115050556</v>
      </c>
      <c r="V3" s="7">
        <f t="shared" si="3"/>
        <v>0.11829612115050556</v>
      </c>
      <c r="W3" s="7">
        <f t="shared" si="1"/>
        <v>0.11829612115050556</v>
      </c>
      <c r="X3" s="7">
        <f t="shared" si="1"/>
        <v>0.11829612115050556</v>
      </c>
      <c r="Y3" s="7">
        <f t="shared" si="1"/>
        <v>0.11829612115050556</v>
      </c>
      <c r="Z3" s="7">
        <f t="shared" si="1"/>
        <v>0.11829612115050556</v>
      </c>
      <c r="AA3" s="7">
        <f t="shared" si="1"/>
        <v>0.11829612115050556</v>
      </c>
      <c r="AB3" s="7">
        <f t="shared" si="1"/>
        <v>0.11829612115050556</v>
      </c>
      <c r="AC3" s="7">
        <f t="shared" si="1"/>
        <v>0.11829612115050556</v>
      </c>
      <c r="AD3" s="7">
        <f t="shared" si="1"/>
        <v>0.11829612115050556</v>
      </c>
      <c r="AE3" s="7">
        <f t="shared" si="1"/>
        <v>0.11829612115050556</v>
      </c>
      <c r="AF3" s="7">
        <f t="shared" si="1"/>
        <v>0.11829612115050556</v>
      </c>
      <c r="AG3" s="7">
        <f t="shared" si="1"/>
        <v>0.11829612115050556</v>
      </c>
      <c r="AH3" s="7">
        <f t="shared" si="1"/>
        <v>0.11829612115050556</v>
      </c>
      <c r="AI3" s="7">
        <f t="shared" si="1"/>
        <v>0.11829612115050556</v>
      </c>
      <c r="AJ3" s="7">
        <f t="shared" si="1"/>
        <v>0.11829612115050556</v>
      </c>
      <c r="AK3" s="7">
        <f t="shared" si="1"/>
        <v>0.11829612115050556</v>
      </c>
    </row>
    <row r="4" spans="1:37" x14ac:dyDescent="0.3">
      <c r="A4" t="s">
        <v>4</v>
      </c>
      <c r="B4" s="7">
        <v>0</v>
      </c>
      <c r="C4" s="7">
        <f t="shared" si="2"/>
        <v>0</v>
      </c>
      <c r="D4" s="7">
        <f t="shared" si="0"/>
        <v>0</v>
      </c>
      <c r="E4" s="7">
        <f t="shared" si="0"/>
        <v>0</v>
      </c>
      <c r="F4" s="7">
        <f>Calculation!C4</f>
        <v>0.86731170894147369</v>
      </c>
      <c r="G4" s="7">
        <f t="shared" si="3"/>
        <v>0.86731170894147369</v>
      </c>
      <c r="H4" s="7">
        <f t="shared" si="1"/>
        <v>0.86731170894147369</v>
      </c>
      <c r="I4" s="7">
        <f t="shared" si="1"/>
        <v>0.86731170894147369</v>
      </c>
      <c r="J4" s="7">
        <f t="shared" si="1"/>
        <v>0.86731170894147369</v>
      </c>
      <c r="K4" s="7">
        <f t="shared" si="1"/>
        <v>0.86731170894147369</v>
      </c>
      <c r="L4" s="7">
        <f t="shared" si="1"/>
        <v>0.86731170894147369</v>
      </c>
      <c r="M4" s="7">
        <f t="shared" si="1"/>
        <v>0.86731170894147369</v>
      </c>
      <c r="N4" s="7">
        <f t="shared" si="1"/>
        <v>0.86731170894147369</v>
      </c>
      <c r="O4" s="7">
        <f t="shared" si="1"/>
        <v>0.86731170894147369</v>
      </c>
      <c r="P4" s="7">
        <f t="shared" si="1"/>
        <v>0.86731170894147369</v>
      </c>
      <c r="Q4" s="7">
        <f t="shared" si="1"/>
        <v>0.86731170894147369</v>
      </c>
      <c r="R4" s="7">
        <f t="shared" si="1"/>
        <v>0.86731170894147369</v>
      </c>
      <c r="S4" s="7">
        <f t="shared" si="1"/>
        <v>0.86731170894147369</v>
      </c>
      <c r="T4" s="7">
        <f t="shared" si="1"/>
        <v>0.86731170894147369</v>
      </c>
      <c r="U4" s="7">
        <f t="shared" si="1"/>
        <v>0.86731170894147369</v>
      </c>
      <c r="V4" s="7">
        <f t="shared" si="1"/>
        <v>0.86731170894147369</v>
      </c>
      <c r="W4" s="7">
        <f t="shared" si="1"/>
        <v>0.86731170894147369</v>
      </c>
      <c r="X4" s="7">
        <f t="shared" si="1"/>
        <v>0.86731170894147369</v>
      </c>
      <c r="Y4" s="7">
        <f t="shared" si="1"/>
        <v>0.86731170894147369</v>
      </c>
      <c r="Z4" s="7">
        <f t="shared" si="1"/>
        <v>0.86731170894147369</v>
      </c>
      <c r="AA4" s="7">
        <f t="shared" si="1"/>
        <v>0.86731170894147369</v>
      </c>
      <c r="AB4" s="7">
        <f t="shared" si="1"/>
        <v>0.86731170894147369</v>
      </c>
      <c r="AC4" s="7">
        <f t="shared" si="1"/>
        <v>0.86731170894147369</v>
      </c>
      <c r="AD4" s="7">
        <f t="shared" si="1"/>
        <v>0.86731170894147369</v>
      </c>
      <c r="AE4" s="7">
        <f t="shared" si="1"/>
        <v>0.86731170894147369</v>
      </c>
      <c r="AF4" s="7">
        <f t="shared" si="1"/>
        <v>0.86731170894147369</v>
      </c>
      <c r="AG4" s="7">
        <f t="shared" si="1"/>
        <v>0.86731170894147369</v>
      </c>
      <c r="AH4" s="7">
        <f t="shared" si="1"/>
        <v>0.86731170894147369</v>
      </c>
      <c r="AI4" s="7">
        <f t="shared" si="1"/>
        <v>0.86731170894147369</v>
      </c>
      <c r="AJ4" s="7">
        <f t="shared" si="1"/>
        <v>0.86731170894147369</v>
      </c>
      <c r="AK4" s="7">
        <f t="shared" si="1"/>
        <v>0.86731170894147369</v>
      </c>
    </row>
    <row r="5" spans="1:37" x14ac:dyDescent="0.3">
      <c r="A5" t="s">
        <v>5</v>
      </c>
      <c r="B5" s="7">
        <v>0</v>
      </c>
      <c r="C5" s="7">
        <f t="shared" si="2"/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3"/>
        <v>0</v>
      </c>
      <c r="H5" s="7">
        <f t="shared" si="1"/>
        <v>0</v>
      </c>
      <c r="I5" s="7">
        <f t="shared" si="1"/>
        <v>0</v>
      </c>
      <c r="J5" s="7">
        <f t="shared" si="1"/>
        <v>0</v>
      </c>
      <c r="K5" s="7">
        <f t="shared" si="1"/>
        <v>0</v>
      </c>
      <c r="L5" s="7">
        <f t="shared" si="1"/>
        <v>0</v>
      </c>
      <c r="M5" s="7">
        <f t="shared" si="1"/>
        <v>0</v>
      </c>
      <c r="N5" s="7">
        <f t="shared" si="1"/>
        <v>0</v>
      </c>
      <c r="O5" s="7">
        <f t="shared" si="1"/>
        <v>0</v>
      </c>
      <c r="P5" s="7">
        <f t="shared" si="1"/>
        <v>0</v>
      </c>
      <c r="Q5" s="7">
        <f t="shared" si="1"/>
        <v>0</v>
      </c>
      <c r="R5" s="7">
        <f t="shared" si="1"/>
        <v>0</v>
      </c>
      <c r="S5" s="7">
        <f t="shared" si="1"/>
        <v>0</v>
      </c>
      <c r="T5" s="7">
        <f t="shared" si="1"/>
        <v>0</v>
      </c>
      <c r="U5" s="7">
        <f t="shared" si="1"/>
        <v>0</v>
      </c>
      <c r="V5" s="7">
        <f t="shared" si="1"/>
        <v>0</v>
      </c>
      <c r="W5" s="7">
        <f t="shared" si="1"/>
        <v>0</v>
      </c>
      <c r="X5" s="7">
        <f t="shared" si="1"/>
        <v>0</v>
      </c>
      <c r="Y5" s="7">
        <f t="shared" si="1"/>
        <v>0</v>
      </c>
      <c r="Z5" s="7">
        <f t="shared" si="1"/>
        <v>0</v>
      </c>
      <c r="AA5" s="7">
        <f t="shared" si="1"/>
        <v>0</v>
      </c>
      <c r="AB5" s="7">
        <f t="shared" si="1"/>
        <v>0</v>
      </c>
      <c r="AC5" s="7">
        <f t="shared" si="1"/>
        <v>0</v>
      </c>
      <c r="AD5" s="7">
        <f t="shared" si="1"/>
        <v>0</v>
      </c>
      <c r="AE5" s="7">
        <f t="shared" si="1"/>
        <v>0</v>
      </c>
      <c r="AF5" s="7">
        <f t="shared" si="1"/>
        <v>0</v>
      </c>
      <c r="AG5" s="7">
        <f t="shared" si="1"/>
        <v>0</v>
      </c>
      <c r="AH5" s="7">
        <f t="shared" si="1"/>
        <v>0</v>
      </c>
      <c r="AI5" s="7">
        <f t="shared" si="1"/>
        <v>0</v>
      </c>
      <c r="AJ5" s="7">
        <f t="shared" si="1"/>
        <v>0</v>
      </c>
      <c r="AK5" s="7">
        <f t="shared" si="1"/>
        <v>0</v>
      </c>
    </row>
    <row r="6" spans="1:37" x14ac:dyDescent="0.3">
      <c r="A6" t="s">
        <v>6</v>
      </c>
      <c r="B6" s="7">
        <v>0</v>
      </c>
      <c r="C6" s="7">
        <f t="shared" si="2"/>
        <v>0</v>
      </c>
      <c r="D6" s="7">
        <f t="shared" si="0"/>
        <v>0</v>
      </c>
      <c r="E6" s="7">
        <f t="shared" si="0"/>
        <v>0</v>
      </c>
      <c r="F6" s="7">
        <f>Calculation!C3</f>
        <v>1.4392169908020693E-2</v>
      </c>
      <c r="G6" s="7">
        <f t="shared" si="3"/>
        <v>1.4392169908020693E-2</v>
      </c>
      <c r="H6" s="7">
        <f t="shared" si="1"/>
        <v>1.4392169908020693E-2</v>
      </c>
      <c r="I6" s="7">
        <f t="shared" si="1"/>
        <v>1.4392169908020693E-2</v>
      </c>
      <c r="J6" s="7">
        <f t="shared" si="1"/>
        <v>1.4392169908020693E-2</v>
      </c>
      <c r="K6" s="7">
        <f t="shared" si="1"/>
        <v>1.4392169908020693E-2</v>
      </c>
      <c r="L6" s="7">
        <f t="shared" si="1"/>
        <v>1.4392169908020693E-2</v>
      </c>
      <c r="M6" s="7">
        <f t="shared" si="1"/>
        <v>1.4392169908020693E-2</v>
      </c>
      <c r="N6" s="7">
        <f t="shared" si="1"/>
        <v>1.4392169908020693E-2</v>
      </c>
      <c r="O6" s="7">
        <f t="shared" si="1"/>
        <v>1.4392169908020693E-2</v>
      </c>
      <c r="P6" s="7">
        <f t="shared" si="1"/>
        <v>1.4392169908020693E-2</v>
      </c>
      <c r="Q6" s="7">
        <f t="shared" si="1"/>
        <v>1.4392169908020693E-2</v>
      </c>
      <c r="R6" s="7">
        <f t="shared" si="1"/>
        <v>1.4392169908020693E-2</v>
      </c>
      <c r="S6" s="7">
        <f t="shared" si="1"/>
        <v>1.4392169908020693E-2</v>
      </c>
      <c r="T6" s="7">
        <f t="shared" si="1"/>
        <v>1.4392169908020693E-2</v>
      </c>
      <c r="U6" s="7">
        <f t="shared" si="1"/>
        <v>1.4392169908020693E-2</v>
      </c>
      <c r="V6" s="7">
        <f t="shared" si="1"/>
        <v>1.4392169908020693E-2</v>
      </c>
      <c r="W6" s="7">
        <f t="shared" si="1"/>
        <v>1.4392169908020693E-2</v>
      </c>
      <c r="X6" s="7">
        <f t="shared" si="1"/>
        <v>1.4392169908020693E-2</v>
      </c>
      <c r="Y6" s="7">
        <f t="shared" si="1"/>
        <v>1.4392169908020693E-2</v>
      </c>
      <c r="Z6" s="7">
        <f t="shared" si="1"/>
        <v>1.4392169908020693E-2</v>
      </c>
      <c r="AA6" s="7">
        <f t="shared" si="1"/>
        <v>1.4392169908020693E-2</v>
      </c>
      <c r="AB6" s="7">
        <f t="shared" si="1"/>
        <v>1.4392169908020693E-2</v>
      </c>
      <c r="AC6" s="7">
        <f t="shared" si="1"/>
        <v>1.4392169908020693E-2</v>
      </c>
      <c r="AD6" s="7">
        <f t="shared" si="1"/>
        <v>1.4392169908020693E-2</v>
      </c>
      <c r="AE6" s="7">
        <f t="shared" si="1"/>
        <v>1.4392169908020693E-2</v>
      </c>
      <c r="AF6" s="7">
        <f t="shared" si="1"/>
        <v>1.4392169908020693E-2</v>
      </c>
      <c r="AG6" s="7">
        <f t="shared" si="1"/>
        <v>1.4392169908020693E-2</v>
      </c>
      <c r="AH6" s="7">
        <f t="shared" si="1"/>
        <v>1.4392169908020693E-2</v>
      </c>
      <c r="AI6" s="7">
        <f t="shared" si="1"/>
        <v>1.4392169908020693E-2</v>
      </c>
      <c r="AJ6" s="7">
        <f t="shared" si="1"/>
        <v>1.4392169908020693E-2</v>
      </c>
      <c r="AK6" s="7">
        <f t="shared" si="1"/>
        <v>1.4392169908020693E-2</v>
      </c>
    </row>
    <row r="7" spans="1:37" x14ac:dyDescent="0.3">
      <c r="A7" t="s">
        <v>7</v>
      </c>
      <c r="B7" s="7">
        <v>0</v>
      </c>
      <c r="C7" s="7">
        <f t="shared" si="2"/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3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  <c r="L7" s="7">
        <f t="shared" si="1"/>
        <v>0</v>
      </c>
      <c r="M7" s="7">
        <f t="shared" si="1"/>
        <v>0</v>
      </c>
      <c r="N7" s="7">
        <f t="shared" si="1"/>
        <v>0</v>
      </c>
      <c r="O7" s="7">
        <f t="shared" si="1"/>
        <v>0</v>
      </c>
      <c r="P7" s="7">
        <f t="shared" si="1"/>
        <v>0</v>
      </c>
      <c r="Q7" s="7">
        <f t="shared" si="1"/>
        <v>0</v>
      </c>
      <c r="R7" s="7">
        <f t="shared" si="1"/>
        <v>0</v>
      </c>
      <c r="S7" s="7">
        <f t="shared" si="1"/>
        <v>0</v>
      </c>
      <c r="T7" s="7">
        <f t="shared" si="1"/>
        <v>0</v>
      </c>
      <c r="U7" s="7">
        <f t="shared" si="1"/>
        <v>0</v>
      </c>
      <c r="V7" s="7">
        <f t="shared" si="1"/>
        <v>0</v>
      </c>
      <c r="W7" s="7">
        <f t="shared" si="1"/>
        <v>0</v>
      </c>
      <c r="X7" s="7">
        <f t="shared" si="1"/>
        <v>0</v>
      </c>
      <c r="Y7" s="7">
        <f t="shared" si="1"/>
        <v>0</v>
      </c>
      <c r="Z7" s="7">
        <f t="shared" si="1"/>
        <v>0</v>
      </c>
      <c r="AA7" s="7">
        <f t="shared" si="1"/>
        <v>0</v>
      </c>
      <c r="AB7" s="7">
        <f t="shared" si="1"/>
        <v>0</v>
      </c>
      <c r="AC7" s="7">
        <f t="shared" si="1"/>
        <v>0</v>
      </c>
      <c r="AD7" s="7">
        <f t="shared" si="1"/>
        <v>0</v>
      </c>
      <c r="AE7" s="7">
        <f t="shared" si="1"/>
        <v>0</v>
      </c>
      <c r="AF7" s="7">
        <f t="shared" si="1"/>
        <v>0</v>
      </c>
      <c r="AG7" s="7">
        <f t="shared" si="1"/>
        <v>0</v>
      </c>
      <c r="AH7" s="7">
        <f t="shared" si="1"/>
        <v>0</v>
      </c>
      <c r="AI7" s="7">
        <f t="shared" si="1"/>
        <v>0</v>
      </c>
      <c r="AJ7" s="7">
        <f t="shared" si="1"/>
        <v>0</v>
      </c>
      <c r="AK7" s="7">
        <f t="shared" si="1"/>
        <v>0</v>
      </c>
    </row>
    <row r="8" spans="1:37" x14ac:dyDescent="0.3">
      <c r="A8" t="s">
        <v>9</v>
      </c>
      <c r="B8" s="7">
        <v>0</v>
      </c>
      <c r="C8" s="7">
        <f t="shared" si="2"/>
        <v>0</v>
      </c>
      <c r="D8" s="7">
        <f t="shared" si="2"/>
        <v>0</v>
      </c>
      <c r="E8" s="7">
        <f t="shared" si="2"/>
        <v>0</v>
      </c>
      <c r="F8" s="7">
        <f t="shared" si="2"/>
        <v>0</v>
      </c>
      <c r="G8" s="7">
        <f t="shared" si="3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7">
        <f t="shared" si="1"/>
        <v>0</v>
      </c>
      <c r="S8" s="7">
        <f t="shared" si="1"/>
        <v>0</v>
      </c>
      <c r="T8" s="7">
        <f t="shared" si="1"/>
        <v>0</v>
      </c>
      <c r="U8" s="7">
        <f t="shared" si="1"/>
        <v>0</v>
      </c>
      <c r="V8" s="7">
        <f t="shared" si="1"/>
        <v>0</v>
      </c>
      <c r="W8" s="7">
        <f t="shared" si="1"/>
        <v>0</v>
      </c>
      <c r="X8" s="7">
        <f t="shared" si="1"/>
        <v>0</v>
      </c>
      <c r="Y8" s="7">
        <f t="shared" si="1"/>
        <v>0</v>
      </c>
      <c r="Z8" s="7">
        <f t="shared" si="1"/>
        <v>0</v>
      </c>
      <c r="AA8" s="7">
        <f t="shared" si="1"/>
        <v>0</v>
      </c>
      <c r="AB8" s="7">
        <f t="shared" si="1"/>
        <v>0</v>
      </c>
      <c r="AC8" s="7">
        <f t="shared" si="1"/>
        <v>0</v>
      </c>
      <c r="AD8" s="7">
        <f t="shared" si="1"/>
        <v>0</v>
      </c>
      <c r="AE8" s="7">
        <f t="shared" si="1"/>
        <v>0</v>
      </c>
      <c r="AF8" s="7">
        <f t="shared" si="1"/>
        <v>0</v>
      </c>
      <c r="AG8" s="7">
        <f t="shared" si="1"/>
        <v>0</v>
      </c>
      <c r="AH8" s="7">
        <f t="shared" si="1"/>
        <v>0</v>
      </c>
      <c r="AI8" s="7">
        <f t="shared" si="1"/>
        <v>0</v>
      </c>
      <c r="AJ8" s="7">
        <f t="shared" si="1"/>
        <v>0</v>
      </c>
      <c r="AK8" s="7">
        <f t="shared" si="1"/>
        <v>0</v>
      </c>
    </row>
    <row r="9" spans="1:37" x14ac:dyDescent="0.3">
      <c r="A9" t="s">
        <v>10</v>
      </c>
      <c r="B9" s="7">
        <v>0</v>
      </c>
      <c r="C9" s="7">
        <f t="shared" si="2"/>
        <v>0</v>
      </c>
      <c r="D9" s="7">
        <f t="shared" si="2"/>
        <v>0</v>
      </c>
      <c r="E9" s="7">
        <f t="shared" si="2"/>
        <v>0</v>
      </c>
      <c r="F9" s="7">
        <f t="shared" si="2"/>
        <v>0</v>
      </c>
      <c r="G9" s="7">
        <f t="shared" si="3"/>
        <v>0</v>
      </c>
      <c r="H9" s="7">
        <f t="shared" si="1"/>
        <v>0</v>
      </c>
      <c r="I9" s="7">
        <f t="shared" si="1"/>
        <v>0</v>
      </c>
      <c r="J9" s="7">
        <f t="shared" si="1"/>
        <v>0</v>
      </c>
      <c r="K9" s="7">
        <f t="shared" si="1"/>
        <v>0</v>
      </c>
      <c r="L9" s="7">
        <f t="shared" si="1"/>
        <v>0</v>
      </c>
      <c r="M9" s="7">
        <f t="shared" si="1"/>
        <v>0</v>
      </c>
      <c r="N9" s="7">
        <f t="shared" si="1"/>
        <v>0</v>
      </c>
      <c r="O9" s="7">
        <f t="shared" si="1"/>
        <v>0</v>
      </c>
      <c r="P9" s="7">
        <f t="shared" si="1"/>
        <v>0</v>
      </c>
      <c r="Q9" s="7">
        <f t="shared" si="1"/>
        <v>0</v>
      </c>
      <c r="R9" s="7">
        <f t="shared" si="1"/>
        <v>0</v>
      </c>
      <c r="S9" s="7">
        <f t="shared" si="1"/>
        <v>0</v>
      </c>
      <c r="T9" s="7">
        <f t="shared" si="1"/>
        <v>0</v>
      </c>
      <c r="U9" s="7">
        <f t="shared" si="1"/>
        <v>0</v>
      </c>
      <c r="V9" s="7">
        <f t="shared" si="1"/>
        <v>0</v>
      </c>
      <c r="W9" s="7">
        <f t="shared" si="1"/>
        <v>0</v>
      </c>
      <c r="X9" s="7">
        <f t="shared" si="1"/>
        <v>0</v>
      </c>
      <c r="Y9" s="7">
        <f t="shared" si="1"/>
        <v>0</v>
      </c>
      <c r="Z9" s="7">
        <f t="shared" si="1"/>
        <v>0</v>
      </c>
      <c r="AA9" s="7">
        <f t="shared" si="1"/>
        <v>0</v>
      </c>
      <c r="AB9" s="7">
        <f t="shared" si="1"/>
        <v>0</v>
      </c>
      <c r="AC9" s="7">
        <f t="shared" si="1"/>
        <v>0</v>
      </c>
      <c r="AD9" s="7">
        <f t="shared" si="1"/>
        <v>0</v>
      </c>
      <c r="AE9" s="7">
        <f t="shared" si="1"/>
        <v>0</v>
      </c>
      <c r="AF9" s="7">
        <f t="shared" si="1"/>
        <v>0</v>
      </c>
      <c r="AG9" s="7">
        <f t="shared" si="1"/>
        <v>0</v>
      </c>
      <c r="AH9" s="7">
        <f t="shared" si="1"/>
        <v>0</v>
      </c>
      <c r="AI9" s="7">
        <f t="shared" si="1"/>
        <v>0</v>
      </c>
      <c r="AJ9" s="7">
        <f t="shared" si="1"/>
        <v>0</v>
      </c>
      <c r="AK9" s="7">
        <f t="shared" si="1"/>
        <v>0</v>
      </c>
    </row>
    <row r="10" spans="1:37" x14ac:dyDescent="0.3">
      <c r="A10" t="s">
        <v>11</v>
      </c>
      <c r="B10" s="7">
        <v>0</v>
      </c>
      <c r="C10" s="7">
        <f t="shared" si="2"/>
        <v>0</v>
      </c>
      <c r="D10" s="7">
        <f t="shared" si="2"/>
        <v>0</v>
      </c>
      <c r="E10" s="7">
        <f t="shared" si="2"/>
        <v>0</v>
      </c>
      <c r="F10" s="7">
        <f t="shared" si="2"/>
        <v>0</v>
      </c>
      <c r="G10" s="7">
        <f t="shared" si="3"/>
        <v>0</v>
      </c>
      <c r="H10" s="7">
        <f t="shared" si="1"/>
        <v>0</v>
      </c>
      <c r="I10" s="7">
        <f t="shared" si="1"/>
        <v>0</v>
      </c>
      <c r="J10" s="7">
        <f t="shared" si="1"/>
        <v>0</v>
      </c>
      <c r="K10" s="7">
        <f t="shared" si="1"/>
        <v>0</v>
      </c>
      <c r="L10" s="7">
        <f t="shared" si="1"/>
        <v>0</v>
      </c>
      <c r="M10" s="7">
        <f t="shared" si="1"/>
        <v>0</v>
      </c>
      <c r="N10" s="7">
        <f t="shared" si="1"/>
        <v>0</v>
      </c>
      <c r="O10" s="7">
        <f t="shared" si="1"/>
        <v>0</v>
      </c>
      <c r="P10" s="7">
        <f t="shared" si="1"/>
        <v>0</v>
      </c>
      <c r="Q10" s="7">
        <f t="shared" si="1"/>
        <v>0</v>
      </c>
      <c r="R10" s="7">
        <f t="shared" si="1"/>
        <v>0</v>
      </c>
      <c r="S10" s="7">
        <f t="shared" si="1"/>
        <v>0</v>
      </c>
      <c r="T10" s="7">
        <f t="shared" si="1"/>
        <v>0</v>
      </c>
      <c r="U10" s="7">
        <f t="shared" si="1"/>
        <v>0</v>
      </c>
      <c r="V10" s="7">
        <f t="shared" si="1"/>
        <v>0</v>
      </c>
      <c r="W10" s="7">
        <f t="shared" si="1"/>
        <v>0</v>
      </c>
      <c r="X10" s="7">
        <f t="shared" si="1"/>
        <v>0</v>
      </c>
      <c r="Y10" s="7">
        <f t="shared" si="1"/>
        <v>0</v>
      </c>
      <c r="Z10" s="7">
        <f t="shared" si="1"/>
        <v>0</v>
      </c>
      <c r="AA10" s="7">
        <f t="shared" si="1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0</v>
      </c>
      <c r="AF10" s="7">
        <f t="shared" si="1"/>
        <v>0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0</v>
      </c>
    </row>
    <row r="11" spans="1:37" x14ac:dyDescent="0.3">
      <c r="A11" t="s">
        <v>12</v>
      </c>
      <c r="B11" s="7">
        <v>0</v>
      </c>
      <c r="C11" s="7">
        <f t="shared" si="2"/>
        <v>0</v>
      </c>
      <c r="D11" s="7">
        <f t="shared" si="2"/>
        <v>0</v>
      </c>
      <c r="E11" s="7">
        <f t="shared" si="2"/>
        <v>0</v>
      </c>
      <c r="F11" s="7">
        <f t="shared" si="2"/>
        <v>0</v>
      </c>
      <c r="G11" s="7">
        <f t="shared" si="3"/>
        <v>0</v>
      </c>
      <c r="H11" s="7">
        <f t="shared" ref="H11:AK11" si="4">G11</f>
        <v>0</v>
      </c>
      <c r="I11" s="7">
        <f t="shared" si="4"/>
        <v>0</v>
      </c>
      <c r="J11" s="7">
        <f t="shared" si="4"/>
        <v>0</v>
      </c>
      <c r="K11" s="7">
        <f t="shared" si="4"/>
        <v>0</v>
      </c>
      <c r="L11" s="7">
        <f t="shared" si="4"/>
        <v>0</v>
      </c>
      <c r="M11" s="7">
        <f t="shared" si="4"/>
        <v>0</v>
      </c>
      <c r="N11" s="7">
        <f t="shared" si="4"/>
        <v>0</v>
      </c>
      <c r="O11" s="7">
        <f t="shared" si="4"/>
        <v>0</v>
      </c>
      <c r="P11" s="7">
        <f t="shared" si="4"/>
        <v>0</v>
      </c>
      <c r="Q11" s="7">
        <f t="shared" si="4"/>
        <v>0</v>
      </c>
      <c r="R11" s="7">
        <f t="shared" si="4"/>
        <v>0</v>
      </c>
      <c r="S11" s="7">
        <f t="shared" si="4"/>
        <v>0</v>
      </c>
      <c r="T11" s="7">
        <f t="shared" si="4"/>
        <v>0</v>
      </c>
      <c r="U11" s="7">
        <f t="shared" si="4"/>
        <v>0</v>
      </c>
      <c r="V11" s="7">
        <f t="shared" si="4"/>
        <v>0</v>
      </c>
      <c r="W11" s="7">
        <f t="shared" si="4"/>
        <v>0</v>
      </c>
      <c r="X11" s="7">
        <f t="shared" si="4"/>
        <v>0</v>
      </c>
      <c r="Y11" s="7">
        <f t="shared" si="4"/>
        <v>0</v>
      </c>
      <c r="Z11" s="7">
        <f t="shared" si="4"/>
        <v>0</v>
      </c>
      <c r="AA11" s="7">
        <f t="shared" si="4"/>
        <v>0</v>
      </c>
      <c r="AB11" s="7">
        <f t="shared" si="4"/>
        <v>0</v>
      </c>
      <c r="AC11" s="7">
        <f t="shared" si="4"/>
        <v>0</v>
      </c>
      <c r="AD11" s="7">
        <f t="shared" si="4"/>
        <v>0</v>
      </c>
      <c r="AE11" s="7">
        <f t="shared" si="4"/>
        <v>0</v>
      </c>
      <c r="AF11" s="7">
        <f t="shared" si="4"/>
        <v>0</v>
      </c>
      <c r="AG11" s="7">
        <f t="shared" si="4"/>
        <v>0</v>
      </c>
      <c r="AH11" s="7">
        <f t="shared" si="4"/>
        <v>0</v>
      </c>
      <c r="AI11" s="7">
        <f t="shared" si="4"/>
        <v>0</v>
      </c>
      <c r="AJ11" s="7">
        <f t="shared" si="4"/>
        <v>0</v>
      </c>
      <c r="AK11" s="7">
        <f t="shared" si="4"/>
        <v>0</v>
      </c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ECB0B-F35F-41A0-B6A5-2459279D3A64}"/>
</file>

<file path=customXml/itemProps2.xml><?xml version="1.0" encoding="utf-8"?>
<ds:datastoreItem xmlns:ds="http://schemas.openxmlformats.org/officeDocument/2006/customXml" ds:itemID="{0B1EC562-E1FE-4981-B498-055FA12E457C}"/>
</file>

<file path=customXml/itemProps3.xml><?xml version="1.0" encoding="utf-8"?>
<ds:datastoreItem xmlns:ds="http://schemas.openxmlformats.org/officeDocument/2006/customXml" ds:itemID="{66DBC189-EEF1-4464-9A3C-5E6CF7F1BA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Data</vt:lpstr>
      <vt:lpstr>Calculation</vt:lpstr>
      <vt:lpstr>BFoHPbF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2015-06-17T00:26:08Z</dcterms:created>
  <dcterms:modified xsi:type="dcterms:W3CDTF">2025-01-23T03:40:22Z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