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20. 프로젝트 관리\2025 에너지 수요전망 모형 구축\EPS 모형\eps-southkorea-3.3.1\InputData\dist-heat\BFoHfC\"/>
    </mc:Choice>
  </mc:AlternateContent>
  <xr:revisionPtr revIDLastSave="0" documentId="13_ncr:1_{B7D59EDA-91BB-4C96-B3C3-ADACC6D3B39D}" xr6:coauthVersionLast="47" xr6:coauthVersionMax="47" xr10:uidLastSave="{00000000-0000-0000-0000-000000000000}"/>
  <bookViews>
    <workbookView xWindow="3900" yWindow="1620" windowWidth="21420" windowHeight="19980" activeTab="1" xr2:uid="{00000000-000D-0000-FFFF-FFFF00000000}"/>
  </bookViews>
  <sheets>
    <sheet name="About" sheetId="1" r:id="rId1"/>
    <sheet name="Data" sheetId="2" r:id="rId2"/>
    <sheet name="BFoHfC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2" i="4"/>
  <c r="I3" i="4"/>
  <c r="I4" i="4"/>
  <c r="I5" i="4"/>
  <c r="I6" i="4"/>
  <c r="I7" i="4"/>
  <c r="I8" i="4"/>
  <c r="I9" i="4"/>
  <c r="I10" i="4"/>
  <c r="I11" i="4"/>
  <c r="I2" i="4"/>
  <c r="H3" i="4"/>
  <c r="H4" i="4"/>
  <c r="H5" i="4"/>
  <c r="H6" i="4"/>
  <c r="H7" i="4"/>
  <c r="H8" i="4"/>
  <c r="H9" i="4"/>
  <c r="H10" i="4"/>
  <c r="H11" i="4"/>
  <c r="H2" i="4"/>
  <c r="G3" i="4"/>
  <c r="G4" i="4"/>
  <c r="G5" i="4"/>
  <c r="G6" i="4"/>
  <c r="G7" i="4"/>
  <c r="G8" i="4"/>
  <c r="G9" i="4"/>
  <c r="G10" i="4"/>
  <c r="G11" i="4"/>
  <c r="G2" i="4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C31" i="2"/>
  <c r="E31" i="2" s="1"/>
  <c r="C30" i="2"/>
  <c r="E30" i="2" s="1"/>
  <c r="C29" i="2"/>
  <c r="E29" i="2"/>
  <c r="C28" i="2"/>
  <c r="E28" i="2" s="1"/>
  <c r="K6" i="4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K5" i="4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K4" i="4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K3" i="4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F2" i="4"/>
  <c r="E2" i="4"/>
  <c r="D2" i="4"/>
  <c r="C2" i="4"/>
  <c r="B2" i="4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D5" i="2"/>
  <c r="D4" i="2"/>
  <c r="D3" i="2"/>
  <c r="D2" i="2"/>
  <c r="K8" i="4" l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K7" i="4"/>
  <c r="L7" i="4" s="1"/>
  <c r="M7" i="4" s="1"/>
  <c r="N7" i="4" s="1"/>
  <c r="O7" i="4" s="1"/>
  <c r="P7" i="4" s="1"/>
  <c r="Q7" i="4" s="1"/>
  <c r="R7" i="4" s="1"/>
  <c r="S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I7" i="4" s="1"/>
  <c r="AJ7" i="4" s="1"/>
  <c r="AK7" i="4" s="1"/>
  <c r="K11" i="4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K10" i="4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K9" i="4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</calcChain>
</file>

<file path=xl/sharedStrings.xml><?xml version="1.0" encoding="utf-8"?>
<sst xmlns="http://schemas.openxmlformats.org/spreadsheetml/2006/main" count="38" uniqueCount="37">
  <si>
    <t>BFoHfC BAU Fraction of Heat from CHP</t>
  </si>
  <si>
    <t>Source:</t>
  </si>
  <si>
    <t>electricity</t>
  </si>
  <si>
    <t>coal</t>
  </si>
  <si>
    <t>natural gas</t>
  </si>
  <si>
    <t>biomass</t>
  </si>
  <si>
    <t>petroleum diesel</t>
  </si>
  <si>
    <t>heat</t>
  </si>
  <si>
    <t>Notes</t>
  </si>
  <si>
    <t>It does not matter if some of these fuel types are not used</t>
  </si>
  <si>
    <t>for district heat; the fraction of each fuel that is used is</t>
  </si>
  <si>
    <t>governed by another input variable.</t>
  </si>
  <si>
    <t>crude oil</t>
  </si>
  <si>
    <t>heavy or residual fuel oil</t>
  </si>
  <si>
    <t>LPG propane or butane</t>
  </si>
  <si>
    <t>hydrogen</t>
  </si>
  <si>
    <t>We do not have data on how Combined Heat and Power (CHP)</t>
  </si>
  <si>
    <t xml:space="preserve"> fraction varies by fuel type.</t>
  </si>
  <si>
    <t>So we assume the overall CHP fraction applies to all fuel types.</t>
  </si>
  <si>
    <t>Fraction of Heat from CHP (dimensionless)</t>
  </si>
  <si>
    <t>Distributed energy supply statistics</t>
    <phoneticPr fontId="3" type="noConversion"/>
  </si>
  <si>
    <t>Distributed heat</t>
    <phoneticPr fontId="3" type="noConversion"/>
  </si>
  <si>
    <t>Industrial complex</t>
    <phoneticPr fontId="3" type="noConversion"/>
  </si>
  <si>
    <t>Others</t>
    <phoneticPr fontId="3" type="noConversion"/>
  </si>
  <si>
    <t>total</t>
    <phoneticPr fontId="3" type="noConversion"/>
  </si>
  <si>
    <t>Table III-14: Electricity and heat supply</t>
    <phoneticPr fontId="3" type="noConversion"/>
  </si>
  <si>
    <t>heat (000 Gcal)</t>
    <phoneticPr fontId="3" type="noConversion"/>
  </si>
  <si>
    <t>electricity (000 Gcal)</t>
    <phoneticPr fontId="3" type="noConversion"/>
  </si>
  <si>
    <t>Fraction of heat from CHP(%)</t>
    <phoneticPr fontId="3" type="noConversion"/>
  </si>
  <si>
    <t>Electricity sold (GWh)</t>
    <phoneticPr fontId="3" type="noConversion"/>
  </si>
  <si>
    <t>heat sold (k Gcal)</t>
    <phoneticPr fontId="3" type="noConversion"/>
  </si>
  <si>
    <t>Electricity sold (k Gcal)</t>
    <phoneticPr fontId="3" type="noConversion"/>
  </si>
  <si>
    <t>distributed heating supply</t>
    <phoneticPr fontId="3" type="noConversion"/>
  </si>
  <si>
    <t>https://www.energy.or.kr/front/board/View10.do</t>
  </si>
  <si>
    <t>Korea Energy Agency</t>
    <phoneticPr fontId="3" type="noConversion"/>
  </si>
  <si>
    <t>Table III-14(p.181)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</si>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</sst>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9" fontId="0" fillId="0" borderId="0" xfId="1" applyFont="1" applyAlignment="1"/>
    <xf numFmtId="176" fontId="0" fillId="0" borderId="0" xfId="0" applyNumberFormat="1"/>
    <xf numFmtId="176" fontId="0" fillId="0" borderId="0" xfId="1" applyNumberFormat="1" applyFont="1" applyAlignme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4" sqref="B4"/>
    </sheetView>
  </sheetViews>
  <sheetFormatPr defaultRowHeight="16.5" x14ac:dyDescent="0.3"/>
  <cols>
    <col min="2" max="2" width="47.7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s="7" t="s">
        <v>34</v>
      </c>
    </row>
    <row r="4" spans="1:2" x14ac:dyDescent="0.3">
      <c r="B4" s="8">
        <v>2023</v>
      </c>
    </row>
    <row r="5" spans="1:2" x14ac:dyDescent="0.3">
      <c r="B5" t="s">
        <v>20</v>
      </c>
    </row>
    <row r="6" spans="1:2" x14ac:dyDescent="0.3">
      <c r="B6" s="9" t="s">
        <v>33</v>
      </c>
    </row>
    <row r="7" spans="1:2" x14ac:dyDescent="0.3">
      <c r="B7" t="s">
        <v>35</v>
      </c>
    </row>
    <row r="9" spans="1:2" x14ac:dyDescent="0.3">
      <c r="A9" s="1" t="s">
        <v>8</v>
      </c>
    </row>
    <row r="10" spans="1:2" x14ac:dyDescent="0.3">
      <c r="A10" t="s">
        <v>16</v>
      </c>
    </row>
    <row r="11" spans="1:2" x14ac:dyDescent="0.3">
      <c r="A11" t="s">
        <v>17</v>
      </c>
    </row>
    <row r="12" spans="1:2" x14ac:dyDescent="0.3">
      <c r="A12" t="s">
        <v>18</v>
      </c>
    </row>
    <row r="13" spans="1:2" x14ac:dyDescent="0.3">
      <c r="A13" t="s">
        <v>9</v>
      </c>
    </row>
    <row r="14" spans="1:2" x14ac:dyDescent="0.3">
      <c r="A14" t="s">
        <v>10</v>
      </c>
    </row>
    <row r="15" spans="1:2" x14ac:dyDescent="0.3">
      <c r="A15" t="s">
        <v>11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workbookViewId="0">
      <selection activeCell="G22" sqref="G22"/>
    </sheetView>
  </sheetViews>
  <sheetFormatPr defaultRowHeight="16.5" x14ac:dyDescent="0.3"/>
  <cols>
    <col min="1" max="1" width="35.25" bestFit="1" customWidth="1"/>
    <col min="2" max="2" width="21.625" customWidth="1"/>
    <col min="3" max="3" width="19.625" bestFit="1" customWidth="1"/>
    <col min="4" max="4" width="27.125" bestFit="1" customWidth="1"/>
  </cols>
  <sheetData>
    <row r="1" spans="1:8" x14ac:dyDescent="0.3">
      <c r="A1" t="s">
        <v>25</v>
      </c>
      <c r="B1" t="s">
        <v>26</v>
      </c>
      <c r="C1" t="s">
        <v>27</v>
      </c>
      <c r="D1" t="s">
        <v>28</v>
      </c>
    </row>
    <row r="2" spans="1:8" x14ac:dyDescent="0.3">
      <c r="A2" t="s">
        <v>21</v>
      </c>
      <c r="B2" s="7">
        <v>27278</v>
      </c>
      <c r="C2" s="7">
        <v>27587</v>
      </c>
      <c r="D2" s="4">
        <f>B2/SUM(B2:C2)</f>
        <v>0.49718399708375105</v>
      </c>
    </row>
    <row r="3" spans="1:8" x14ac:dyDescent="0.3">
      <c r="A3" t="s">
        <v>22</v>
      </c>
      <c r="B3" s="7">
        <v>33055</v>
      </c>
      <c r="C3" s="7">
        <v>12949</v>
      </c>
      <c r="D3" s="4">
        <f>B3/SUM(B3:C3)</f>
        <v>0.71852447613251025</v>
      </c>
    </row>
    <row r="4" spans="1:8" x14ac:dyDescent="0.3">
      <c r="A4" t="s">
        <v>23</v>
      </c>
      <c r="B4" s="7">
        <v>1839</v>
      </c>
      <c r="C4" s="7">
        <v>4653</v>
      </c>
      <c r="D4" s="4">
        <f>B4/SUM(B4:C4)</f>
        <v>0.28327171903881698</v>
      </c>
      <c r="H4" t="s">
        <v>36</v>
      </c>
    </row>
    <row r="5" spans="1:8" x14ac:dyDescent="0.3">
      <c r="A5" t="s">
        <v>24</v>
      </c>
      <c r="B5" s="7">
        <v>62172</v>
      </c>
      <c r="C5" s="7">
        <v>45189</v>
      </c>
      <c r="D5" s="4">
        <f>B5/SUM(B5:C5)</f>
        <v>0.57909296671975852</v>
      </c>
    </row>
    <row r="7" spans="1:8" x14ac:dyDescent="0.3">
      <c r="A7" t="s">
        <v>32</v>
      </c>
      <c r="B7" t="s">
        <v>30</v>
      </c>
      <c r="C7" t="s">
        <v>31</v>
      </c>
      <c r="D7" t="s">
        <v>29</v>
      </c>
      <c r="E7" t="s">
        <v>28</v>
      </c>
    </row>
    <row r="8" spans="1:8" x14ac:dyDescent="0.3">
      <c r="A8">
        <v>2000</v>
      </c>
      <c r="B8" s="7">
        <v>11669</v>
      </c>
      <c r="C8">
        <f>D8*860/1000</f>
        <v>1247.8599999999999</v>
      </c>
      <c r="D8" s="7">
        <v>1451</v>
      </c>
      <c r="E8" s="4">
        <f>B8/SUM(B8:C8)</f>
        <v>0.90339292986066266</v>
      </c>
    </row>
    <row r="9" spans="1:8" x14ac:dyDescent="0.3">
      <c r="A9">
        <v>2001</v>
      </c>
      <c r="B9" s="7">
        <v>12179</v>
      </c>
      <c r="C9">
        <f t="shared" ref="C9:C31" si="0">D9*860/1000</f>
        <v>2893.04</v>
      </c>
      <c r="D9" s="7">
        <v>3364</v>
      </c>
      <c r="E9" s="4">
        <f t="shared" ref="E9:E31" si="1">B9/SUM(B9:C9)</f>
        <v>0.80805252639987679</v>
      </c>
    </row>
    <row r="10" spans="1:8" x14ac:dyDescent="0.3">
      <c r="A10">
        <v>2002</v>
      </c>
      <c r="B10" s="7">
        <v>13163</v>
      </c>
      <c r="C10">
        <f t="shared" si="0"/>
        <v>3662.74</v>
      </c>
      <c r="D10" s="7">
        <v>4259</v>
      </c>
      <c r="E10" s="4">
        <f t="shared" si="1"/>
        <v>0.78231328904404807</v>
      </c>
    </row>
    <row r="11" spans="1:8" x14ac:dyDescent="0.3">
      <c r="A11">
        <v>2003</v>
      </c>
      <c r="B11" s="7">
        <v>15227</v>
      </c>
      <c r="C11">
        <f t="shared" si="0"/>
        <v>3731.54</v>
      </c>
      <c r="D11" s="7">
        <v>4339</v>
      </c>
      <c r="E11" s="4">
        <f t="shared" si="1"/>
        <v>0.80317366210689212</v>
      </c>
    </row>
    <row r="12" spans="1:8" x14ac:dyDescent="0.3">
      <c r="A12">
        <v>2004</v>
      </c>
      <c r="B12" s="7">
        <v>14490</v>
      </c>
      <c r="C12">
        <f t="shared" si="0"/>
        <v>3500.2</v>
      </c>
      <c r="D12" s="7">
        <v>4070</v>
      </c>
      <c r="E12" s="4">
        <f t="shared" si="1"/>
        <v>0.80543851652566389</v>
      </c>
    </row>
    <row r="13" spans="1:8" x14ac:dyDescent="0.3">
      <c r="A13">
        <v>2005</v>
      </c>
      <c r="B13" s="7">
        <v>16517</v>
      </c>
      <c r="C13">
        <f t="shared" si="0"/>
        <v>3524.28</v>
      </c>
      <c r="D13" s="7">
        <v>4098</v>
      </c>
      <c r="E13" s="4">
        <f t="shared" si="1"/>
        <v>0.82414895655367326</v>
      </c>
    </row>
    <row r="14" spans="1:8" x14ac:dyDescent="0.3">
      <c r="A14">
        <v>2006</v>
      </c>
      <c r="B14" s="7">
        <v>15486</v>
      </c>
      <c r="C14">
        <f t="shared" si="0"/>
        <v>3216.4</v>
      </c>
      <c r="D14" s="7">
        <v>3740</v>
      </c>
      <c r="E14" s="4">
        <f t="shared" si="1"/>
        <v>0.82802207203353573</v>
      </c>
    </row>
    <row r="15" spans="1:8" x14ac:dyDescent="0.3">
      <c r="A15">
        <v>2007</v>
      </c>
      <c r="B15" s="7">
        <v>15764</v>
      </c>
      <c r="C15">
        <f t="shared" si="0"/>
        <v>4065.22</v>
      </c>
      <c r="D15" s="7">
        <v>4727</v>
      </c>
      <c r="E15" s="4">
        <f t="shared" si="1"/>
        <v>0.79498840599882392</v>
      </c>
    </row>
    <row r="16" spans="1:8" x14ac:dyDescent="0.3">
      <c r="A16">
        <v>2008</v>
      </c>
      <c r="B16" s="7">
        <v>16676</v>
      </c>
      <c r="C16">
        <f t="shared" si="0"/>
        <v>6350.24</v>
      </c>
      <c r="D16" s="7">
        <v>7384</v>
      </c>
      <c r="E16" s="4">
        <f t="shared" si="1"/>
        <v>0.72421724085217565</v>
      </c>
    </row>
    <row r="17" spans="1:5" x14ac:dyDescent="0.3">
      <c r="A17">
        <v>2009</v>
      </c>
      <c r="B17" s="7">
        <v>17089</v>
      </c>
      <c r="C17">
        <f t="shared" si="0"/>
        <v>5960.66</v>
      </c>
      <c r="D17" s="7">
        <v>6931</v>
      </c>
      <c r="E17" s="4">
        <f t="shared" si="1"/>
        <v>0.74139922237464673</v>
      </c>
    </row>
    <row r="18" spans="1:5" x14ac:dyDescent="0.3">
      <c r="A18">
        <v>2010</v>
      </c>
      <c r="B18" s="7">
        <v>19386</v>
      </c>
      <c r="C18">
        <f t="shared" si="0"/>
        <v>8085.72</v>
      </c>
      <c r="D18" s="7">
        <v>9402</v>
      </c>
      <c r="E18" s="4">
        <f t="shared" si="1"/>
        <v>0.70567114108617879</v>
      </c>
    </row>
    <row r="19" spans="1:5" x14ac:dyDescent="0.3">
      <c r="A19">
        <v>2011</v>
      </c>
      <c r="B19" s="7">
        <v>19763</v>
      </c>
      <c r="C19">
        <f t="shared" si="0"/>
        <v>11818.12</v>
      </c>
      <c r="D19" s="7">
        <v>13742</v>
      </c>
      <c r="E19" s="4">
        <f t="shared" si="1"/>
        <v>0.62578527930611705</v>
      </c>
    </row>
    <row r="20" spans="1:5" x14ac:dyDescent="0.3">
      <c r="A20">
        <v>2012</v>
      </c>
      <c r="B20" s="7">
        <v>21020</v>
      </c>
      <c r="C20">
        <f t="shared" si="0"/>
        <v>14132.38</v>
      </c>
      <c r="D20" s="7">
        <v>16433</v>
      </c>
      <c r="E20" s="4">
        <f t="shared" si="1"/>
        <v>0.59796804654478597</v>
      </c>
    </row>
    <row r="21" spans="1:5" x14ac:dyDescent="0.3">
      <c r="A21">
        <v>2013</v>
      </c>
      <c r="B21" s="7">
        <v>20697</v>
      </c>
      <c r="C21">
        <f t="shared" si="0"/>
        <v>14937.34</v>
      </c>
      <c r="D21" s="7">
        <v>17369</v>
      </c>
      <c r="E21" s="4">
        <f t="shared" si="1"/>
        <v>0.58081614532498715</v>
      </c>
    </row>
    <row r="22" spans="1:5" x14ac:dyDescent="0.3">
      <c r="A22">
        <v>2014</v>
      </c>
      <c r="B22" s="7">
        <v>14065</v>
      </c>
      <c r="C22">
        <f t="shared" si="0"/>
        <v>13702.38</v>
      </c>
      <c r="D22" s="7">
        <v>15933</v>
      </c>
      <c r="E22" s="4">
        <f t="shared" si="1"/>
        <v>0.50652960416142978</v>
      </c>
    </row>
    <row r="23" spans="1:5" x14ac:dyDescent="0.3">
      <c r="A23">
        <v>2015</v>
      </c>
      <c r="B23" s="7">
        <v>19670</v>
      </c>
      <c r="C23">
        <f t="shared" si="0"/>
        <v>14999.26</v>
      </c>
      <c r="D23" s="7">
        <v>17441</v>
      </c>
      <c r="E23" s="4">
        <f t="shared" si="1"/>
        <v>0.56736140315657158</v>
      </c>
    </row>
    <row r="24" spans="1:5" x14ac:dyDescent="0.3">
      <c r="A24">
        <v>2016</v>
      </c>
      <c r="B24" s="7">
        <v>21829</v>
      </c>
      <c r="C24">
        <f t="shared" si="0"/>
        <v>17608.5</v>
      </c>
      <c r="D24" s="7">
        <v>20475</v>
      </c>
      <c r="E24" s="4">
        <f t="shared" si="1"/>
        <v>0.55350871632329635</v>
      </c>
    </row>
    <row r="25" spans="1:5" x14ac:dyDescent="0.3">
      <c r="A25">
        <v>2017</v>
      </c>
      <c r="B25" s="7">
        <v>24410</v>
      </c>
      <c r="C25">
        <f t="shared" si="0"/>
        <v>22267.98</v>
      </c>
      <c r="D25" s="7">
        <v>25893</v>
      </c>
      <c r="E25" s="4">
        <f t="shared" si="1"/>
        <v>0.52294465184654526</v>
      </c>
    </row>
    <row r="26" spans="1:5" x14ac:dyDescent="0.3">
      <c r="A26">
        <v>2018</v>
      </c>
      <c r="B26" s="7">
        <v>25348</v>
      </c>
      <c r="C26">
        <f t="shared" si="0"/>
        <v>27666.2</v>
      </c>
      <c r="D26" s="7">
        <v>32170</v>
      </c>
      <c r="E26" s="4">
        <f t="shared" si="1"/>
        <v>0.47813604656865522</v>
      </c>
    </row>
    <row r="27" spans="1:5" x14ac:dyDescent="0.3">
      <c r="A27">
        <v>2019</v>
      </c>
      <c r="B27" s="7">
        <v>24713</v>
      </c>
      <c r="C27">
        <f t="shared" si="0"/>
        <v>26250.639999999999</v>
      </c>
      <c r="D27" s="7">
        <v>30524</v>
      </c>
      <c r="E27" s="4">
        <f t="shared" si="1"/>
        <v>0.48491434285306151</v>
      </c>
    </row>
    <row r="28" spans="1:5" x14ac:dyDescent="0.3">
      <c r="A28" s="7">
        <v>2020</v>
      </c>
      <c r="B28" s="7">
        <v>25924</v>
      </c>
      <c r="C28">
        <f t="shared" si="0"/>
        <v>24771.439999999999</v>
      </c>
      <c r="D28" s="7">
        <v>28804</v>
      </c>
      <c r="E28" s="4">
        <f t="shared" si="1"/>
        <v>0.51136749182963992</v>
      </c>
    </row>
    <row r="29" spans="1:5" x14ac:dyDescent="0.3">
      <c r="A29" s="7">
        <v>2021</v>
      </c>
      <c r="B29" s="7">
        <v>27006</v>
      </c>
      <c r="C29">
        <f t="shared" si="0"/>
        <v>27350.58</v>
      </c>
      <c r="D29" s="7">
        <v>31803</v>
      </c>
      <c r="E29" s="4">
        <f t="shared" si="1"/>
        <v>0.4968303745379124</v>
      </c>
    </row>
    <row r="30" spans="1:5" x14ac:dyDescent="0.3">
      <c r="A30" s="7">
        <v>2022</v>
      </c>
      <c r="B30" s="7">
        <v>29456</v>
      </c>
      <c r="C30">
        <f t="shared" si="0"/>
        <v>29750.84</v>
      </c>
      <c r="D30" s="7">
        <v>34594</v>
      </c>
      <c r="E30" s="4">
        <f t="shared" si="1"/>
        <v>0.49751008498342425</v>
      </c>
    </row>
    <row r="31" spans="1:5" x14ac:dyDescent="0.3">
      <c r="A31" s="7">
        <v>2023</v>
      </c>
      <c r="B31" s="7">
        <v>27278</v>
      </c>
      <c r="C31">
        <f t="shared" si="0"/>
        <v>27587.08</v>
      </c>
      <c r="D31" s="7">
        <v>32078</v>
      </c>
      <c r="E31" s="4">
        <f t="shared" si="1"/>
        <v>0.49718327212864721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11"/>
  <sheetViews>
    <sheetView workbookViewId="0">
      <selection activeCell="J2" sqref="J2:J11"/>
    </sheetView>
  </sheetViews>
  <sheetFormatPr defaultRowHeight="16.5" x14ac:dyDescent="0.3"/>
  <cols>
    <col min="1" max="1" width="25.25" customWidth="1"/>
    <col min="2" max="2" width="9.375" customWidth="1"/>
  </cols>
  <sheetData>
    <row r="1" spans="1:37" ht="33" x14ac:dyDescent="0.3">
      <c r="A1" s="3" t="s">
        <v>19</v>
      </c>
      <c r="B1" s="2">
        <v>2015</v>
      </c>
      <c r="C1">
        <v>2016</v>
      </c>
      <c r="D1" s="2">
        <v>2017</v>
      </c>
      <c r="E1">
        <v>2018</v>
      </c>
      <c r="F1" s="2">
        <v>2019</v>
      </c>
      <c r="G1">
        <v>2020</v>
      </c>
      <c r="H1" s="2">
        <v>2021</v>
      </c>
      <c r="I1">
        <v>2022</v>
      </c>
      <c r="J1" s="2">
        <v>2023</v>
      </c>
      <c r="K1">
        <v>2024</v>
      </c>
      <c r="L1" s="2">
        <v>2025</v>
      </c>
      <c r="M1">
        <v>2026</v>
      </c>
      <c r="N1" s="2">
        <v>2027</v>
      </c>
      <c r="O1">
        <v>2028</v>
      </c>
      <c r="P1" s="2">
        <v>2029</v>
      </c>
      <c r="Q1">
        <v>2030</v>
      </c>
      <c r="R1" s="2">
        <v>2031</v>
      </c>
      <c r="S1">
        <v>2032</v>
      </c>
      <c r="T1" s="2">
        <v>2033</v>
      </c>
      <c r="U1">
        <v>2034</v>
      </c>
      <c r="V1" s="2">
        <v>2035</v>
      </c>
      <c r="W1">
        <v>2036</v>
      </c>
      <c r="X1" s="2">
        <v>2037</v>
      </c>
      <c r="Y1">
        <v>2038</v>
      </c>
      <c r="Z1" s="2">
        <v>2039</v>
      </c>
      <c r="AA1">
        <v>2040</v>
      </c>
      <c r="AB1" s="2">
        <v>2041</v>
      </c>
      <c r="AC1">
        <v>2042</v>
      </c>
      <c r="AD1" s="2">
        <v>2043</v>
      </c>
      <c r="AE1">
        <v>2044</v>
      </c>
      <c r="AF1" s="2">
        <v>2045</v>
      </c>
      <c r="AG1">
        <v>2046</v>
      </c>
      <c r="AH1" s="2">
        <v>2047</v>
      </c>
      <c r="AI1">
        <v>2048</v>
      </c>
      <c r="AJ1" s="2">
        <v>2049</v>
      </c>
      <c r="AK1">
        <v>2050</v>
      </c>
    </row>
    <row r="2" spans="1:37" x14ac:dyDescent="0.3">
      <c r="A2" t="s">
        <v>2</v>
      </c>
      <c r="B2" s="5">
        <f>Data!$E$23</f>
        <v>0.56736140315657158</v>
      </c>
      <c r="C2" s="5">
        <f>Data!$E$24</f>
        <v>0.55350871632329635</v>
      </c>
      <c r="D2" s="5">
        <f>Data!$E$25</f>
        <v>0.52294465184654526</v>
      </c>
      <c r="E2" s="5">
        <f>Data!$E$26</f>
        <v>0.47813604656865522</v>
      </c>
      <c r="F2" s="5">
        <f>Data!$E$27</f>
        <v>0.48491434285306151</v>
      </c>
      <c r="G2" s="6">
        <f>Data!$E$28</f>
        <v>0.51136749182963992</v>
      </c>
      <c r="H2" s="6">
        <f>Data!$E$29</f>
        <v>0.4968303745379124</v>
      </c>
      <c r="I2" s="6">
        <f>Data!$E$30</f>
        <v>0.49751008498342425</v>
      </c>
      <c r="J2" s="6">
        <f>Data!$E$31</f>
        <v>0.49718327212864721</v>
      </c>
      <c r="K2" s="6">
        <f t="shared" ref="K2:AK2" si="0">J2</f>
        <v>0.49718327212864721</v>
      </c>
      <c r="L2" s="6">
        <f t="shared" si="0"/>
        <v>0.49718327212864721</v>
      </c>
      <c r="M2" s="6">
        <f t="shared" si="0"/>
        <v>0.49718327212864721</v>
      </c>
      <c r="N2" s="6">
        <f t="shared" si="0"/>
        <v>0.49718327212864721</v>
      </c>
      <c r="O2" s="6">
        <f t="shared" si="0"/>
        <v>0.49718327212864721</v>
      </c>
      <c r="P2" s="6">
        <f t="shared" si="0"/>
        <v>0.49718327212864721</v>
      </c>
      <c r="Q2" s="6">
        <f t="shared" si="0"/>
        <v>0.49718327212864721</v>
      </c>
      <c r="R2" s="6">
        <f t="shared" si="0"/>
        <v>0.49718327212864721</v>
      </c>
      <c r="S2" s="6">
        <f t="shared" si="0"/>
        <v>0.49718327212864721</v>
      </c>
      <c r="T2" s="6">
        <f t="shared" si="0"/>
        <v>0.49718327212864721</v>
      </c>
      <c r="U2" s="6">
        <f t="shared" si="0"/>
        <v>0.49718327212864721</v>
      </c>
      <c r="V2" s="6">
        <f t="shared" si="0"/>
        <v>0.49718327212864721</v>
      </c>
      <c r="W2" s="6">
        <f t="shared" si="0"/>
        <v>0.49718327212864721</v>
      </c>
      <c r="X2" s="6">
        <f t="shared" si="0"/>
        <v>0.49718327212864721</v>
      </c>
      <c r="Y2" s="6">
        <f t="shared" si="0"/>
        <v>0.49718327212864721</v>
      </c>
      <c r="Z2" s="6">
        <f t="shared" si="0"/>
        <v>0.49718327212864721</v>
      </c>
      <c r="AA2" s="6">
        <f t="shared" si="0"/>
        <v>0.49718327212864721</v>
      </c>
      <c r="AB2" s="6">
        <f t="shared" si="0"/>
        <v>0.49718327212864721</v>
      </c>
      <c r="AC2" s="6">
        <f t="shared" si="0"/>
        <v>0.49718327212864721</v>
      </c>
      <c r="AD2" s="6">
        <f t="shared" si="0"/>
        <v>0.49718327212864721</v>
      </c>
      <c r="AE2" s="6">
        <f t="shared" si="0"/>
        <v>0.49718327212864721</v>
      </c>
      <c r="AF2" s="6">
        <f t="shared" si="0"/>
        <v>0.49718327212864721</v>
      </c>
      <c r="AG2" s="6">
        <f t="shared" si="0"/>
        <v>0.49718327212864721</v>
      </c>
      <c r="AH2" s="6">
        <f t="shared" si="0"/>
        <v>0.49718327212864721</v>
      </c>
      <c r="AI2" s="6">
        <f t="shared" si="0"/>
        <v>0.49718327212864721</v>
      </c>
      <c r="AJ2" s="6">
        <f t="shared" si="0"/>
        <v>0.49718327212864721</v>
      </c>
      <c r="AK2" s="6">
        <f t="shared" si="0"/>
        <v>0.49718327212864721</v>
      </c>
    </row>
    <row r="3" spans="1:37" x14ac:dyDescent="0.3">
      <c r="A3" t="s">
        <v>3</v>
      </c>
      <c r="B3" s="5">
        <f>Data!$E$23</f>
        <v>0.56736140315657158</v>
      </c>
      <c r="C3" s="5">
        <f>Data!$E$24</f>
        <v>0.55350871632329635</v>
      </c>
      <c r="D3" s="5">
        <f>Data!$E$25</f>
        <v>0.52294465184654526</v>
      </c>
      <c r="E3" s="5">
        <f>Data!$E$26</f>
        <v>0.47813604656865522</v>
      </c>
      <c r="F3" s="5">
        <f>Data!$E$27</f>
        <v>0.48491434285306151</v>
      </c>
      <c r="G3" s="6">
        <f>Data!$E$28</f>
        <v>0.51136749182963992</v>
      </c>
      <c r="H3" s="6">
        <f>Data!$E$29</f>
        <v>0.4968303745379124</v>
      </c>
      <c r="I3" s="6">
        <f>Data!$E$30</f>
        <v>0.49751008498342425</v>
      </c>
      <c r="J3" s="6">
        <f>Data!$E$31</f>
        <v>0.49718327212864721</v>
      </c>
      <c r="K3" s="6">
        <f t="shared" ref="K3:AK3" si="1">J3</f>
        <v>0.49718327212864721</v>
      </c>
      <c r="L3" s="6">
        <f t="shared" si="1"/>
        <v>0.49718327212864721</v>
      </c>
      <c r="M3" s="6">
        <f t="shared" si="1"/>
        <v>0.49718327212864721</v>
      </c>
      <c r="N3" s="6">
        <f t="shared" si="1"/>
        <v>0.49718327212864721</v>
      </c>
      <c r="O3" s="6">
        <f t="shared" si="1"/>
        <v>0.49718327212864721</v>
      </c>
      <c r="P3" s="6">
        <f t="shared" si="1"/>
        <v>0.49718327212864721</v>
      </c>
      <c r="Q3" s="6">
        <f t="shared" si="1"/>
        <v>0.49718327212864721</v>
      </c>
      <c r="R3" s="6">
        <f t="shared" si="1"/>
        <v>0.49718327212864721</v>
      </c>
      <c r="S3" s="6">
        <f t="shared" si="1"/>
        <v>0.49718327212864721</v>
      </c>
      <c r="T3" s="6">
        <f t="shared" si="1"/>
        <v>0.49718327212864721</v>
      </c>
      <c r="U3" s="6">
        <f t="shared" si="1"/>
        <v>0.49718327212864721</v>
      </c>
      <c r="V3" s="6">
        <f t="shared" si="1"/>
        <v>0.49718327212864721</v>
      </c>
      <c r="W3" s="6">
        <f t="shared" si="1"/>
        <v>0.49718327212864721</v>
      </c>
      <c r="X3" s="6">
        <f t="shared" si="1"/>
        <v>0.49718327212864721</v>
      </c>
      <c r="Y3" s="6">
        <f t="shared" si="1"/>
        <v>0.49718327212864721</v>
      </c>
      <c r="Z3" s="6">
        <f t="shared" si="1"/>
        <v>0.49718327212864721</v>
      </c>
      <c r="AA3" s="6">
        <f t="shared" si="1"/>
        <v>0.49718327212864721</v>
      </c>
      <c r="AB3" s="6">
        <f t="shared" si="1"/>
        <v>0.49718327212864721</v>
      </c>
      <c r="AC3" s="6">
        <f t="shared" si="1"/>
        <v>0.49718327212864721</v>
      </c>
      <c r="AD3" s="6">
        <f t="shared" si="1"/>
        <v>0.49718327212864721</v>
      </c>
      <c r="AE3" s="6">
        <f t="shared" si="1"/>
        <v>0.49718327212864721</v>
      </c>
      <c r="AF3" s="6">
        <f t="shared" si="1"/>
        <v>0.49718327212864721</v>
      </c>
      <c r="AG3" s="6">
        <f t="shared" si="1"/>
        <v>0.49718327212864721</v>
      </c>
      <c r="AH3" s="6">
        <f t="shared" si="1"/>
        <v>0.49718327212864721</v>
      </c>
      <c r="AI3" s="6">
        <f t="shared" si="1"/>
        <v>0.49718327212864721</v>
      </c>
      <c r="AJ3" s="6">
        <f t="shared" si="1"/>
        <v>0.49718327212864721</v>
      </c>
      <c r="AK3" s="6">
        <f t="shared" si="1"/>
        <v>0.49718327212864721</v>
      </c>
    </row>
    <row r="4" spans="1:37" x14ac:dyDescent="0.3">
      <c r="A4" t="s">
        <v>4</v>
      </c>
      <c r="B4" s="5">
        <f>Data!$E$23</f>
        <v>0.56736140315657158</v>
      </c>
      <c r="C4" s="5">
        <f>Data!$E$24</f>
        <v>0.55350871632329635</v>
      </c>
      <c r="D4" s="5">
        <f>Data!$E$25</f>
        <v>0.52294465184654526</v>
      </c>
      <c r="E4" s="5">
        <f>Data!$E$26</f>
        <v>0.47813604656865522</v>
      </c>
      <c r="F4" s="5">
        <f>Data!$E$27</f>
        <v>0.48491434285306151</v>
      </c>
      <c r="G4" s="6">
        <f>Data!$E$28</f>
        <v>0.51136749182963992</v>
      </c>
      <c r="H4" s="6">
        <f>Data!$E$29</f>
        <v>0.4968303745379124</v>
      </c>
      <c r="I4" s="6">
        <f>Data!$E$30</f>
        <v>0.49751008498342425</v>
      </c>
      <c r="J4" s="6">
        <f>Data!$E$31</f>
        <v>0.49718327212864721</v>
      </c>
      <c r="K4" s="6">
        <f t="shared" ref="K4:AK4" si="2">J4</f>
        <v>0.49718327212864721</v>
      </c>
      <c r="L4" s="6">
        <f t="shared" si="2"/>
        <v>0.49718327212864721</v>
      </c>
      <c r="M4" s="6">
        <f t="shared" si="2"/>
        <v>0.49718327212864721</v>
      </c>
      <c r="N4" s="6">
        <f t="shared" si="2"/>
        <v>0.49718327212864721</v>
      </c>
      <c r="O4" s="6">
        <f t="shared" si="2"/>
        <v>0.49718327212864721</v>
      </c>
      <c r="P4" s="6">
        <f t="shared" si="2"/>
        <v>0.49718327212864721</v>
      </c>
      <c r="Q4" s="6">
        <f t="shared" si="2"/>
        <v>0.49718327212864721</v>
      </c>
      <c r="R4" s="6">
        <f t="shared" si="2"/>
        <v>0.49718327212864721</v>
      </c>
      <c r="S4" s="6">
        <f t="shared" si="2"/>
        <v>0.49718327212864721</v>
      </c>
      <c r="T4" s="6">
        <f t="shared" si="2"/>
        <v>0.49718327212864721</v>
      </c>
      <c r="U4" s="6">
        <f t="shared" si="2"/>
        <v>0.49718327212864721</v>
      </c>
      <c r="V4" s="6">
        <f t="shared" si="2"/>
        <v>0.49718327212864721</v>
      </c>
      <c r="W4" s="6">
        <f t="shared" si="2"/>
        <v>0.49718327212864721</v>
      </c>
      <c r="X4" s="6">
        <f t="shared" si="2"/>
        <v>0.49718327212864721</v>
      </c>
      <c r="Y4" s="6">
        <f t="shared" si="2"/>
        <v>0.49718327212864721</v>
      </c>
      <c r="Z4" s="6">
        <f t="shared" si="2"/>
        <v>0.49718327212864721</v>
      </c>
      <c r="AA4" s="6">
        <f t="shared" si="2"/>
        <v>0.49718327212864721</v>
      </c>
      <c r="AB4" s="6">
        <f t="shared" si="2"/>
        <v>0.49718327212864721</v>
      </c>
      <c r="AC4" s="6">
        <f t="shared" si="2"/>
        <v>0.49718327212864721</v>
      </c>
      <c r="AD4" s="6">
        <f t="shared" si="2"/>
        <v>0.49718327212864721</v>
      </c>
      <c r="AE4" s="6">
        <f t="shared" si="2"/>
        <v>0.49718327212864721</v>
      </c>
      <c r="AF4" s="6">
        <f t="shared" si="2"/>
        <v>0.49718327212864721</v>
      </c>
      <c r="AG4" s="6">
        <f t="shared" si="2"/>
        <v>0.49718327212864721</v>
      </c>
      <c r="AH4" s="6">
        <f t="shared" si="2"/>
        <v>0.49718327212864721</v>
      </c>
      <c r="AI4" s="6">
        <f t="shared" si="2"/>
        <v>0.49718327212864721</v>
      </c>
      <c r="AJ4" s="6">
        <f t="shared" si="2"/>
        <v>0.49718327212864721</v>
      </c>
      <c r="AK4" s="6">
        <f t="shared" si="2"/>
        <v>0.49718327212864721</v>
      </c>
    </row>
    <row r="5" spans="1:37" x14ac:dyDescent="0.3">
      <c r="A5" t="s">
        <v>5</v>
      </c>
      <c r="B5" s="5">
        <f>Data!$E$23</f>
        <v>0.56736140315657158</v>
      </c>
      <c r="C5" s="5">
        <f>Data!$E$24</f>
        <v>0.55350871632329635</v>
      </c>
      <c r="D5" s="5">
        <f>Data!$E$25</f>
        <v>0.52294465184654526</v>
      </c>
      <c r="E5" s="5">
        <f>Data!$E$26</f>
        <v>0.47813604656865522</v>
      </c>
      <c r="F5" s="5">
        <f>Data!$E$27</f>
        <v>0.48491434285306151</v>
      </c>
      <c r="G5" s="6">
        <f>Data!$E$28</f>
        <v>0.51136749182963992</v>
      </c>
      <c r="H5" s="6">
        <f>Data!$E$29</f>
        <v>0.4968303745379124</v>
      </c>
      <c r="I5" s="6">
        <f>Data!$E$30</f>
        <v>0.49751008498342425</v>
      </c>
      <c r="J5" s="6">
        <f>Data!$E$31</f>
        <v>0.49718327212864721</v>
      </c>
      <c r="K5" s="6">
        <f t="shared" ref="K5:AK5" si="3">J5</f>
        <v>0.49718327212864721</v>
      </c>
      <c r="L5" s="6">
        <f t="shared" si="3"/>
        <v>0.49718327212864721</v>
      </c>
      <c r="M5" s="6">
        <f t="shared" si="3"/>
        <v>0.49718327212864721</v>
      </c>
      <c r="N5" s="6">
        <f t="shared" si="3"/>
        <v>0.49718327212864721</v>
      </c>
      <c r="O5" s="6">
        <f t="shared" si="3"/>
        <v>0.49718327212864721</v>
      </c>
      <c r="P5" s="6">
        <f t="shared" si="3"/>
        <v>0.49718327212864721</v>
      </c>
      <c r="Q5" s="6">
        <f t="shared" si="3"/>
        <v>0.49718327212864721</v>
      </c>
      <c r="R5" s="6">
        <f t="shared" si="3"/>
        <v>0.49718327212864721</v>
      </c>
      <c r="S5" s="6">
        <f t="shared" si="3"/>
        <v>0.49718327212864721</v>
      </c>
      <c r="T5" s="6">
        <f t="shared" si="3"/>
        <v>0.49718327212864721</v>
      </c>
      <c r="U5" s="6">
        <f t="shared" si="3"/>
        <v>0.49718327212864721</v>
      </c>
      <c r="V5" s="6">
        <f t="shared" si="3"/>
        <v>0.49718327212864721</v>
      </c>
      <c r="W5" s="6">
        <f t="shared" si="3"/>
        <v>0.49718327212864721</v>
      </c>
      <c r="X5" s="6">
        <f t="shared" si="3"/>
        <v>0.49718327212864721</v>
      </c>
      <c r="Y5" s="6">
        <f t="shared" si="3"/>
        <v>0.49718327212864721</v>
      </c>
      <c r="Z5" s="6">
        <f t="shared" si="3"/>
        <v>0.49718327212864721</v>
      </c>
      <c r="AA5" s="6">
        <f t="shared" si="3"/>
        <v>0.49718327212864721</v>
      </c>
      <c r="AB5" s="6">
        <f t="shared" si="3"/>
        <v>0.49718327212864721</v>
      </c>
      <c r="AC5" s="6">
        <f t="shared" si="3"/>
        <v>0.49718327212864721</v>
      </c>
      <c r="AD5" s="6">
        <f t="shared" si="3"/>
        <v>0.49718327212864721</v>
      </c>
      <c r="AE5" s="6">
        <f t="shared" si="3"/>
        <v>0.49718327212864721</v>
      </c>
      <c r="AF5" s="6">
        <f t="shared" si="3"/>
        <v>0.49718327212864721</v>
      </c>
      <c r="AG5" s="6">
        <f t="shared" si="3"/>
        <v>0.49718327212864721</v>
      </c>
      <c r="AH5" s="6">
        <f t="shared" si="3"/>
        <v>0.49718327212864721</v>
      </c>
      <c r="AI5" s="6">
        <f t="shared" si="3"/>
        <v>0.49718327212864721</v>
      </c>
      <c r="AJ5" s="6">
        <f t="shared" si="3"/>
        <v>0.49718327212864721</v>
      </c>
      <c r="AK5" s="6">
        <f t="shared" si="3"/>
        <v>0.49718327212864721</v>
      </c>
    </row>
    <row r="6" spans="1:37" x14ac:dyDescent="0.3">
      <c r="A6" t="s">
        <v>6</v>
      </c>
      <c r="B6" s="5">
        <f>Data!$E$23</f>
        <v>0.56736140315657158</v>
      </c>
      <c r="C6" s="5">
        <f>Data!$E$24</f>
        <v>0.55350871632329635</v>
      </c>
      <c r="D6" s="5">
        <f>Data!$E$25</f>
        <v>0.52294465184654526</v>
      </c>
      <c r="E6" s="5">
        <f>Data!$E$26</f>
        <v>0.47813604656865522</v>
      </c>
      <c r="F6" s="5">
        <f>Data!$E$27</f>
        <v>0.48491434285306151</v>
      </c>
      <c r="G6" s="6">
        <f>Data!$E$28</f>
        <v>0.51136749182963992</v>
      </c>
      <c r="H6" s="6">
        <f>Data!$E$29</f>
        <v>0.4968303745379124</v>
      </c>
      <c r="I6" s="6">
        <f>Data!$E$30</f>
        <v>0.49751008498342425</v>
      </c>
      <c r="J6" s="6">
        <f>Data!$E$31</f>
        <v>0.49718327212864721</v>
      </c>
      <c r="K6" s="6">
        <f t="shared" ref="K6:AK6" si="4">J6</f>
        <v>0.49718327212864721</v>
      </c>
      <c r="L6" s="6">
        <f t="shared" si="4"/>
        <v>0.49718327212864721</v>
      </c>
      <c r="M6" s="6">
        <f t="shared" si="4"/>
        <v>0.49718327212864721</v>
      </c>
      <c r="N6" s="6">
        <f t="shared" si="4"/>
        <v>0.49718327212864721</v>
      </c>
      <c r="O6" s="6">
        <f t="shared" si="4"/>
        <v>0.49718327212864721</v>
      </c>
      <c r="P6" s="6">
        <f t="shared" si="4"/>
        <v>0.49718327212864721</v>
      </c>
      <c r="Q6" s="6">
        <f t="shared" si="4"/>
        <v>0.49718327212864721</v>
      </c>
      <c r="R6" s="6">
        <f t="shared" si="4"/>
        <v>0.49718327212864721</v>
      </c>
      <c r="S6" s="6">
        <f t="shared" si="4"/>
        <v>0.49718327212864721</v>
      </c>
      <c r="T6" s="6">
        <f t="shared" si="4"/>
        <v>0.49718327212864721</v>
      </c>
      <c r="U6" s="6">
        <f t="shared" si="4"/>
        <v>0.49718327212864721</v>
      </c>
      <c r="V6" s="6">
        <f t="shared" si="4"/>
        <v>0.49718327212864721</v>
      </c>
      <c r="W6" s="6">
        <f t="shared" si="4"/>
        <v>0.49718327212864721</v>
      </c>
      <c r="X6" s="6">
        <f t="shared" si="4"/>
        <v>0.49718327212864721</v>
      </c>
      <c r="Y6" s="6">
        <f t="shared" si="4"/>
        <v>0.49718327212864721</v>
      </c>
      <c r="Z6" s="6">
        <f t="shared" si="4"/>
        <v>0.49718327212864721</v>
      </c>
      <c r="AA6" s="6">
        <f t="shared" si="4"/>
        <v>0.49718327212864721</v>
      </c>
      <c r="AB6" s="6">
        <f t="shared" si="4"/>
        <v>0.49718327212864721</v>
      </c>
      <c r="AC6" s="6">
        <f t="shared" si="4"/>
        <v>0.49718327212864721</v>
      </c>
      <c r="AD6" s="6">
        <f t="shared" si="4"/>
        <v>0.49718327212864721</v>
      </c>
      <c r="AE6" s="6">
        <f t="shared" si="4"/>
        <v>0.49718327212864721</v>
      </c>
      <c r="AF6" s="6">
        <f t="shared" si="4"/>
        <v>0.49718327212864721</v>
      </c>
      <c r="AG6" s="6">
        <f t="shared" si="4"/>
        <v>0.49718327212864721</v>
      </c>
      <c r="AH6" s="6">
        <f t="shared" si="4"/>
        <v>0.49718327212864721</v>
      </c>
      <c r="AI6" s="6">
        <f t="shared" si="4"/>
        <v>0.49718327212864721</v>
      </c>
      <c r="AJ6" s="6">
        <f t="shared" si="4"/>
        <v>0.49718327212864721</v>
      </c>
      <c r="AK6" s="6">
        <f t="shared" si="4"/>
        <v>0.49718327212864721</v>
      </c>
    </row>
    <row r="7" spans="1:37" x14ac:dyDescent="0.3">
      <c r="A7" t="s">
        <v>7</v>
      </c>
      <c r="B7" s="5">
        <f>Data!$E$23</f>
        <v>0.56736140315657158</v>
      </c>
      <c r="C7" s="5">
        <f>Data!$E$24</f>
        <v>0.55350871632329635</v>
      </c>
      <c r="D7" s="5">
        <f>Data!$E$25</f>
        <v>0.52294465184654526</v>
      </c>
      <c r="E7" s="5">
        <f>Data!$E$26</f>
        <v>0.47813604656865522</v>
      </c>
      <c r="F7" s="5">
        <f>Data!$E$27</f>
        <v>0.48491434285306151</v>
      </c>
      <c r="G7" s="6">
        <f>Data!$E$28</f>
        <v>0.51136749182963992</v>
      </c>
      <c r="H7" s="6">
        <f>Data!$E$29</f>
        <v>0.4968303745379124</v>
      </c>
      <c r="I7" s="6">
        <f>Data!$E$30</f>
        <v>0.49751008498342425</v>
      </c>
      <c r="J7" s="6">
        <f>Data!$E$31</f>
        <v>0.49718327212864721</v>
      </c>
      <c r="K7" s="6">
        <f t="shared" ref="K7:AK7" si="5">J7</f>
        <v>0.49718327212864721</v>
      </c>
      <c r="L7" s="6">
        <f t="shared" si="5"/>
        <v>0.49718327212864721</v>
      </c>
      <c r="M7" s="6">
        <f t="shared" si="5"/>
        <v>0.49718327212864721</v>
      </c>
      <c r="N7" s="6">
        <f t="shared" si="5"/>
        <v>0.49718327212864721</v>
      </c>
      <c r="O7" s="6">
        <f t="shared" si="5"/>
        <v>0.49718327212864721</v>
      </c>
      <c r="P7" s="6">
        <f t="shared" si="5"/>
        <v>0.49718327212864721</v>
      </c>
      <c r="Q7" s="6">
        <f t="shared" si="5"/>
        <v>0.49718327212864721</v>
      </c>
      <c r="R7" s="6">
        <f t="shared" si="5"/>
        <v>0.49718327212864721</v>
      </c>
      <c r="S7" s="6">
        <f t="shared" si="5"/>
        <v>0.49718327212864721</v>
      </c>
      <c r="T7" s="6">
        <f t="shared" si="5"/>
        <v>0.49718327212864721</v>
      </c>
      <c r="U7" s="6">
        <f t="shared" si="5"/>
        <v>0.49718327212864721</v>
      </c>
      <c r="V7" s="6">
        <f t="shared" si="5"/>
        <v>0.49718327212864721</v>
      </c>
      <c r="W7" s="6">
        <f t="shared" si="5"/>
        <v>0.49718327212864721</v>
      </c>
      <c r="X7" s="6">
        <f t="shared" si="5"/>
        <v>0.49718327212864721</v>
      </c>
      <c r="Y7" s="6">
        <f t="shared" si="5"/>
        <v>0.49718327212864721</v>
      </c>
      <c r="Z7" s="6">
        <f t="shared" si="5"/>
        <v>0.49718327212864721</v>
      </c>
      <c r="AA7" s="6">
        <f t="shared" si="5"/>
        <v>0.49718327212864721</v>
      </c>
      <c r="AB7" s="6">
        <f t="shared" si="5"/>
        <v>0.49718327212864721</v>
      </c>
      <c r="AC7" s="6">
        <f t="shared" si="5"/>
        <v>0.49718327212864721</v>
      </c>
      <c r="AD7" s="6">
        <f t="shared" si="5"/>
        <v>0.49718327212864721</v>
      </c>
      <c r="AE7" s="6">
        <f t="shared" si="5"/>
        <v>0.49718327212864721</v>
      </c>
      <c r="AF7" s="6">
        <f t="shared" si="5"/>
        <v>0.49718327212864721</v>
      </c>
      <c r="AG7" s="6">
        <f t="shared" si="5"/>
        <v>0.49718327212864721</v>
      </c>
      <c r="AH7" s="6">
        <f t="shared" si="5"/>
        <v>0.49718327212864721</v>
      </c>
      <c r="AI7" s="6">
        <f t="shared" si="5"/>
        <v>0.49718327212864721</v>
      </c>
      <c r="AJ7" s="6">
        <f t="shared" si="5"/>
        <v>0.49718327212864721</v>
      </c>
      <c r="AK7" s="6">
        <f t="shared" si="5"/>
        <v>0.49718327212864721</v>
      </c>
    </row>
    <row r="8" spans="1:37" x14ac:dyDescent="0.3">
      <c r="A8" t="s">
        <v>12</v>
      </c>
      <c r="B8" s="5">
        <f>Data!$E$23</f>
        <v>0.56736140315657158</v>
      </c>
      <c r="C8" s="5">
        <f>Data!$E$24</f>
        <v>0.55350871632329635</v>
      </c>
      <c r="D8" s="5">
        <f>Data!$E$25</f>
        <v>0.52294465184654526</v>
      </c>
      <c r="E8" s="5">
        <f>Data!$E$26</f>
        <v>0.47813604656865522</v>
      </c>
      <c r="F8" s="5">
        <f>Data!$E$27</f>
        <v>0.48491434285306151</v>
      </c>
      <c r="G8" s="6">
        <f>Data!$E$28</f>
        <v>0.51136749182963992</v>
      </c>
      <c r="H8" s="6">
        <f>Data!$E$29</f>
        <v>0.4968303745379124</v>
      </c>
      <c r="I8" s="6">
        <f>Data!$E$30</f>
        <v>0.49751008498342425</v>
      </c>
      <c r="J8" s="6">
        <f>Data!$E$31</f>
        <v>0.49718327212864721</v>
      </c>
      <c r="K8" s="6">
        <f t="shared" ref="K8:AK8" si="6">J8</f>
        <v>0.49718327212864721</v>
      </c>
      <c r="L8" s="6">
        <f t="shared" si="6"/>
        <v>0.49718327212864721</v>
      </c>
      <c r="M8" s="6">
        <f t="shared" si="6"/>
        <v>0.49718327212864721</v>
      </c>
      <c r="N8" s="6">
        <f t="shared" si="6"/>
        <v>0.49718327212864721</v>
      </c>
      <c r="O8" s="6">
        <f t="shared" si="6"/>
        <v>0.49718327212864721</v>
      </c>
      <c r="P8" s="6">
        <f t="shared" si="6"/>
        <v>0.49718327212864721</v>
      </c>
      <c r="Q8" s="6">
        <f t="shared" si="6"/>
        <v>0.49718327212864721</v>
      </c>
      <c r="R8" s="6">
        <f t="shared" si="6"/>
        <v>0.49718327212864721</v>
      </c>
      <c r="S8" s="6">
        <f t="shared" si="6"/>
        <v>0.49718327212864721</v>
      </c>
      <c r="T8" s="6">
        <f t="shared" si="6"/>
        <v>0.49718327212864721</v>
      </c>
      <c r="U8" s="6">
        <f t="shared" si="6"/>
        <v>0.49718327212864721</v>
      </c>
      <c r="V8" s="6">
        <f t="shared" si="6"/>
        <v>0.49718327212864721</v>
      </c>
      <c r="W8" s="6">
        <f t="shared" si="6"/>
        <v>0.49718327212864721</v>
      </c>
      <c r="X8" s="6">
        <f t="shared" si="6"/>
        <v>0.49718327212864721</v>
      </c>
      <c r="Y8" s="6">
        <f t="shared" si="6"/>
        <v>0.49718327212864721</v>
      </c>
      <c r="Z8" s="6">
        <f t="shared" si="6"/>
        <v>0.49718327212864721</v>
      </c>
      <c r="AA8" s="6">
        <f t="shared" si="6"/>
        <v>0.49718327212864721</v>
      </c>
      <c r="AB8" s="6">
        <f t="shared" si="6"/>
        <v>0.49718327212864721</v>
      </c>
      <c r="AC8" s="6">
        <f t="shared" si="6"/>
        <v>0.49718327212864721</v>
      </c>
      <c r="AD8" s="6">
        <f t="shared" si="6"/>
        <v>0.49718327212864721</v>
      </c>
      <c r="AE8" s="6">
        <f t="shared" si="6"/>
        <v>0.49718327212864721</v>
      </c>
      <c r="AF8" s="6">
        <f t="shared" si="6"/>
        <v>0.49718327212864721</v>
      </c>
      <c r="AG8" s="6">
        <f t="shared" si="6"/>
        <v>0.49718327212864721</v>
      </c>
      <c r="AH8" s="6">
        <f t="shared" si="6"/>
        <v>0.49718327212864721</v>
      </c>
      <c r="AI8" s="6">
        <f t="shared" si="6"/>
        <v>0.49718327212864721</v>
      </c>
      <c r="AJ8" s="6">
        <f t="shared" si="6"/>
        <v>0.49718327212864721</v>
      </c>
      <c r="AK8" s="6">
        <f t="shared" si="6"/>
        <v>0.49718327212864721</v>
      </c>
    </row>
    <row r="9" spans="1:37" x14ac:dyDescent="0.3">
      <c r="A9" t="s">
        <v>13</v>
      </c>
      <c r="B9" s="5">
        <f>Data!$E$23</f>
        <v>0.56736140315657158</v>
      </c>
      <c r="C9" s="5">
        <f>Data!$E$24</f>
        <v>0.55350871632329635</v>
      </c>
      <c r="D9" s="5">
        <f>Data!$E$25</f>
        <v>0.52294465184654526</v>
      </c>
      <c r="E9" s="5">
        <f>Data!$E$26</f>
        <v>0.47813604656865522</v>
      </c>
      <c r="F9" s="5">
        <f>Data!$E$27</f>
        <v>0.48491434285306151</v>
      </c>
      <c r="G9" s="6">
        <f>Data!$E$28</f>
        <v>0.51136749182963992</v>
      </c>
      <c r="H9" s="6">
        <f>Data!$E$29</f>
        <v>0.4968303745379124</v>
      </c>
      <c r="I9" s="6">
        <f>Data!$E$30</f>
        <v>0.49751008498342425</v>
      </c>
      <c r="J9" s="6">
        <f>Data!$E$31</f>
        <v>0.49718327212864721</v>
      </c>
      <c r="K9" s="6">
        <f t="shared" ref="K9:AK9" si="7">J9</f>
        <v>0.49718327212864721</v>
      </c>
      <c r="L9" s="6">
        <f t="shared" si="7"/>
        <v>0.49718327212864721</v>
      </c>
      <c r="M9" s="6">
        <f t="shared" si="7"/>
        <v>0.49718327212864721</v>
      </c>
      <c r="N9" s="6">
        <f t="shared" si="7"/>
        <v>0.49718327212864721</v>
      </c>
      <c r="O9" s="6">
        <f t="shared" si="7"/>
        <v>0.49718327212864721</v>
      </c>
      <c r="P9" s="6">
        <f t="shared" si="7"/>
        <v>0.49718327212864721</v>
      </c>
      <c r="Q9" s="6">
        <f t="shared" si="7"/>
        <v>0.49718327212864721</v>
      </c>
      <c r="R9" s="6">
        <f t="shared" si="7"/>
        <v>0.49718327212864721</v>
      </c>
      <c r="S9" s="6">
        <f t="shared" si="7"/>
        <v>0.49718327212864721</v>
      </c>
      <c r="T9" s="6">
        <f t="shared" si="7"/>
        <v>0.49718327212864721</v>
      </c>
      <c r="U9" s="6">
        <f t="shared" si="7"/>
        <v>0.49718327212864721</v>
      </c>
      <c r="V9" s="6">
        <f t="shared" si="7"/>
        <v>0.49718327212864721</v>
      </c>
      <c r="W9" s="6">
        <f t="shared" si="7"/>
        <v>0.49718327212864721</v>
      </c>
      <c r="X9" s="6">
        <f t="shared" si="7"/>
        <v>0.49718327212864721</v>
      </c>
      <c r="Y9" s="6">
        <f t="shared" si="7"/>
        <v>0.49718327212864721</v>
      </c>
      <c r="Z9" s="6">
        <f t="shared" si="7"/>
        <v>0.49718327212864721</v>
      </c>
      <c r="AA9" s="6">
        <f t="shared" si="7"/>
        <v>0.49718327212864721</v>
      </c>
      <c r="AB9" s="6">
        <f t="shared" si="7"/>
        <v>0.49718327212864721</v>
      </c>
      <c r="AC9" s="6">
        <f t="shared" si="7"/>
        <v>0.49718327212864721</v>
      </c>
      <c r="AD9" s="6">
        <f t="shared" si="7"/>
        <v>0.49718327212864721</v>
      </c>
      <c r="AE9" s="6">
        <f t="shared" si="7"/>
        <v>0.49718327212864721</v>
      </c>
      <c r="AF9" s="6">
        <f t="shared" si="7"/>
        <v>0.49718327212864721</v>
      </c>
      <c r="AG9" s="6">
        <f t="shared" si="7"/>
        <v>0.49718327212864721</v>
      </c>
      <c r="AH9" s="6">
        <f t="shared" si="7"/>
        <v>0.49718327212864721</v>
      </c>
      <c r="AI9" s="6">
        <f t="shared" si="7"/>
        <v>0.49718327212864721</v>
      </c>
      <c r="AJ9" s="6">
        <f t="shared" si="7"/>
        <v>0.49718327212864721</v>
      </c>
      <c r="AK9" s="6">
        <f t="shared" si="7"/>
        <v>0.49718327212864721</v>
      </c>
    </row>
    <row r="10" spans="1:37" x14ac:dyDescent="0.3">
      <c r="A10" t="s">
        <v>14</v>
      </c>
      <c r="B10" s="5">
        <f>Data!$E$23</f>
        <v>0.56736140315657158</v>
      </c>
      <c r="C10" s="5">
        <f>Data!$E$24</f>
        <v>0.55350871632329635</v>
      </c>
      <c r="D10" s="5">
        <f>Data!$E$25</f>
        <v>0.52294465184654526</v>
      </c>
      <c r="E10" s="5">
        <f>Data!$E$26</f>
        <v>0.47813604656865522</v>
      </c>
      <c r="F10" s="5">
        <f>Data!$E$27</f>
        <v>0.48491434285306151</v>
      </c>
      <c r="G10" s="6">
        <f>Data!$E$28</f>
        <v>0.51136749182963992</v>
      </c>
      <c r="H10" s="6">
        <f>Data!$E$29</f>
        <v>0.4968303745379124</v>
      </c>
      <c r="I10" s="6">
        <f>Data!$E$30</f>
        <v>0.49751008498342425</v>
      </c>
      <c r="J10" s="6">
        <f>Data!$E$31</f>
        <v>0.49718327212864721</v>
      </c>
      <c r="K10" s="6">
        <f t="shared" ref="K10:AK10" si="8">J10</f>
        <v>0.49718327212864721</v>
      </c>
      <c r="L10" s="6">
        <f t="shared" si="8"/>
        <v>0.49718327212864721</v>
      </c>
      <c r="M10" s="6">
        <f t="shared" si="8"/>
        <v>0.49718327212864721</v>
      </c>
      <c r="N10" s="6">
        <f t="shared" si="8"/>
        <v>0.49718327212864721</v>
      </c>
      <c r="O10" s="6">
        <f t="shared" si="8"/>
        <v>0.49718327212864721</v>
      </c>
      <c r="P10" s="6">
        <f t="shared" si="8"/>
        <v>0.49718327212864721</v>
      </c>
      <c r="Q10" s="6">
        <f t="shared" si="8"/>
        <v>0.49718327212864721</v>
      </c>
      <c r="R10" s="6">
        <f t="shared" si="8"/>
        <v>0.49718327212864721</v>
      </c>
      <c r="S10" s="6">
        <f t="shared" si="8"/>
        <v>0.49718327212864721</v>
      </c>
      <c r="T10" s="6">
        <f t="shared" si="8"/>
        <v>0.49718327212864721</v>
      </c>
      <c r="U10" s="6">
        <f t="shared" si="8"/>
        <v>0.49718327212864721</v>
      </c>
      <c r="V10" s="6">
        <f t="shared" si="8"/>
        <v>0.49718327212864721</v>
      </c>
      <c r="W10" s="6">
        <f t="shared" si="8"/>
        <v>0.49718327212864721</v>
      </c>
      <c r="X10" s="6">
        <f t="shared" si="8"/>
        <v>0.49718327212864721</v>
      </c>
      <c r="Y10" s="6">
        <f t="shared" si="8"/>
        <v>0.49718327212864721</v>
      </c>
      <c r="Z10" s="6">
        <f t="shared" si="8"/>
        <v>0.49718327212864721</v>
      </c>
      <c r="AA10" s="6">
        <f t="shared" si="8"/>
        <v>0.49718327212864721</v>
      </c>
      <c r="AB10" s="6">
        <f t="shared" si="8"/>
        <v>0.49718327212864721</v>
      </c>
      <c r="AC10" s="6">
        <f t="shared" si="8"/>
        <v>0.49718327212864721</v>
      </c>
      <c r="AD10" s="6">
        <f t="shared" si="8"/>
        <v>0.49718327212864721</v>
      </c>
      <c r="AE10" s="6">
        <f t="shared" si="8"/>
        <v>0.49718327212864721</v>
      </c>
      <c r="AF10" s="6">
        <f t="shared" si="8"/>
        <v>0.49718327212864721</v>
      </c>
      <c r="AG10" s="6">
        <f t="shared" si="8"/>
        <v>0.49718327212864721</v>
      </c>
      <c r="AH10" s="6">
        <f t="shared" si="8"/>
        <v>0.49718327212864721</v>
      </c>
      <c r="AI10" s="6">
        <f t="shared" si="8"/>
        <v>0.49718327212864721</v>
      </c>
      <c r="AJ10" s="6">
        <f t="shared" si="8"/>
        <v>0.49718327212864721</v>
      </c>
      <c r="AK10" s="6">
        <f t="shared" si="8"/>
        <v>0.49718327212864721</v>
      </c>
    </row>
    <row r="11" spans="1:37" x14ac:dyDescent="0.3">
      <c r="A11" t="s">
        <v>15</v>
      </c>
      <c r="B11" s="5">
        <f>Data!$E$23</f>
        <v>0.56736140315657158</v>
      </c>
      <c r="C11" s="5">
        <f>Data!$E$24</f>
        <v>0.55350871632329635</v>
      </c>
      <c r="D11" s="5">
        <f>Data!$E$25</f>
        <v>0.52294465184654526</v>
      </c>
      <c r="E11" s="5">
        <f>Data!$E$26</f>
        <v>0.47813604656865522</v>
      </c>
      <c r="F11" s="5">
        <f>Data!$E$27</f>
        <v>0.48491434285306151</v>
      </c>
      <c r="G11" s="6">
        <f>Data!$E$28</f>
        <v>0.51136749182963992</v>
      </c>
      <c r="H11" s="6">
        <f>Data!$E$29</f>
        <v>0.4968303745379124</v>
      </c>
      <c r="I11" s="6">
        <f>Data!$E$30</f>
        <v>0.49751008498342425</v>
      </c>
      <c r="J11" s="6">
        <f>Data!$E$31</f>
        <v>0.49718327212864721</v>
      </c>
      <c r="K11" s="6">
        <f t="shared" ref="K11:AK11" si="9">J11</f>
        <v>0.49718327212864721</v>
      </c>
      <c r="L11" s="6">
        <f t="shared" si="9"/>
        <v>0.49718327212864721</v>
      </c>
      <c r="M11" s="6">
        <f t="shared" si="9"/>
        <v>0.49718327212864721</v>
      </c>
      <c r="N11" s="6">
        <f t="shared" si="9"/>
        <v>0.49718327212864721</v>
      </c>
      <c r="O11" s="6">
        <f t="shared" si="9"/>
        <v>0.49718327212864721</v>
      </c>
      <c r="P11" s="6">
        <f t="shared" si="9"/>
        <v>0.49718327212864721</v>
      </c>
      <c r="Q11" s="6">
        <f t="shared" si="9"/>
        <v>0.49718327212864721</v>
      </c>
      <c r="R11" s="6">
        <f t="shared" si="9"/>
        <v>0.49718327212864721</v>
      </c>
      <c r="S11" s="6">
        <f t="shared" si="9"/>
        <v>0.49718327212864721</v>
      </c>
      <c r="T11" s="6">
        <f t="shared" si="9"/>
        <v>0.49718327212864721</v>
      </c>
      <c r="U11" s="6">
        <f t="shared" si="9"/>
        <v>0.49718327212864721</v>
      </c>
      <c r="V11" s="6">
        <f t="shared" si="9"/>
        <v>0.49718327212864721</v>
      </c>
      <c r="W11" s="6">
        <f t="shared" si="9"/>
        <v>0.49718327212864721</v>
      </c>
      <c r="X11" s="6">
        <f t="shared" si="9"/>
        <v>0.49718327212864721</v>
      </c>
      <c r="Y11" s="6">
        <f t="shared" si="9"/>
        <v>0.49718327212864721</v>
      </c>
      <c r="Z11" s="6">
        <f t="shared" si="9"/>
        <v>0.49718327212864721</v>
      </c>
      <c r="AA11" s="6">
        <f t="shared" si="9"/>
        <v>0.49718327212864721</v>
      </c>
      <c r="AB11" s="6">
        <f t="shared" si="9"/>
        <v>0.49718327212864721</v>
      </c>
      <c r="AC11" s="6">
        <f t="shared" si="9"/>
        <v>0.49718327212864721</v>
      </c>
      <c r="AD11" s="6">
        <f t="shared" si="9"/>
        <v>0.49718327212864721</v>
      </c>
      <c r="AE11" s="6">
        <f t="shared" si="9"/>
        <v>0.49718327212864721</v>
      </c>
      <c r="AF11" s="6">
        <f t="shared" si="9"/>
        <v>0.49718327212864721</v>
      </c>
      <c r="AG11" s="6">
        <f t="shared" si="9"/>
        <v>0.49718327212864721</v>
      </c>
      <c r="AH11" s="6">
        <f t="shared" si="9"/>
        <v>0.49718327212864721</v>
      </c>
      <c r="AI11" s="6">
        <f t="shared" si="9"/>
        <v>0.49718327212864721</v>
      </c>
      <c r="AJ11" s="6">
        <f t="shared" si="9"/>
        <v>0.49718327212864721</v>
      </c>
      <c r="AK11" s="6">
        <f t="shared" si="9"/>
        <v>0.49718327212864721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8A5587-0A90-419E-BAFC-FAEBBF3658C6}"/>
</file>

<file path=customXml/itemProps2.xml><?xml version="1.0" encoding="utf-8"?>
<ds:datastoreItem xmlns:ds="http://schemas.openxmlformats.org/officeDocument/2006/customXml" ds:itemID="{26253299-2DEC-42C0-8A9F-89A5E28A1ED0}"/>
</file>

<file path=customXml/itemProps3.xml><?xml version="1.0" encoding="utf-8"?>
<ds:datastoreItem xmlns:ds="http://schemas.openxmlformats.org/officeDocument/2006/customXml" ds:itemID="{852517C4-FD11-498F-A60A-16586F722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Data</vt:lpstr>
      <vt:lpstr>BFoHfC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Hyojin</cp:lastModifiedBy>
  <dcterms:created xsi:type="dcterms:W3CDTF">2015-06-16T23:48:01Z</dcterms:created>
  <dcterms:modified xsi:type="dcterms:W3CDTF">2025-01-23T02:27:42Z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