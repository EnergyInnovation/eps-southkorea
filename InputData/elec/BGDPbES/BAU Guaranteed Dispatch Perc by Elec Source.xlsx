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GDPbES\"/>
    </mc:Choice>
  </mc:AlternateContent>
  <xr:revisionPtr revIDLastSave="0" documentId="13_ncr:1_{CEB2A7AF-84FC-4C5C-A616-339BD181BB00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Calibration" sheetId="3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3" l="1"/>
  <c r="C5" i="2" s="1"/>
  <c r="D4" i="3"/>
  <c r="D5" i="2" s="1"/>
  <c r="B4" i="3"/>
  <c r="B5" i="2"/>
  <c r="B4" i="2"/>
  <c r="E5" i="2" l="1"/>
  <c r="F5" i="2" s="1"/>
  <c r="G5" i="2" s="1"/>
  <c r="H5" i="2" s="1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</calcChain>
</file>

<file path=xl/sharedStrings.xml><?xml version="1.0" encoding="utf-8"?>
<sst xmlns="http://schemas.openxmlformats.org/spreadsheetml/2006/main" count="37" uniqueCount="37">
  <si>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</si>
  <si>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</si>
  <si>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</si>
  <si>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</si>
  <si>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</si>
  <si>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</si>
  <si>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</si>
  <si>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</si>
  <si>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</si>
  <si>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</si>
  <si>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</si>
  <si>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</si>
  <si>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</si>
  <si>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</si>
  <si>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</si>
  <si>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</si>
  <si>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</si>
  <si>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</si>
  <si>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</si>
  <si>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</si>
  <si>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</si>
  <si>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</si>
  <si>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</si>
  <si>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</si>
  <si>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</si>
  <si>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</si>
  <si>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</si>
  <si>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</si>
  <si>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</si>
  <si>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</si>
  <si>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</si>
  <si>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</si>
  <si>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</si>
  <si>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Nuclear</t>
  </si>
  <si>
    <t>Capacity</t>
  </si>
  <si>
    <t>Generation</t>
  </si>
  <si>
    <t>Capacity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</si>
</sst>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8" formatCode="_(* #,##0.0000_);_(* \(#,##0.0000\);_(* &quot;-&quot;??_);_(@_)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1" fontId="4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11" fontId="5" fillId="2" borderId="1" xfId="0" applyNumberFormat="1" applyFont="1" applyFill="1" applyBorder="1" applyAlignment="1">
      <alignment horizontal="right" vertical="center" wrapText="1"/>
    </xf>
    <xf numFmtId="11" fontId="5" fillId="2" borderId="0" xfId="0" applyNumberFormat="1" applyFont="1" applyFill="1" applyAlignment="1">
      <alignment horizontal="right" vertical="center" wrapText="1"/>
    </xf>
    <xf numFmtId="11" fontId="5" fillId="2" borderId="2" xfId="0" applyNumberFormat="1" applyFont="1" applyFill="1" applyBorder="1" applyAlignment="1">
      <alignment horizontal="right" vertical="center" wrapText="1"/>
    </xf>
    <xf numFmtId="41" fontId="5" fillId="2" borderId="1" xfId="1" applyFont="1" applyFill="1" applyBorder="1" applyAlignment="1">
      <alignment horizontal="right" vertical="center"/>
    </xf>
    <xf numFmtId="41" fontId="5" fillId="2" borderId="0" xfId="1" applyFont="1" applyFill="1" applyBorder="1" applyAlignment="1">
      <alignment horizontal="right" vertical="center"/>
    </xf>
    <xf numFmtId="41" fontId="5" fillId="2" borderId="2" xfId="1" applyFont="1" applyFill="1" applyBorder="1" applyAlignment="1">
      <alignment horizontal="right" vertical="center"/>
    </xf>
    <xf numFmtId="43" fontId="0" fillId="0" borderId="0" xfId="0" applyNumberFormat="1"/>
    <xf numFmtId="168" fontId="0" fillId="0" borderId="0" xfId="0" applyNumberForma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tabSelected="1" workbookViewId="0">
      <selection activeCell="C18" sqref="C18"/>
    </sheetView>
  </sheetViews>
  <sheetFormatPr defaultRowHeight="15"/>
  <sheetData>
    <row r="1" spans="1:1">
      <c r="A1" s="1" t="s">
        <v>10</v>
      </c>
    </row>
    <row r="3" spans="1:1">
      <c r="A3" s="1" t="s">
        <v>0</v>
      </c>
    </row>
    <row r="4" spans="1:1">
      <c r="A4" t="s">
        <v>6</v>
      </c>
    </row>
    <row r="5" spans="1:1">
      <c r="A5" t="s">
        <v>11</v>
      </c>
    </row>
    <row r="6" spans="1:1">
      <c r="A6" t="s">
        <v>12</v>
      </c>
    </row>
    <row r="8" spans="1:1">
      <c r="A8" t="s">
        <v>13</v>
      </c>
    </row>
    <row r="9" spans="1:1">
      <c r="A9" t="s">
        <v>14</v>
      </c>
    </row>
    <row r="10" spans="1:1">
      <c r="A10" t="s">
        <v>15</v>
      </c>
    </row>
    <row r="11" spans="1:1">
      <c r="A11" t="s">
        <v>16</v>
      </c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3E9A6-440E-43CC-A298-E4D6B3B0B543}">
  <dimension ref="A1:D4"/>
  <sheetViews>
    <sheetView workbookViewId="0">
      <selection activeCell="B4" sqref="B4:D4"/>
    </sheetView>
  </sheetViews>
  <sheetFormatPr defaultRowHeight="15"/>
  <cols>
    <col min="1" max="1" width="14.42578125" bestFit="1" customWidth="1"/>
  </cols>
  <sheetData>
    <row r="1" spans="1:4">
      <c r="A1" t="s">
        <v>33</v>
      </c>
      <c r="B1">
        <v>2021</v>
      </c>
      <c r="C1">
        <v>2022</v>
      </c>
      <c r="D1">
        <v>2023</v>
      </c>
    </row>
    <row r="2" spans="1:4" ht="15.75" thickBot="1">
      <c r="A2" t="s">
        <v>34</v>
      </c>
      <c r="B2" s="3">
        <v>23250000</v>
      </c>
      <c r="C2" s="4">
        <v>24650000</v>
      </c>
      <c r="D2" s="5">
        <v>24650000</v>
      </c>
    </row>
    <row r="3" spans="1:4" ht="15.75" thickBot="1">
      <c r="A3" t="s">
        <v>35</v>
      </c>
      <c r="B3" s="6">
        <v>158015.23000000001</v>
      </c>
      <c r="C3" s="7">
        <v>176054.01199999999</v>
      </c>
      <c r="D3" s="8">
        <v>180494.09599999999</v>
      </c>
    </row>
    <row r="4" spans="1:4">
      <c r="A4" t="s">
        <v>36</v>
      </c>
      <c r="B4" s="9">
        <f>(B3/B2)/($D$3/$D$2)</f>
        <v>0.92817509980987134</v>
      </c>
      <c r="C4" s="9">
        <f t="shared" ref="C4:D4" si="0">(C3/C2)/($D$3/$D$2)</f>
        <v>0.97540039204384832</v>
      </c>
      <c r="D4" s="9">
        <f t="shared" si="0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zoomScaleNormal="100" workbookViewId="0">
      <selection activeCell="Y33" sqref="Y33"/>
    </sheetView>
  </sheetViews>
  <sheetFormatPr defaultRowHeight="15"/>
  <cols>
    <col min="1" max="1" width="31.140625" bestFit="1" customWidth="1"/>
    <col min="2" max="2" width="31.140625" customWidth="1"/>
    <col min="3" max="3" width="11.28515625" customWidth="1"/>
  </cols>
  <sheetData>
    <row r="1" spans="1:31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18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25</v>
      </c>
      <c r="B4">
        <f>168/142</f>
        <v>1.1830985915492958</v>
      </c>
      <c r="C4">
        <v>1.1490445859872611</v>
      </c>
      <c r="D4">
        <v>1.1000000000000001</v>
      </c>
      <c r="E4">
        <v>1.1000000000000001</v>
      </c>
      <c r="F4">
        <v>1.1000000000000001</v>
      </c>
      <c r="G4">
        <v>1.1000000000000001</v>
      </c>
      <c r="H4">
        <v>1.1000000000000001</v>
      </c>
      <c r="I4">
        <v>1.1000000000000001</v>
      </c>
      <c r="J4">
        <v>1.1000000000000001</v>
      </c>
      <c r="K4">
        <v>1.1000000000000001</v>
      </c>
      <c r="L4">
        <v>1.1000000000000001</v>
      </c>
      <c r="M4">
        <v>1.1000000000000001</v>
      </c>
      <c r="N4">
        <v>1.1000000000000001</v>
      </c>
      <c r="O4">
        <v>1.1000000000000001</v>
      </c>
      <c r="P4">
        <v>1.1000000000000001</v>
      </c>
      <c r="Q4">
        <v>1.1000000000000001</v>
      </c>
      <c r="R4">
        <v>1.1000000000000001</v>
      </c>
      <c r="S4">
        <v>1.1000000000000001</v>
      </c>
      <c r="T4">
        <v>1.1000000000000001</v>
      </c>
      <c r="U4">
        <v>1.1000000000000001</v>
      </c>
      <c r="V4">
        <v>1.1000000000000001</v>
      </c>
      <c r="W4">
        <v>1.1000000000000001</v>
      </c>
      <c r="X4">
        <v>1.1000000000000001</v>
      </c>
      <c r="Y4">
        <v>1.1000000000000001</v>
      </c>
      <c r="Z4">
        <v>1.1000000000000001</v>
      </c>
      <c r="AA4">
        <v>1.1000000000000001</v>
      </c>
      <c r="AB4">
        <v>1.1000000000000001</v>
      </c>
      <c r="AC4">
        <v>1.1000000000000001</v>
      </c>
      <c r="AD4">
        <v>1.1000000000000001</v>
      </c>
      <c r="AE4">
        <v>1.1000000000000001</v>
      </c>
    </row>
    <row r="5" spans="1:31">
      <c r="A5" t="s">
        <v>1</v>
      </c>
      <c r="B5" s="10">
        <f>Calibration!B4</f>
        <v>0.92817509980987134</v>
      </c>
      <c r="C5" s="10">
        <f>Calibration!C4</f>
        <v>0.97540039204384832</v>
      </c>
      <c r="D5" s="10">
        <f>Calibration!D4</f>
        <v>1</v>
      </c>
      <c r="E5" s="10">
        <f>AVERAGE(B5:D5)</f>
        <v>0.96785849728457318</v>
      </c>
      <c r="F5" s="10">
        <f>E5</f>
        <v>0.96785849728457318</v>
      </c>
      <c r="G5" s="10">
        <f t="shared" ref="G5:AE5" si="0">F5</f>
        <v>0.96785849728457318</v>
      </c>
      <c r="H5" s="10">
        <f t="shared" si="0"/>
        <v>0.96785849728457318</v>
      </c>
      <c r="I5" s="10">
        <f t="shared" si="0"/>
        <v>0.96785849728457318</v>
      </c>
      <c r="J5" s="10">
        <f t="shared" si="0"/>
        <v>0.96785849728457318</v>
      </c>
      <c r="K5" s="10">
        <f t="shared" si="0"/>
        <v>0.96785849728457318</v>
      </c>
      <c r="L5" s="10">
        <f t="shared" si="0"/>
        <v>0.96785849728457318</v>
      </c>
      <c r="M5" s="10">
        <f t="shared" si="0"/>
        <v>0.96785849728457318</v>
      </c>
      <c r="N5" s="10">
        <f t="shared" si="0"/>
        <v>0.96785849728457318</v>
      </c>
      <c r="O5" s="10">
        <f t="shared" si="0"/>
        <v>0.96785849728457318</v>
      </c>
      <c r="P5" s="10">
        <f t="shared" si="0"/>
        <v>0.96785849728457318</v>
      </c>
      <c r="Q5" s="10">
        <f t="shared" si="0"/>
        <v>0.96785849728457318</v>
      </c>
      <c r="R5" s="10">
        <f t="shared" si="0"/>
        <v>0.96785849728457318</v>
      </c>
      <c r="S5" s="10">
        <f t="shared" si="0"/>
        <v>0.96785849728457318</v>
      </c>
      <c r="T5" s="10">
        <f t="shared" si="0"/>
        <v>0.96785849728457318</v>
      </c>
      <c r="U5" s="10">
        <f t="shared" si="0"/>
        <v>0.96785849728457318</v>
      </c>
      <c r="V5" s="10">
        <f t="shared" si="0"/>
        <v>0.96785849728457318</v>
      </c>
      <c r="W5" s="10">
        <f t="shared" si="0"/>
        <v>0.96785849728457318</v>
      </c>
      <c r="X5" s="10">
        <f t="shared" si="0"/>
        <v>0.96785849728457318</v>
      </c>
      <c r="Y5" s="10">
        <f t="shared" si="0"/>
        <v>0.96785849728457318</v>
      </c>
      <c r="Z5" s="10">
        <f t="shared" si="0"/>
        <v>0.96785849728457318</v>
      </c>
      <c r="AA5" s="10">
        <f t="shared" si="0"/>
        <v>0.96785849728457318</v>
      </c>
      <c r="AB5" s="10">
        <f t="shared" si="0"/>
        <v>0.96785849728457318</v>
      </c>
      <c r="AC5" s="10">
        <f t="shared" si="0"/>
        <v>0.96785849728457318</v>
      </c>
      <c r="AD5" s="10">
        <f t="shared" si="0"/>
        <v>0.96785849728457318</v>
      </c>
      <c r="AE5" s="10">
        <f t="shared" si="0"/>
        <v>0.96785849728457318</v>
      </c>
    </row>
    <row r="6" spans="1:31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>
      <c r="A7" t="s">
        <v>19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>
      <c r="A16" t="s">
        <v>21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22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26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v>0.15</v>
      </c>
      <c r="H19">
        <v>0.15</v>
      </c>
      <c r="I19">
        <v>0.15</v>
      </c>
      <c r="J19">
        <v>0.15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0.15</v>
      </c>
      <c r="V19">
        <v>0.15</v>
      </c>
      <c r="W19">
        <v>0.15</v>
      </c>
      <c r="X19">
        <v>0.15</v>
      </c>
      <c r="Y19">
        <v>0.15</v>
      </c>
      <c r="Z19">
        <v>0.15</v>
      </c>
      <c r="AA19">
        <v>0.15</v>
      </c>
      <c r="AB19">
        <v>0.15</v>
      </c>
      <c r="AC19">
        <v>0.15</v>
      </c>
      <c r="AD19">
        <v>0.15</v>
      </c>
      <c r="AE19">
        <v>0.15</v>
      </c>
    </row>
    <row r="20" spans="1:31">
      <c r="A20" t="s">
        <v>27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v>0.15</v>
      </c>
      <c r="H20">
        <v>0.15</v>
      </c>
      <c r="I20">
        <v>0.15</v>
      </c>
      <c r="J20">
        <v>0.15</v>
      </c>
      <c r="K20">
        <v>0.15</v>
      </c>
      <c r="L20">
        <v>0.15</v>
      </c>
      <c r="M20">
        <v>0.15</v>
      </c>
      <c r="N20">
        <v>0.15</v>
      </c>
      <c r="O20">
        <v>0.15</v>
      </c>
      <c r="P20">
        <v>0.15</v>
      </c>
      <c r="Q20">
        <v>0.15</v>
      </c>
      <c r="R20">
        <v>0.15</v>
      </c>
      <c r="S20">
        <v>0.15</v>
      </c>
      <c r="T20">
        <v>0.15</v>
      </c>
      <c r="U20">
        <v>0.15</v>
      </c>
      <c r="V20">
        <v>0.15</v>
      </c>
      <c r="W20">
        <v>0.15</v>
      </c>
      <c r="X20">
        <v>0.15</v>
      </c>
      <c r="Y20">
        <v>0.15</v>
      </c>
      <c r="Z20">
        <v>0.15</v>
      </c>
      <c r="AA20">
        <v>0.15</v>
      </c>
      <c r="AB20">
        <v>0.15</v>
      </c>
      <c r="AC20">
        <v>0.15</v>
      </c>
      <c r="AD20">
        <v>0.15</v>
      </c>
      <c r="AE20">
        <v>0.15</v>
      </c>
    </row>
    <row r="21" spans="1:31">
      <c r="A21" t="s">
        <v>28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>
      <c r="A22" t="s">
        <v>29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>
      <c r="A23" t="s">
        <v>30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>
      <c r="A24" s="2" t="s">
        <v>31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>
      <c r="A25" s="2" t="s">
        <v>32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honeticPr fontId="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334E6F-B31F-4960-A65A-84336026C09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FB8BDF5-EACC-4971-AE10-C3984748F4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8AEF5D0-07AD-46F0-A983-023B1380655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Calibration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2015-06-13T01:30:20Z</dcterms:created>
  <dcterms:modified xsi:type="dcterms:W3CDTF">2026-03-06T21:15:17Z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