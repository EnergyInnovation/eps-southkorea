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2026\01.EPS\01.EI\01.메일_업무협의\260908_메일회신\"/>
    </mc:Choice>
  </mc:AlternateContent>
  <xr:revisionPtr revIDLastSave="0" documentId="8_{8BB84E4F-B2B9-4D1C-B011-A2F96D59C4E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bout" sheetId="1" r:id="rId1"/>
    <sheet name="KPX" sheetId="5" r:id="rId2"/>
    <sheet name="제11차 전기본" sheetId="6" r:id="rId3"/>
    <sheet name="BPHC" sheetId="3" r:id="rId4"/>
  </sheets>
  <definedNames>
    <definedName name="gigawatts_to_megawatts">About!$B$15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3" l="1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E2" i="3"/>
  <c r="D2" i="3" l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C2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administer</author>
  </authors>
  <commentList>
    <comment ref="A3" authorId="0" shapeId="0" xr:uid="{5C96CF51-D6B0-4343-95A0-1597B1CC1B67}">
      <text>
        <r>
          <rPr>
            <b/>
            <sz val="9"/>
            <color indexed="81"/>
            <rFont val="Tahoma"/>
            <family val="2"/>
          </rPr>
          <t>administer:</t>
        </r>
        <r>
          <rPr>
            <sz val="9"/>
            <color indexed="81"/>
            <rFont val="Tahoma"/>
            <family val="2"/>
          </rPr>
          <t xml:space="preserve">
Source: 제11차 전력수급기본계획 (uploaded image), p.93, 전원구성 전망 표</t>
        </r>
      </text>
    </comment>
  </commentList>
</comments>
</file>

<file path=xl/sharedStrings.xml><?xml version="1.0" encoding="utf-8"?>
<sst xmlns="http://schemas.openxmlformats.org/spreadsheetml/2006/main" count="36" uniqueCount="34">
  <si>
    <t>BPHC BAU Pumped Hydro Capacity</t>
  </si>
  <si>
    <t>Source:</t>
  </si>
  <si>
    <t>Year</t>
  </si>
  <si>
    <t>Pumped Storage Capacity (MW)</t>
  </si>
  <si>
    <t>KPX</t>
    <phoneticPr fontId="6" type="noConversion"/>
  </si>
  <si>
    <t>2021</t>
    <phoneticPr fontId="6" type="noConversion"/>
  </si>
  <si>
    <t>KPX Data from 2012 until 2020</t>
    <phoneticPr fontId="6" type="noConversion"/>
  </si>
  <si>
    <t>http://epsis.kpx.or.kr/epsisnew/selectEkpoBftChart.do?menuId=020100&amp;locale=eng</t>
    <phoneticPr fontId="6" type="noConversion"/>
  </si>
  <si>
    <t>Notes</t>
  </si>
  <si>
    <t>Start year</t>
    <phoneticPr fontId="6" type="noConversion"/>
  </si>
  <si>
    <t>Period</t>
  </si>
  <si>
    <t>nuclear</t>
  </si>
  <si>
    <t>hard coal</t>
  </si>
  <si>
    <t>petroleum</t>
  </si>
  <si>
    <t>natural gas nonpeaker</t>
  </si>
  <si>
    <t>hydro</t>
  </si>
  <si>
    <t>fuel cell</t>
    <phoneticPr fontId="6" type="noConversion"/>
  </si>
  <si>
    <t>solar PV</t>
  </si>
  <si>
    <t>onshore wind</t>
  </si>
  <si>
    <t>marine</t>
    <phoneticPr fontId="6" type="noConversion"/>
  </si>
  <si>
    <t>biomass</t>
  </si>
  <si>
    <t>municipal solid waste</t>
  </si>
  <si>
    <t>others</t>
    <phoneticPr fontId="6" type="noConversion"/>
  </si>
  <si>
    <t>Total</t>
  </si>
  <si>
    <t>PHS</t>
    <phoneticPr fontId="6" type="noConversion"/>
  </si>
  <si>
    <t>전원구성 전망 - 양수 (단위: GW)</t>
  </si>
  <si>
    <t>구분</t>
  </si>
  <si>
    <t>양수(GW)</t>
  </si>
  <si>
    <t xml:space="preserve">Reflects the pumped-storage hydro capacity plan from the 11th Basic Plan for Electricity Supply and Demand (Ministry of Trade, Industry and Energy, 2025). </t>
    <phoneticPr fontId="6" type="noConversion"/>
  </si>
  <si>
    <t>Assumes KPX EPSIS actual levels are maintained for 2020-2029, the 11th Plan figures for 2030-2038, and the plan's endpoint (10,400 MW) held constant for 2039-2050.</t>
  </si>
  <si>
    <t>Capacities by Plant Type(2019~2023)</t>
    <phoneticPr fontId="6" type="noConversion"/>
  </si>
  <si>
    <t>Capacities by Plant Type(2024~2038)</t>
    <phoneticPr fontId="6" type="noConversion"/>
  </si>
  <si>
    <t>11th Basic Plan for Electricity Supply and Demand</t>
  </si>
  <si>
    <t>Ministry of Trade, Industry and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</si>
</sst>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1" fontId="0" fillId="0" borderId="0" xfId="0" applyNumberFormat="1"/>
    <xf numFmtId="0" fontId="1" fillId="2" borderId="0" xfId="0" applyFont="1" applyFill="1"/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" fontId="0" fillId="0" borderId="0" xfId="0" applyNumberFormat="1"/>
    <xf numFmtId="0" fontId="7" fillId="0" borderId="0" xfId="0" applyFont="1"/>
    <xf numFmtId="0" fontId="1" fillId="3" borderId="0" xfId="0" applyFont="1" applyFill="1"/>
    <xf numFmtId="0" fontId="0" fillId="2" borderId="0" xfId="0" applyFill="1"/>
  </cellXfs>
  <cellStyles count="9">
    <cellStyle name="Body: normal cell" xfId="6" xr:uid="{00000000-0005-0000-0000-000000000000}"/>
    <cellStyle name="Font: Calibri, 9pt regular" xfId="2" xr:uid="{00000000-0005-0000-0000-000001000000}"/>
    <cellStyle name="Footnotes: top row" xfId="7" xr:uid="{00000000-0005-0000-0000-000002000000}"/>
    <cellStyle name="Header: bottom row" xfId="3" xr:uid="{00000000-0005-0000-0000-000003000000}"/>
    <cellStyle name="Normal 2" xfId="8" xr:uid="{00000000-0005-0000-0000-000006000000}"/>
    <cellStyle name="Parent row" xfId="5" xr:uid="{00000000-0005-0000-0000-000007000000}"/>
    <cellStyle name="Table title" xfId="4" xr:uid="{00000000-0005-0000-0000-000008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4</xdr:row>
      <xdr:rowOff>47625</xdr:rowOff>
    </xdr:from>
    <xdr:to>
      <xdr:col>13</xdr:col>
      <xdr:colOff>610251</xdr:colOff>
      <xdr:row>16</xdr:row>
      <xdr:rowOff>105134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A8D7D3-20F5-E45B-D2E4-359B4BDA3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895350"/>
          <a:ext cx="4667901" cy="2572109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17</xdr:row>
      <xdr:rowOff>152400</xdr:rowOff>
    </xdr:from>
    <xdr:to>
      <xdr:col>14</xdr:col>
      <xdr:colOff>10178</xdr:colOff>
      <xdr:row>49</xdr:row>
      <xdr:rowOff>172389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027C89-2B7E-FD12-D398-AB99D20A8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3950" y="3724275"/>
          <a:ext cx="4677428" cy="672558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</xdr:row>
      <xdr:rowOff>133350</xdr:rowOff>
    </xdr:from>
    <xdr:to>
      <xdr:col>7</xdr:col>
      <xdr:colOff>646</xdr:colOff>
      <xdr:row>37</xdr:row>
      <xdr:rowOff>58105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147E7B-9DF6-93E9-0446-384E75F6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981075"/>
          <a:ext cx="4629796" cy="68399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B49787-82BD-46E6-8860-F44FCCB29A64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dc142ee2-fe6d-4da0-9ebd-23ce6feeb0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psis.kpx.or.kr/epsisnew/selectEkpoBftChart.do?menuId=020100&amp;locale=e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4" sqref="A4"/>
    </sheetView>
  </sheetViews>
  <sheetFormatPr defaultRowHeight="16.5" x14ac:dyDescent="0.3"/>
  <sheetData>
    <row r="1" spans="1:6" x14ac:dyDescent="0.3">
      <c r="A1" s="1" t="s">
        <v>0</v>
      </c>
    </row>
    <row r="3" spans="1:6" x14ac:dyDescent="0.3">
      <c r="A3" s="1" t="s">
        <v>1</v>
      </c>
      <c r="B3" s="4" t="s">
        <v>30</v>
      </c>
      <c r="C3" s="10"/>
      <c r="D3" s="10"/>
      <c r="E3" s="10"/>
      <c r="F3" s="10"/>
    </row>
    <row r="4" spans="1:6" x14ac:dyDescent="0.3">
      <c r="B4" t="s">
        <v>4</v>
      </c>
    </row>
    <row r="5" spans="1:6" x14ac:dyDescent="0.3">
      <c r="B5" s="5" t="s">
        <v>5</v>
      </c>
    </row>
    <row r="6" spans="1:6" x14ac:dyDescent="0.3">
      <c r="B6" t="s">
        <v>6</v>
      </c>
    </row>
    <row r="7" spans="1:6" x14ac:dyDescent="0.3">
      <c r="B7" s="2" t="s">
        <v>7</v>
      </c>
    </row>
    <row r="8" spans="1:6" x14ac:dyDescent="0.3">
      <c r="B8" s="2"/>
    </row>
    <row r="9" spans="1:6" x14ac:dyDescent="0.3">
      <c r="B9" s="2"/>
    </row>
    <row r="10" spans="1:6" x14ac:dyDescent="0.3">
      <c r="B10" s="4" t="s">
        <v>31</v>
      </c>
      <c r="C10" s="10"/>
      <c r="D10" s="10"/>
      <c r="E10" s="10"/>
      <c r="F10" s="10"/>
    </row>
    <row r="11" spans="1:6" x14ac:dyDescent="0.3">
      <c r="B11" s="5" t="s">
        <v>32</v>
      </c>
    </row>
    <row r="12" spans="1:6" x14ac:dyDescent="0.3">
      <c r="B12" s="5">
        <v>2025</v>
      </c>
    </row>
    <row r="13" spans="1:6" x14ac:dyDescent="0.3">
      <c r="B13" s="5" t="s">
        <v>33</v>
      </c>
    </row>
    <row r="15" spans="1:6" x14ac:dyDescent="0.3">
      <c r="A15" s="1" t="s">
        <v>8</v>
      </c>
    </row>
    <row r="16" spans="1:6" x14ac:dyDescent="0.3">
      <c r="A16" t="s">
        <v>9</v>
      </c>
      <c r="B16">
        <v>2019</v>
      </c>
    </row>
    <row r="19" spans="1:1" x14ac:dyDescent="0.3">
      <c r="A19" t="s">
        <v>28</v>
      </c>
    </row>
    <row r="20" spans="1:1" x14ac:dyDescent="0.3">
      <c r="A20" t="s">
        <v>29</v>
      </c>
    </row>
  </sheetData>
  <phoneticPr fontId="6" type="noConversion"/>
  <hyperlinks>
    <hyperlink ref="B7" r:id="rId1" xr:uid="{A0846EFB-37AC-491E-9E88-31B1746C31F1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FC7-B2DD-445B-851D-44E988A708A4}">
  <dimension ref="A1:Q10"/>
  <sheetViews>
    <sheetView workbookViewId="0">
      <selection activeCell="G2" sqref="G2"/>
    </sheetView>
  </sheetViews>
  <sheetFormatPr defaultRowHeight="16.5" x14ac:dyDescent="0.3"/>
  <sheetData>
    <row r="1" spans="1:17" x14ac:dyDescent="0.3">
      <c r="A1" t="s">
        <v>10</v>
      </c>
      <c r="B1" t="s">
        <v>11</v>
      </c>
      <c r="C1" t="s">
        <v>12</v>
      </c>
      <c r="D1" t="s">
        <v>12</v>
      </c>
      <c r="E1" t="s">
        <v>13</v>
      </c>
      <c r="F1" t="s">
        <v>14</v>
      </c>
      <c r="G1" t="s">
        <v>24</v>
      </c>
      <c r="H1" s="6" t="s">
        <v>16</v>
      </c>
      <c r="I1" t="s">
        <v>12</v>
      </c>
      <c r="J1" t="s">
        <v>17</v>
      </c>
      <c r="K1" t="s">
        <v>18</v>
      </c>
      <c r="L1" t="s">
        <v>15</v>
      </c>
      <c r="M1" s="6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7" x14ac:dyDescent="0.3">
      <c r="A2">
        <v>2020</v>
      </c>
      <c r="B2" s="7">
        <v>23250</v>
      </c>
      <c r="C2" s="7">
        <v>36453.379999999997</v>
      </c>
      <c r="D2">
        <v>400</v>
      </c>
      <c r="E2" s="7">
        <v>2247.0300000000002</v>
      </c>
      <c r="F2" s="7">
        <v>41169.769999999997</v>
      </c>
      <c r="G2" s="7">
        <v>4700</v>
      </c>
      <c r="H2">
        <v>604.71</v>
      </c>
      <c r="I2">
        <v>346.33</v>
      </c>
      <c r="J2" s="7">
        <v>14574.79</v>
      </c>
      <c r="K2" s="7">
        <v>1635.8</v>
      </c>
      <c r="L2" s="7">
        <v>1805.77</v>
      </c>
      <c r="M2">
        <v>255.5</v>
      </c>
      <c r="N2" s="7">
        <v>1321.99</v>
      </c>
      <c r="O2">
        <v>0</v>
      </c>
      <c r="P2">
        <v>426.2</v>
      </c>
      <c r="Q2" s="7">
        <v>129191.27</v>
      </c>
    </row>
    <row r="3" spans="1:17" x14ac:dyDescent="0.3">
      <c r="A3">
        <v>2019</v>
      </c>
      <c r="B3" s="7">
        <v>23250</v>
      </c>
      <c r="C3" s="7">
        <v>36391.78</v>
      </c>
      <c r="D3">
        <v>600</v>
      </c>
      <c r="E3" s="7">
        <v>3771.04</v>
      </c>
      <c r="F3" s="7">
        <v>39655.4</v>
      </c>
      <c r="G3" s="7">
        <v>4700</v>
      </c>
      <c r="H3">
        <v>464.15</v>
      </c>
      <c r="I3">
        <v>346.33</v>
      </c>
      <c r="J3" s="7">
        <v>10505.1</v>
      </c>
      <c r="K3" s="7">
        <v>1512.22</v>
      </c>
      <c r="L3" s="7">
        <v>1808.1</v>
      </c>
      <c r="M3">
        <v>255.5</v>
      </c>
      <c r="N3">
        <v>899.65</v>
      </c>
      <c r="O3">
        <v>0</v>
      </c>
      <c r="P3" s="7">
        <v>1178.3900000000001</v>
      </c>
      <c r="Q3" s="7">
        <v>125337.67</v>
      </c>
    </row>
    <row r="4" spans="1:17" x14ac:dyDescent="0.3">
      <c r="A4">
        <v>2018</v>
      </c>
      <c r="B4" s="7">
        <v>21850</v>
      </c>
      <c r="C4" s="7">
        <v>36298.74</v>
      </c>
      <c r="D4">
        <v>600</v>
      </c>
      <c r="E4" s="7">
        <v>4318.62</v>
      </c>
      <c r="F4" s="7">
        <v>37834.39</v>
      </c>
      <c r="G4" s="7">
        <v>4700</v>
      </c>
      <c r="H4">
        <v>343.69</v>
      </c>
      <c r="I4">
        <v>346.33</v>
      </c>
      <c r="J4" s="7">
        <v>7129.86</v>
      </c>
      <c r="K4" s="7">
        <v>1420.33</v>
      </c>
      <c r="L4" s="7">
        <v>1790.41</v>
      </c>
      <c r="M4">
        <v>255</v>
      </c>
      <c r="N4">
        <v>537.66</v>
      </c>
      <c r="O4" s="7">
        <v>1589.94</v>
      </c>
      <c r="P4">
        <v>76.7</v>
      </c>
      <c r="Q4" s="7">
        <v>119091.66</v>
      </c>
    </row>
    <row r="5" spans="1:17" x14ac:dyDescent="0.3">
      <c r="A5">
        <v>2017</v>
      </c>
      <c r="B5" s="7">
        <v>22528.68</v>
      </c>
      <c r="C5" s="7">
        <v>36097.800000000003</v>
      </c>
      <c r="D5">
        <v>600</v>
      </c>
      <c r="E5" s="7">
        <v>4150.57</v>
      </c>
      <c r="F5" s="7">
        <v>37832.699999999997</v>
      </c>
      <c r="G5" s="7">
        <v>4700</v>
      </c>
      <c r="H5">
        <v>246.9</v>
      </c>
      <c r="I5">
        <v>346.33</v>
      </c>
      <c r="J5" s="7">
        <v>5062.3100000000004</v>
      </c>
      <c r="K5" s="7">
        <v>1214.82</v>
      </c>
      <c r="L5" s="7">
        <v>1789.46</v>
      </c>
      <c r="M5">
        <v>255.11</v>
      </c>
      <c r="N5">
        <v>494.42</v>
      </c>
      <c r="O5" s="7">
        <v>1567.03</v>
      </c>
      <c r="P5">
        <v>21.51</v>
      </c>
      <c r="Q5" s="7">
        <v>116907.64</v>
      </c>
    </row>
    <row r="6" spans="1:17" x14ac:dyDescent="0.3">
      <c r="A6">
        <v>2016</v>
      </c>
      <c r="B6" s="7">
        <v>23115.68</v>
      </c>
      <c r="C6" s="7">
        <v>30898.42</v>
      </c>
      <c r="D6" s="7">
        <v>1125</v>
      </c>
      <c r="E6" s="7">
        <v>4140.54</v>
      </c>
      <c r="F6" s="7">
        <v>32602.1</v>
      </c>
      <c r="G6" s="7">
        <v>4700</v>
      </c>
      <c r="H6">
        <v>214.82</v>
      </c>
      <c r="I6">
        <v>346.33</v>
      </c>
      <c r="J6" s="7">
        <v>3716.32</v>
      </c>
      <c r="K6" s="7">
        <v>1051.01</v>
      </c>
      <c r="L6" s="7">
        <v>1785.21</v>
      </c>
      <c r="M6">
        <v>255.11</v>
      </c>
      <c r="N6">
        <v>353.26</v>
      </c>
      <c r="O6" s="7">
        <v>1561.76</v>
      </c>
      <c r="P6">
        <v>0</v>
      </c>
      <c r="Q6" s="7">
        <v>105865.56</v>
      </c>
    </row>
    <row r="7" spans="1:17" x14ac:dyDescent="0.3">
      <c r="A7">
        <v>2015</v>
      </c>
      <c r="B7" s="7">
        <v>21715.68</v>
      </c>
      <c r="C7" s="7">
        <v>26201.91</v>
      </c>
      <c r="D7" s="7">
        <v>1125</v>
      </c>
      <c r="E7" s="7">
        <v>4242.59</v>
      </c>
      <c r="F7" s="7">
        <v>32243.5</v>
      </c>
      <c r="G7" s="7">
        <v>4700</v>
      </c>
      <c r="H7">
        <v>171.4</v>
      </c>
      <c r="I7">
        <v>0</v>
      </c>
      <c r="J7" s="7">
        <v>2537.56</v>
      </c>
      <c r="K7">
        <v>834.42</v>
      </c>
      <c r="L7" s="7">
        <v>1770.71</v>
      </c>
      <c r="M7">
        <v>255</v>
      </c>
      <c r="N7">
        <v>244.89</v>
      </c>
      <c r="O7" s="7">
        <v>1606.1</v>
      </c>
      <c r="P7">
        <v>0</v>
      </c>
      <c r="Q7" s="7">
        <v>97648.76</v>
      </c>
    </row>
    <row r="8" spans="1:17" x14ac:dyDescent="0.3">
      <c r="A8">
        <v>2014</v>
      </c>
      <c r="B8" s="7">
        <v>20715.68</v>
      </c>
      <c r="C8" s="7">
        <v>25910.51</v>
      </c>
      <c r="D8" s="7">
        <v>1125</v>
      </c>
      <c r="E8" s="7">
        <v>4254.99</v>
      </c>
      <c r="F8" s="7">
        <v>30268.69</v>
      </c>
      <c r="G8" s="7">
        <v>4700</v>
      </c>
      <c r="H8">
        <v>161.4</v>
      </c>
      <c r="I8">
        <v>0</v>
      </c>
      <c r="J8" s="7">
        <v>1791.18</v>
      </c>
      <c r="K8">
        <v>603.97</v>
      </c>
      <c r="L8" s="7">
        <v>1766.94</v>
      </c>
      <c r="M8">
        <v>255</v>
      </c>
      <c r="N8">
        <v>137.47999999999999</v>
      </c>
      <c r="O8" s="7">
        <v>1524.91</v>
      </c>
      <c r="P8">
        <v>0</v>
      </c>
      <c r="Q8" s="7">
        <v>93215.75</v>
      </c>
    </row>
    <row r="9" spans="1:17" x14ac:dyDescent="0.3">
      <c r="A9">
        <v>2013</v>
      </c>
      <c r="B9" s="7">
        <v>20715.68</v>
      </c>
      <c r="C9" s="7">
        <v>24110.51</v>
      </c>
      <c r="D9" s="7">
        <v>1125</v>
      </c>
      <c r="E9" s="7">
        <v>5254.99</v>
      </c>
      <c r="F9" s="7">
        <v>25789.59</v>
      </c>
      <c r="G9" s="7">
        <v>4700</v>
      </c>
      <c r="H9">
        <v>126.66</v>
      </c>
      <c r="I9">
        <v>0</v>
      </c>
      <c r="J9" s="7">
        <v>1079.8499999999999</v>
      </c>
      <c r="K9">
        <v>554.59</v>
      </c>
      <c r="L9" s="7">
        <v>1754.46</v>
      </c>
      <c r="M9">
        <v>255</v>
      </c>
      <c r="N9">
        <v>126.68</v>
      </c>
      <c r="O9" s="7">
        <v>1375.92</v>
      </c>
      <c r="P9">
        <v>0</v>
      </c>
      <c r="Q9" s="7">
        <v>86968.94</v>
      </c>
    </row>
    <row r="10" spans="1:17" x14ac:dyDescent="0.3">
      <c r="A10">
        <v>2012</v>
      </c>
      <c r="B10" s="7">
        <v>20715.68</v>
      </c>
      <c r="C10" s="7">
        <v>24003.11</v>
      </c>
      <c r="D10" s="7">
        <v>1125</v>
      </c>
      <c r="E10" s="7">
        <v>5292.64</v>
      </c>
      <c r="F10" s="7">
        <v>21885.06</v>
      </c>
      <c r="G10" s="7">
        <v>4700</v>
      </c>
      <c r="H10">
        <v>56.1</v>
      </c>
      <c r="I10">
        <v>0</v>
      </c>
      <c r="J10">
        <v>690.27</v>
      </c>
      <c r="K10">
        <v>476.74</v>
      </c>
      <c r="L10" s="7">
        <v>1746.03</v>
      </c>
      <c r="M10">
        <v>255</v>
      </c>
      <c r="N10">
        <v>93.37</v>
      </c>
      <c r="O10">
        <v>766.57</v>
      </c>
      <c r="P10">
        <v>0</v>
      </c>
      <c r="Q10" s="7">
        <v>81805.58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6E87-C434-4D7B-9768-DD3FDE42A7AE}">
  <dimension ref="A1:Q4"/>
  <sheetViews>
    <sheetView workbookViewId="0">
      <selection activeCell="Q16" sqref="Q16"/>
    </sheetView>
  </sheetViews>
  <sheetFormatPr defaultRowHeight="16.5" x14ac:dyDescent="0.3"/>
  <sheetData>
    <row r="1" spans="1:17" ht="17.25" x14ac:dyDescent="0.3">
      <c r="A1" s="8" t="s">
        <v>25</v>
      </c>
    </row>
    <row r="3" spans="1:17" x14ac:dyDescent="0.3">
      <c r="A3" s="9" t="s">
        <v>26</v>
      </c>
      <c r="B3" s="9">
        <v>2023</v>
      </c>
      <c r="C3" s="9">
        <v>2024</v>
      </c>
      <c r="D3" s="9">
        <v>2025</v>
      </c>
      <c r="E3" s="9">
        <v>2026</v>
      </c>
      <c r="F3" s="9">
        <v>2027</v>
      </c>
      <c r="G3" s="9">
        <v>2028</v>
      </c>
      <c r="H3" s="9">
        <v>2029</v>
      </c>
      <c r="I3" s="9">
        <v>2030</v>
      </c>
      <c r="J3" s="9">
        <v>2031</v>
      </c>
      <c r="K3" s="9">
        <v>2032</v>
      </c>
      <c r="L3" s="9">
        <v>2033</v>
      </c>
      <c r="M3" s="9">
        <v>2034</v>
      </c>
      <c r="N3" s="9">
        <v>2035</v>
      </c>
      <c r="O3" s="9">
        <v>2036</v>
      </c>
      <c r="P3" s="9">
        <v>2037</v>
      </c>
      <c r="Q3" s="9">
        <v>2038</v>
      </c>
    </row>
    <row r="4" spans="1:17" x14ac:dyDescent="0.3">
      <c r="A4" t="s">
        <v>27</v>
      </c>
      <c r="B4">
        <v>4.7</v>
      </c>
      <c r="C4">
        <v>4.7</v>
      </c>
      <c r="D4">
        <v>4.7</v>
      </c>
      <c r="E4">
        <v>4.7</v>
      </c>
      <c r="F4">
        <v>4.7</v>
      </c>
      <c r="G4">
        <v>4.7</v>
      </c>
      <c r="H4">
        <v>4.7</v>
      </c>
      <c r="I4">
        <v>5.2</v>
      </c>
      <c r="J4">
        <v>5.2</v>
      </c>
      <c r="K4">
        <v>5.8</v>
      </c>
      <c r="L4">
        <v>6.5</v>
      </c>
      <c r="M4">
        <v>7.9</v>
      </c>
      <c r="N4">
        <v>7.9</v>
      </c>
      <c r="O4">
        <v>9.4</v>
      </c>
      <c r="P4">
        <v>10.4</v>
      </c>
      <c r="Q4">
        <v>10.4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G2"/>
  <sheetViews>
    <sheetView workbookViewId="0">
      <selection activeCell="C10" sqref="C10"/>
    </sheetView>
  </sheetViews>
  <sheetFormatPr defaultRowHeight="16.5" x14ac:dyDescent="0.3"/>
  <cols>
    <col min="1" max="1" width="30.375" customWidth="1"/>
  </cols>
  <sheetData>
    <row r="1" spans="1:33" x14ac:dyDescent="0.3">
      <c r="A1" t="s">
        <v>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3" x14ac:dyDescent="0.3">
      <c r="A2" t="s">
        <v>3</v>
      </c>
      <c r="B2" s="3">
        <f>KPX!G2</f>
        <v>4700</v>
      </c>
      <c r="C2" s="3">
        <f>B2</f>
        <v>4700</v>
      </c>
      <c r="D2" s="3">
        <f t="shared" ref="D2:AF2" si="0">C2</f>
        <v>4700</v>
      </c>
      <c r="E2" s="3">
        <f>'제11차 전기본'!B4*1000</f>
        <v>4700</v>
      </c>
      <c r="F2" s="3">
        <f>'제11차 전기본'!C4*1000</f>
        <v>4700</v>
      </c>
      <c r="G2" s="3">
        <f>'제11차 전기본'!D4*1000</f>
        <v>4700</v>
      </c>
      <c r="H2" s="3">
        <f>'제11차 전기본'!E4*1000</f>
        <v>4700</v>
      </c>
      <c r="I2" s="3">
        <f>'제11차 전기본'!F4*1000</f>
        <v>4700</v>
      </c>
      <c r="J2" s="3">
        <f>'제11차 전기본'!G4*1000</f>
        <v>4700</v>
      </c>
      <c r="K2" s="3">
        <f>'제11차 전기본'!H4*1000</f>
        <v>4700</v>
      </c>
      <c r="L2" s="3">
        <f>'제11차 전기본'!I4*1000</f>
        <v>5200</v>
      </c>
      <c r="M2" s="3">
        <f>'제11차 전기본'!J4*1000</f>
        <v>5200</v>
      </c>
      <c r="N2" s="3">
        <f>'제11차 전기본'!K4*1000</f>
        <v>5800</v>
      </c>
      <c r="O2" s="3">
        <f>'제11차 전기본'!L4*1000</f>
        <v>6500</v>
      </c>
      <c r="P2" s="3">
        <f>'제11차 전기본'!M4*1000</f>
        <v>7900</v>
      </c>
      <c r="Q2" s="3">
        <f>'제11차 전기본'!N4*1000</f>
        <v>7900</v>
      </c>
      <c r="R2" s="3">
        <f>'제11차 전기본'!O4*1000</f>
        <v>9400</v>
      </c>
      <c r="S2" s="3">
        <f>'제11차 전기본'!P4*1000</f>
        <v>10400</v>
      </c>
      <c r="T2" s="3">
        <f>'제11차 전기본'!Q4*1000</f>
        <v>10400</v>
      </c>
      <c r="U2" s="3">
        <f t="shared" si="0"/>
        <v>10400</v>
      </c>
      <c r="V2" s="3">
        <f t="shared" si="0"/>
        <v>10400</v>
      </c>
      <c r="W2" s="3">
        <f t="shared" si="0"/>
        <v>10400</v>
      </c>
      <c r="X2" s="3">
        <f t="shared" si="0"/>
        <v>10400</v>
      </c>
      <c r="Y2" s="3">
        <f t="shared" si="0"/>
        <v>10400</v>
      </c>
      <c r="Z2" s="3">
        <f t="shared" si="0"/>
        <v>10400</v>
      </c>
      <c r="AA2" s="3">
        <f t="shared" si="0"/>
        <v>10400</v>
      </c>
      <c r="AB2" s="3">
        <f t="shared" si="0"/>
        <v>10400</v>
      </c>
      <c r="AC2" s="3">
        <f t="shared" si="0"/>
        <v>10400</v>
      </c>
      <c r="AD2" s="3">
        <f t="shared" si="0"/>
        <v>10400</v>
      </c>
      <c r="AE2" s="3">
        <f t="shared" si="0"/>
        <v>10400</v>
      </c>
      <c r="AF2" s="3">
        <f t="shared" si="0"/>
        <v>10400</v>
      </c>
      <c r="AG2" s="3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858930-8C7A-4C63-B641-38E4DF0880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610B1EF-C37C-4C4A-AC5E-85E9938BD8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54EBE5-CDA7-4D5D-83D8-D6C62EA6D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About</vt:lpstr>
      <vt:lpstr>KPX</vt:lpstr>
      <vt:lpstr>제11차 전기본</vt:lpstr>
      <vt:lpstr>BPHC</vt:lpstr>
      <vt:lpstr>gigawatts_to_megawatts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김주혜</cp:lastModifiedBy>
  <dcterms:created xsi:type="dcterms:W3CDTF">2015-06-11T00:38:34Z</dcterms:created>
  <dcterms:modified xsi:type="dcterms:W3CDTF">2026-09-08T08:41:32Z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