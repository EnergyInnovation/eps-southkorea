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outh Korea\Models\eps-southkorea\InputData\elec\BPMCCS\"/>
    </mc:Choice>
  </mc:AlternateContent>
  <xr:revisionPtr revIDLastSave="0" documentId="13_ncr:1_{47A16E22-8226-4575-9619-D2F18A83CCEA}" xr6:coauthVersionLast="47" xr6:coauthVersionMax="47" xr10:uidLastSave="{00000000-0000-0000-0000-000000000000}"/>
  <bookViews>
    <workbookView xWindow="1520" yWindow="1520" windowWidth="28800" windowHeight="15450" tabRatio="846" xr2:uid="{00000000-000D-0000-FFFF-FFFF00000000}"/>
  </bookViews>
  <sheets>
    <sheet name="About" sheetId="6" r:id="rId1"/>
    <sheet name="재생에너지설비현황_19~25" sheetId="11" r:id="rId2"/>
    <sheet name="설비현황_19~25" sheetId="7" r:id="rId3"/>
    <sheet name="신재생에너지 설비 및 발전량 전망_24~38" sheetId="10" r:id="rId4"/>
    <sheet name="건설계획표_26~38" sheetId="8" r:id="rId5"/>
    <sheet name="BPMCC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1" l="1"/>
  <c r="D61" i="11"/>
  <c r="E61" i="11"/>
  <c r="F61" i="11"/>
  <c r="G61" i="11"/>
  <c r="H55" i="11"/>
  <c r="C55" i="11"/>
  <c r="D55" i="11"/>
  <c r="E55" i="11"/>
  <c r="F55" i="11"/>
  <c r="G55" i="11"/>
  <c r="B55" i="11"/>
  <c r="L12" i="11"/>
  <c r="M12" i="11"/>
  <c r="N12" i="11"/>
  <c r="O12" i="11"/>
  <c r="G8" i="11"/>
  <c r="H8" i="11"/>
  <c r="I8" i="11"/>
  <c r="J8" i="11"/>
  <c r="F8" i="11"/>
  <c r="Q12" i="11"/>
  <c r="P12" i="11"/>
  <c r="D25" i="7"/>
  <c r="B2" i="5"/>
  <c r="C2" i="5"/>
  <c r="B3" i="5"/>
  <c r="C3" i="5"/>
  <c r="B4" i="5"/>
  <c r="C4" i="5"/>
  <c r="C5" i="5"/>
  <c r="B6" i="5"/>
  <c r="C6" i="5"/>
  <c r="B7" i="5"/>
  <c r="B9" i="5"/>
  <c r="C9" i="5"/>
  <c r="B10" i="5"/>
  <c r="C10" i="5"/>
  <c r="B11" i="5"/>
  <c r="C11" i="5"/>
  <c r="B12" i="5"/>
  <c r="C12" i="5"/>
  <c r="B13" i="5"/>
  <c r="C13" i="5"/>
  <c r="B14" i="5"/>
  <c r="C14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57" i="11"/>
  <c r="B56" i="11"/>
  <c r="Q113" i="11"/>
  <c r="O113" i="11"/>
  <c r="N113" i="11"/>
  <c r="L113" i="11"/>
  <c r="K113" i="11"/>
  <c r="J113" i="11"/>
  <c r="I113" i="11"/>
  <c r="H113" i="11"/>
  <c r="G113" i="11"/>
  <c r="F113" i="11"/>
  <c r="D113" i="11"/>
  <c r="C113" i="11"/>
  <c r="B113" i="11"/>
  <c r="D42" i="8"/>
  <c r="E42" i="8"/>
  <c r="F42" i="8"/>
  <c r="G42" i="8"/>
  <c r="H42" i="8"/>
  <c r="I42" i="8"/>
  <c r="J42" i="8"/>
  <c r="K42" i="8"/>
  <c r="L42" i="8"/>
  <c r="M42" i="8"/>
  <c r="N42" i="8"/>
  <c r="O42" i="8"/>
  <c r="C42" i="8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V7" i="5"/>
  <c r="W7" i="5"/>
  <c r="X7" i="5"/>
  <c r="Y7" i="5"/>
  <c r="Z7" i="5"/>
  <c r="AA7" i="5"/>
  <c r="AB7" i="5"/>
  <c r="AC7" i="5"/>
  <c r="AD7" i="5"/>
  <c r="AE7" i="5"/>
  <c r="AF7" i="5"/>
  <c r="AG7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V15" i="5"/>
  <c r="W15" i="5"/>
  <c r="X15" i="5"/>
  <c r="Y15" i="5"/>
  <c r="Z15" i="5"/>
  <c r="AA15" i="5"/>
  <c r="AB15" i="5"/>
  <c r="AC15" i="5"/>
  <c r="AD15" i="5"/>
  <c r="AE15" i="5"/>
  <c r="AF15" i="5"/>
  <c r="AG15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I3" i="5"/>
  <c r="I4" i="5"/>
  <c r="I5" i="5"/>
  <c r="I6" i="5"/>
  <c r="I8" i="5"/>
  <c r="I9" i="5"/>
  <c r="I10" i="5"/>
  <c r="I11" i="5"/>
  <c r="I12" i="5"/>
  <c r="I13" i="5"/>
  <c r="I14" i="5"/>
  <c r="I16" i="5"/>
  <c r="I17" i="5"/>
  <c r="I18" i="5"/>
  <c r="I19" i="5"/>
  <c r="I20" i="5"/>
  <c r="I21" i="5"/>
  <c r="I22" i="5"/>
  <c r="I23" i="5"/>
  <c r="I24" i="5"/>
  <c r="I25" i="5"/>
  <c r="I2" i="5"/>
  <c r="D2" i="5"/>
  <c r="E2" i="5"/>
  <c r="F2" i="5"/>
  <c r="G2" i="5"/>
  <c r="H2" i="5"/>
  <c r="D3" i="5"/>
  <c r="E3" i="5"/>
  <c r="F3" i="5"/>
  <c r="G3" i="5"/>
  <c r="H3" i="5"/>
  <c r="D4" i="5"/>
  <c r="E4" i="5"/>
  <c r="F4" i="5"/>
  <c r="G4" i="5"/>
  <c r="H4" i="5"/>
  <c r="D5" i="5"/>
  <c r="E5" i="5"/>
  <c r="F5" i="5"/>
  <c r="G5" i="5"/>
  <c r="H5" i="5"/>
  <c r="D6" i="5"/>
  <c r="E6" i="5"/>
  <c r="F6" i="5"/>
  <c r="G6" i="5"/>
  <c r="H6" i="5"/>
  <c r="D9" i="5"/>
  <c r="E9" i="5"/>
  <c r="F9" i="5"/>
  <c r="G9" i="5"/>
  <c r="H9" i="5"/>
  <c r="E10" i="5"/>
  <c r="F10" i="5"/>
  <c r="G10" i="5"/>
  <c r="H10" i="5"/>
  <c r="D11" i="5"/>
  <c r="E11" i="5"/>
  <c r="F11" i="5"/>
  <c r="G11" i="5"/>
  <c r="H11" i="5"/>
  <c r="D12" i="5"/>
  <c r="E12" i="5"/>
  <c r="F12" i="5"/>
  <c r="G12" i="5"/>
  <c r="H12" i="5"/>
  <c r="D13" i="5"/>
  <c r="E13" i="5"/>
  <c r="F13" i="5"/>
  <c r="G13" i="5"/>
  <c r="H13" i="5"/>
  <c r="D14" i="5"/>
  <c r="E14" i="5"/>
  <c r="F14" i="5"/>
  <c r="G14" i="5"/>
  <c r="H14" i="5"/>
  <c r="D16" i="5"/>
  <c r="E16" i="5"/>
  <c r="F16" i="5"/>
  <c r="G16" i="5"/>
  <c r="H16" i="5"/>
  <c r="D17" i="5"/>
  <c r="E17" i="5"/>
  <c r="F17" i="5"/>
  <c r="G17" i="5"/>
  <c r="H17" i="5"/>
  <c r="D18" i="5"/>
  <c r="E18" i="5"/>
  <c r="F18" i="5"/>
  <c r="G18" i="5"/>
  <c r="H18" i="5"/>
  <c r="D19" i="5"/>
  <c r="E19" i="5"/>
  <c r="F19" i="5"/>
  <c r="G19" i="5"/>
  <c r="H19" i="5"/>
  <c r="D20" i="5"/>
  <c r="E20" i="5"/>
  <c r="F20" i="5"/>
  <c r="G20" i="5"/>
  <c r="H20" i="5"/>
  <c r="D21" i="5"/>
  <c r="E21" i="5"/>
  <c r="F21" i="5"/>
  <c r="G21" i="5"/>
  <c r="H21" i="5"/>
  <c r="D22" i="5"/>
  <c r="E22" i="5"/>
  <c r="F22" i="5"/>
  <c r="G22" i="5"/>
  <c r="H22" i="5"/>
  <c r="D23" i="5"/>
  <c r="E23" i="5"/>
  <c r="F23" i="5"/>
  <c r="G23" i="5"/>
  <c r="H23" i="5"/>
  <c r="D24" i="5"/>
  <c r="E24" i="5"/>
  <c r="F24" i="5"/>
  <c r="G24" i="5"/>
  <c r="H24" i="5"/>
  <c r="D25" i="5"/>
  <c r="E25" i="5"/>
  <c r="F25" i="5"/>
  <c r="G25" i="5"/>
  <c r="H25" i="5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B31" i="8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B67" i="10"/>
  <c r="C51" i="11"/>
  <c r="C50" i="11"/>
  <c r="C49" i="11"/>
  <c r="B26" i="8"/>
  <c r="B32" i="8"/>
  <c r="B33" i="8"/>
  <c r="B34" i="8"/>
  <c r="B35" i="8"/>
  <c r="B36" i="8"/>
  <c r="B37" i="8"/>
  <c r="B39" i="8"/>
  <c r="B40" i="8"/>
  <c r="B41" i="8"/>
  <c r="B42" i="8"/>
  <c r="B43" i="8"/>
  <c r="B44" i="8"/>
  <c r="B45" i="8"/>
  <c r="B46" i="8"/>
  <c r="B47" i="8"/>
  <c r="B48" i="8"/>
  <c r="H57" i="11"/>
  <c r="G57" i="11"/>
  <c r="G56" i="11" s="1"/>
  <c r="F57" i="11"/>
  <c r="E57" i="11"/>
  <c r="D57" i="11"/>
  <c r="C57" i="11"/>
  <c r="F56" i="11"/>
  <c r="E56" i="11"/>
  <c r="D56" i="11"/>
  <c r="C56" i="11"/>
  <c r="F31" i="7"/>
  <c r="F8" i="5" s="1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G59" i="10"/>
  <c r="B38" i="7"/>
  <c r="B15" i="5" s="1"/>
  <c r="B30" i="7"/>
  <c r="B31" i="7"/>
  <c r="B8" i="5" s="1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C86" i="10"/>
  <c r="Q45" i="10"/>
  <c r="Q47" i="10"/>
  <c r="Q46" i="10"/>
  <c r="B45" i="10"/>
  <c r="B16" i="8" s="1"/>
  <c r="C45" i="10"/>
  <c r="C16" i="8" s="1"/>
  <c r="D45" i="10"/>
  <c r="D16" i="8" s="1"/>
  <c r="E45" i="10"/>
  <c r="E16" i="8" s="1"/>
  <c r="F45" i="10"/>
  <c r="F16" i="8" s="1"/>
  <c r="G45" i="10"/>
  <c r="G16" i="8" s="1"/>
  <c r="H45" i="10"/>
  <c r="H16" i="8" s="1"/>
  <c r="I45" i="10"/>
  <c r="I16" i="8" s="1"/>
  <c r="J45" i="10"/>
  <c r="J16" i="8" s="1"/>
  <c r="K45" i="10"/>
  <c r="K16" i="8" s="1"/>
  <c r="L45" i="10"/>
  <c r="L16" i="8" s="1"/>
  <c r="M45" i="10"/>
  <c r="M16" i="8" s="1"/>
  <c r="N45" i="10"/>
  <c r="N16" i="8" s="1"/>
  <c r="O45" i="10"/>
  <c r="O16" i="8" s="1"/>
  <c r="B46" i="10"/>
  <c r="B17" i="8" s="1"/>
  <c r="C46" i="10"/>
  <c r="C17" i="8" s="1"/>
  <c r="D46" i="10"/>
  <c r="D17" i="8" s="1"/>
  <c r="E46" i="10"/>
  <c r="E17" i="8" s="1"/>
  <c r="F46" i="10"/>
  <c r="F17" i="8" s="1"/>
  <c r="G46" i="10"/>
  <c r="G17" i="8" s="1"/>
  <c r="H46" i="10"/>
  <c r="H17" i="8" s="1"/>
  <c r="I46" i="10"/>
  <c r="I17" i="8" s="1"/>
  <c r="J46" i="10"/>
  <c r="J17" i="8" s="1"/>
  <c r="K46" i="10"/>
  <c r="K17" i="8" s="1"/>
  <c r="L46" i="10"/>
  <c r="L17" i="8" s="1"/>
  <c r="M46" i="10"/>
  <c r="M17" i="8" s="1"/>
  <c r="N46" i="10"/>
  <c r="N17" i="8" s="1"/>
  <c r="O46" i="10"/>
  <c r="O17" i="8" s="1"/>
  <c r="B47" i="10"/>
  <c r="B18" i="8" s="1"/>
  <c r="C47" i="10"/>
  <c r="C18" i="8" s="1"/>
  <c r="D47" i="10"/>
  <c r="D18" i="8" s="1"/>
  <c r="E47" i="10"/>
  <c r="E18" i="8" s="1"/>
  <c r="F47" i="10"/>
  <c r="F18" i="8" s="1"/>
  <c r="G47" i="10"/>
  <c r="G18" i="8" s="1"/>
  <c r="H47" i="10"/>
  <c r="H18" i="8" s="1"/>
  <c r="I47" i="10"/>
  <c r="I18" i="8" s="1"/>
  <c r="J47" i="10"/>
  <c r="J18" i="8" s="1"/>
  <c r="K47" i="10"/>
  <c r="K18" i="8" s="1"/>
  <c r="L47" i="10"/>
  <c r="L18" i="8" s="1"/>
  <c r="M47" i="10"/>
  <c r="M18" i="8" s="1"/>
  <c r="N47" i="10"/>
  <c r="N18" i="8" s="1"/>
  <c r="O47" i="10"/>
  <c r="O18" i="8" s="1"/>
  <c r="B48" i="10"/>
  <c r="B19" i="8" s="1"/>
  <c r="C48" i="10"/>
  <c r="C19" i="8" s="1"/>
  <c r="D48" i="10"/>
  <c r="D19" i="8" s="1"/>
  <c r="E48" i="10"/>
  <c r="E19" i="8" s="1"/>
  <c r="F48" i="10"/>
  <c r="F19" i="8" s="1"/>
  <c r="G48" i="10"/>
  <c r="G19" i="8" s="1"/>
  <c r="H48" i="10"/>
  <c r="H19" i="8" s="1"/>
  <c r="I48" i="10"/>
  <c r="I19" i="8" s="1"/>
  <c r="J48" i="10"/>
  <c r="J19" i="8" s="1"/>
  <c r="K48" i="10"/>
  <c r="K19" i="8" s="1"/>
  <c r="L48" i="10"/>
  <c r="L19" i="8" s="1"/>
  <c r="M48" i="10"/>
  <c r="M19" i="8" s="1"/>
  <c r="N48" i="10"/>
  <c r="N19" i="8" s="1"/>
  <c r="O48" i="10"/>
  <c r="O19" i="8" s="1"/>
  <c r="B49" i="10"/>
  <c r="B20" i="8" s="1"/>
  <c r="C49" i="10"/>
  <c r="C20" i="8" s="1"/>
  <c r="D49" i="10"/>
  <c r="D20" i="8" s="1"/>
  <c r="E49" i="10"/>
  <c r="E20" i="8" s="1"/>
  <c r="F49" i="10"/>
  <c r="F20" i="8" s="1"/>
  <c r="G49" i="10"/>
  <c r="G20" i="8" s="1"/>
  <c r="H49" i="10"/>
  <c r="H20" i="8" s="1"/>
  <c r="I49" i="10"/>
  <c r="I20" i="8" s="1"/>
  <c r="J49" i="10"/>
  <c r="J20" i="8" s="1"/>
  <c r="K49" i="10"/>
  <c r="K20" i="8" s="1"/>
  <c r="L49" i="10"/>
  <c r="L20" i="8" s="1"/>
  <c r="M49" i="10"/>
  <c r="M20" i="8" s="1"/>
  <c r="N49" i="10"/>
  <c r="N20" i="8" s="1"/>
  <c r="O49" i="10"/>
  <c r="O20" i="8" s="1"/>
  <c r="B50" i="10"/>
  <c r="B21" i="8" s="1"/>
  <c r="C50" i="10"/>
  <c r="C21" i="8" s="1"/>
  <c r="D50" i="10"/>
  <c r="D21" i="8" s="1"/>
  <c r="E50" i="10"/>
  <c r="E21" i="8" s="1"/>
  <c r="F50" i="10"/>
  <c r="F21" i="8" s="1"/>
  <c r="G50" i="10"/>
  <c r="G21" i="8" s="1"/>
  <c r="H50" i="10"/>
  <c r="H21" i="8" s="1"/>
  <c r="I50" i="10"/>
  <c r="I21" i="8" s="1"/>
  <c r="J50" i="10"/>
  <c r="J21" i="8" s="1"/>
  <c r="K50" i="10"/>
  <c r="K21" i="8" s="1"/>
  <c r="L50" i="10"/>
  <c r="L21" i="8" s="1"/>
  <c r="M50" i="10"/>
  <c r="M21" i="8" s="1"/>
  <c r="N50" i="10"/>
  <c r="N21" i="8" s="1"/>
  <c r="O50" i="10"/>
  <c r="O21" i="8" s="1"/>
  <c r="G31" i="7" l="1"/>
  <c r="G8" i="5" s="1"/>
  <c r="D62" i="11"/>
  <c r="D30" i="7" s="1"/>
  <c r="D7" i="5" s="1"/>
  <c r="H31" i="7"/>
  <c r="H8" i="5" s="1"/>
  <c r="D63" i="11"/>
  <c r="D38" i="7" s="1"/>
  <c r="D15" i="5" s="1"/>
  <c r="D31" i="7"/>
  <c r="D8" i="5" s="1"/>
  <c r="E62" i="11"/>
  <c r="E30" i="7" s="1"/>
  <c r="E7" i="5" s="1"/>
  <c r="F62" i="11"/>
  <c r="F30" i="7" s="1"/>
  <c r="F7" i="5" s="1"/>
  <c r="E63" i="11"/>
  <c r="E38" i="7" s="1"/>
  <c r="E15" i="5" s="1"/>
  <c r="F63" i="11"/>
  <c r="F38" i="7" s="1"/>
  <c r="F15" i="5" s="1"/>
  <c r="G62" i="11"/>
  <c r="G30" i="7" s="1"/>
  <c r="G7" i="5" s="1"/>
  <c r="C61" i="11"/>
  <c r="C31" i="7" s="1"/>
  <c r="C8" i="5" s="1"/>
  <c r="C63" i="11"/>
  <c r="C38" i="7" s="1"/>
  <c r="C15" i="5" s="1"/>
  <c r="E31" i="7"/>
  <c r="E8" i="5" s="1"/>
  <c r="C62" i="11"/>
  <c r="C30" i="7" s="1"/>
  <c r="C7" i="5" s="1"/>
  <c r="H56" i="11"/>
  <c r="H62" i="11" s="1"/>
  <c r="L85" i="10"/>
  <c r="G58" i="10"/>
  <c r="H63" i="11"/>
  <c r="H38" i="7" s="1"/>
  <c r="G63" i="11"/>
  <c r="G38" i="7" s="1"/>
  <c r="G15" i="5" s="1"/>
  <c r="M85" i="10"/>
  <c r="O85" i="10"/>
  <c r="N85" i="10"/>
  <c r="K85" i="10"/>
  <c r="J85" i="10"/>
  <c r="C85" i="10"/>
  <c r="H85" i="10"/>
  <c r="G85" i="10"/>
  <c r="F85" i="10"/>
  <c r="E85" i="10"/>
  <c r="D85" i="10"/>
  <c r="I85" i="10"/>
  <c r="P45" i="10"/>
  <c r="P47" i="10"/>
  <c r="P46" i="10"/>
  <c r="N48" i="8"/>
  <c r="O48" i="8"/>
  <c r="M48" i="8"/>
  <c r="L48" i="8"/>
  <c r="K48" i="8"/>
  <c r="J48" i="8"/>
  <c r="I48" i="8"/>
  <c r="H48" i="8"/>
  <c r="G48" i="8"/>
  <c r="F48" i="8"/>
  <c r="E48" i="8"/>
  <c r="D48" i="8"/>
  <c r="O46" i="8"/>
  <c r="N46" i="8"/>
  <c r="M46" i="8"/>
  <c r="L46" i="8"/>
  <c r="K46" i="8"/>
  <c r="J46" i="8"/>
  <c r="I46" i="8"/>
  <c r="H46" i="8"/>
  <c r="G46" i="8"/>
  <c r="F46" i="8"/>
  <c r="E46" i="8"/>
  <c r="D46" i="8"/>
  <c r="O28" i="8"/>
  <c r="N28" i="8"/>
  <c r="M28" i="8"/>
  <c r="L28" i="8"/>
  <c r="K28" i="8"/>
  <c r="J28" i="8"/>
  <c r="I28" i="8"/>
  <c r="H28" i="8"/>
  <c r="G28" i="8"/>
  <c r="F28" i="8"/>
  <c r="E28" i="8"/>
  <c r="D28" i="8"/>
  <c r="O27" i="8"/>
  <c r="N27" i="8"/>
  <c r="M27" i="8"/>
  <c r="L27" i="8"/>
  <c r="K27" i="8"/>
  <c r="J27" i="8"/>
  <c r="I27" i="8"/>
  <c r="H27" i="8"/>
  <c r="G27" i="8"/>
  <c r="F27" i="8"/>
  <c r="E27" i="8"/>
  <c r="D27" i="8"/>
  <c r="C48" i="8"/>
  <c r="C46" i="8"/>
  <c r="C28" i="8"/>
  <c r="C27" i="8"/>
  <c r="H25" i="7"/>
  <c r="B25" i="8" s="1"/>
  <c r="H27" i="7"/>
  <c r="B27" i="8" s="1"/>
  <c r="H28" i="7"/>
  <c r="B28" i="8" s="1"/>
  <c r="B29" i="8"/>
  <c r="I63" i="11" l="1"/>
  <c r="B59" i="10" s="1"/>
  <c r="H59" i="10" s="1"/>
  <c r="H56" i="10" s="1"/>
  <c r="I61" i="11"/>
  <c r="H15" i="5"/>
  <c r="B69" i="10"/>
  <c r="B38" i="8" s="1"/>
  <c r="H30" i="7"/>
  <c r="I62" i="11"/>
  <c r="B58" i="10" s="1"/>
  <c r="O58" i="10" s="1"/>
  <c r="G60" i="10"/>
  <c r="G61" i="10" s="1"/>
  <c r="D59" i="10"/>
  <c r="C59" i="10"/>
  <c r="C56" i="10" s="1"/>
  <c r="F59" i="10"/>
  <c r="E59" i="10"/>
  <c r="N58" i="10"/>
  <c r="M58" i="10"/>
  <c r="K58" i="10"/>
  <c r="J58" i="10"/>
  <c r="G29" i="7"/>
  <c r="F29" i="7"/>
  <c r="E29" i="7"/>
  <c r="D29" i="7"/>
  <c r="C29" i="7"/>
  <c r="G28" i="7"/>
  <c r="F28" i="7"/>
  <c r="E28" i="7"/>
  <c r="D28" i="7"/>
  <c r="C28" i="7"/>
  <c r="G27" i="7"/>
  <c r="F27" i="7"/>
  <c r="E27" i="7"/>
  <c r="D27" i="7"/>
  <c r="C27" i="7"/>
  <c r="G25" i="7"/>
  <c r="F25" i="7"/>
  <c r="E25" i="7"/>
  <c r="C25" i="7"/>
  <c r="B29" i="7"/>
  <c r="B28" i="7"/>
  <c r="B27" i="7"/>
  <c r="B25" i="7"/>
  <c r="B68" i="10" l="1"/>
  <c r="H7" i="5"/>
  <c r="I58" i="10"/>
  <c r="J55" i="10" s="1"/>
  <c r="L58" i="10"/>
  <c r="B60" i="10"/>
  <c r="B61" i="10" s="1"/>
  <c r="C58" i="10"/>
  <c r="C60" i="10" s="1"/>
  <c r="C61" i="10" s="1"/>
  <c r="F58" i="10"/>
  <c r="E58" i="10"/>
  <c r="D58" i="10"/>
  <c r="H58" i="10"/>
  <c r="D56" i="10"/>
  <c r="K59" i="10"/>
  <c r="K60" i="10" s="1"/>
  <c r="K61" i="10" s="1"/>
  <c r="K55" i="10"/>
  <c r="L59" i="10"/>
  <c r="L55" i="10"/>
  <c r="M59" i="10"/>
  <c r="M56" i="10" s="1"/>
  <c r="M55" i="10"/>
  <c r="O59" i="10"/>
  <c r="O60" i="10" s="1"/>
  <c r="O61" i="10" s="1"/>
  <c r="O55" i="10"/>
  <c r="N59" i="10"/>
  <c r="N55" i="10"/>
  <c r="E56" i="10"/>
  <c r="F56" i="10"/>
  <c r="G56" i="10"/>
  <c r="J59" i="10"/>
  <c r="J60" i="10"/>
  <c r="J61" i="10" s="1"/>
  <c r="M68" i="10" l="1"/>
  <c r="M30" i="8" s="1"/>
  <c r="S7" i="5" s="1"/>
  <c r="B66" i="10"/>
  <c r="B30" i="8"/>
  <c r="M69" i="10"/>
  <c r="M38" i="8" s="1"/>
  <c r="S15" i="5" s="1"/>
  <c r="N68" i="10"/>
  <c r="L56" i="10"/>
  <c r="L69" i="10" s="1"/>
  <c r="L38" i="8" s="1"/>
  <c r="R15" i="5" s="1"/>
  <c r="I55" i="10"/>
  <c r="I59" i="10"/>
  <c r="I56" i="10" s="1"/>
  <c r="H60" i="10"/>
  <c r="H61" i="10" s="1"/>
  <c r="H55" i="10"/>
  <c r="E55" i="10"/>
  <c r="E68" i="10" s="1"/>
  <c r="F55" i="10"/>
  <c r="F68" i="10" s="1"/>
  <c r="F30" i="8" s="1"/>
  <c r="L7" i="5" s="1"/>
  <c r="C55" i="10"/>
  <c r="G55" i="10"/>
  <c r="G68" i="10" s="1"/>
  <c r="G30" i="8" s="1"/>
  <c r="M7" i="5" s="1"/>
  <c r="E60" i="10"/>
  <c r="E61" i="10" s="1"/>
  <c r="F60" i="10"/>
  <c r="F61" i="10" s="1"/>
  <c r="D55" i="10"/>
  <c r="D68" i="10" s="1"/>
  <c r="D60" i="10"/>
  <c r="D61" i="10" s="1"/>
  <c r="M60" i="10"/>
  <c r="M61" i="10" s="1"/>
  <c r="L60" i="10"/>
  <c r="L61" i="10" s="1"/>
  <c r="N56" i="10"/>
  <c r="N69" i="10" s="1"/>
  <c r="N38" i="8" s="1"/>
  <c r="T15" i="5" s="1"/>
  <c r="O56" i="10"/>
  <c r="O69" i="10" s="1"/>
  <c r="O38" i="8" s="1"/>
  <c r="U15" i="5" s="1"/>
  <c r="K56" i="10"/>
  <c r="K69" i="10" s="1"/>
  <c r="K38" i="8" s="1"/>
  <c r="Q15" i="5" s="1"/>
  <c r="N60" i="10"/>
  <c r="N61" i="10" s="1"/>
  <c r="I69" i="10" l="1"/>
  <c r="I38" i="8" s="1"/>
  <c r="O15" i="5" s="1"/>
  <c r="D69" i="10"/>
  <c r="D38" i="8" s="1"/>
  <c r="J15" i="5" s="1"/>
  <c r="F69" i="10"/>
  <c r="F66" i="10" s="1"/>
  <c r="O68" i="10"/>
  <c r="D66" i="10"/>
  <c r="D30" i="8"/>
  <c r="J7" i="5" s="1"/>
  <c r="E69" i="10"/>
  <c r="E38" i="8" s="1"/>
  <c r="K15" i="5" s="1"/>
  <c r="I68" i="10"/>
  <c r="I30" i="8" s="1"/>
  <c r="O7" i="5" s="1"/>
  <c r="N66" i="10"/>
  <c r="N30" i="8"/>
  <c r="T7" i="5" s="1"/>
  <c r="K68" i="10"/>
  <c r="G69" i="10"/>
  <c r="E30" i="8"/>
  <c r="K7" i="5" s="1"/>
  <c r="H68" i="10"/>
  <c r="H30" i="8" s="1"/>
  <c r="N7" i="5" s="1"/>
  <c r="H69" i="10"/>
  <c r="C68" i="10"/>
  <c r="C30" i="8" s="1"/>
  <c r="I7" i="5" s="1"/>
  <c r="C69" i="10"/>
  <c r="L68" i="10"/>
  <c r="J56" i="10"/>
  <c r="M66" i="10"/>
  <c r="I60" i="10"/>
  <c r="I61" i="10" s="1"/>
  <c r="F38" i="8" l="1"/>
  <c r="L15" i="5" s="1"/>
  <c r="E66" i="10"/>
  <c r="O66" i="10"/>
  <c r="O30" i="8"/>
  <c r="U7" i="5" s="1"/>
  <c r="G66" i="10"/>
  <c r="G38" i="8"/>
  <c r="M15" i="5" s="1"/>
  <c r="K66" i="10"/>
  <c r="K30" i="8"/>
  <c r="Q7" i="5" s="1"/>
  <c r="J69" i="10"/>
  <c r="J38" i="8" s="1"/>
  <c r="P15" i="5" s="1"/>
  <c r="J68" i="10"/>
  <c r="L66" i="10"/>
  <c r="L30" i="8"/>
  <c r="R7" i="5" s="1"/>
  <c r="H66" i="10"/>
  <c r="H38" i="8"/>
  <c r="N15" i="5" s="1"/>
  <c r="C66" i="10"/>
  <c r="C38" i="8"/>
  <c r="I15" i="5" s="1"/>
  <c r="I66" i="10"/>
  <c r="J66" i="10" l="1"/>
  <c r="J30" i="8"/>
  <c r="P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Robbie Orvis</author>
  </authors>
  <commentList>
    <comment ref="D10" authorId="0" shapeId="0" xr:uid="{58CC3172-DDCD-47E6-B751-190C75303F0B}">
      <text>
        <r>
          <rPr>
            <b/>
            <sz val="9"/>
            <color indexed="81"/>
            <rFont val="Tahoma"/>
            <family val="2"/>
          </rPr>
          <t>2026-09-04: 124.044 MW moved here from BHRaSYC-StartYearCapacities Vintage2021 (source sheet shows 0 for 2021); start-year vintages must end in 2020.</t>
        </r>
      </text>
    </comment>
  </commentList>
</comments>
</file>

<file path=xl/sharedStrings.xml><?xml version="1.0" encoding="utf-8"?>
<sst xmlns="http://schemas.openxmlformats.org/spreadsheetml/2006/main" count="375" uniqueCount="230">
  <si>
    <t>연도</t>
  </si>
  <si>
    <t>EPS 발전원</t>
  </si>
  <si>
    <t>nuclear</t>
  </si>
  <si>
    <t>hard coal</t>
  </si>
  <si>
    <t>natural gas combined cycle</t>
  </si>
  <si>
    <t>신에너지</t>
  </si>
  <si>
    <t>재생에너지</t>
  </si>
  <si>
    <t>hydro</t>
  </si>
  <si>
    <t>small modular reactor</t>
  </si>
  <si>
    <t>crude oil</t>
  </si>
  <si>
    <t>2024 시작누적 (MW)</t>
  </si>
  <si>
    <t>2038 목표 (MW, P49)</t>
  </si>
  <si>
    <t>solar PV</t>
  </si>
  <si>
    <t>onshore wind</t>
  </si>
  <si>
    <t>offshore wind</t>
  </si>
  <si>
    <t>biomass</t>
  </si>
  <si>
    <t>Mandated Construction (MW)</t>
  </si>
  <si>
    <t>natural gas steam turbine</t>
  </si>
  <si>
    <t>solar thermal</t>
  </si>
  <si>
    <t>geothermal</t>
  </si>
  <si>
    <t>petroleum</t>
  </si>
  <si>
    <t>natural gas peaker</t>
  </si>
  <si>
    <t>lignite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</si>
  <si>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</si>
  <si>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</si>
  <si>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</si>
  <si>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</si>
  <si>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</si>
  <si>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</si>
  <si>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hydrogen combustion turbine</t>
  </si>
  <si>
    <t>hydrogen combined cycle</t>
  </si>
  <si>
    <t>BPMCCS BAU Policy Mandated Capacity Construction Schedule</t>
    <phoneticPr fontId="3" type="noConversion"/>
  </si>
  <si>
    <t>Sources:</t>
  </si>
  <si>
    <t>Ministry of Trade, Industry and Energy</t>
  </si>
  <si>
    <t>11th Basic Electricity Supply and Demand Plan</t>
    <phoneticPr fontId="3" type="noConversion"/>
  </si>
  <si>
    <t>https://www.motir.go.kr/kor/article/ATCLc01b2801b/70152/view</t>
  </si>
  <si>
    <t>Page 106~112</t>
    <phoneticPr fontId="3" type="noConversion"/>
  </si>
  <si>
    <t>Note:</t>
  </si>
  <si>
    <t>The purpose of this variable is to specify the electricity generating capacity</t>
  </si>
  <si>
    <t>in MW that will be built each year in the BAU case before the model considers</t>
  </si>
  <si>
    <t>what else to build in order to satisfy demand, satisfy an RPS (in the policy</t>
  </si>
  <si>
    <t>case), etc.</t>
  </si>
  <si>
    <t>2019년</t>
  </si>
  <si>
    <t>2020년</t>
  </si>
  <si>
    <t>2021년</t>
  </si>
  <si>
    <t>2022년</t>
  </si>
  <si>
    <t>2023년</t>
  </si>
  <si>
    <t>2024년</t>
  </si>
  <si>
    <t>2025년</t>
  </si>
  <si>
    <t>2026년</t>
  </si>
  <si>
    <t>coal</t>
  </si>
  <si>
    <t>fuelcell</t>
  </si>
  <si>
    <t>LNG</t>
  </si>
  <si>
    <t>LNG-chp</t>
  </si>
  <si>
    <t>offwind-fixed</t>
  </si>
  <si>
    <t>onwind</t>
  </si>
  <si>
    <t>others</t>
  </si>
  <si>
    <t>solar</t>
  </si>
  <si>
    <t>step1) 원본 데이터</t>
    <phoneticPr fontId="3" type="noConversion"/>
  </si>
  <si>
    <t>step2) 매칭</t>
    <phoneticPr fontId="3" type="noConversion"/>
  </si>
  <si>
    <t>구분(발전원)</t>
    <phoneticPr fontId="3" type="noConversion"/>
  </si>
  <si>
    <t>2027년</t>
  </si>
  <si>
    <t>2028년</t>
  </si>
  <si>
    <t>2029년</t>
  </si>
  <si>
    <t>2030년</t>
  </si>
  <si>
    <t>2031년</t>
  </si>
  <si>
    <t>2032년</t>
  </si>
  <si>
    <t>2033년</t>
  </si>
  <si>
    <t>2034년</t>
  </si>
  <si>
    <t>2035년</t>
  </si>
  <si>
    <t>2036년</t>
  </si>
  <si>
    <t>2037년</t>
  </si>
  <si>
    <t>2038년</t>
  </si>
  <si>
    <t>coal-ammonia 50</t>
  </si>
  <si>
    <t>H2 100</t>
  </si>
  <si>
    <t>LNG-H2 50</t>
  </si>
  <si>
    <t>nuclear-smr</t>
  </si>
  <si>
    <t>offwind-floating</t>
  </si>
  <si>
    <t>hydrogen combustion turbine</t>
    <phoneticPr fontId="3" type="noConversion"/>
  </si>
  <si>
    <t>hydrogen combined cycle</t>
    <phoneticPr fontId="3" type="noConversion"/>
  </si>
  <si>
    <t>Year</t>
  </si>
  <si>
    <t>min_capacity_BESS전국</t>
  </si>
  <si>
    <t>min_capacity_BESS제주</t>
  </si>
  <si>
    <t>min_capacity_pv</t>
  </si>
  <si>
    <t>min_capacity_wind</t>
  </si>
  <si>
    <t>min_capacity_fuelcell</t>
  </si>
  <si>
    <t>min_capacity_LNG</t>
  </si>
  <si>
    <t>min_capacity_H2_100</t>
  </si>
  <si>
    <t>연료원</t>
  </si>
  <si>
    <t>원자력</t>
  </si>
  <si>
    <t>소형모듈원자로</t>
  </si>
  <si>
    <t>석탄</t>
  </si>
  <si>
    <t>암모니아 혼소</t>
  </si>
  <si>
    <t>LNG 열병합</t>
  </si>
  <si>
    <t>수소 혼소</t>
  </si>
  <si>
    <t>해양</t>
  </si>
  <si>
    <t>수력</t>
  </si>
  <si>
    <t>태양광</t>
  </si>
  <si>
    <t>육상풍력</t>
  </si>
  <si>
    <t>고정식 해상풍력</t>
  </si>
  <si>
    <t>부유식 해상풍력</t>
  </si>
  <si>
    <t>연료전지</t>
  </si>
  <si>
    <t>step1) 원본 데이터_11차 전력수급기본계획</t>
    <phoneticPr fontId="3" type="noConversion"/>
  </si>
  <si>
    <t>수소 전소</t>
    <phoneticPr fontId="3" type="noConversion"/>
  </si>
  <si>
    <t>wind</t>
    <phoneticPr fontId="3" type="noConversion"/>
  </si>
  <si>
    <t>8. 신재생에너지 설비 및 발전량 전망</t>
  </si>
  <si>
    <t>가. 연도별 신재생에너지 설비 보급 전망(2024~2038)</t>
  </si>
  <si>
    <t>(단위: MW)</t>
  </si>
  <si>
    <t>사업용</t>
  </si>
  <si>
    <t>자가용</t>
  </si>
  <si>
    <t>합계</t>
  </si>
  <si>
    <t>풍력</t>
  </si>
  <si>
    <t>바이오</t>
  </si>
  <si>
    <t>소계</t>
  </si>
  <si>
    <t>IGCC</t>
  </si>
  <si>
    <t>* ( )는 실효용량 기준 / 자료: 제11차 전력수급기본계획 p.101</t>
  </si>
  <si>
    <t>소계</t>
    <phoneticPr fontId="3" type="noConversion"/>
  </si>
  <si>
    <t>태양광</t>
    <phoneticPr fontId="3" type="noConversion"/>
  </si>
  <si>
    <t>풍력</t>
    <phoneticPr fontId="3" type="noConversion"/>
  </si>
  <si>
    <t>수력</t>
    <phoneticPr fontId="3" type="noConversion"/>
  </si>
  <si>
    <t>해양</t>
    <phoneticPr fontId="3" type="noConversion"/>
  </si>
  <si>
    <t>바이오</t>
    <phoneticPr fontId="3" type="noConversion"/>
  </si>
  <si>
    <t>검산</t>
    <phoneticPr fontId="3" type="noConversion"/>
  </si>
  <si>
    <t>[참고] OPEN 모델 내용</t>
    <phoneticPr fontId="3" type="noConversion"/>
  </si>
  <si>
    <t>step2) 제 11차 전기본 설비 계획</t>
    <phoneticPr fontId="3" type="noConversion"/>
  </si>
  <si>
    <t>[참고] 제11차 전기본(p.101) - 8. 신재생에너지 설비 및 발전량 전망</t>
    <phoneticPr fontId="3" type="noConversion"/>
  </si>
  <si>
    <t>신규 설비용량 (MW)</t>
  </si>
  <si>
    <t>연말 기준 누적 설비용량 (MW)</t>
  </si>
  <si>
    <t>누적 단지 수 (개소)</t>
  </si>
  <si>
    <t>비고 (철거 등)</t>
  </si>
  <si>
    <t>철거 45.21 MW</t>
  </si>
  <si>
    <t>철거 0.50 MW</t>
  </si>
  <si>
    <t>철거 2.40 MW</t>
  </si>
  <si>
    <t>철거 0.75 MW</t>
  </si>
  <si>
    <t>-</t>
  </si>
  <si>
    <t>철거 5.90 MW</t>
  </si>
  <si>
    <t>연도 (말 기준)</t>
  </si>
  <si>
    <t>육상풍력 누적 용량 (MW)</t>
  </si>
  <si>
    <t>해상풍력 누적 용량 (MW)</t>
  </si>
  <si>
    <t>총 누적 용량 (MW)</t>
  </si>
  <si>
    <t>해상풍력 비중 (%)</t>
  </si>
  <si>
    <t>국내에서 상업 운전을 시작한 해상풍력 단지의 역사를 보면 연도별 누적 수치가 명확히 나옵니다.</t>
  </si>
  <si>
    <t>https://www.kweia.or.kr/bbs/board.php?bo_table=status</t>
  </si>
  <si>
    <r>
      <rPr>
        <sz val="10"/>
        <color theme="1"/>
        <rFont val="맑은 고딕"/>
        <family val="2"/>
      </rPr>
      <t>출처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2"/>
        <charset val="129"/>
      </rPr>
      <t>한국풍력산업협회 설치현황</t>
    </r>
    <phoneticPr fontId="3" type="noConversion"/>
  </si>
  <si>
    <t/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</si>
  <si>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</si>
  <si>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</si>
  <si>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</si>
  <si>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</si>
  <si>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</si>
  <si>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</si>
  <si>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</si>
  <si>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</si>
  <si>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</si>
  <si>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</si>
  <si>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</si>
  <si>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</si>
  <si>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</si>
  <si>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</si>
  <si>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</si>
  <si>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</si>
  <si>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</si>
  <si>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설비용량(MW)</t>
  </si>
  <si>
    <t>20.5</t>
  </si>
  <si>
    <t>55.34</t>
  </si>
  <si>
    <t>202.76</t>
  </si>
  <si>
    <t>512.77</t>
  </si>
  <si>
    <t>1,288.52</t>
  </si>
  <si>
    <t>2,124.32</t>
  </si>
  <si>
    <t>2,724.59</t>
  </si>
  <si>
    <t>3,650.2</t>
  </si>
  <si>
    <t>5,759.26</t>
  </si>
  <si>
    <t>8,798.26</t>
  </si>
  <si>
    <t>12,893.78</t>
  </si>
  <si>
    <t>16,849.96</t>
  </si>
  <si>
    <t>19,836.25</t>
  </si>
  <si>
    <t>22,581.63</t>
  </si>
  <si>
    <t>25,948.27</t>
  </si>
  <si>
    <t>29,825.39</t>
  </si>
  <si>
    <t>32,266.76</t>
  </si>
  <si>
    <t>출처: 한국에너지공단 재생에너지 클라우드플랫폼</t>
  </si>
  <si>
    <t>https://recloud.energy.or.kr/present/sub3_2_2.do</t>
  </si>
  <si>
    <t>step1) 태양광 및 풍력 누적설비용량 파악</t>
    <phoneticPr fontId="3" type="noConversion"/>
  </si>
  <si>
    <t>2. 해상풍력 누적 설비용량</t>
    <phoneticPr fontId="3" type="noConversion"/>
  </si>
  <si>
    <t>step2) 연도별 설비용량</t>
    <phoneticPr fontId="3" type="noConversion"/>
  </si>
  <si>
    <t>합계</t>
    <phoneticPr fontId="3" type="noConversion"/>
  </si>
  <si>
    <t>전망치가 없어, 정부가 2030년까지 해상풍력 보급 목표로세운 14.3GW를 근거로 배분함</t>
    <phoneticPr fontId="3" type="noConversion"/>
  </si>
  <si>
    <t>육상풍력</t>
    <phoneticPr fontId="3" type="noConversion"/>
  </si>
  <si>
    <t>해상풍력</t>
    <phoneticPr fontId="3" type="noConversion"/>
  </si>
  <si>
    <t>(육상 누적)</t>
    <phoneticPr fontId="3" type="noConversion"/>
  </si>
  <si>
    <t>(해상 누적)</t>
    <phoneticPr fontId="3" type="noConversion"/>
  </si>
  <si>
    <t>(해상+육상 누적)</t>
    <phoneticPr fontId="3" type="noConversion"/>
  </si>
  <si>
    <t>step2) 제11차 전기본 기준으로 맞춤</t>
    <phoneticPr fontId="3" type="noConversion"/>
  </si>
  <si>
    <t>2025 누적</t>
    <phoneticPr fontId="3" type="noConversion"/>
  </si>
  <si>
    <t>참고용) OPEN 모델 값</t>
    <phoneticPr fontId="3" type="noConversion"/>
  </si>
  <si>
    <t>2019년 (64.500 MW): 국내 최초의 상업용 해상풍력인 제주 탐라 해상풍력(30MW)과 영광 해상풍력 중 해상 구간(34.5MW)을 합친 수치입니다.</t>
  </si>
  <si>
    <t>2020년 ~ 2022년 (124.500 MW): 2020년에 전북 전남 해상의 서남해 해상풍력 실증단지(60MW)가 본격 가동되면서 기존 64.5MW에 60MW가 더해져 124.5MW가 되었습니다.</t>
  </si>
  <si>
    <t>2023년 (150.500 MW): 신안 지역의 일부 소규모 해상 설비 및 실증 기기가 추가되었습니다.</t>
  </si>
  <si>
    <t>2024년 (260.830 MW): 국내 최대 규모 중 하나인 제주 한림 해상풍력(100.08MW) 등이 완공되어 상업 운전을 시작하면서 대폭 늘어났습니다.</t>
  </si>
  <si>
    <r>
      <t>중요한 점:</t>
    </r>
    <r>
      <rPr>
        <sz val="10"/>
        <color theme="1"/>
        <rFont val="Calibri"/>
        <family val="3"/>
        <charset val="129"/>
        <scheme val="minor"/>
      </rPr>
      <t xml:space="preserve"> 2021년과 2022년에는 국내에 새로 완공된 상업용 해상풍력 단지가 단 한 군데도 없었습니다. 따라서 이 3년 동안은 해상풍력 누적 용량이 124.5MW로 완전히 정체되어 있었습니다.</t>
    </r>
  </si>
  <si>
    <t>참고) 연도별 해상풍력 누적 용량의 추적 (고정값)</t>
    <phoneticPr fontId="3" type="noConversion"/>
  </si>
  <si>
    <t>선형 보간 합계</t>
    <phoneticPr fontId="3" type="noConversion"/>
  </si>
  <si>
    <t>육상 해상 각각 선형 보간했을때의 합계와 목표의 차이</t>
    <phoneticPr fontId="3" type="noConversion"/>
  </si>
  <si>
    <t>step1) 제11차 전력수급기본계획</t>
    <phoneticPr fontId="3" type="noConversion"/>
  </si>
  <si>
    <t>step4) 최종</t>
    <phoneticPr fontId="3" type="noConversion"/>
  </si>
  <si>
    <t>step3) 육상풍력과 해상풍력: 비중 계산</t>
    <phoneticPr fontId="3" type="noConversion"/>
  </si>
  <si>
    <t>재생에너지 설비현황(2019~2025)</t>
    <phoneticPr fontId="3" type="noConversion"/>
  </si>
  <si>
    <t>https://recloud.energy.or.kr/present/sub3_2_2.do</t>
    <phoneticPr fontId="3" type="noConversion"/>
  </si>
  <si>
    <t>한국에너지공단 재생에너지 클라우드플랫폼(태양광)</t>
    <phoneticPr fontId="3" type="noConversion"/>
  </si>
  <si>
    <t>한국풍력산업협회 설치현황(풍력)</t>
    <phoneticPr fontId="3" type="noConversion"/>
  </si>
  <si>
    <t>&lt; 연도별 풍력·태양광 보급 (단위: MW) &gt;</t>
  </si>
  <si>
    <t>구분</t>
  </si>
  <si>
    <t>&lt; 제주지역 피크시간(하계 20시~22시) 피크기여도 (단위 : %) &gt;</t>
  </si>
  <si>
    <t>소수력</t>
  </si>
  <si>
    <t>폐기물</t>
  </si>
  <si>
    <t>피크기여도</t>
  </si>
  <si>
    <t>2026-09-04 start-year convention (matches eps-us, INITIAL TIME 2025 / vintages end 2024 / BPMCCS 2025 = first-year builds / BBNPPTY bans all sources through the last historical year): 2021 (first model year) builds stay in this file (solar 3,956 MW, onshore 64 MW, NGCC 482 MW, biomass 124 MW moved from BHRaSYC); the matching Vintage2021 entries were removed from BHRaSYC-StartYearCapacities so nothing is counted twice. An earlier same-day edit that zeroed the 2021 column here was reverted.</t>
  </si>
  <si>
    <t>2026-09-04: H29 set to 0 - raw I6 (1,814.85 MW) is the cumulative conventional hydro fleet as of 2025 (KEEI 1.82 GW), not a 2025 addition; no new conventional hydro was built in 2025.</t>
  </si>
  <si>
    <t>2026-09-04: hydro 2025 mandated build (1,815 MW) removed - the source cell was the cumulative conventional hydro fleet total, not an addition. EPS hydro capacity had jumped 2.1 -&gt; 3.9 GW in 2025 (actual fleet ~1.8 GW).</t>
  </si>
  <si>
    <t>2026-09-14 partner round 2 file adopted (260911): hard coal 2021 mandated build 3,098 MW (Goseong Hai 1-2 2,080 MW, Shin-Seocheon 1 1,018 MW) added in the 설비현황 tab. Consistent with the start-year convention: BHRaSYC hard coal is the end-2020 fleet (rebuilt from the EPSIS unit list the same day), so 2021 = end-2020 fleet + this build - the 2,620 MW retired in BCRbQ 2021 = 36.97 GW vs KPX 36.94 GW.</t>
  </si>
  <si>
    <t>에너지원별(1)</t>
  </si>
  <si>
    <t>에너지원별(2)</t>
  </si>
  <si>
    <t>에너지원별(3)</t>
  </si>
  <si>
    <t>에너지원별(4)</t>
  </si>
  <si>
    <t>① 재생에너지</t>
  </si>
  <si>
    <t>http://kosis.kr/statHtml/statHtml.do?orgId=337&amp;tblId=DT_337N_A005A&amp;tmprScrId=20260915155812527_1919405ca6b44674</t>
    <phoneticPr fontId="3" type="noConversion"/>
  </si>
  <si>
    <t>1. 태양광 누적 설비 용량(KOSIS/ 신재생에너지 보급용량(발전-누적)/2026.9.15)</t>
    <phoneticPr fontId="3" type="noConversion"/>
  </si>
  <si>
    <t>https://kosis.kr/statHtml/statHtml.do?orgId=337&amp;tblId=DT_337N_A005A</t>
  </si>
  <si>
    <t>통계청 KOSIS 신재생에너지 보급용량(발전-누적)</t>
    <phoneticPr fontId="3" type="noConversion"/>
  </si>
  <si>
    <t>2026-09-15 partner round 3 file adopted (260915): grid-connected solar 2020-2025 rebuilt as year-on-year differences of the KEA/KOSIS cumulative 'utility/business use' series (one source for the whole period), removing the 2024 discontinuity where two sources had been joined (2024 build 5,568 -&gt; 3,196 MW; 2021 3,956 -&gt; 3,428). Mandated solar 2021-2038 now totals 61.5 GW; with the 14.6 GW start-year fleet the grid-connected pathway reaches ~76 GW in 2038 vs the 11th Plan's 77.2 GW grid-connected figure. Self-consumption solar (plan: 12.2 GW in 2038) is carried separately in bldgs/BDESC.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</si>
</sst>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\(#,##0\)"/>
    <numFmt numFmtId="166" formatCode="_-* #,##0.0_-;\-* #,##0.0_-;_-* &quot;-&quot;_-;_-@_-"/>
    <numFmt numFmtId="167" formatCode="#,##0.0"/>
    <numFmt numFmtId="168" formatCode="0.0"/>
  </numFmts>
  <fonts count="22">
    <font>
      <sz val="11"/>
      <color theme="1"/>
      <name val="Calibri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i/>
      <sz val="9"/>
      <color rgb="FF666666"/>
      <name val="Calibri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</font>
    <font>
      <sz val="10"/>
      <color theme="1"/>
      <name val="맑은 고딕"/>
      <family val="2"/>
      <charset val="129"/>
    </font>
    <font>
      <b/>
      <sz val="11"/>
      <color rgb="FFFF0000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i/>
      <sz val="10"/>
      <color theme="1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medium">
        <color rgb="FF00000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medium">
        <color rgb="FF000000"/>
      </right>
      <top style="thin">
        <color rgb="FF808080"/>
      </top>
      <bottom/>
      <diagonal/>
    </border>
    <border>
      <left style="medium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/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164" fontId="7" fillId="0" borderId="0" applyFont="0" applyFill="0" applyBorder="0" applyAlignment="0" applyProtection="0">
      <alignment vertical="center"/>
    </xf>
  </cellStyleXfs>
  <cellXfs count="11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horizontal="left"/>
    </xf>
    <xf numFmtId="0" fontId="6" fillId="0" borderId="0" xfId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8" fillId="0" borderId="0" xfId="0" applyFont="1"/>
    <xf numFmtId="3" fontId="0" fillId="0" borderId="0" xfId="0" applyNumberFormat="1"/>
    <xf numFmtId="0" fontId="10" fillId="0" borderId="0" xfId="0" applyFont="1"/>
    <xf numFmtId="0" fontId="10" fillId="0" borderId="0" xfId="0" applyFont="1" applyAlignment="1">
      <alignment horizontal="right"/>
    </xf>
    <xf numFmtId="3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5" xfId="0" applyNumberFormat="1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 vertical="center"/>
    </xf>
    <xf numFmtId="3" fontId="10" fillId="0" borderId="17" xfId="0" applyNumberFormat="1" applyFont="1" applyBorder="1" applyAlignment="1">
      <alignment horizontal="center" vertical="center"/>
    </xf>
    <xf numFmtId="3" fontId="10" fillId="0" borderId="18" xfId="0" applyNumberFormat="1" applyFont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2" fillId="0" borderId="0" xfId="0" applyFont="1"/>
    <xf numFmtId="0" fontId="0" fillId="2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3" fontId="0" fillId="0" borderId="0" xfId="0" applyNumberFormat="1" applyAlignment="1">
      <alignment horizontal="center"/>
    </xf>
    <xf numFmtId="3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8" xfId="0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0" borderId="9" xfId="0" applyBorder="1" applyAlignment="1">
      <alignment vertical="center"/>
    </xf>
    <xf numFmtId="3" fontId="0" fillId="0" borderId="11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0" fillId="0" borderId="16" xfId="0" applyBorder="1" applyAlignment="1">
      <alignment vertical="center"/>
    </xf>
    <xf numFmtId="3" fontId="0" fillId="0" borderId="17" xfId="0" applyNumberFormat="1" applyBorder="1" applyAlignment="1">
      <alignment horizontal="center" vertical="center"/>
    </xf>
    <xf numFmtId="3" fontId="0" fillId="0" borderId="18" xfId="0" applyNumberFormat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0" fillId="11" borderId="1" xfId="0" applyFill="1" applyBorder="1"/>
    <xf numFmtId="0" fontId="0" fillId="10" borderId="8" xfId="0" applyFill="1" applyBorder="1" applyAlignment="1">
      <alignment vertical="center"/>
    </xf>
    <xf numFmtId="0" fontId="0" fillId="10" borderId="0" xfId="0" applyFill="1"/>
    <xf numFmtId="0" fontId="0" fillId="8" borderId="8" xfId="0" applyFill="1" applyBorder="1" applyAlignment="1">
      <alignment vertical="center"/>
    </xf>
    <xf numFmtId="0" fontId="0" fillId="8" borderId="0" xfId="0" applyFill="1"/>
    <xf numFmtId="0" fontId="0" fillId="12" borderId="8" xfId="0" applyFill="1" applyBorder="1" applyAlignment="1">
      <alignment vertical="center"/>
    </xf>
    <xf numFmtId="0" fontId="0" fillId="12" borderId="0" xfId="0" applyFill="1"/>
    <xf numFmtId="0" fontId="0" fillId="2" borderId="9" xfId="0" applyFill="1" applyBorder="1" applyAlignment="1">
      <alignment vertical="center"/>
    </xf>
    <xf numFmtId="0" fontId="13" fillId="0" borderId="1" xfId="0" applyFont="1" applyBorder="1"/>
    <xf numFmtId="0" fontId="13" fillId="0" borderId="1" xfId="0" applyFont="1" applyBorder="1" applyAlignment="1">
      <alignment horizontal="right"/>
    </xf>
    <xf numFmtId="4" fontId="13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vertical="center"/>
    </xf>
    <xf numFmtId="10" fontId="13" fillId="0" borderId="1" xfId="0" applyNumberFormat="1" applyFont="1" applyBorder="1" applyAlignment="1">
      <alignment horizontal="right"/>
    </xf>
    <xf numFmtId="0" fontId="13" fillId="0" borderId="20" xfId="0" applyFont="1" applyBorder="1"/>
    <xf numFmtId="0" fontId="9" fillId="0" borderId="0" xfId="0" applyFont="1" applyAlignment="1">
      <alignment horizontal="left" vertical="center" indent="1"/>
    </xf>
    <xf numFmtId="0" fontId="0" fillId="0" borderId="21" xfId="0" applyBorder="1" applyAlignment="1">
      <alignment horizontal="center" vertical="center" wrapText="1"/>
    </xf>
    <xf numFmtId="0" fontId="6" fillId="0" borderId="0" xfId="1"/>
    <xf numFmtId="166" fontId="0" fillId="0" borderId="1" xfId="2" applyNumberFormat="1" applyFont="1" applyBorder="1" applyAlignment="1"/>
    <xf numFmtId="166" fontId="0" fillId="11" borderId="1" xfId="2" applyNumberFormat="1" applyFont="1" applyFill="1" applyBorder="1" applyAlignment="1"/>
    <xf numFmtId="0" fontId="16" fillId="0" borderId="1" xfId="0" applyFont="1" applyBorder="1"/>
    <xf numFmtId="166" fontId="16" fillId="0" borderId="1" xfId="2" applyNumberFormat="1" applyFont="1" applyBorder="1" applyAlignment="1"/>
    <xf numFmtId="166" fontId="0" fillId="0" borderId="1" xfId="2" applyNumberFormat="1" applyFont="1" applyFill="1" applyBorder="1" applyAlignment="1"/>
    <xf numFmtId="3" fontId="0" fillId="0" borderId="0" xfId="0" applyNumberFormat="1" applyAlignment="1">
      <alignment horizontal="center" vertical="center"/>
    </xf>
    <xf numFmtId="0" fontId="0" fillId="6" borderId="1" xfId="0" applyFill="1" applyBorder="1" applyAlignment="1">
      <alignment horizontal="center"/>
    </xf>
    <xf numFmtId="166" fontId="0" fillId="0" borderId="0" xfId="2" applyNumberFormat="1" applyFont="1" applyFill="1" applyBorder="1" applyAlignment="1"/>
    <xf numFmtId="166" fontId="0" fillId="2" borderId="1" xfId="2" applyNumberFormat="1" applyFont="1" applyFill="1" applyBorder="1" applyAlignment="1"/>
    <xf numFmtId="1" fontId="0" fillId="0" borderId="0" xfId="0" applyNumberFormat="1"/>
    <xf numFmtId="3" fontId="0" fillId="6" borderId="1" xfId="0" applyNumberFormat="1" applyFill="1" applyBorder="1"/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167" fontId="0" fillId="2" borderId="0" xfId="0" applyNumberFormat="1" applyFill="1" applyAlignment="1">
      <alignment horizontal="center" vertical="center"/>
    </xf>
    <xf numFmtId="0" fontId="17" fillId="11" borderId="0" xfId="0" applyFont="1" applyFill="1"/>
    <xf numFmtId="0" fontId="18" fillId="11" borderId="0" xfId="0" applyFont="1" applyFill="1"/>
    <xf numFmtId="0" fontId="0" fillId="11" borderId="0" xfId="0" applyFill="1"/>
    <xf numFmtId="0" fontId="10" fillId="14" borderId="0" xfId="0" applyFont="1" applyFill="1" applyAlignment="1">
      <alignment vertical="center"/>
    </xf>
    <xf numFmtId="0" fontId="0" fillId="14" borderId="0" xfId="0" applyFill="1"/>
    <xf numFmtId="0" fontId="10" fillId="14" borderId="0" xfId="0" applyFont="1" applyFill="1"/>
    <xf numFmtId="0" fontId="10" fillId="14" borderId="0" xfId="0" applyFont="1" applyFill="1" applyAlignment="1">
      <alignment horizontal="left" vertical="center" indent="1"/>
    </xf>
    <xf numFmtId="0" fontId="19" fillId="14" borderId="0" xfId="0" applyFont="1" applyFill="1" applyAlignment="1">
      <alignment horizontal="left" vertical="center" indent="2"/>
    </xf>
    <xf numFmtId="0" fontId="20" fillId="0" borderId="0" xfId="0" applyFont="1" applyAlignment="1">
      <alignment vertical="center"/>
    </xf>
    <xf numFmtId="3" fontId="10" fillId="0" borderId="0" xfId="0" applyNumberFormat="1" applyFont="1" applyAlignment="1">
      <alignment vertical="center"/>
    </xf>
    <xf numFmtId="0" fontId="9" fillId="15" borderId="0" xfId="0" applyFont="1" applyFill="1"/>
    <xf numFmtId="0" fontId="5" fillId="16" borderId="0" xfId="0" applyFont="1" applyFill="1" applyAlignment="1">
      <alignment horizontal="center"/>
    </xf>
    <xf numFmtId="49" fontId="5" fillId="16" borderId="0" xfId="0" applyNumberFormat="1" applyFont="1" applyFill="1" applyAlignment="1">
      <alignment horizontal="center"/>
    </xf>
    <xf numFmtId="3" fontId="5" fillId="0" borderId="0" xfId="0" applyNumberFormat="1" applyFont="1"/>
    <xf numFmtId="168" fontId="0" fillId="0" borderId="0" xfId="0" applyNumberFormat="1"/>
    <xf numFmtId="0" fontId="0" fillId="17" borderId="1" xfId="0" applyFill="1" applyBorder="1"/>
    <xf numFmtId="0" fontId="0" fillId="13" borderId="0" xfId="0" applyFill="1" applyAlignment="1">
      <alignment horizontal="center"/>
    </xf>
    <xf numFmtId="0" fontId="0" fillId="18" borderId="22" xfId="0" applyFill="1" applyBorder="1" applyAlignment="1">
      <alignment vertical="center"/>
    </xf>
    <xf numFmtId="0" fontId="0" fillId="19" borderId="22" xfId="0" applyFill="1" applyBorder="1"/>
    <xf numFmtId="0" fontId="0" fillId="20" borderId="23" xfId="0" applyFill="1" applyBorder="1"/>
    <xf numFmtId="0" fontId="0" fillId="20" borderId="20" xfId="0" applyFill="1" applyBorder="1"/>
    <xf numFmtId="167" fontId="0" fillId="0" borderId="22" xfId="0" applyNumberFormat="1" applyBorder="1" applyAlignment="1">
      <alignment horizontal="right"/>
    </xf>
    <xf numFmtId="167" fontId="0" fillId="0" borderId="0" xfId="0" applyNumberFormat="1"/>
    <xf numFmtId="166" fontId="0" fillId="0" borderId="0" xfId="0" applyNumberFormat="1"/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3">
    <cellStyle name="Comma [0]" xfId="2" builtinId="6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514350</xdr:colOff>
      <xdr:row>1</xdr:row>
      <xdr:rowOff>152400</xdr:rowOff>
    </xdr:from>
    <xdr:to>
      <xdr:col>21</xdr:col>
      <xdr:colOff>648484</xdr:colOff>
      <xdr:row>39</xdr:row>
      <xdr:rowOff>115410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7C6AF42-E22A-513E-555C-3EC6D3D1E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8850" y="152400"/>
          <a:ext cx="5620534" cy="7954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76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B647ADF-551C-434F-9573-41E405F7868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8b40cf3-7cfa-4726-a001-fb5b7992482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C791A64-E608-48F8-830A-FB9842AB254B}">
  <we:reference id="11d7cf85-ae5a-43b8-bc58-1e1a151cce24" version="1.0.0.1" store="EXCatalog" storeType="EXCatalog"/>
  <we:alternateReferences>
    <we:reference id="WA200010725" version="1.0.0.1" store="ko-KR" storeType="OMEX"/>
  </we:alternateReferences>
  <we:properties>
    <we:property name="claude.fileId" value="&quot;e5e7b61e-ecb1-4dac-a78e-7af26d9ba6d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kosis.kr/statHtml/statHtml.do?orgId=337&amp;tblId=DT_337N_A005A" TargetMode="External"/><Relationship Id="rId1" Type="http://schemas.openxmlformats.org/officeDocument/2006/relationships/hyperlink" Target="https://recloud.energy.or.kr/present/sub3_2_2.d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kosis.kr/statHtml/statHtml.do?orgId=337&amp;tblId=DT_337N_A005A&amp;tmprScrId=20260915155812527_1919405ca6b44674" TargetMode="External"/><Relationship Id="rId1" Type="http://schemas.openxmlformats.org/officeDocument/2006/relationships/hyperlink" Target="https://recloud.energy.or.kr/present/sub3_2_2.d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3F4C-C052-4E1C-AAAD-A68F7E4EFB62}">
  <dimension ref="A1:B41"/>
  <sheetViews>
    <sheetView tabSelected="1" workbookViewId="0">
      <selection activeCell="D19" sqref="D19"/>
    </sheetView>
  </sheetViews>
  <sheetFormatPr defaultRowHeight="14.5"/>
  <cols>
    <col min="2" max="2" width="67.08984375" customWidth="1"/>
  </cols>
  <sheetData>
    <row r="1" spans="1:2">
      <c r="A1" s="4" t="s">
        <v>31</v>
      </c>
    </row>
    <row r="2" spans="1:2">
      <c r="A2" t="s">
        <v>219</v>
      </c>
    </row>
    <row r="3" spans="1:2">
      <c r="A3" s="4" t="s">
        <v>32</v>
      </c>
      <c r="B3" s="90" t="s">
        <v>33</v>
      </c>
    </row>
    <row r="4" spans="1:2">
      <c r="A4" t="s">
        <v>229</v>
      </c>
      <c r="B4" s="5">
        <v>2025</v>
      </c>
    </row>
    <row r="5" spans="1:2">
      <c r="B5" t="s">
        <v>34</v>
      </c>
    </row>
    <row r="6" spans="1:2">
      <c r="B6" s="6" t="s">
        <v>35</v>
      </c>
    </row>
    <row r="7" spans="1:2">
      <c r="B7" t="s">
        <v>36</v>
      </c>
    </row>
    <row r="9" spans="1:2">
      <c r="B9" s="90" t="s">
        <v>206</v>
      </c>
    </row>
    <row r="10" spans="1:2">
      <c r="B10" t="s">
        <v>208</v>
      </c>
    </row>
    <row r="11" spans="1:2">
      <c r="B11" s="5">
        <v>2025</v>
      </c>
    </row>
    <row r="12" spans="1:2">
      <c r="B12" s="65" t="s">
        <v>207</v>
      </c>
    </row>
    <row r="13" spans="1:2">
      <c r="B13" s="65"/>
    </row>
    <row r="14" spans="1:2">
      <c r="B14" t="s">
        <v>209</v>
      </c>
    </row>
    <row r="15" spans="1:2">
      <c r="B15" s="5">
        <v>2025</v>
      </c>
    </row>
    <row r="16" spans="1:2">
      <c r="B16" t="s">
        <v>142</v>
      </c>
    </row>
    <row r="18" spans="1:2">
      <c r="B18" s="90" t="s">
        <v>228</v>
      </c>
    </row>
    <row r="19" spans="1:2">
      <c r="B19" s="5">
        <v>2026</v>
      </c>
    </row>
    <row r="20" spans="1:2">
      <c r="B20" s="65" t="s">
        <v>227</v>
      </c>
    </row>
    <row r="25" spans="1:2">
      <c r="A25" s="4" t="s">
        <v>37</v>
      </c>
    </row>
    <row r="26" spans="1:2">
      <c r="A26" t="s">
        <v>38</v>
      </c>
    </row>
    <row r="27" spans="1:2">
      <c r="A27" t="s">
        <v>39</v>
      </c>
    </row>
    <row r="28" spans="1:2">
      <c r="A28" t="s">
        <v>40</v>
      </c>
    </row>
    <row r="29" spans="1:2">
      <c r="A29" t="s">
        <v>41</v>
      </c>
    </row>
    <row r="31" spans="1:2">
      <c r="A31" t="s">
        <v>216</v>
      </c>
    </row>
    <row r="32" spans="1:2" ht="16">
      <c r="A32" s="2"/>
    </row>
    <row r="33" spans="1:1" ht="16">
      <c r="A33" s="1" t="s">
        <v>218</v>
      </c>
    </row>
    <row r="34" spans="1:1" ht="16">
      <c r="A34" s="1"/>
    </row>
    <row r="35" spans="1:1" ht="16">
      <c r="A35" s="1"/>
    </row>
    <row r="36" spans="1:1" ht="16">
      <c r="A36" s="1"/>
    </row>
    <row r="37" spans="1:1" ht="16">
      <c r="A37" s="1"/>
    </row>
    <row r="38" spans="1:1" ht="16">
      <c r="A38" s="1"/>
    </row>
    <row r="39" spans="1:1" ht="16">
      <c r="A39" s="1"/>
    </row>
    <row r="40" spans="1:1" ht="16">
      <c r="A40" s="1"/>
    </row>
    <row r="41" spans="1:1" ht="16">
      <c r="A41" s="1"/>
    </row>
  </sheetData>
  <phoneticPr fontId="3" type="noConversion"/>
  <hyperlinks>
    <hyperlink ref="B12" r:id="rId1" xr:uid="{E73DD173-2E66-4365-801D-D66565E27440}"/>
    <hyperlink ref="B20" r:id="rId2" xr:uid="{481BBE92-2562-4404-998B-93C55D6DFDDB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5273-2CF3-45E6-9FCD-C1FCC1300692}">
  <dimension ref="A1:R117"/>
  <sheetViews>
    <sheetView workbookViewId="0">
      <selection activeCell="A8" sqref="A8"/>
    </sheetView>
  </sheetViews>
  <sheetFormatPr defaultRowHeight="14.5"/>
  <cols>
    <col min="1" max="1" width="14.08984375" customWidth="1"/>
    <col min="2" max="2" width="19.90625" customWidth="1"/>
    <col min="3" max="3" width="18.08984375" customWidth="1"/>
    <col min="4" max="4" width="11.6328125" customWidth="1"/>
    <col min="5" max="5" width="9.36328125" customWidth="1"/>
    <col min="6" max="6" width="10.26953125" bestFit="1" customWidth="1"/>
    <col min="7" max="8" width="9.7265625" bestFit="1" customWidth="1"/>
    <col min="9" max="9" width="14.36328125" customWidth="1"/>
    <col min="10" max="10" width="9.7265625" bestFit="1" customWidth="1"/>
    <col min="17" max="17" width="9.36328125" bestFit="1" customWidth="1"/>
  </cols>
  <sheetData>
    <row r="1" spans="1:18" s="81" customFormat="1" ht="15.5">
      <c r="A1" s="80" t="s">
        <v>182</v>
      </c>
    </row>
    <row r="3" spans="1:18">
      <c r="A3" t="s">
        <v>226</v>
      </c>
      <c r="J3" t="s">
        <v>107</v>
      </c>
    </row>
    <row r="4" spans="1:18" s="9" customFormat="1" ht="20.149999999999999" customHeight="1">
      <c r="A4" s="97" t="s">
        <v>220</v>
      </c>
      <c r="B4" s="97" t="s">
        <v>221</v>
      </c>
      <c r="C4" s="97" t="s">
        <v>222</v>
      </c>
      <c r="D4" s="97" t="s">
        <v>223</v>
      </c>
      <c r="E4" s="98" t="s">
        <v>154</v>
      </c>
      <c r="F4" s="98" t="s">
        <v>155</v>
      </c>
      <c r="G4" s="98" t="s">
        <v>156</v>
      </c>
      <c r="H4" s="98" t="s">
        <v>157</v>
      </c>
      <c r="I4" s="98" t="s">
        <v>158</v>
      </c>
      <c r="J4" s="98" t="s">
        <v>159</v>
      </c>
    </row>
    <row r="5" spans="1:18" s="9" customFormat="1" ht="20.149999999999999" customHeight="1">
      <c r="A5" s="99" t="s">
        <v>224</v>
      </c>
      <c r="B5" s="99" t="s">
        <v>97</v>
      </c>
      <c r="C5" s="99" t="s">
        <v>113</v>
      </c>
      <c r="D5" s="99" t="s">
        <v>113</v>
      </c>
      <c r="E5" s="101">
        <v>12745.227000000001</v>
      </c>
      <c r="F5" s="101">
        <v>17356.934000000001</v>
      </c>
      <c r="G5" s="101">
        <v>21199.350999999999</v>
      </c>
      <c r="H5" s="101">
        <v>24369.531999999999</v>
      </c>
      <c r="I5" s="101">
        <v>28033.335999999999</v>
      </c>
      <c r="J5" s="101">
        <v>32002.587</v>
      </c>
    </row>
    <row r="6" spans="1:18" s="9" customFormat="1" ht="20.149999999999999" customHeight="1">
      <c r="A6" s="100" t="s">
        <v>144</v>
      </c>
      <c r="B6" s="100" t="s">
        <v>144</v>
      </c>
      <c r="C6" s="99" t="s">
        <v>108</v>
      </c>
      <c r="D6" s="99" t="s">
        <v>113</v>
      </c>
      <c r="E6" s="101">
        <v>10673.133</v>
      </c>
      <c r="F6" s="101">
        <v>14910.941999999999</v>
      </c>
      <c r="G6" s="101">
        <v>18338.404999999999</v>
      </c>
      <c r="H6" s="101">
        <v>21051.253000000001</v>
      </c>
      <c r="I6" s="101">
        <v>24186.093000000001</v>
      </c>
      <c r="J6" s="101">
        <v>27382.319</v>
      </c>
    </row>
    <row r="7" spans="1:18" s="9" customFormat="1" ht="20.149999999999999" customHeight="1">
      <c r="A7" s="100" t="s">
        <v>144</v>
      </c>
      <c r="B7" s="100" t="s">
        <v>144</v>
      </c>
      <c r="C7" s="99" t="s">
        <v>109</v>
      </c>
      <c r="D7" s="99" t="s">
        <v>113</v>
      </c>
      <c r="E7" s="101">
        <v>2072.0940000000001</v>
      </c>
      <c r="F7" s="101">
        <v>2445.9920000000002</v>
      </c>
      <c r="G7" s="101">
        <v>2860.9459999999999</v>
      </c>
      <c r="H7" s="101">
        <v>3318.279</v>
      </c>
      <c r="I7" s="101">
        <v>3847.2420000000002</v>
      </c>
      <c r="J7" s="101">
        <v>4620.268</v>
      </c>
    </row>
    <row r="8" spans="1:18">
      <c r="A8" s="65" t="s">
        <v>225</v>
      </c>
      <c r="E8" s="102"/>
      <c r="F8" s="102">
        <f>F6-E6</f>
        <v>4237.8089999999993</v>
      </c>
      <c r="G8" s="102">
        <f t="shared" ref="G8:J8" si="0">G6-F6</f>
        <v>3427.4629999999997</v>
      </c>
      <c r="H8" s="102">
        <f t="shared" si="0"/>
        <v>2712.8480000000018</v>
      </c>
      <c r="I8" s="102">
        <f t="shared" si="0"/>
        <v>3134.84</v>
      </c>
      <c r="J8" s="102">
        <f t="shared" si="0"/>
        <v>3196.2259999999987</v>
      </c>
    </row>
    <row r="10" spans="1:18">
      <c r="A10" s="96" t="s">
        <v>144</v>
      </c>
      <c r="B10" s="96" t="s">
        <v>145</v>
      </c>
      <c r="C10" s="96" t="s">
        <v>146</v>
      </c>
      <c r="D10" s="96" t="s">
        <v>147</v>
      </c>
      <c r="E10" s="96" t="s">
        <v>148</v>
      </c>
      <c r="F10" s="96" t="s">
        <v>149</v>
      </c>
      <c r="G10" s="96" t="s">
        <v>150</v>
      </c>
      <c r="H10" s="96" t="s">
        <v>151</v>
      </c>
      <c r="I10" s="96" t="s">
        <v>152</v>
      </c>
      <c r="J10" s="96" t="s">
        <v>153</v>
      </c>
      <c r="K10" s="96" t="s">
        <v>154</v>
      </c>
      <c r="L10" s="96" t="s">
        <v>155</v>
      </c>
      <c r="M10" s="96" t="s">
        <v>156</v>
      </c>
      <c r="N10" s="96" t="s">
        <v>157</v>
      </c>
      <c r="O10" s="96" t="s">
        <v>158</v>
      </c>
      <c r="P10" s="96" t="s">
        <v>159</v>
      </c>
      <c r="Q10" s="96" t="s">
        <v>160</v>
      </c>
      <c r="R10" s="96" t="s">
        <v>161</v>
      </c>
    </row>
    <row r="11" spans="1:18" ht="29">
      <c r="A11" s="64" t="s">
        <v>162</v>
      </c>
      <c r="B11" s="64" t="s">
        <v>163</v>
      </c>
      <c r="C11" s="64" t="s">
        <v>164</v>
      </c>
      <c r="D11" s="64" t="s">
        <v>165</v>
      </c>
      <c r="E11" s="64" t="s">
        <v>166</v>
      </c>
      <c r="F11" s="64" t="s">
        <v>167</v>
      </c>
      <c r="G11" s="64" t="s">
        <v>168</v>
      </c>
      <c r="H11" s="64" t="s">
        <v>169</v>
      </c>
      <c r="I11" s="64" t="s">
        <v>170</v>
      </c>
      <c r="J11" s="64" t="s">
        <v>171</v>
      </c>
      <c r="K11" s="64" t="s">
        <v>172</v>
      </c>
      <c r="L11" s="64" t="s">
        <v>173</v>
      </c>
      <c r="M11" s="64" t="s">
        <v>174</v>
      </c>
      <c r="N11" s="64" t="s">
        <v>175</v>
      </c>
      <c r="O11" s="64" t="s">
        <v>176</v>
      </c>
      <c r="P11" s="64" t="s">
        <v>177</v>
      </c>
      <c r="Q11" s="64" t="s">
        <v>178</v>
      </c>
      <c r="R11" s="64" t="s">
        <v>179</v>
      </c>
    </row>
    <row r="12" spans="1:18">
      <c r="A12" s="65" t="s">
        <v>180</v>
      </c>
      <c r="L12">
        <f t="shared" ref="L12:O12" si="1">L11-K11</f>
        <v>4095.5200000000004</v>
      </c>
      <c r="M12">
        <f t="shared" si="1"/>
        <v>3956.1799999999985</v>
      </c>
      <c r="N12">
        <f t="shared" si="1"/>
        <v>2986.2900000000009</v>
      </c>
      <c r="O12">
        <f t="shared" si="1"/>
        <v>2745.380000000001</v>
      </c>
      <c r="P12">
        <f>P11-O11</f>
        <v>3366.6399999999994</v>
      </c>
      <c r="Q12">
        <f>Q11-P11</f>
        <v>3877.119999999999</v>
      </c>
    </row>
    <row r="13" spans="1:18">
      <c r="A13" t="s">
        <v>181</v>
      </c>
      <c r="L13" s="103"/>
      <c r="M13" s="103"/>
      <c r="N13" s="103"/>
      <c r="O13" s="103"/>
      <c r="P13" s="103"/>
      <c r="Q13" s="103"/>
      <c r="R13" s="103"/>
    </row>
    <row r="15" spans="1:18">
      <c r="A15" t="s">
        <v>183</v>
      </c>
    </row>
    <row r="16" spans="1:18">
      <c r="A16" s="57" t="s">
        <v>0</v>
      </c>
      <c r="B16" s="57" t="s">
        <v>126</v>
      </c>
      <c r="C16" s="57" t="s">
        <v>127</v>
      </c>
      <c r="D16" s="57" t="s">
        <v>128</v>
      </c>
      <c r="E16" s="57" t="s">
        <v>129</v>
      </c>
    </row>
    <row r="17" spans="1:5">
      <c r="A17" s="57" t="s">
        <v>48</v>
      </c>
      <c r="B17" s="58">
        <v>222.5</v>
      </c>
      <c r="C17" s="59">
        <v>2445.52</v>
      </c>
      <c r="D17" s="58">
        <v>129</v>
      </c>
      <c r="E17" s="57" t="s">
        <v>130</v>
      </c>
    </row>
    <row r="18" spans="1:5">
      <c r="A18" s="57" t="s">
        <v>47</v>
      </c>
      <c r="B18" s="58">
        <v>298.36</v>
      </c>
      <c r="C18" s="59">
        <v>2268.23</v>
      </c>
      <c r="D18" s="58">
        <v>127</v>
      </c>
      <c r="E18" s="57" t="s">
        <v>131</v>
      </c>
    </row>
    <row r="19" spans="1:5">
      <c r="A19" s="57" t="s">
        <v>46</v>
      </c>
      <c r="B19" s="58">
        <v>169.3</v>
      </c>
      <c r="C19" s="59">
        <v>1970.37</v>
      </c>
      <c r="D19" s="58">
        <v>121</v>
      </c>
      <c r="E19" s="57" t="s">
        <v>132</v>
      </c>
    </row>
    <row r="20" spans="1:5">
      <c r="A20" s="57" t="s">
        <v>45</v>
      </c>
      <c r="B20" s="58">
        <v>94.8</v>
      </c>
      <c r="C20" s="59">
        <v>1803.47</v>
      </c>
      <c r="D20" s="58">
        <v>115</v>
      </c>
      <c r="E20" s="57" t="s">
        <v>133</v>
      </c>
    </row>
    <row r="21" spans="1:5">
      <c r="A21" s="57" t="s">
        <v>44</v>
      </c>
      <c r="B21" s="58">
        <v>63.6</v>
      </c>
      <c r="C21" s="59">
        <v>1705.22</v>
      </c>
      <c r="D21" s="58">
        <v>109</v>
      </c>
      <c r="E21" s="57" t="s">
        <v>134</v>
      </c>
    </row>
    <row r="22" spans="1:5">
      <c r="A22" s="57" t="s">
        <v>43</v>
      </c>
      <c r="B22" s="58">
        <v>160.05000000000001</v>
      </c>
      <c r="C22" s="59">
        <v>1641.62</v>
      </c>
      <c r="D22" s="58">
        <v>106</v>
      </c>
      <c r="E22" s="57" t="s">
        <v>135</v>
      </c>
    </row>
    <row r="23" spans="1:5">
      <c r="A23" s="57" t="s">
        <v>42</v>
      </c>
      <c r="B23" s="58">
        <v>191.02500000000001</v>
      </c>
      <c r="C23" s="59">
        <v>1490.22</v>
      </c>
      <c r="D23" s="58">
        <v>103</v>
      </c>
      <c r="E23" s="57" t="s">
        <v>134</v>
      </c>
    </row>
    <row r="24" spans="1:5" ht="16">
      <c r="A24" s="62" t="s">
        <v>143</v>
      </c>
    </row>
    <row r="25" spans="1:5">
      <c r="A25" t="s">
        <v>142</v>
      </c>
    </row>
    <row r="27" spans="1:5">
      <c r="A27" s="57" t="s">
        <v>136</v>
      </c>
      <c r="B27" s="57" t="s">
        <v>137</v>
      </c>
      <c r="C27" s="57" t="s">
        <v>138</v>
      </c>
      <c r="D27" s="57" t="s">
        <v>139</v>
      </c>
      <c r="E27" s="60" t="s">
        <v>140</v>
      </c>
    </row>
    <row r="28" spans="1:5">
      <c r="A28" s="57" t="s">
        <v>48</v>
      </c>
      <c r="B28" s="59">
        <v>2081.39</v>
      </c>
      <c r="C28" s="58">
        <v>364.13</v>
      </c>
      <c r="D28" s="59">
        <v>2445.52</v>
      </c>
      <c r="E28" s="61">
        <v>0.1489</v>
      </c>
    </row>
    <row r="29" spans="1:5">
      <c r="A29" s="57" t="s">
        <v>47</v>
      </c>
      <c r="B29" s="59">
        <v>2007.4</v>
      </c>
      <c r="C29" s="58">
        <v>260.83</v>
      </c>
      <c r="D29" s="59">
        <v>2268.23</v>
      </c>
      <c r="E29" s="61">
        <v>0.115</v>
      </c>
    </row>
    <row r="30" spans="1:5">
      <c r="A30" s="57" t="s">
        <v>46</v>
      </c>
      <c r="B30" s="59">
        <v>1819.87</v>
      </c>
      <c r="C30" s="58">
        <v>150.5</v>
      </c>
      <c r="D30" s="59">
        <v>1970.37</v>
      </c>
      <c r="E30" s="61">
        <v>7.6399999999999996E-2</v>
      </c>
    </row>
    <row r="31" spans="1:5">
      <c r="A31" s="57" t="s">
        <v>45</v>
      </c>
      <c r="B31" s="59">
        <v>1678.97</v>
      </c>
      <c r="C31" s="58">
        <v>124.5</v>
      </c>
      <c r="D31" s="59">
        <v>1803.47</v>
      </c>
      <c r="E31" s="61">
        <v>6.9000000000000006E-2</v>
      </c>
    </row>
    <row r="32" spans="1:5">
      <c r="A32" s="57" t="s">
        <v>44</v>
      </c>
      <c r="B32" s="59">
        <v>1580.72</v>
      </c>
      <c r="C32" s="58">
        <v>124.5</v>
      </c>
      <c r="D32" s="59">
        <v>1705.22</v>
      </c>
      <c r="E32" s="61">
        <v>7.2999999999999995E-2</v>
      </c>
    </row>
    <row r="33" spans="1:13">
      <c r="A33" s="57" t="s">
        <v>43</v>
      </c>
      <c r="B33" s="59">
        <v>1517.12</v>
      </c>
      <c r="C33" s="58">
        <v>124.5</v>
      </c>
      <c r="D33" s="59">
        <v>1641.62</v>
      </c>
      <c r="E33" s="61">
        <v>7.5800000000000006E-2</v>
      </c>
    </row>
    <row r="34" spans="1:13">
      <c r="A34" s="57" t="s">
        <v>42</v>
      </c>
      <c r="B34" s="59">
        <v>1425.72</v>
      </c>
      <c r="C34" s="58">
        <v>64.5</v>
      </c>
      <c r="D34" s="59">
        <v>1490.22</v>
      </c>
      <c r="E34" s="61">
        <v>4.3299999999999998E-2</v>
      </c>
    </row>
    <row r="36" spans="1:13">
      <c r="A36" s="83" t="s">
        <v>200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</row>
    <row r="37" spans="1:13">
      <c r="A37" s="85" t="s">
        <v>141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</row>
    <row r="38" spans="1:13">
      <c r="A38" s="86" t="s">
        <v>195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</row>
    <row r="39" spans="1:13">
      <c r="A39" s="86" t="s">
        <v>196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</row>
    <row r="40" spans="1:13">
      <c r="A40" s="87" t="s">
        <v>199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</row>
    <row r="41" spans="1:13">
      <c r="A41" s="86" t="s">
        <v>197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</row>
    <row r="42" spans="1:13">
      <c r="A42" s="86" t="s">
        <v>198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</row>
    <row r="44" spans="1:13">
      <c r="A44" s="63"/>
    </row>
    <row r="45" spans="1:13" s="82" customFormat="1" ht="15.5">
      <c r="A45" s="80" t="s">
        <v>192</v>
      </c>
    </row>
    <row r="46" spans="1:13">
      <c r="A46" s="63"/>
    </row>
    <row r="47" spans="1:13">
      <c r="A47" t="s">
        <v>125</v>
      </c>
    </row>
    <row r="48" spans="1:13">
      <c r="A48" s="7" t="s">
        <v>1</v>
      </c>
      <c r="B48" s="7" t="s">
        <v>10</v>
      </c>
      <c r="C48" s="72" t="s">
        <v>193</v>
      </c>
      <c r="D48" s="7" t="s">
        <v>11</v>
      </c>
    </row>
    <row r="49" spans="1:10">
      <c r="A49" s="7" t="s">
        <v>12</v>
      </c>
      <c r="B49" s="7">
        <v>28150</v>
      </c>
      <c r="C49" s="76">
        <f>'신재생에너지 설비 및 발전량 전망_24~38'!B10</f>
        <v>31964</v>
      </c>
      <c r="D49" s="7">
        <v>77203</v>
      </c>
    </row>
    <row r="50" spans="1:10">
      <c r="A50" s="7" t="s">
        <v>104</v>
      </c>
      <c r="B50" s="7">
        <v>2293</v>
      </c>
      <c r="C50" s="76">
        <f>'신재생에너지 설비 및 발전량 전망_24~38'!C10</f>
        <v>3017</v>
      </c>
      <c r="D50" s="7">
        <v>40671</v>
      </c>
    </row>
    <row r="51" spans="1:10">
      <c r="A51" s="7" t="s">
        <v>15</v>
      </c>
      <c r="B51" s="7">
        <v>1852</v>
      </c>
      <c r="C51" s="76">
        <f>'신재생에너지 설비 및 발전량 전망_24~38'!F10</f>
        <v>1852</v>
      </c>
      <c r="D51" s="7">
        <v>1852</v>
      </c>
    </row>
    <row r="52" spans="1:10">
      <c r="A52" s="63"/>
    </row>
    <row r="53" spans="1:10">
      <c r="A53" s="63"/>
      <c r="I53" t="s">
        <v>194</v>
      </c>
    </row>
    <row r="54" spans="1:10">
      <c r="A54" s="7" t="s">
        <v>16</v>
      </c>
      <c r="B54" s="7">
        <v>2019</v>
      </c>
      <c r="C54" s="7">
        <v>2020</v>
      </c>
      <c r="D54" s="7">
        <v>2021</v>
      </c>
      <c r="E54" s="7">
        <v>2022</v>
      </c>
      <c r="F54" s="7">
        <v>2023</v>
      </c>
      <c r="G54" s="7">
        <v>2024</v>
      </c>
      <c r="H54" s="7">
        <v>2025</v>
      </c>
      <c r="I54" s="7">
        <v>2025</v>
      </c>
    </row>
    <row r="55" spans="1:10">
      <c r="A55" s="33" t="s">
        <v>12</v>
      </c>
      <c r="B55" s="66">
        <f>E6</f>
        <v>10673.133</v>
      </c>
      <c r="C55" s="66">
        <f t="shared" ref="C55:G55" si="2">F6</f>
        <v>14910.941999999999</v>
      </c>
      <c r="D55" s="66">
        <f t="shared" si="2"/>
        <v>18338.404999999999</v>
      </c>
      <c r="E55" s="66">
        <f t="shared" si="2"/>
        <v>21051.253000000001</v>
      </c>
      <c r="F55" s="66">
        <f t="shared" si="2"/>
        <v>24186.093000000001</v>
      </c>
      <c r="G55" s="66">
        <f t="shared" si="2"/>
        <v>27382.319</v>
      </c>
      <c r="H55" s="66">
        <f>C49</f>
        <v>31964</v>
      </c>
      <c r="I55" s="67">
        <v>31947.548449999998</v>
      </c>
      <c r="J55" s="73"/>
    </row>
    <row r="56" spans="1:10">
      <c r="A56" s="31" t="s">
        <v>13</v>
      </c>
      <c r="B56" s="66">
        <f>B34</f>
        <v>1425.72</v>
      </c>
      <c r="C56" s="66">
        <f>B33</f>
        <v>1517.12</v>
      </c>
      <c r="D56" s="66">
        <f>B32</f>
        <v>1580.72</v>
      </c>
      <c r="E56" s="66">
        <f>B31</f>
        <v>1678.97</v>
      </c>
      <c r="F56" s="66">
        <f>B31</f>
        <v>1678.97</v>
      </c>
      <c r="G56" s="66">
        <f>B50-G57</f>
        <v>2032.17</v>
      </c>
      <c r="H56" s="70">
        <f>C50-H57</f>
        <v>2652.87</v>
      </c>
      <c r="I56" s="67">
        <v>2149.8716999999997</v>
      </c>
      <c r="J56" s="73"/>
    </row>
    <row r="57" spans="1:10">
      <c r="A57" s="32" t="s">
        <v>14</v>
      </c>
      <c r="B57" s="66">
        <f>C34</f>
        <v>64.5</v>
      </c>
      <c r="C57" s="66">
        <f>C33</f>
        <v>124.5</v>
      </c>
      <c r="D57" s="66">
        <f>C32</f>
        <v>124.5</v>
      </c>
      <c r="E57" s="66">
        <f>C31</f>
        <v>124.5</v>
      </c>
      <c r="F57" s="66">
        <f>C30</f>
        <v>150.5</v>
      </c>
      <c r="G57" s="66">
        <f>C29</f>
        <v>260.83</v>
      </c>
      <c r="H57" s="70">
        <f>C28</f>
        <v>364.13</v>
      </c>
      <c r="I57" s="67">
        <v>320.60000000000002</v>
      </c>
      <c r="J57" s="73"/>
    </row>
    <row r="59" spans="1:10">
      <c r="A59" s="63" t="s">
        <v>184</v>
      </c>
    </row>
    <row r="60" spans="1:10">
      <c r="A60" s="7" t="s">
        <v>16</v>
      </c>
      <c r="B60" s="7">
        <v>2019</v>
      </c>
      <c r="C60" s="7">
        <v>2020</v>
      </c>
      <c r="D60" s="7">
        <v>2021</v>
      </c>
      <c r="E60" s="7">
        <v>2022</v>
      </c>
      <c r="F60" s="7">
        <v>2023</v>
      </c>
      <c r="G60" s="7">
        <v>2024</v>
      </c>
      <c r="H60" s="7">
        <v>2025</v>
      </c>
      <c r="I60" s="68" t="s">
        <v>185</v>
      </c>
    </row>
    <row r="61" spans="1:10">
      <c r="A61" s="33" t="s">
        <v>12</v>
      </c>
      <c r="B61" s="66">
        <v>0</v>
      </c>
      <c r="C61" s="66">
        <f>C55-B55</f>
        <v>4237.8089999999993</v>
      </c>
      <c r="D61" s="66">
        <f t="shared" ref="D61:G61" si="3">D55-C55</f>
        <v>3427.4629999999997</v>
      </c>
      <c r="E61" s="66">
        <f t="shared" si="3"/>
        <v>2712.8480000000018</v>
      </c>
      <c r="F61" s="66">
        <f t="shared" si="3"/>
        <v>3134.84</v>
      </c>
      <c r="G61" s="66">
        <f t="shared" si="3"/>
        <v>3196.2259999999987</v>
      </c>
      <c r="H61" s="74">
        <f>C49-B49</f>
        <v>3814</v>
      </c>
      <c r="I61" s="69">
        <f>SUM(C61:H61)</f>
        <v>20523.186000000002</v>
      </c>
    </row>
    <row r="62" spans="1:10">
      <c r="A62" s="31" t="s">
        <v>13</v>
      </c>
      <c r="B62" s="66">
        <v>0</v>
      </c>
      <c r="C62" s="66">
        <f t="shared" ref="C62:C63" si="4">C56-B56</f>
        <v>91.399999999999864</v>
      </c>
      <c r="D62" s="66">
        <f t="shared" ref="D62:H63" si="5">D56-C56</f>
        <v>63.600000000000136</v>
      </c>
      <c r="E62" s="66">
        <f t="shared" si="5"/>
        <v>98.25</v>
      </c>
      <c r="F62" s="66">
        <f t="shared" si="5"/>
        <v>0</v>
      </c>
      <c r="G62" s="66">
        <f t="shared" si="5"/>
        <v>353.20000000000005</v>
      </c>
      <c r="H62" s="66">
        <f t="shared" si="5"/>
        <v>620.69999999999982</v>
      </c>
      <c r="I62" s="69">
        <f>SUM(C62:H62)</f>
        <v>1227.1499999999999</v>
      </c>
    </row>
    <row r="63" spans="1:10">
      <c r="A63" s="32" t="s">
        <v>14</v>
      </c>
      <c r="B63" s="66">
        <v>0</v>
      </c>
      <c r="C63" s="66">
        <f t="shared" si="4"/>
        <v>60</v>
      </c>
      <c r="D63" s="66">
        <f t="shared" si="5"/>
        <v>0</v>
      </c>
      <c r="E63" s="66">
        <f t="shared" si="5"/>
        <v>0</v>
      </c>
      <c r="F63" s="66">
        <f t="shared" si="5"/>
        <v>26</v>
      </c>
      <c r="G63" s="66">
        <f t="shared" si="5"/>
        <v>110.32999999999998</v>
      </c>
      <c r="H63" s="66">
        <f t="shared" si="5"/>
        <v>103.30000000000001</v>
      </c>
      <c r="I63" s="69">
        <f>SUM(C63:H63)</f>
        <v>299.63</v>
      </c>
    </row>
    <row r="109" spans="1:17">
      <c r="A109" s="4" t="s">
        <v>210</v>
      </c>
    </row>
    <row r="110" spans="1:17">
      <c r="A110" s="91" t="s">
        <v>211</v>
      </c>
      <c r="B110" s="92">
        <v>2023</v>
      </c>
      <c r="C110" s="92">
        <v>2024</v>
      </c>
      <c r="D110" s="92">
        <v>2025</v>
      </c>
      <c r="E110" s="92">
        <v>2026</v>
      </c>
      <c r="F110" s="92">
        <v>2027</v>
      </c>
      <c r="G110" s="92">
        <v>2028</v>
      </c>
      <c r="H110" s="92">
        <v>2029</v>
      </c>
      <c r="I110" s="92">
        <v>2030</v>
      </c>
      <c r="J110" s="92">
        <v>2031</v>
      </c>
      <c r="K110" s="92">
        <v>2032</v>
      </c>
      <c r="L110" s="92">
        <v>2033</v>
      </c>
      <c r="M110" s="92">
        <v>2034</v>
      </c>
      <c r="N110" s="92">
        <v>2035</v>
      </c>
      <c r="O110" s="92">
        <v>2036</v>
      </c>
      <c r="P110" s="92">
        <v>2037</v>
      </c>
      <c r="Q110" s="92">
        <v>2038</v>
      </c>
    </row>
    <row r="111" spans="1:17">
      <c r="A111" s="4" t="s">
        <v>97</v>
      </c>
      <c r="B111" s="13">
        <v>561</v>
      </c>
      <c r="C111" s="13">
        <v>887</v>
      </c>
      <c r="D111" s="13">
        <v>946</v>
      </c>
      <c r="E111" s="13">
        <v>1016</v>
      </c>
      <c r="F111" s="13">
        <v>1088</v>
      </c>
      <c r="G111" s="13">
        <v>1137</v>
      </c>
      <c r="H111" s="13">
        <v>1172</v>
      </c>
      <c r="I111" s="13">
        <v>1220</v>
      </c>
      <c r="J111" s="13">
        <v>1256</v>
      </c>
      <c r="K111" s="13">
        <v>1285</v>
      </c>
      <c r="L111" s="13">
        <v>1310</v>
      </c>
      <c r="M111" s="13">
        <v>1333</v>
      </c>
      <c r="N111" s="13">
        <v>1360</v>
      </c>
      <c r="O111" s="13">
        <v>1389</v>
      </c>
      <c r="P111" s="13">
        <v>1416</v>
      </c>
      <c r="Q111" s="13">
        <v>1445</v>
      </c>
    </row>
    <row r="112" spans="1:17">
      <c r="A112" s="4" t="s">
        <v>111</v>
      </c>
      <c r="B112" s="13">
        <v>419</v>
      </c>
      <c r="C112" s="13">
        <v>425</v>
      </c>
      <c r="D112" s="13">
        <v>497</v>
      </c>
      <c r="E112" s="13">
        <v>557</v>
      </c>
      <c r="F112" s="13">
        <v>616</v>
      </c>
      <c r="G112" s="13">
        <v>698</v>
      </c>
      <c r="H112" s="13">
        <v>794</v>
      </c>
      <c r="I112" s="13">
        <v>877</v>
      </c>
      <c r="J112" s="13">
        <v>967</v>
      </c>
      <c r="K112" s="13">
        <v>1065</v>
      </c>
      <c r="L112" s="13">
        <v>1166</v>
      </c>
      <c r="M112" s="13">
        <v>1270</v>
      </c>
      <c r="N112" s="13">
        <v>1369</v>
      </c>
      <c r="O112" s="13">
        <v>1466</v>
      </c>
      <c r="P112" s="13">
        <v>1565</v>
      </c>
      <c r="Q112" s="13">
        <v>1663</v>
      </c>
    </row>
    <row r="113" spans="1:17">
      <c r="A113" s="4" t="s">
        <v>110</v>
      </c>
      <c r="B113" s="93">
        <f>B111+B112</f>
        <v>980</v>
      </c>
      <c r="C113" s="93">
        <f t="shared" ref="C113:Q113" si="6">C111+C112</f>
        <v>1312</v>
      </c>
      <c r="D113" s="93">
        <f t="shared" si="6"/>
        <v>1443</v>
      </c>
      <c r="E113" s="93">
        <v>1574</v>
      </c>
      <c r="F113" s="93">
        <f t="shared" si="6"/>
        <v>1704</v>
      </c>
      <c r="G113" s="93">
        <f t="shared" si="6"/>
        <v>1835</v>
      </c>
      <c r="H113" s="93">
        <f t="shared" si="6"/>
        <v>1966</v>
      </c>
      <c r="I113" s="93">
        <f t="shared" si="6"/>
        <v>2097</v>
      </c>
      <c r="J113" s="93">
        <f t="shared" si="6"/>
        <v>2223</v>
      </c>
      <c r="K113" s="93">
        <f t="shared" si="6"/>
        <v>2350</v>
      </c>
      <c r="L113" s="93">
        <f t="shared" si="6"/>
        <v>2476</v>
      </c>
      <c r="M113" s="93">
        <v>2602</v>
      </c>
      <c r="N113" s="93">
        <f t="shared" si="6"/>
        <v>2729</v>
      </c>
      <c r="O113" s="93">
        <f t="shared" si="6"/>
        <v>2855</v>
      </c>
      <c r="P113" s="93">
        <v>2982</v>
      </c>
      <c r="Q113" s="93">
        <f t="shared" si="6"/>
        <v>3108</v>
      </c>
    </row>
    <row r="115" spans="1:17">
      <c r="A115" s="4" t="s">
        <v>212</v>
      </c>
    </row>
    <row r="116" spans="1:17">
      <c r="A116" s="91" t="s">
        <v>211</v>
      </c>
      <c r="B116" s="91" t="s">
        <v>97</v>
      </c>
      <c r="C116" s="91" t="s">
        <v>111</v>
      </c>
      <c r="D116" s="91" t="s">
        <v>213</v>
      </c>
      <c r="E116" s="91" t="s">
        <v>112</v>
      </c>
      <c r="F116" s="91" t="s">
        <v>95</v>
      </c>
      <c r="G116" s="91" t="s">
        <v>214</v>
      </c>
      <c r="H116" s="91" t="s">
        <v>101</v>
      </c>
    </row>
    <row r="117" spans="1:17">
      <c r="A117" s="4" t="s">
        <v>215</v>
      </c>
      <c r="B117" s="94">
        <v>0</v>
      </c>
      <c r="C117" s="94">
        <v>0.3</v>
      </c>
      <c r="D117" s="94">
        <v>27.7</v>
      </c>
      <c r="E117" s="94">
        <v>8.3000000000000007</v>
      </c>
      <c r="F117" s="94">
        <v>0</v>
      </c>
      <c r="G117" s="94">
        <v>32.1</v>
      </c>
      <c r="H117" s="94">
        <v>73.2</v>
      </c>
    </row>
  </sheetData>
  <phoneticPr fontId="3" type="noConversion"/>
  <hyperlinks>
    <hyperlink ref="A12" r:id="rId1" display="https://recloud.energy.or.kr/present/sub3_2_2.do" xr:uid="{D230838C-6DA4-4C20-9591-56B039745110}"/>
    <hyperlink ref="A8" r:id="rId2" xr:uid="{703990B3-775F-4A3F-B605-EF1B30BE5D6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43D5-5E80-4E96-A0E6-9AF45A7C32E3}">
  <dimension ref="A2:J48"/>
  <sheetViews>
    <sheetView topLeftCell="A13" workbookViewId="0">
      <selection activeCell="I25" sqref="I25"/>
    </sheetView>
  </sheetViews>
  <sheetFormatPr defaultRowHeight="14.5"/>
  <cols>
    <col min="1" max="1" width="35.90625" customWidth="1"/>
    <col min="2" max="2" width="9.7265625" customWidth="1"/>
    <col min="11" max="11" width="13.6328125" bestFit="1" customWidth="1"/>
    <col min="12" max="12" width="20" bestFit="1" customWidth="1"/>
    <col min="13" max="13" width="20.36328125" bestFit="1" customWidth="1"/>
    <col min="14" max="14" width="21.90625" bestFit="1" customWidth="1"/>
  </cols>
  <sheetData>
    <row r="2" spans="1:9">
      <c r="A2" t="s">
        <v>58</v>
      </c>
    </row>
    <row r="3" spans="1:9">
      <c r="A3" s="7" t="s">
        <v>60</v>
      </c>
      <c r="B3" s="7" t="s">
        <v>88</v>
      </c>
      <c r="C3" s="7" t="s">
        <v>42</v>
      </c>
      <c r="D3" s="7" t="s">
        <v>43</v>
      </c>
      <c r="E3" s="7" t="s">
        <v>44</v>
      </c>
      <c r="F3" s="7" t="s">
        <v>45</v>
      </c>
      <c r="G3" s="7" t="s">
        <v>46</v>
      </c>
      <c r="H3" s="7" t="s">
        <v>47</v>
      </c>
      <c r="I3" s="7" t="s">
        <v>48</v>
      </c>
    </row>
    <row r="4" spans="1:9">
      <c r="A4" s="27" t="s">
        <v>50</v>
      </c>
      <c r="B4" s="7" t="s">
        <v>91</v>
      </c>
      <c r="C4" s="7"/>
      <c r="D4" s="7"/>
      <c r="E4" s="7">
        <v>3098</v>
      </c>
      <c r="F4" s="7">
        <v>2080</v>
      </c>
      <c r="G4" s="7"/>
      <c r="H4" s="7">
        <v>1050</v>
      </c>
      <c r="I4" s="7">
        <v>1050</v>
      </c>
    </row>
    <row r="5" spans="1:9">
      <c r="A5" s="7" t="s">
        <v>51</v>
      </c>
      <c r="B5" s="7" t="s">
        <v>101</v>
      </c>
      <c r="C5" s="7"/>
      <c r="D5" s="7"/>
      <c r="E5" s="7"/>
      <c r="F5" s="7"/>
      <c r="G5" s="7"/>
      <c r="H5" s="7"/>
      <c r="I5" s="7">
        <v>0</v>
      </c>
    </row>
    <row r="6" spans="1:9">
      <c r="A6" s="30" t="s">
        <v>7</v>
      </c>
      <c r="B6" s="7" t="s">
        <v>96</v>
      </c>
      <c r="C6" s="7"/>
      <c r="D6" s="7"/>
      <c r="E6" s="7"/>
      <c r="F6" s="7"/>
      <c r="G6" s="7"/>
      <c r="H6" s="7"/>
      <c r="I6" s="7">
        <v>1814.8493999999998</v>
      </c>
    </row>
    <row r="7" spans="1:9">
      <c r="A7" s="28" t="s">
        <v>52</v>
      </c>
      <c r="B7" s="7" t="s">
        <v>52</v>
      </c>
      <c r="C7" s="7">
        <v>1601.646</v>
      </c>
      <c r="D7" s="7">
        <v>158.79599999999999</v>
      </c>
      <c r="E7" s="7"/>
      <c r="F7" s="7"/>
      <c r="G7" s="7">
        <v>1520.4</v>
      </c>
      <c r="H7" s="7">
        <v>2116.6</v>
      </c>
      <c r="I7" s="7">
        <v>1062.4000000000001</v>
      </c>
    </row>
    <row r="8" spans="1:9">
      <c r="A8" s="28" t="s">
        <v>53</v>
      </c>
      <c r="B8" s="7" t="s">
        <v>93</v>
      </c>
      <c r="C8" s="7"/>
      <c r="D8" s="7"/>
      <c r="E8" s="7">
        <v>481.69</v>
      </c>
      <c r="F8" s="7"/>
      <c r="G8" s="7">
        <v>469.43199999999996</v>
      </c>
      <c r="H8" s="7">
        <v>867.17100000000005</v>
      </c>
      <c r="I8" s="7">
        <v>270</v>
      </c>
    </row>
    <row r="9" spans="1:9">
      <c r="A9" s="29" t="s">
        <v>2</v>
      </c>
      <c r="B9" s="7" t="s">
        <v>89</v>
      </c>
      <c r="C9" s="7">
        <v>1400</v>
      </c>
      <c r="D9" s="7"/>
      <c r="E9" s="7"/>
      <c r="F9" s="7">
        <v>1400</v>
      </c>
      <c r="G9" s="7"/>
      <c r="H9" s="7">
        <v>1400</v>
      </c>
      <c r="I9" s="7"/>
    </row>
    <row r="10" spans="1:9">
      <c r="A10" s="32" t="s">
        <v>54</v>
      </c>
      <c r="B10" s="7" t="s">
        <v>99</v>
      </c>
      <c r="C10" s="7"/>
      <c r="D10" s="7"/>
      <c r="E10" s="7"/>
      <c r="F10" s="7"/>
      <c r="G10" s="7"/>
      <c r="H10" s="7"/>
      <c r="I10" s="7">
        <v>320.60000000000002</v>
      </c>
    </row>
    <row r="11" spans="1:9">
      <c r="A11" s="31" t="s">
        <v>55</v>
      </c>
      <c r="B11" s="7" t="s">
        <v>98</v>
      </c>
      <c r="C11" s="7"/>
      <c r="D11" s="7"/>
      <c r="E11" s="7"/>
      <c r="F11" s="7"/>
      <c r="G11" s="7"/>
      <c r="H11" s="7"/>
      <c r="I11" s="7">
        <v>2149.8716999999997</v>
      </c>
    </row>
    <row r="12" spans="1:9">
      <c r="A12" s="7" t="s">
        <v>56</v>
      </c>
      <c r="B12" s="7" t="s">
        <v>144</v>
      </c>
      <c r="C12" s="7"/>
      <c r="D12" s="7"/>
      <c r="E12" s="7"/>
      <c r="F12" s="7"/>
      <c r="G12" s="7"/>
      <c r="H12" s="7"/>
      <c r="I12" s="7">
        <v>5117.0343400000002</v>
      </c>
    </row>
    <row r="13" spans="1:9">
      <c r="A13" s="33" t="s">
        <v>57</v>
      </c>
      <c r="B13" s="7" t="s">
        <v>97</v>
      </c>
      <c r="C13" s="7"/>
      <c r="D13" s="7"/>
      <c r="E13" s="7"/>
      <c r="F13" s="7"/>
      <c r="G13" s="7"/>
      <c r="H13" s="7"/>
      <c r="I13" s="7">
        <v>31947.548449999998</v>
      </c>
    </row>
    <row r="16" spans="1:9">
      <c r="A16" t="s">
        <v>125</v>
      </c>
    </row>
    <row r="17" spans="1:10">
      <c r="A17" s="7" t="s">
        <v>1</v>
      </c>
      <c r="B17" s="7" t="s">
        <v>10</v>
      </c>
      <c r="C17" s="7" t="s">
        <v>11</v>
      </c>
    </row>
    <row r="18" spans="1:10">
      <c r="A18" s="7" t="s">
        <v>12</v>
      </c>
      <c r="B18" s="7">
        <v>28150</v>
      </c>
      <c r="C18" s="7">
        <v>77203</v>
      </c>
    </row>
    <row r="19" spans="1:10">
      <c r="A19" s="7" t="s">
        <v>104</v>
      </c>
      <c r="B19" s="7">
        <v>2293</v>
      </c>
      <c r="C19" s="7">
        <v>40671</v>
      </c>
    </row>
    <row r="20" spans="1:10">
      <c r="A20" s="7" t="s">
        <v>15</v>
      </c>
      <c r="B20" s="7">
        <v>1852</v>
      </c>
      <c r="C20" s="7">
        <v>1852</v>
      </c>
    </row>
    <row r="23" spans="1:10">
      <c r="A23" t="s">
        <v>59</v>
      </c>
    </row>
    <row r="24" spans="1:10">
      <c r="A24" s="7" t="s">
        <v>16</v>
      </c>
      <c r="B24" s="7">
        <v>2019</v>
      </c>
      <c r="C24" s="7">
        <v>2020</v>
      </c>
      <c r="D24" s="7">
        <v>2021</v>
      </c>
      <c r="E24" s="7">
        <v>2022</v>
      </c>
      <c r="F24" s="7">
        <v>2023</v>
      </c>
      <c r="G24" s="7">
        <v>2024</v>
      </c>
      <c r="H24" s="7">
        <v>2025</v>
      </c>
    </row>
    <row r="25" spans="1:10">
      <c r="A25" s="27" t="s">
        <v>3</v>
      </c>
      <c r="B25" s="7">
        <f t="shared" ref="B25:H25" si="0">C4</f>
        <v>0</v>
      </c>
      <c r="C25" s="7">
        <f t="shared" si="0"/>
        <v>0</v>
      </c>
      <c r="D25" s="95">
        <f t="shared" si="0"/>
        <v>3098</v>
      </c>
      <c r="E25" s="7">
        <f t="shared" si="0"/>
        <v>2080</v>
      </c>
      <c r="F25" s="7">
        <f t="shared" si="0"/>
        <v>0</v>
      </c>
      <c r="G25" s="7">
        <f t="shared" si="0"/>
        <v>1050</v>
      </c>
      <c r="H25" s="7">
        <f t="shared" si="0"/>
        <v>1050</v>
      </c>
    </row>
    <row r="26" spans="1:10">
      <c r="A26" s="7" t="s">
        <v>17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</row>
    <row r="27" spans="1:10">
      <c r="A27" s="28" t="s">
        <v>4</v>
      </c>
      <c r="B27" s="49">
        <f t="shared" ref="B27:H27" si="1">C7+C8</f>
        <v>1601.646</v>
      </c>
      <c r="C27" s="7">
        <f t="shared" si="1"/>
        <v>158.79599999999999</v>
      </c>
      <c r="D27" s="49">
        <f t="shared" si="1"/>
        <v>481.69</v>
      </c>
      <c r="E27" s="7">
        <f t="shared" si="1"/>
        <v>0</v>
      </c>
      <c r="F27" s="49">
        <f t="shared" si="1"/>
        <v>1989.8320000000001</v>
      </c>
      <c r="G27" s="49">
        <f t="shared" si="1"/>
        <v>2983.7709999999997</v>
      </c>
      <c r="H27" s="49">
        <f t="shared" si="1"/>
        <v>1332.4</v>
      </c>
    </row>
    <row r="28" spans="1:10">
      <c r="A28" s="29" t="s">
        <v>2</v>
      </c>
      <c r="B28" s="7">
        <f t="shared" ref="B28:H28" si="2">C9</f>
        <v>1400</v>
      </c>
      <c r="C28" s="7">
        <f t="shared" si="2"/>
        <v>0</v>
      </c>
      <c r="D28" s="7">
        <f t="shared" si="2"/>
        <v>0</v>
      </c>
      <c r="E28" s="7">
        <f t="shared" si="2"/>
        <v>1400</v>
      </c>
      <c r="F28" s="7">
        <f t="shared" si="2"/>
        <v>0</v>
      </c>
      <c r="G28" s="7">
        <f t="shared" si="2"/>
        <v>1400</v>
      </c>
      <c r="H28" s="7">
        <f t="shared" si="2"/>
        <v>0</v>
      </c>
    </row>
    <row r="29" spans="1:10">
      <c r="A29" s="30" t="s">
        <v>7</v>
      </c>
      <c r="B29" s="7">
        <f t="shared" ref="B29:G29" si="3">C6</f>
        <v>0</v>
      </c>
      <c r="C29" s="7">
        <f t="shared" si="3"/>
        <v>0</v>
      </c>
      <c r="D29" s="7">
        <f t="shared" si="3"/>
        <v>0</v>
      </c>
      <c r="E29" s="7">
        <f t="shared" si="3"/>
        <v>0</v>
      </c>
      <c r="F29" s="7">
        <f t="shared" si="3"/>
        <v>0</v>
      </c>
      <c r="G29" s="7">
        <f t="shared" si="3"/>
        <v>0</v>
      </c>
      <c r="H29" s="7">
        <v>0</v>
      </c>
      <c r="J29" t="s">
        <v>217</v>
      </c>
    </row>
    <row r="30" spans="1:10">
      <c r="A30" s="31" t="s">
        <v>13</v>
      </c>
      <c r="B30" s="7">
        <f>'재생에너지설비현황_19~25'!B62</f>
        <v>0</v>
      </c>
      <c r="C30" s="7">
        <f>'재생에너지설비현황_19~25'!C62</f>
        <v>91.399999999999864</v>
      </c>
      <c r="D30" s="7">
        <f>'재생에너지설비현황_19~25'!D62</f>
        <v>63.600000000000136</v>
      </c>
      <c r="E30" s="7">
        <f>'재생에너지설비현황_19~25'!E62</f>
        <v>98.25</v>
      </c>
      <c r="F30" s="7">
        <f>'재생에너지설비현황_19~25'!F62</f>
        <v>0</v>
      </c>
      <c r="G30" s="7">
        <f>'재생에너지설비현황_19~25'!G62</f>
        <v>353.20000000000005</v>
      </c>
      <c r="H30" s="7">
        <f>'재생에너지설비현황_19~25'!H62</f>
        <v>620.69999999999982</v>
      </c>
    </row>
    <row r="31" spans="1:10">
      <c r="A31" s="33" t="s">
        <v>12</v>
      </c>
      <c r="B31" s="7">
        <f>'재생에너지설비현황_19~25'!B61</f>
        <v>0</v>
      </c>
      <c r="C31" s="7">
        <f>'재생에너지설비현황_19~25'!C61</f>
        <v>4237.8089999999993</v>
      </c>
      <c r="D31" s="7">
        <f>'재생에너지설비현황_19~25'!D61</f>
        <v>3427.4629999999997</v>
      </c>
      <c r="E31" s="7">
        <f>'재생에너지설비현황_19~25'!E61</f>
        <v>2712.8480000000018</v>
      </c>
      <c r="F31" s="7">
        <f>'재생에너지설비현황_19~25'!F61</f>
        <v>3134.84</v>
      </c>
      <c r="G31" s="7">
        <f>'재생에너지설비현황_19~25'!G61</f>
        <v>3196.2259999999987</v>
      </c>
      <c r="H31" s="7">
        <f>'재생에너지설비현황_19~25'!H61</f>
        <v>3814</v>
      </c>
    </row>
    <row r="32" spans="1:10">
      <c r="A32" s="7" t="s">
        <v>18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</row>
    <row r="33" spans="1:8">
      <c r="A33" s="7" t="s">
        <v>15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</row>
    <row r="34" spans="1:8">
      <c r="A34" s="7" t="s">
        <v>19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</row>
    <row r="35" spans="1:8">
      <c r="A35" s="7" t="s">
        <v>20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</row>
    <row r="36" spans="1:8">
      <c r="A36" s="7" t="s">
        <v>21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</row>
    <row r="37" spans="1:8">
      <c r="A37" s="7" t="s">
        <v>22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</row>
    <row r="38" spans="1:8">
      <c r="A38" s="32" t="s">
        <v>14</v>
      </c>
      <c r="B38" s="7">
        <f>'재생에너지설비현황_19~25'!B63</f>
        <v>0</v>
      </c>
      <c r="C38" s="7">
        <f>'재생에너지설비현황_19~25'!C63</f>
        <v>60</v>
      </c>
      <c r="D38" s="7">
        <f>'재생에너지설비현황_19~25'!D63</f>
        <v>0</v>
      </c>
      <c r="E38" s="7">
        <f>'재생에너지설비현황_19~25'!E63</f>
        <v>0</v>
      </c>
      <c r="F38" s="7">
        <f>'재생에너지설비현황_19~25'!F63</f>
        <v>26</v>
      </c>
      <c r="G38" s="7">
        <f>'재생에너지설비현황_19~25'!G63</f>
        <v>110.32999999999998</v>
      </c>
      <c r="H38" s="7">
        <f>'재생에너지설비현황_19~25'!H63</f>
        <v>103.30000000000001</v>
      </c>
    </row>
    <row r="39" spans="1:8">
      <c r="A39" s="7" t="s">
        <v>9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</row>
    <row r="40" spans="1:8">
      <c r="A40" s="7" t="s">
        <v>23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</row>
    <row r="41" spans="1:8">
      <c r="A41" s="7" t="s">
        <v>24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>
      <c r="A42" s="7" t="s">
        <v>25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</row>
    <row r="43" spans="1:8">
      <c r="A43" s="7" t="s">
        <v>26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>
      <c r="A44" s="7" t="s">
        <v>27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>
      <c r="A45" s="7" t="s">
        <v>28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</row>
    <row r="46" spans="1:8">
      <c r="A46" s="7" t="s">
        <v>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</row>
    <row r="47" spans="1:8">
      <c r="A47" s="8" t="s">
        <v>29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</row>
    <row r="48" spans="1:8">
      <c r="A48" s="8" t="s">
        <v>30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839C-7E1C-4865-9899-1ED4BC37516C}">
  <dimension ref="A1:Q87"/>
  <sheetViews>
    <sheetView topLeftCell="A3" workbookViewId="0">
      <selection activeCell="K111" sqref="K111"/>
    </sheetView>
  </sheetViews>
  <sheetFormatPr defaultRowHeight="14.5"/>
  <cols>
    <col min="1" max="1" width="10.08984375" customWidth="1"/>
    <col min="2" max="13" width="9.6328125" customWidth="1"/>
  </cols>
  <sheetData>
    <row r="1" spans="1:13" s="82" customFormat="1" ht="15.5">
      <c r="A1" s="80" t="s">
        <v>203</v>
      </c>
    </row>
    <row r="2" spans="1:13">
      <c r="A2" s="12" t="s">
        <v>105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>
      <c r="A3" s="12" t="s">
        <v>106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" thickBo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107</v>
      </c>
    </row>
    <row r="5" spans="1:13">
      <c r="A5" s="106" t="s">
        <v>0</v>
      </c>
      <c r="B5" s="109" t="s">
        <v>108</v>
      </c>
      <c r="C5" s="109"/>
      <c r="D5" s="109"/>
      <c r="E5" s="109"/>
      <c r="F5" s="109"/>
      <c r="G5" s="109"/>
      <c r="H5" s="109"/>
      <c r="I5" s="109"/>
      <c r="J5" s="109"/>
      <c r="K5" s="109"/>
      <c r="L5" s="109" t="s">
        <v>109</v>
      </c>
      <c r="M5" s="112" t="s">
        <v>110</v>
      </c>
    </row>
    <row r="6" spans="1:13">
      <c r="A6" s="107"/>
      <c r="B6" s="110" t="s">
        <v>6</v>
      </c>
      <c r="C6" s="110"/>
      <c r="D6" s="110"/>
      <c r="E6" s="110"/>
      <c r="F6" s="110"/>
      <c r="G6" s="110"/>
      <c r="H6" s="110" t="s">
        <v>5</v>
      </c>
      <c r="I6" s="110"/>
      <c r="J6" s="110"/>
      <c r="K6" s="110" t="s">
        <v>110</v>
      </c>
      <c r="L6" s="110"/>
      <c r="M6" s="113"/>
    </row>
    <row r="7" spans="1:13" ht="15" thickBot="1">
      <c r="A7" s="108"/>
      <c r="B7" s="24" t="s">
        <v>97</v>
      </c>
      <c r="C7" s="24" t="s">
        <v>111</v>
      </c>
      <c r="D7" s="24" t="s">
        <v>96</v>
      </c>
      <c r="E7" s="24" t="s">
        <v>95</v>
      </c>
      <c r="F7" s="24" t="s">
        <v>112</v>
      </c>
      <c r="G7" s="24" t="s">
        <v>113</v>
      </c>
      <c r="H7" s="24" t="s">
        <v>101</v>
      </c>
      <c r="I7" s="24" t="s">
        <v>114</v>
      </c>
      <c r="J7" s="24" t="s">
        <v>113</v>
      </c>
      <c r="K7" s="111"/>
      <c r="L7" s="111"/>
      <c r="M7" s="114"/>
    </row>
    <row r="8" spans="1:13">
      <c r="A8" s="115">
        <v>2024</v>
      </c>
      <c r="B8" s="22">
        <v>28150</v>
      </c>
      <c r="C8" s="22">
        <v>2293</v>
      </c>
      <c r="D8" s="22">
        <v>1909</v>
      </c>
      <c r="E8" s="22">
        <v>256</v>
      </c>
      <c r="F8" s="22">
        <v>1852</v>
      </c>
      <c r="G8" s="22">
        <v>34458</v>
      </c>
      <c r="H8" s="22">
        <v>1148</v>
      </c>
      <c r="I8" s="22">
        <v>346</v>
      </c>
      <c r="J8" s="22">
        <v>1494</v>
      </c>
      <c r="K8" s="22">
        <v>35952</v>
      </c>
      <c r="L8" s="22">
        <v>4369</v>
      </c>
      <c r="M8" s="23">
        <v>40321</v>
      </c>
    </row>
    <row r="9" spans="1:13">
      <c r="A9" s="104"/>
      <c r="B9" s="17">
        <v>4025</v>
      </c>
      <c r="C9" s="17">
        <v>55</v>
      </c>
      <c r="D9" s="17">
        <v>405</v>
      </c>
      <c r="E9" s="17">
        <v>0</v>
      </c>
      <c r="F9" s="17">
        <v>1083</v>
      </c>
      <c r="G9" s="17">
        <v>5568</v>
      </c>
      <c r="H9" s="17">
        <v>840</v>
      </c>
      <c r="I9" s="17">
        <v>346</v>
      </c>
      <c r="J9" s="17">
        <v>1186</v>
      </c>
      <c r="K9" s="17">
        <v>6754</v>
      </c>
      <c r="L9" s="16"/>
      <c r="M9" s="20"/>
    </row>
    <row r="10" spans="1:13">
      <c r="A10" s="104">
        <v>2025</v>
      </c>
      <c r="B10" s="16">
        <v>31964</v>
      </c>
      <c r="C10" s="16">
        <v>3017</v>
      </c>
      <c r="D10" s="16">
        <v>1909</v>
      </c>
      <c r="E10" s="16">
        <v>256</v>
      </c>
      <c r="F10" s="16">
        <v>1852</v>
      </c>
      <c r="G10" s="16">
        <v>38997</v>
      </c>
      <c r="H10" s="16">
        <v>1491</v>
      </c>
      <c r="I10" s="16">
        <v>346</v>
      </c>
      <c r="J10" s="16">
        <v>1837</v>
      </c>
      <c r="K10" s="16">
        <v>40834</v>
      </c>
      <c r="L10" s="16">
        <v>4852</v>
      </c>
      <c r="M10" s="20">
        <v>45686</v>
      </c>
    </row>
    <row r="11" spans="1:13">
      <c r="A11" s="104"/>
      <c r="B11" s="17">
        <v>4571</v>
      </c>
      <c r="C11" s="17">
        <v>72</v>
      </c>
      <c r="D11" s="17">
        <v>405</v>
      </c>
      <c r="E11" s="17">
        <v>0</v>
      </c>
      <c r="F11" s="17">
        <v>1083</v>
      </c>
      <c r="G11" s="17">
        <v>6130</v>
      </c>
      <c r="H11" s="17">
        <v>1091</v>
      </c>
      <c r="I11" s="17">
        <v>346</v>
      </c>
      <c r="J11" s="17">
        <v>1438</v>
      </c>
      <c r="K11" s="17">
        <v>7568</v>
      </c>
      <c r="L11" s="16"/>
      <c r="M11" s="20"/>
    </row>
    <row r="12" spans="1:13">
      <c r="A12" s="104">
        <v>2026</v>
      </c>
      <c r="B12" s="16">
        <v>36090</v>
      </c>
      <c r="C12" s="16">
        <v>3958</v>
      </c>
      <c r="D12" s="16">
        <v>1909</v>
      </c>
      <c r="E12" s="16">
        <v>256</v>
      </c>
      <c r="F12" s="16">
        <v>1852</v>
      </c>
      <c r="G12" s="16">
        <v>44064</v>
      </c>
      <c r="H12" s="16">
        <v>1721</v>
      </c>
      <c r="I12" s="16">
        <v>346</v>
      </c>
      <c r="J12" s="16">
        <v>2067</v>
      </c>
      <c r="K12" s="16">
        <v>46131</v>
      </c>
      <c r="L12" s="16">
        <v>5344</v>
      </c>
      <c r="M12" s="20">
        <v>51475</v>
      </c>
    </row>
    <row r="13" spans="1:13">
      <c r="A13" s="104"/>
      <c r="B13" s="17">
        <v>5161</v>
      </c>
      <c r="C13" s="17">
        <v>95</v>
      </c>
      <c r="D13" s="17">
        <v>405</v>
      </c>
      <c r="E13" s="17">
        <v>0</v>
      </c>
      <c r="F13" s="17">
        <v>1083</v>
      </c>
      <c r="G13" s="17">
        <v>6743</v>
      </c>
      <c r="H13" s="17">
        <v>1260</v>
      </c>
      <c r="I13" s="17">
        <v>346</v>
      </c>
      <c r="J13" s="17">
        <v>1606</v>
      </c>
      <c r="K13" s="17">
        <v>8349</v>
      </c>
      <c r="L13" s="16"/>
      <c r="M13" s="20"/>
    </row>
    <row r="14" spans="1:13">
      <c r="A14" s="104">
        <v>2027</v>
      </c>
      <c r="B14" s="16">
        <v>40417</v>
      </c>
      <c r="C14" s="16">
        <v>5983</v>
      </c>
      <c r="D14" s="16">
        <v>1909</v>
      </c>
      <c r="E14" s="16">
        <v>256</v>
      </c>
      <c r="F14" s="16">
        <v>1852</v>
      </c>
      <c r="G14" s="16">
        <v>50417</v>
      </c>
      <c r="H14" s="16">
        <v>1921</v>
      </c>
      <c r="I14" s="16">
        <v>346</v>
      </c>
      <c r="J14" s="16">
        <v>2267</v>
      </c>
      <c r="K14" s="16">
        <v>52684</v>
      </c>
      <c r="L14" s="16">
        <v>5851</v>
      </c>
      <c r="M14" s="20">
        <v>58535</v>
      </c>
    </row>
    <row r="15" spans="1:13">
      <c r="A15" s="104"/>
      <c r="B15" s="17">
        <v>5780</v>
      </c>
      <c r="C15" s="17">
        <v>144</v>
      </c>
      <c r="D15" s="17">
        <v>405</v>
      </c>
      <c r="E15" s="17">
        <v>0</v>
      </c>
      <c r="F15" s="17">
        <v>1083</v>
      </c>
      <c r="G15" s="17">
        <v>7410</v>
      </c>
      <c r="H15" s="17">
        <v>1406</v>
      </c>
      <c r="I15" s="17">
        <v>346</v>
      </c>
      <c r="J15" s="17">
        <v>1752</v>
      </c>
      <c r="K15" s="17">
        <v>9163</v>
      </c>
      <c r="L15" s="16"/>
      <c r="M15" s="20"/>
    </row>
    <row r="16" spans="1:13">
      <c r="A16" s="104">
        <v>2028</v>
      </c>
      <c r="B16" s="16">
        <v>44822</v>
      </c>
      <c r="C16" s="16">
        <v>8719</v>
      </c>
      <c r="D16" s="16">
        <v>1909</v>
      </c>
      <c r="E16" s="16">
        <v>256</v>
      </c>
      <c r="F16" s="16">
        <v>1852</v>
      </c>
      <c r="G16" s="16">
        <v>57557</v>
      </c>
      <c r="H16" s="16">
        <v>2121</v>
      </c>
      <c r="I16" s="16">
        <v>346</v>
      </c>
      <c r="J16" s="16">
        <v>2467</v>
      </c>
      <c r="K16" s="16">
        <v>60024</v>
      </c>
      <c r="L16" s="16">
        <v>6369</v>
      </c>
      <c r="M16" s="20">
        <v>66392</v>
      </c>
    </row>
    <row r="17" spans="1:13">
      <c r="A17" s="104"/>
      <c r="B17" s="17">
        <v>6409</v>
      </c>
      <c r="C17" s="17">
        <v>209</v>
      </c>
      <c r="D17" s="17">
        <v>405</v>
      </c>
      <c r="E17" s="17">
        <v>0</v>
      </c>
      <c r="F17" s="17">
        <v>1083</v>
      </c>
      <c r="G17" s="17">
        <v>8106</v>
      </c>
      <c r="H17" s="17">
        <v>1552</v>
      </c>
      <c r="I17" s="17">
        <v>346</v>
      </c>
      <c r="J17" s="17">
        <v>1899</v>
      </c>
      <c r="K17" s="17">
        <v>10005</v>
      </c>
      <c r="L17" s="16"/>
      <c r="M17" s="20"/>
    </row>
    <row r="18" spans="1:13">
      <c r="A18" s="104">
        <v>2029</v>
      </c>
      <c r="B18" s="16">
        <v>49272</v>
      </c>
      <c r="C18" s="16">
        <v>14661</v>
      </c>
      <c r="D18" s="16">
        <v>1909</v>
      </c>
      <c r="E18" s="16">
        <v>256</v>
      </c>
      <c r="F18" s="16">
        <v>1852</v>
      </c>
      <c r="G18" s="16">
        <v>67949</v>
      </c>
      <c r="H18" s="16">
        <v>2321</v>
      </c>
      <c r="I18" s="16">
        <v>346</v>
      </c>
      <c r="J18" s="16">
        <v>2667</v>
      </c>
      <c r="K18" s="16">
        <v>70616</v>
      </c>
      <c r="L18" s="16">
        <v>6899</v>
      </c>
      <c r="M18" s="20">
        <v>77515</v>
      </c>
    </row>
    <row r="19" spans="1:13">
      <c r="A19" s="104"/>
      <c r="B19" s="17">
        <v>7046</v>
      </c>
      <c r="C19" s="17">
        <v>352</v>
      </c>
      <c r="D19" s="17">
        <v>405</v>
      </c>
      <c r="E19" s="17">
        <v>0</v>
      </c>
      <c r="F19" s="17">
        <v>1083</v>
      </c>
      <c r="G19" s="17">
        <v>8885</v>
      </c>
      <c r="H19" s="17">
        <v>1699</v>
      </c>
      <c r="I19" s="17">
        <v>346</v>
      </c>
      <c r="J19" s="17">
        <v>2045</v>
      </c>
      <c r="K19" s="17">
        <v>10930</v>
      </c>
      <c r="L19" s="16"/>
      <c r="M19" s="20"/>
    </row>
    <row r="20" spans="1:13">
      <c r="A20" s="104">
        <v>2030</v>
      </c>
      <c r="B20" s="16">
        <v>55675</v>
      </c>
      <c r="C20" s="16">
        <v>18281</v>
      </c>
      <c r="D20" s="16">
        <v>1909</v>
      </c>
      <c r="E20" s="16">
        <v>256</v>
      </c>
      <c r="F20" s="16">
        <v>1852</v>
      </c>
      <c r="G20" s="16">
        <v>77972</v>
      </c>
      <c r="H20" s="16">
        <v>2521</v>
      </c>
      <c r="I20" s="16">
        <v>346</v>
      </c>
      <c r="J20" s="16">
        <v>2867</v>
      </c>
      <c r="K20" s="16">
        <v>80839</v>
      </c>
      <c r="L20" s="16">
        <v>7441</v>
      </c>
      <c r="M20" s="20">
        <v>88280</v>
      </c>
    </row>
    <row r="21" spans="1:13">
      <c r="A21" s="104"/>
      <c r="B21" s="17">
        <v>7962</v>
      </c>
      <c r="C21" s="17">
        <v>439</v>
      </c>
      <c r="D21" s="17">
        <v>405</v>
      </c>
      <c r="E21" s="17">
        <v>0</v>
      </c>
      <c r="F21" s="17">
        <v>1083</v>
      </c>
      <c r="G21" s="17">
        <v>9887</v>
      </c>
      <c r="H21" s="17">
        <v>1845</v>
      </c>
      <c r="I21" s="17">
        <v>346</v>
      </c>
      <c r="J21" s="17">
        <v>2192</v>
      </c>
      <c r="K21" s="17">
        <v>12079</v>
      </c>
      <c r="L21" s="16"/>
      <c r="M21" s="20"/>
    </row>
    <row r="22" spans="1:13">
      <c r="A22" s="104">
        <v>2031</v>
      </c>
      <c r="B22" s="16">
        <v>58711</v>
      </c>
      <c r="C22" s="16">
        <v>22321</v>
      </c>
      <c r="D22" s="16">
        <v>1909</v>
      </c>
      <c r="E22" s="16">
        <v>256</v>
      </c>
      <c r="F22" s="16">
        <v>1852</v>
      </c>
      <c r="G22" s="16">
        <v>85047</v>
      </c>
      <c r="H22" s="16">
        <v>2671</v>
      </c>
      <c r="I22" s="16">
        <v>346</v>
      </c>
      <c r="J22" s="16">
        <v>3017</v>
      </c>
      <c r="K22" s="16">
        <v>88064</v>
      </c>
      <c r="L22" s="16">
        <v>7993</v>
      </c>
      <c r="M22" s="20">
        <v>96057</v>
      </c>
    </row>
    <row r="23" spans="1:13">
      <c r="A23" s="104"/>
      <c r="B23" s="17">
        <v>8396</v>
      </c>
      <c r="C23" s="17">
        <v>536</v>
      </c>
      <c r="D23" s="17">
        <v>405</v>
      </c>
      <c r="E23" s="17">
        <v>0</v>
      </c>
      <c r="F23" s="17">
        <v>1083</v>
      </c>
      <c r="G23" s="17">
        <v>10418</v>
      </c>
      <c r="H23" s="17">
        <v>1955</v>
      </c>
      <c r="I23" s="17">
        <v>346</v>
      </c>
      <c r="J23" s="17">
        <v>2301</v>
      </c>
      <c r="K23" s="17">
        <v>12720</v>
      </c>
      <c r="L23" s="16"/>
      <c r="M23" s="20"/>
    </row>
    <row r="24" spans="1:13">
      <c r="A24" s="104">
        <v>2032</v>
      </c>
      <c r="B24" s="16">
        <v>61739</v>
      </c>
      <c r="C24" s="16">
        <v>24868</v>
      </c>
      <c r="D24" s="16">
        <v>1909</v>
      </c>
      <c r="E24" s="16">
        <v>256</v>
      </c>
      <c r="F24" s="16">
        <v>1852</v>
      </c>
      <c r="G24" s="16">
        <v>90623</v>
      </c>
      <c r="H24" s="16">
        <v>2821</v>
      </c>
      <c r="I24" s="16">
        <v>346</v>
      </c>
      <c r="J24" s="16">
        <v>3167</v>
      </c>
      <c r="K24" s="16">
        <v>93790</v>
      </c>
      <c r="L24" s="16">
        <v>8556</v>
      </c>
      <c r="M24" s="20">
        <v>102346</v>
      </c>
    </row>
    <row r="25" spans="1:13">
      <c r="A25" s="104"/>
      <c r="B25" s="17">
        <v>8829</v>
      </c>
      <c r="C25" s="17">
        <v>597</v>
      </c>
      <c r="D25" s="17">
        <v>405</v>
      </c>
      <c r="E25" s="17">
        <v>0</v>
      </c>
      <c r="F25" s="17">
        <v>1083</v>
      </c>
      <c r="G25" s="17">
        <v>10913</v>
      </c>
      <c r="H25" s="17">
        <v>2065</v>
      </c>
      <c r="I25" s="17">
        <v>346</v>
      </c>
      <c r="J25" s="17">
        <v>2411</v>
      </c>
      <c r="K25" s="17">
        <v>13324</v>
      </c>
      <c r="L25" s="16"/>
      <c r="M25" s="20"/>
    </row>
    <row r="26" spans="1:13">
      <c r="A26" s="104">
        <v>2033</v>
      </c>
      <c r="B26" s="16">
        <v>64763</v>
      </c>
      <c r="C26" s="16">
        <v>27419</v>
      </c>
      <c r="D26" s="16">
        <v>1909</v>
      </c>
      <c r="E26" s="16">
        <v>256</v>
      </c>
      <c r="F26" s="16">
        <v>1852</v>
      </c>
      <c r="G26" s="16">
        <v>96198</v>
      </c>
      <c r="H26" s="16">
        <v>2971</v>
      </c>
      <c r="I26" s="16">
        <v>346</v>
      </c>
      <c r="J26" s="16">
        <v>3317</v>
      </c>
      <c r="K26" s="16">
        <v>99515</v>
      </c>
      <c r="L26" s="16">
        <v>9132</v>
      </c>
      <c r="M26" s="20">
        <v>108648</v>
      </c>
    </row>
    <row r="27" spans="1:13">
      <c r="A27" s="104"/>
      <c r="B27" s="17">
        <v>9261</v>
      </c>
      <c r="C27" s="17">
        <v>658</v>
      </c>
      <c r="D27" s="17">
        <v>405</v>
      </c>
      <c r="E27" s="17">
        <v>0</v>
      </c>
      <c r="F27" s="17">
        <v>1083</v>
      </c>
      <c r="G27" s="17">
        <v>11406</v>
      </c>
      <c r="H27" s="17">
        <v>2175</v>
      </c>
      <c r="I27" s="17">
        <v>346</v>
      </c>
      <c r="J27" s="17">
        <v>2521</v>
      </c>
      <c r="K27" s="17">
        <v>13927</v>
      </c>
      <c r="L27" s="16"/>
      <c r="M27" s="20"/>
    </row>
    <row r="28" spans="1:13">
      <c r="A28" s="104">
        <v>2034</v>
      </c>
      <c r="B28" s="16">
        <v>67784</v>
      </c>
      <c r="C28" s="16">
        <v>29973</v>
      </c>
      <c r="D28" s="16">
        <v>1909</v>
      </c>
      <c r="E28" s="16">
        <v>256</v>
      </c>
      <c r="F28" s="16">
        <v>1852</v>
      </c>
      <c r="G28" s="16">
        <v>101774</v>
      </c>
      <c r="H28" s="16">
        <v>3121</v>
      </c>
      <c r="I28" s="16">
        <v>346</v>
      </c>
      <c r="J28" s="16">
        <v>3467</v>
      </c>
      <c r="K28" s="16">
        <v>105241</v>
      </c>
      <c r="L28" s="16">
        <v>9722</v>
      </c>
      <c r="M28" s="20">
        <v>114962</v>
      </c>
    </row>
    <row r="29" spans="1:13">
      <c r="A29" s="104"/>
      <c r="B29" s="17">
        <v>9693</v>
      </c>
      <c r="C29" s="17">
        <v>719</v>
      </c>
      <c r="D29" s="17">
        <v>405</v>
      </c>
      <c r="E29" s="17">
        <v>0</v>
      </c>
      <c r="F29" s="17">
        <v>1083</v>
      </c>
      <c r="G29" s="17">
        <v>11900</v>
      </c>
      <c r="H29" s="17">
        <v>2284</v>
      </c>
      <c r="I29" s="17">
        <v>346</v>
      </c>
      <c r="J29" s="17">
        <v>2631</v>
      </c>
      <c r="K29" s="17">
        <v>14530</v>
      </c>
      <c r="L29" s="16"/>
      <c r="M29" s="20"/>
    </row>
    <row r="30" spans="1:13">
      <c r="A30" s="104">
        <v>2035</v>
      </c>
      <c r="B30" s="16">
        <v>70811</v>
      </c>
      <c r="C30" s="16">
        <v>32972</v>
      </c>
      <c r="D30" s="16">
        <v>1909</v>
      </c>
      <c r="E30" s="16">
        <v>256</v>
      </c>
      <c r="F30" s="16">
        <v>1852</v>
      </c>
      <c r="G30" s="16">
        <v>107799</v>
      </c>
      <c r="H30" s="16">
        <v>3271</v>
      </c>
      <c r="I30" s="16">
        <v>346</v>
      </c>
      <c r="J30" s="16">
        <v>3617</v>
      </c>
      <c r="K30" s="16">
        <v>111416</v>
      </c>
      <c r="L30" s="16">
        <v>10324</v>
      </c>
      <c r="M30" s="20">
        <v>121740</v>
      </c>
    </row>
    <row r="31" spans="1:13">
      <c r="A31" s="104"/>
      <c r="B31" s="17">
        <v>10126</v>
      </c>
      <c r="C31" s="17">
        <v>791</v>
      </c>
      <c r="D31" s="17">
        <v>405</v>
      </c>
      <c r="E31" s="17">
        <v>0</v>
      </c>
      <c r="F31" s="17">
        <v>1083</v>
      </c>
      <c r="G31" s="17">
        <v>12404</v>
      </c>
      <c r="H31" s="17">
        <v>2394</v>
      </c>
      <c r="I31" s="17">
        <v>346</v>
      </c>
      <c r="J31" s="17">
        <v>2741</v>
      </c>
      <c r="K31" s="17">
        <v>15145</v>
      </c>
      <c r="L31" s="16"/>
      <c r="M31" s="20"/>
    </row>
    <row r="32" spans="1:13">
      <c r="A32" s="104">
        <v>2036</v>
      </c>
      <c r="B32" s="16">
        <v>72941</v>
      </c>
      <c r="C32" s="16">
        <v>35532</v>
      </c>
      <c r="D32" s="16">
        <v>1909</v>
      </c>
      <c r="E32" s="16">
        <v>256</v>
      </c>
      <c r="F32" s="16">
        <v>1852</v>
      </c>
      <c r="G32" s="16">
        <v>112489</v>
      </c>
      <c r="H32" s="16">
        <v>3421</v>
      </c>
      <c r="I32" s="16">
        <v>346</v>
      </c>
      <c r="J32" s="16">
        <v>3767</v>
      </c>
      <c r="K32" s="16">
        <v>116256</v>
      </c>
      <c r="L32" s="16">
        <v>10939</v>
      </c>
      <c r="M32" s="20">
        <v>127196</v>
      </c>
    </row>
    <row r="33" spans="1:17">
      <c r="A33" s="104"/>
      <c r="B33" s="17">
        <v>10431</v>
      </c>
      <c r="C33" s="17">
        <v>853</v>
      </c>
      <c r="D33" s="17">
        <v>405</v>
      </c>
      <c r="E33" s="17">
        <v>0</v>
      </c>
      <c r="F33" s="17">
        <v>1083</v>
      </c>
      <c r="G33" s="17">
        <v>12772</v>
      </c>
      <c r="H33" s="17">
        <v>2504</v>
      </c>
      <c r="I33" s="17">
        <v>346</v>
      </c>
      <c r="J33" s="17">
        <v>2850</v>
      </c>
      <c r="K33" s="17">
        <v>15621</v>
      </c>
      <c r="L33" s="16"/>
      <c r="M33" s="20"/>
    </row>
    <row r="34" spans="1:17">
      <c r="A34" s="104">
        <v>2037</v>
      </c>
      <c r="B34" s="16">
        <v>75072</v>
      </c>
      <c r="C34" s="16">
        <v>38101</v>
      </c>
      <c r="D34" s="16">
        <v>1909</v>
      </c>
      <c r="E34" s="16">
        <v>256</v>
      </c>
      <c r="F34" s="16">
        <v>1852</v>
      </c>
      <c r="G34" s="16">
        <v>117190</v>
      </c>
      <c r="H34" s="16">
        <v>3521</v>
      </c>
      <c r="I34" s="16">
        <v>346</v>
      </c>
      <c r="J34" s="16">
        <v>3867</v>
      </c>
      <c r="K34" s="16">
        <v>121057</v>
      </c>
      <c r="L34" s="16">
        <v>11569</v>
      </c>
      <c r="M34" s="20">
        <v>132626</v>
      </c>
    </row>
    <row r="35" spans="1:17">
      <c r="A35" s="104"/>
      <c r="B35" s="17">
        <v>10735</v>
      </c>
      <c r="C35" s="17">
        <v>914</v>
      </c>
      <c r="D35" s="17">
        <v>405</v>
      </c>
      <c r="E35" s="17">
        <v>0</v>
      </c>
      <c r="F35" s="17">
        <v>1083</v>
      </c>
      <c r="G35" s="17">
        <v>13137</v>
      </c>
      <c r="H35" s="17">
        <v>2577</v>
      </c>
      <c r="I35" s="17">
        <v>346</v>
      </c>
      <c r="J35" s="17">
        <v>2924</v>
      </c>
      <c r="K35" s="17">
        <v>16060</v>
      </c>
      <c r="L35" s="16"/>
      <c r="M35" s="20"/>
    </row>
    <row r="36" spans="1:17">
      <c r="A36" s="104">
        <v>2038</v>
      </c>
      <c r="B36" s="16">
        <v>77203</v>
      </c>
      <c r="C36" s="16">
        <v>40671</v>
      </c>
      <c r="D36" s="16">
        <v>1909</v>
      </c>
      <c r="E36" s="16">
        <v>256</v>
      </c>
      <c r="F36" s="16">
        <v>1852</v>
      </c>
      <c r="G36" s="16">
        <v>121890</v>
      </c>
      <c r="H36" s="16">
        <v>3621</v>
      </c>
      <c r="I36" s="16">
        <v>346</v>
      </c>
      <c r="J36" s="16">
        <v>3967</v>
      </c>
      <c r="K36" s="16">
        <v>125857</v>
      </c>
      <c r="L36" s="16">
        <v>12211</v>
      </c>
      <c r="M36" s="20">
        <v>138068</v>
      </c>
    </row>
    <row r="37" spans="1:17" ht="15" thickBot="1">
      <c r="A37" s="105"/>
      <c r="B37" s="18">
        <v>11040</v>
      </c>
      <c r="C37" s="18">
        <v>976</v>
      </c>
      <c r="D37" s="18">
        <v>405</v>
      </c>
      <c r="E37" s="18">
        <v>0</v>
      </c>
      <c r="F37" s="18">
        <v>1083</v>
      </c>
      <c r="G37" s="18">
        <v>13503</v>
      </c>
      <c r="H37" s="18">
        <v>2650</v>
      </c>
      <c r="I37" s="18">
        <v>346</v>
      </c>
      <c r="J37" s="18">
        <v>2997</v>
      </c>
      <c r="K37" s="18">
        <v>16500</v>
      </c>
      <c r="L37" s="19"/>
      <c r="M37" s="21"/>
    </row>
    <row r="38" spans="1:17">
      <c r="A38" s="25" t="s">
        <v>115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42" spans="1:17" s="82" customFormat="1" ht="15.5">
      <c r="A42" s="80" t="s">
        <v>124</v>
      </c>
    </row>
    <row r="43" spans="1:17" ht="15" thickBot="1"/>
    <row r="44" spans="1:17" ht="15" thickBot="1">
      <c r="A44" s="46" t="s">
        <v>80</v>
      </c>
      <c r="B44" s="47">
        <v>2025</v>
      </c>
      <c r="C44" s="47">
        <v>2026</v>
      </c>
      <c r="D44" s="47">
        <v>2027</v>
      </c>
      <c r="E44" s="47">
        <v>2028</v>
      </c>
      <c r="F44" s="47">
        <v>2029</v>
      </c>
      <c r="G44" s="47">
        <v>2030</v>
      </c>
      <c r="H44" s="47">
        <v>2031</v>
      </c>
      <c r="I44" s="47">
        <v>2032</v>
      </c>
      <c r="J44" s="47">
        <v>2033</v>
      </c>
      <c r="K44" s="47">
        <v>2034</v>
      </c>
      <c r="L44" s="47">
        <v>2035</v>
      </c>
      <c r="M44" s="47">
        <v>2036</v>
      </c>
      <c r="N44" s="47">
        <v>2037</v>
      </c>
      <c r="O44" s="48">
        <v>2038</v>
      </c>
      <c r="Q44" t="s">
        <v>122</v>
      </c>
    </row>
    <row r="45" spans="1:17">
      <c r="A45" s="43" t="s">
        <v>116</v>
      </c>
      <c r="B45" s="44">
        <f>G10-G8</f>
        <v>4539</v>
      </c>
      <c r="C45" s="44">
        <f>G12-G10</f>
        <v>5067</v>
      </c>
      <c r="D45" s="44">
        <f>G14-G12</f>
        <v>6353</v>
      </c>
      <c r="E45" s="44">
        <f>G16-G14</f>
        <v>7140</v>
      </c>
      <c r="F45" s="44">
        <f>G18-G16</f>
        <v>10392</v>
      </c>
      <c r="G45" s="44">
        <f>G20-G18</f>
        <v>10023</v>
      </c>
      <c r="H45" s="44">
        <f>G22-G20</f>
        <v>7075</v>
      </c>
      <c r="I45" s="44">
        <f>G24-G22</f>
        <v>5576</v>
      </c>
      <c r="J45" s="44">
        <f>G26-G24</f>
        <v>5575</v>
      </c>
      <c r="K45" s="44">
        <f>G28-G26</f>
        <v>5576</v>
      </c>
      <c r="L45" s="44">
        <f>G30-G28</f>
        <v>6025</v>
      </c>
      <c r="M45" s="44">
        <f>G32-G30</f>
        <v>4690</v>
      </c>
      <c r="N45" s="44">
        <f>G34-G32</f>
        <v>4701</v>
      </c>
      <c r="O45" s="45">
        <f>G36-G34</f>
        <v>4700</v>
      </c>
      <c r="P45" s="13">
        <f>SUM(B45:O45)</f>
        <v>87432</v>
      </c>
      <c r="Q45" s="13">
        <f>G36-G8</f>
        <v>87432</v>
      </c>
    </row>
    <row r="46" spans="1:17">
      <c r="A46" s="38" t="s">
        <v>117</v>
      </c>
      <c r="B46" s="35">
        <f>B10-B8</f>
        <v>3814</v>
      </c>
      <c r="C46" s="35">
        <f>B12-B10</f>
        <v>4126</v>
      </c>
      <c r="D46" s="35">
        <f>B14-B12</f>
        <v>4327</v>
      </c>
      <c r="E46" s="35">
        <f>B16-B14</f>
        <v>4405</v>
      </c>
      <c r="F46" s="35">
        <f>B18-B16</f>
        <v>4450</v>
      </c>
      <c r="G46" s="35">
        <f>B20-B18</f>
        <v>6403</v>
      </c>
      <c r="H46" s="35">
        <f>B22-B20</f>
        <v>3036</v>
      </c>
      <c r="I46" s="35">
        <f>B24-B22</f>
        <v>3028</v>
      </c>
      <c r="J46" s="35">
        <f>B26-B24</f>
        <v>3024</v>
      </c>
      <c r="K46" s="35">
        <f>B28-B26</f>
        <v>3021</v>
      </c>
      <c r="L46" s="35">
        <f>B30-B28</f>
        <v>3027</v>
      </c>
      <c r="M46" s="35">
        <f>B32-B30</f>
        <v>2130</v>
      </c>
      <c r="N46" s="35">
        <f>B34-B32</f>
        <v>2131</v>
      </c>
      <c r="O46" s="41">
        <f>B36-B34</f>
        <v>2131</v>
      </c>
      <c r="P46" s="13">
        <f t="shared" ref="P46:P47" si="0">SUM(B46:O46)</f>
        <v>49053</v>
      </c>
      <c r="Q46" s="13">
        <f>B36-B8</f>
        <v>49053</v>
      </c>
    </row>
    <row r="47" spans="1:17">
      <c r="A47" s="39" t="s">
        <v>118</v>
      </c>
      <c r="B47" s="35">
        <f>C10-C8</f>
        <v>724</v>
      </c>
      <c r="C47" s="35">
        <f>C12-C10</f>
        <v>941</v>
      </c>
      <c r="D47" s="35">
        <f>C14-C12</f>
        <v>2025</v>
      </c>
      <c r="E47" s="35">
        <f>C16-C14</f>
        <v>2736</v>
      </c>
      <c r="F47" s="35">
        <f>C18-C16</f>
        <v>5942</v>
      </c>
      <c r="G47" s="35">
        <f>C20-C18</f>
        <v>3620</v>
      </c>
      <c r="H47" s="35">
        <f>C22-C20</f>
        <v>4040</v>
      </c>
      <c r="I47" s="35">
        <f>C24-C22</f>
        <v>2547</v>
      </c>
      <c r="J47" s="35">
        <f>C26-C24</f>
        <v>2551</v>
      </c>
      <c r="K47" s="35">
        <f>C28-C26</f>
        <v>2554</v>
      </c>
      <c r="L47" s="35">
        <f>C30-C28</f>
        <v>2999</v>
      </c>
      <c r="M47" s="35">
        <f>C32-C30</f>
        <v>2560</v>
      </c>
      <c r="N47" s="35">
        <f>C34-C32</f>
        <v>2569</v>
      </c>
      <c r="O47" s="41">
        <f>C36-C34</f>
        <v>2570</v>
      </c>
      <c r="P47" s="13">
        <f t="shared" si="0"/>
        <v>38378</v>
      </c>
      <c r="Q47" s="13">
        <f>C36-C8</f>
        <v>38378</v>
      </c>
    </row>
    <row r="48" spans="1:17">
      <c r="A48" s="38" t="s">
        <v>119</v>
      </c>
      <c r="B48" s="36">
        <f>D10-D8</f>
        <v>0</v>
      </c>
      <c r="C48" s="36">
        <f>D12-D10</f>
        <v>0</v>
      </c>
      <c r="D48" s="36">
        <f>D14-D12</f>
        <v>0</v>
      </c>
      <c r="E48" s="36">
        <f>D16-D14</f>
        <v>0</v>
      </c>
      <c r="F48" s="36">
        <f>D18-D16</f>
        <v>0</v>
      </c>
      <c r="G48" s="36">
        <f>D20-D18</f>
        <v>0</v>
      </c>
      <c r="H48" s="36">
        <f>D22-D20</f>
        <v>0</v>
      </c>
      <c r="I48" s="36">
        <f>D24-D22</f>
        <v>0</v>
      </c>
      <c r="J48" s="36">
        <f>D26-D24</f>
        <v>0</v>
      </c>
      <c r="K48" s="36">
        <f>D28-D26</f>
        <v>0</v>
      </c>
      <c r="L48" s="36">
        <f>D30-D28</f>
        <v>0</v>
      </c>
      <c r="M48" s="36">
        <f>D32-D30</f>
        <v>0</v>
      </c>
      <c r="N48" s="36">
        <f>D34-D32</f>
        <v>0</v>
      </c>
      <c r="O48" s="41">
        <f>D36-D34</f>
        <v>0</v>
      </c>
    </row>
    <row r="49" spans="1:16">
      <c r="A49" s="38" t="s">
        <v>120</v>
      </c>
      <c r="B49" s="36">
        <f>E10-E8</f>
        <v>0</v>
      </c>
      <c r="C49" s="36">
        <f>E12-E10</f>
        <v>0</v>
      </c>
      <c r="D49" s="36">
        <f>E14-E12</f>
        <v>0</v>
      </c>
      <c r="E49" s="36">
        <f>E16-E14</f>
        <v>0</v>
      </c>
      <c r="F49" s="36">
        <f>E18-E16</f>
        <v>0</v>
      </c>
      <c r="G49" s="36">
        <f>E20-E18</f>
        <v>0</v>
      </c>
      <c r="H49" s="36">
        <f>E22-E20</f>
        <v>0</v>
      </c>
      <c r="I49" s="36">
        <f>E24-E22</f>
        <v>0</v>
      </c>
      <c r="J49" s="36">
        <f>E26-E24</f>
        <v>0</v>
      </c>
      <c r="K49" s="36">
        <f>E28-E26</f>
        <v>0</v>
      </c>
      <c r="L49" s="36">
        <f>E30-E28</f>
        <v>0</v>
      </c>
      <c r="M49" s="36">
        <f>E32-E30</f>
        <v>0</v>
      </c>
      <c r="N49" s="36">
        <f>E34-E32</f>
        <v>0</v>
      </c>
      <c r="O49" s="41">
        <f>E36-E34</f>
        <v>0</v>
      </c>
    </row>
    <row r="50" spans="1:16" ht="15" thickBot="1">
      <c r="A50" s="40" t="s">
        <v>121</v>
      </c>
      <c r="B50" s="37">
        <f>F10-F8</f>
        <v>0</v>
      </c>
      <c r="C50" s="37">
        <f>F12-F10</f>
        <v>0</v>
      </c>
      <c r="D50" s="37">
        <f>F14-F12</f>
        <v>0</v>
      </c>
      <c r="E50" s="37">
        <f>F16-F14</f>
        <v>0</v>
      </c>
      <c r="F50" s="37">
        <f>F18-F16</f>
        <v>0</v>
      </c>
      <c r="G50" s="37">
        <f>F20-F18</f>
        <v>0</v>
      </c>
      <c r="H50" s="37">
        <f>F22-F20</f>
        <v>0</v>
      </c>
      <c r="I50" s="37">
        <f>F24-F22</f>
        <v>0</v>
      </c>
      <c r="J50" s="37">
        <f>F26-F24</f>
        <v>0</v>
      </c>
      <c r="K50" s="37">
        <f>F28-F26</f>
        <v>0</v>
      </c>
      <c r="L50" s="37">
        <f>F30-F28</f>
        <v>0</v>
      </c>
      <c r="M50" s="37">
        <f>F32-F30</f>
        <v>0</v>
      </c>
      <c r="N50" s="37">
        <f>F34-F32</f>
        <v>0</v>
      </c>
      <c r="O50" s="42">
        <f>F36-F34</f>
        <v>0</v>
      </c>
    </row>
    <row r="52" spans="1:16" s="82" customFormat="1" ht="15.5">
      <c r="A52" s="80" t="s">
        <v>205</v>
      </c>
    </row>
    <row r="53" spans="1:16" ht="15" thickBot="1">
      <c r="A53" s="9" t="s">
        <v>186</v>
      </c>
    </row>
    <row r="54" spans="1:16" ht="15" thickBot="1">
      <c r="A54" s="46" t="s">
        <v>80</v>
      </c>
      <c r="B54" s="47">
        <v>2025</v>
      </c>
      <c r="C54" s="47">
        <v>2026</v>
      </c>
      <c r="D54" s="47">
        <v>2027</v>
      </c>
      <c r="E54" s="47">
        <v>2028</v>
      </c>
      <c r="F54" s="47">
        <v>2029</v>
      </c>
      <c r="G54" s="47">
        <v>2030</v>
      </c>
      <c r="H54" s="47">
        <v>2031</v>
      </c>
      <c r="I54" s="47">
        <v>2032</v>
      </c>
      <c r="J54" s="47">
        <v>2033</v>
      </c>
      <c r="K54" s="47">
        <v>2034</v>
      </c>
      <c r="L54" s="47">
        <v>2035</v>
      </c>
      <c r="M54" s="47">
        <v>2036</v>
      </c>
      <c r="N54" s="47">
        <v>2037</v>
      </c>
      <c r="O54" s="48">
        <v>2038</v>
      </c>
    </row>
    <row r="55" spans="1:16">
      <c r="A55" s="43" t="s">
        <v>187</v>
      </c>
      <c r="B55" s="44"/>
      <c r="C55" s="44">
        <f>C58-B58</f>
        <v>550.76999999992563</v>
      </c>
      <c r="D55" s="44">
        <f t="shared" ref="D55:O55" si="1">D58-C58</f>
        <v>550.77000000001863</v>
      </c>
      <c r="E55" s="44">
        <f t="shared" si="1"/>
        <v>550.77000000001863</v>
      </c>
      <c r="F55" s="44">
        <f t="shared" si="1"/>
        <v>550.77000000001863</v>
      </c>
      <c r="G55" s="44">
        <f t="shared" si="1"/>
        <v>550.77000000001863</v>
      </c>
      <c r="H55" s="44">
        <f t="shared" si="1"/>
        <v>550.7699999997858</v>
      </c>
      <c r="I55" s="44">
        <f t="shared" si="1"/>
        <v>527.43758887135482</v>
      </c>
      <c r="J55" s="44">
        <f t="shared" si="1"/>
        <v>392.27395921118023</v>
      </c>
      <c r="K55" s="44">
        <f t="shared" si="1"/>
        <v>398.57621666583145</v>
      </c>
      <c r="L55" s="44">
        <f t="shared" si="1"/>
        <v>488.17770801325787</v>
      </c>
      <c r="M55" s="44">
        <f t="shared" si="1"/>
        <v>405.68726544899891</v>
      </c>
      <c r="N55" s="44">
        <f t="shared" si="1"/>
        <v>409.8006614721935</v>
      </c>
      <c r="O55" s="44">
        <f t="shared" si="1"/>
        <v>411.83862611988206</v>
      </c>
    </row>
    <row r="56" spans="1:16">
      <c r="A56" s="38" t="s">
        <v>188</v>
      </c>
      <c r="B56" s="35"/>
      <c r="C56" s="44">
        <f>C59-B59</f>
        <v>2800.0740000008418</v>
      </c>
      <c r="D56" s="44">
        <f t="shared" ref="D56:O56" si="2">D59-C59</f>
        <v>2800.0740000000224</v>
      </c>
      <c r="E56" s="44">
        <f t="shared" si="2"/>
        <v>2800.073999999091</v>
      </c>
      <c r="F56" s="44">
        <f t="shared" si="2"/>
        <v>2800.0740000000224</v>
      </c>
      <c r="G56" s="44">
        <f t="shared" si="2"/>
        <v>2800.0740000000224</v>
      </c>
      <c r="H56" s="44">
        <f t="shared" si="2"/>
        <v>2800.0740000000224</v>
      </c>
      <c r="I56" s="44">
        <f t="shared" si="2"/>
        <v>2708.718411128837</v>
      </c>
      <c r="J56" s="44">
        <f t="shared" si="2"/>
        <v>2158.7260407888207</v>
      </c>
      <c r="K56" s="44">
        <f t="shared" si="2"/>
        <v>2155.4237833341685</v>
      </c>
      <c r="L56" s="44">
        <f t="shared" si="2"/>
        <v>2510.8222919867403</v>
      </c>
      <c r="M56" s="44">
        <f t="shared" si="2"/>
        <v>2154.3127345510038</v>
      </c>
      <c r="N56" s="44">
        <f t="shared" si="2"/>
        <v>2159.1993385278038</v>
      </c>
      <c r="O56" s="44">
        <f t="shared" si="2"/>
        <v>2158.161373880117</v>
      </c>
    </row>
    <row r="57" spans="1:16">
      <c r="A57" s="9" t="s">
        <v>191</v>
      </c>
      <c r="B57" s="77">
        <f>C10</f>
        <v>3017</v>
      </c>
      <c r="C57" s="71">
        <f>C12</f>
        <v>3958</v>
      </c>
      <c r="D57" s="71">
        <f>C14</f>
        <v>5983</v>
      </c>
      <c r="E57" s="71">
        <f>C16</f>
        <v>8719</v>
      </c>
      <c r="F57" s="71">
        <f>C18</f>
        <v>14661</v>
      </c>
      <c r="G57" s="77">
        <f>C20</f>
        <v>18281</v>
      </c>
      <c r="H57" s="71">
        <f>C22</f>
        <v>22321</v>
      </c>
      <c r="I57" s="71">
        <f>C24</f>
        <v>24868</v>
      </c>
      <c r="J57" s="71">
        <f>C26</f>
        <v>27419</v>
      </c>
      <c r="K57" s="71">
        <f>C28</f>
        <v>29973</v>
      </c>
      <c r="L57" s="71">
        <f>C30</f>
        <v>32972</v>
      </c>
      <c r="M57" s="71">
        <f>C32</f>
        <v>35532</v>
      </c>
      <c r="N57" s="71">
        <f>C34</f>
        <v>38101</v>
      </c>
      <c r="O57" s="71">
        <f>C36</f>
        <v>40671</v>
      </c>
    </row>
    <row r="58" spans="1:16">
      <c r="A58" s="9" t="s">
        <v>189</v>
      </c>
      <c r="B58" s="78">
        <f>'재생에너지설비현황_19~25'!I62</f>
        <v>1227.1499999999999</v>
      </c>
      <c r="C58" s="71">
        <f>_xlfn.FORECAST.LINEAR(C$54, CHOOSE({1,2},$B58,$G58),CHOOSE({1,2},$B$54,$G$54))</f>
        <v>1777.9199999999255</v>
      </c>
      <c r="D58" s="71">
        <f>_xlfn.FORECAST.LINEAR(D$54, CHOOSE({1,2},$B58,$G58),CHOOSE({1,2},$B$54,$G$54))</f>
        <v>2328.6899999999441</v>
      </c>
      <c r="E58" s="71">
        <f>_xlfn.FORECAST.LINEAR(E$54, CHOOSE({1,2},$B58,$G58),CHOOSE({1,2},$B$54,$G$54))</f>
        <v>2879.4599999999627</v>
      </c>
      <c r="F58" s="71">
        <f>_xlfn.FORECAST.LINEAR(F$54, CHOOSE({1,2},$B58,$G58),CHOOSE({1,2},$B$54,$G$54))</f>
        <v>3430.2299999999814</v>
      </c>
      <c r="G58" s="77">
        <f>G57-G59</f>
        <v>3981</v>
      </c>
      <c r="H58" s="71">
        <f>_xlfn.FORECAST.LINEAR(H$54, CHOOSE({1,2},$B58,$G58),CHOOSE({1,2},$B$54,$G$54))</f>
        <v>4531.7699999997858</v>
      </c>
      <c r="I58" s="71">
        <f t="shared" ref="I58:O58" si="3">I57*($B$58+(I54-$B$54)/($G$54-$B$54)*($G$58-$B$58))/(($B$58+(I54-$B$54)/($G$54-$B$54)*($G$58-$B$58))+($B$59+(I54-$B$54)/($G$54-$B$54)*($G$59-$B$59)))</f>
        <v>5059.2075888711406</v>
      </c>
      <c r="J58" s="71">
        <f t="shared" si="3"/>
        <v>5451.4815480823208</v>
      </c>
      <c r="K58" s="71">
        <f t="shared" si="3"/>
        <v>5850.0577647481523</v>
      </c>
      <c r="L58" s="71">
        <f t="shared" si="3"/>
        <v>6338.2354727614102</v>
      </c>
      <c r="M58" s="71">
        <f t="shared" si="3"/>
        <v>6743.9227382104091</v>
      </c>
      <c r="N58" s="71">
        <f t="shared" si="3"/>
        <v>7153.7233996826026</v>
      </c>
      <c r="O58" s="71">
        <f t="shared" si="3"/>
        <v>7565.5620258024846</v>
      </c>
      <c r="P58" s="34"/>
    </row>
    <row r="59" spans="1:16">
      <c r="A59" s="9" t="s">
        <v>190</v>
      </c>
      <c r="B59" s="78">
        <f>'재생에너지설비현황_19~25'!I63</f>
        <v>299.63</v>
      </c>
      <c r="C59" s="71">
        <f>_xlfn.FORECAST.LINEAR(C$54, CHOOSE({1,2},$B59,$G59),CHOOSE({1,2},$B$54,$G$54))</f>
        <v>3099.7040000008419</v>
      </c>
      <c r="D59" s="71">
        <f>_xlfn.FORECAST.LINEAR(D$54, CHOOSE({1,2},$B59,$G59),CHOOSE({1,2},$B$54,$G$54))</f>
        <v>5899.7780000008643</v>
      </c>
      <c r="E59" s="71">
        <f>_xlfn.FORECAST.LINEAR(E$54, CHOOSE({1,2},$B59,$G59),CHOOSE({1,2},$B$54,$G$54))</f>
        <v>8699.8519999999553</v>
      </c>
      <c r="F59" s="71">
        <f>_xlfn.FORECAST.LINEAR(F$54, CHOOSE({1,2},$B59,$G59),CHOOSE({1,2},$B$54,$G$54))</f>
        <v>11499.925999999978</v>
      </c>
      <c r="G59" s="79">
        <f>14.3*1000</f>
        <v>14300</v>
      </c>
      <c r="H59" s="71">
        <f>_xlfn.FORECAST.LINEAR(H$54, CHOOSE({1,2},$B59,$G59),CHOOSE({1,2},$B$54,$G$54))</f>
        <v>17100.074000000022</v>
      </c>
      <c r="I59" s="71">
        <f t="shared" ref="I59:O59" si="4">I57-I58</f>
        <v>19808.792411128859</v>
      </c>
      <c r="J59" s="71">
        <f t="shared" si="4"/>
        <v>21967.51845191768</v>
      </c>
      <c r="K59" s="71">
        <f t="shared" si="4"/>
        <v>24122.942235251849</v>
      </c>
      <c r="L59" s="71">
        <f t="shared" si="4"/>
        <v>26633.764527238589</v>
      </c>
      <c r="M59" s="71">
        <f t="shared" si="4"/>
        <v>28788.077261789593</v>
      </c>
      <c r="N59" s="71">
        <f t="shared" si="4"/>
        <v>30947.276600317397</v>
      </c>
      <c r="O59" s="71">
        <f t="shared" si="4"/>
        <v>33105.437974197514</v>
      </c>
      <c r="P59" s="34"/>
    </row>
    <row r="60" spans="1:16">
      <c r="A60" s="88" t="s">
        <v>201</v>
      </c>
      <c r="B60" s="88">
        <f>SUM(B58:B59)</f>
        <v>1526.7799999999997</v>
      </c>
      <c r="C60" s="88">
        <f t="shared" ref="C60:O60" si="5">SUM(C58:C59)</f>
        <v>4877.6240000007674</v>
      </c>
      <c r="D60" s="88">
        <f t="shared" si="5"/>
        <v>8228.4680000008084</v>
      </c>
      <c r="E60" s="88">
        <f t="shared" si="5"/>
        <v>11579.311999999918</v>
      </c>
      <c r="F60" s="88">
        <f t="shared" si="5"/>
        <v>14930.155999999959</v>
      </c>
      <c r="G60" s="88">
        <f t="shared" si="5"/>
        <v>18281</v>
      </c>
      <c r="H60" s="88">
        <f t="shared" si="5"/>
        <v>21631.843999999808</v>
      </c>
      <c r="I60" s="88">
        <f t="shared" si="5"/>
        <v>24868</v>
      </c>
      <c r="J60" s="88">
        <f t="shared" si="5"/>
        <v>27419</v>
      </c>
      <c r="K60" s="88">
        <f t="shared" si="5"/>
        <v>29973</v>
      </c>
      <c r="L60" s="88">
        <f t="shared" si="5"/>
        <v>32972</v>
      </c>
      <c r="M60" s="88">
        <f t="shared" si="5"/>
        <v>35532</v>
      </c>
      <c r="N60" s="88">
        <f t="shared" si="5"/>
        <v>38101</v>
      </c>
      <c r="O60" s="88">
        <f t="shared" si="5"/>
        <v>40671</v>
      </c>
      <c r="P60" s="34"/>
    </row>
    <row r="61" spans="1:16">
      <c r="A61" s="88" t="s">
        <v>202</v>
      </c>
      <c r="B61" s="89">
        <f>B60-B57</f>
        <v>-1490.2200000000003</v>
      </c>
      <c r="C61" s="89">
        <f t="shared" ref="C61:O61" si="6">C60-C57</f>
        <v>919.62400000076741</v>
      </c>
      <c r="D61" s="89">
        <f t="shared" si="6"/>
        <v>2245.4680000008084</v>
      </c>
      <c r="E61" s="89">
        <f t="shared" si="6"/>
        <v>2860.311999999918</v>
      </c>
      <c r="F61" s="89">
        <f t="shared" si="6"/>
        <v>269.15599999995902</v>
      </c>
      <c r="G61" s="89">
        <f t="shared" si="6"/>
        <v>0</v>
      </c>
      <c r="H61" s="89">
        <f t="shared" si="6"/>
        <v>-689.15600000019185</v>
      </c>
      <c r="I61" s="89">
        <f t="shared" si="6"/>
        <v>0</v>
      </c>
      <c r="J61" s="89">
        <f t="shared" si="6"/>
        <v>0</v>
      </c>
      <c r="K61" s="89">
        <f t="shared" si="6"/>
        <v>0</v>
      </c>
      <c r="L61" s="89">
        <f t="shared" si="6"/>
        <v>0</v>
      </c>
      <c r="M61" s="89">
        <f t="shared" si="6"/>
        <v>0</v>
      </c>
      <c r="N61" s="89">
        <f t="shared" si="6"/>
        <v>0</v>
      </c>
      <c r="O61" s="89">
        <f t="shared" si="6"/>
        <v>0</v>
      </c>
      <c r="P61" s="34"/>
    </row>
    <row r="63" spans="1:16" ht="15.5">
      <c r="A63" s="80" t="s">
        <v>204</v>
      </c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</row>
    <row r="64" spans="1:16" ht="15" thickBot="1"/>
    <row r="65" spans="1:15" ht="15" thickBot="1">
      <c r="A65" s="46" t="s">
        <v>80</v>
      </c>
      <c r="B65" s="47">
        <v>2025</v>
      </c>
      <c r="C65" s="47">
        <v>2026</v>
      </c>
      <c r="D65" s="47">
        <v>2027</v>
      </c>
      <c r="E65" s="47">
        <v>2028</v>
      </c>
      <c r="F65" s="47">
        <v>2029</v>
      </c>
      <c r="G65" s="47">
        <v>2030</v>
      </c>
      <c r="H65" s="47">
        <v>2031</v>
      </c>
      <c r="I65" s="47">
        <v>2032</v>
      </c>
      <c r="J65" s="47">
        <v>2033</v>
      </c>
      <c r="K65" s="47">
        <v>2034</v>
      </c>
      <c r="L65" s="47">
        <v>2035</v>
      </c>
      <c r="M65" s="47">
        <v>2036</v>
      </c>
      <c r="N65" s="47">
        <v>2037</v>
      </c>
      <c r="O65" s="48">
        <v>2038</v>
      </c>
    </row>
    <row r="66" spans="1:15">
      <c r="A66" s="43" t="s">
        <v>116</v>
      </c>
      <c r="B66" s="44">
        <f>SUM(B67:B69)</f>
        <v>4538</v>
      </c>
      <c r="C66" s="44">
        <f t="shared" ref="C66:O66" si="7">SUM(C67:C69)</f>
        <v>5067</v>
      </c>
      <c r="D66" s="44">
        <f t="shared" si="7"/>
        <v>6352</v>
      </c>
      <c r="E66" s="44">
        <f t="shared" si="7"/>
        <v>7141</v>
      </c>
      <c r="F66" s="44">
        <f t="shared" si="7"/>
        <v>10392</v>
      </c>
      <c r="G66" s="44">
        <f t="shared" si="7"/>
        <v>10023</v>
      </c>
      <c r="H66" s="44">
        <f t="shared" si="7"/>
        <v>7076</v>
      </c>
      <c r="I66" s="44">
        <f t="shared" si="7"/>
        <v>5575</v>
      </c>
      <c r="J66" s="44">
        <f t="shared" si="7"/>
        <v>5575</v>
      </c>
      <c r="K66" s="44">
        <f t="shared" si="7"/>
        <v>5575</v>
      </c>
      <c r="L66" s="44">
        <f t="shared" si="7"/>
        <v>6026</v>
      </c>
      <c r="M66" s="44">
        <f t="shared" si="7"/>
        <v>4690</v>
      </c>
      <c r="N66" s="44">
        <f t="shared" si="7"/>
        <v>4700</v>
      </c>
      <c r="O66" s="44">
        <f t="shared" si="7"/>
        <v>4701</v>
      </c>
    </row>
    <row r="67" spans="1:15">
      <c r="A67" s="38" t="s">
        <v>117</v>
      </c>
      <c r="B67" s="35">
        <f>B46</f>
        <v>3814</v>
      </c>
      <c r="C67" s="35">
        <f t="shared" ref="C67:O67" si="8">C46</f>
        <v>4126</v>
      </c>
      <c r="D67" s="35">
        <f t="shared" si="8"/>
        <v>4327</v>
      </c>
      <c r="E67" s="35">
        <f t="shared" si="8"/>
        <v>4405</v>
      </c>
      <c r="F67" s="35">
        <f t="shared" si="8"/>
        <v>4450</v>
      </c>
      <c r="G67" s="35">
        <f t="shared" si="8"/>
        <v>6403</v>
      </c>
      <c r="H67" s="35">
        <f t="shared" si="8"/>
        <v>3036</v>
      </c>
      <c r="I67" s="35">
        <f t="shared" si="8"/>
        <v>3028</v>
      </c>
      <c r="J67" s="35">
        <f t="shared" si="8"/>
        <v>3024</v>
      </c>
      <c r="K67" s="35">
        <f t="shared" si="8"/>
        <v>3021</v>
      </c>
      <c r="L67" s="35">
        <f t="shared" si="8"/>
        <v>3027</v>
      </c>
      <c r="M67" s="35">
        <f t="shared" si="8"/>
        <v>2130</v>
      </c>
      <c r="N67" s="35">
        <f t="shared" si="8"/>
        <v>2131</v>
      </c>
      <c r="O67" s="35">
        <f t="shared" si="8"/>
        <v>2131</v>
      </c>
    </row>
    <row r="68" spans="1:15">
      <c r="A68" s="43" t="s">
        <v>187</v>
      </c>
      <c r="B68" s="35">
        <f>'설비현황_19~25'!H30</f>
        <v>620.69999999999982</v>
      </c>
      <c r="C68" s="35">
        <f>C$47*C55/SUM(C$55:C$56)</f>
        <v>154.6698592950944</v>
      </c>
      <c r="D68" s="35">
        <f t="shared" ref="D68:O68" si="9">D$47*D55/SUM(D$55:D$56)</f>
        <v>332.84427744175019</v>
      </c>
      <c r="E68" s="35">
        <f t="shared" si="9"/>
        <v>449.70960152142305</v>
      </c>
      <c r="F68" s="35">
        <f t="shared" si="9"/>
        <v>976.67194891796532</v>
      </c>
      <c r="G68" s="35">
        <f t="shared" si="9"/>
        <v>595.01051078475837</v>
      </c>
      <c r="H68" s="35">
        <f t="shared" si="9"/>
        <v>664.04487943910908</v>
      </c>
      <c r="I68" s="35">
        <f t="shared" si="9"/>
        <v>415.11705209985587</v>
      </c>
      <c r="J68" s="35">
        <f t="shared" si="9"/>
        <v>392.27395921118011</v>
      </c>
      <c r="K68" s="35">
        <f t="shared" si="9"/>
        <v>398.57621666583145</v>
      </c>
      <c r="L68" s="35">
        <f t="shared" si="9"/>
        <v>488.17770801325815</v>
      </c>
      <c r="M68" s="35">
        <f t="shared" si="9"/>
        <v>405.68726544899846</v>
      </c>
      <c r="N68" s="35">
        <f t="shared" si="9"/>
        <v>409.80066147219389</v>
      </c>
      <c r="O68" s="35">
        <f t="shared" si="9"/>
        <v>411.83862611988224</v>
      </c>
    </row>
    <row r="69" spans="1:15">
      <c r="A69" s="38" t="s">
        <v>188</v>
      </c>
      <c r="B69" s="36">
        <f>'설비현황_19~25'!H38</f>
        <v>103.30000000000001</v>
      </c>
      <c r="C69" s="35">
        <f>C$47*C56/SUM(C$55:C$56)</f>
        <v>786.3301407049056</v>
      </c>
      <c r="D69" s="35">
        <f t="shared" ref="D69:O69" si="10">D$47*D56/SUM(D$55:D$56)</f>
        <v>1692.1557225582499</v>
      </c>
      <c r="E69" s="35">
        <f t="shared" si="10"/>
        <v>2286.2903984785771</v>
      </c>
      <c r="F69" s="35">
        <f t="shared" si="10"/>
        <v>4965.328051082035</v>
      </c>
      <c r="G69" s="35">
        <f t="shared" si="10"/>
        <v>3024.9894892152415</v>
      </c>
      <c r="H69" s="35">
        <f t="shared" si="10"/>
        <v>3375.9551205608909</v>
      </c>
      <c r="I69" s="35">
        <f t="shared" si="10"/>
        <v>2131.8829479001442</v>
      </c>
      <c r="J69" s="35">
        <f t="shared" si="10"/>
        <v>2158.7260407888198</v>
      </c>
      <c r="K69" s="35">
        <f t="shared" si="10"/>
        <v>2155.4237833341685</v>
      </c>
      <c r="L69" s="35">
        <f t="shared" si="10"/>
        <v>2510.8222919867421</v>
      </c>
      <c r="M69" s="35">
        <f t="shared" si="10"/>
        <v>2154.3127345510015</v>
      </c>
      <c r="N69" s="35">
        <f t="shared" si="10"/>
        <v>2159.199338527806</v>
      </c>
      <c r="O69" s="35">
        <f t="shared" si="10"/>
        <v>2158.1613738801179</v>
      </c>
    </row>
    <row r="72" spans="1:15">
      <c r="A72" s="9" t="s">
        <v>123</v>
      </c>
    </row>
    <row r="74" spans="1:15">
      <c r="A74" s="10" t="s">
        <v>80</v>
      </c>
      <c r="B74" s="10">
        <v>2025</v>
      </c>
      <c r="C74" s="10">
        <v>2026</v>
      </c>
      <c r="D74" s="10">
        <v>2027</v>
      </c>
      <c r="E74" s="10">
        <v>2028</v>
      </c>
      <c r="F74" s="10">
        <v>2029</v>
      </c>
      <c r="G74" s="10">
        <v>2030</v>
      </c>
      <c r="H74" s="10">
        <v>2031</v>
      </c>
      <c r="I74" s="10">
        <v>2032</v>
      </c>
      <c r="J74" s="10">
        <v>2033</v>
      </c>
      <c r="K74" s="10">
        <v>2034</v>
      </c>
      <c r="L74" s="10">
        <v>2035</v>
      </c>
      <c r="M74" s="10">
        <v>2036</v>
      </c>
      <c r="N74" s="10">
        <v>2037</v>
      </c>
      <c r="O74" s="10">
        <v>2038</v>
      </c>
    </row>
    <row r="75" spans="1:15">
      <c r="A75" s="10" t="s">
        <v>81</v>
      </c>
      <c r="B75" s="10">
        <v>0</v>
      </c>
      <c r="C75" s="10">
        <v>500</v>
      </c>
      <c r="D75" s="10">
        <v>1000</v>
      </c>
      <c r="E75" s="10">
        <v>1500</v>
      </c>
      <c r="F75" s="10">
        <v>2100</v>
      </c>
      <c r="G75" s="10">
        <v>4000</v>
      </c>
      <c r="H75" s="10">
        <v>7600</v>
      </c>
      <c r="I75" s="10">
        <v>10000</v>
      </c>
      <c r="J75" s="10">
        <v>12500</v>
      </c>
      <c r="K75" s="10">
        <v>17500</v>
      </c>
      <c r="L75" s="10">
        <v>17500</v>
      </c>
      <c r="M75" s="10">
        <v>20000</v>
      </c>
      <c r="N75" s="10">
        <v>21000</v>
      </c>
      <c r="O75" s="10">
        <v>21250</v>
      </c>
    </row>
    <row r="76" spans="1:15">
      <c r="A76" s="10" t="s">
        <v>82</v>
      </c>
      <c r="B76" s="10">
        <v>68</v>
      </c>
      <c r="C76" s="10">
        <v>108</v>
      </c>
      <c r="D76" s="10">
        <v>148</v>
      </c>
      <c r="E76" s="10">
        <v>188</v>
      </c>
      <c r="F76" s="10">
        <v>226</v>
      </c>
      <c r="G76" s="10">
        <v>265</v>
      </c>
      <c r="H76" s="10">
        <v>304</v>
      </c>
      <c r="I76" s="10">
        <v>343</v>
      </c>
      <c r="J76" s="10">
        <v>382</v>
      </c>
      <c r="K76" s="10">
        <v>421</v>
      </c>
      <c r="L76" s="10">
        <v>459</v>
      </c>
      <c r="M76" s="10">
        <v>498</v>
      </c>
      <c r="N76" s="10">
        <v>537</v>
      </c>
      <c r="O76" s="10">
        <v>576</v>
      </c>
    </row>
    <row r="77" spans="1:15">
      <c r="A77" s="11" t="s">
        <v>83</v>
      </c>
      <c r="B77" s="10">
        <v>36816</v>
      </c>
      <c r="C77" s="10">
        <v>41434</v>
      </c>
      <c r="D77" s="10">
        <v>46268</v>
      </c>
      <c r="E77" s="10">
        <v>51191</v>
      </c>
      <c r="F77" s="10">
        <v>56171</v>
      </c>
      <c r="G77" s="10">
        <v>63116</v>
      </c>
      <c r="H77" s="10">
        <v>66704</v>
      </c>
      <c r="I77" s="10">
        <v>70295</v>
      </c>
      <c r="J77" s="10">
        <v>73895</v>
      </c>
      <c r="K77" s="10">
        <v>77506</v>
      </c>
      <c r="L77" s="10">
        <v>81135</v>
      </c>
      <c r="M77" s="10">
        <v>83880</v>
      </c>
      <c r="N77" s="10">
        <v>86641</v>
      </c>
      <c r="O77" s="10">
        <v>89414</v>
      </c>
    </row>
    <row r="78" spans="1:15">
      <c r="A78" s="11" t="s">
        <v>84</v>
      </c>
      <c r="B78" s="10">
        <v>3017</v>
      </c>
      <c r="C78" s="10">
        <v>3958</v>
      </c>
      <c r="D78" s="10">
        <v>5983</v>
      </c>
      <c r="E78" s="10">
        <v>8719</v>
      </c>
      <c r="F78" s="10">
        <v>14661</v>
      </c>
      <c r="G78" s="10">
        <v>18281</v>
      </c>
      <c r="H78" s="10">
        <v>22321</v>
      </c>
      <c r="I78" s="10">
        <v>24868</v>
      </c>
      <c r="J78" s="10">
        <v>27419</v>
      </c>
      <c r="K78" s="10">
        <v>29973</v>
      </c>
      <c r="L78" s="10">
        <v>32972</v>
      </c>
      <c r="M78" s="10">
        <v>35532</v>
      </c>
      <c r="N78" s="10">
        <v>38101</v>
      </c>
      <c r="O78" s="10">
        <v>40671</v>
      </c>
    </row>
    <row r="79" spans="1:15">
      <c r="A79" s="10" t="s">
        <v>85</v>
      </c>
      <c r="B79" s="10">
        <v>1491</v>
      </c>
      <c r="C79" s="10">
        <v>1721</v>
      </c>
      <c r="D79" s="10">
        <v>1921</v>
      </c>
      <c r="E79" s="10">
        <v>2121</v>
      </c>
      <c r="F79" s="10">
        <v>2321</v>
      </c>
      <c r="G79" s="10">
        <v>2521</v>
      </c>
      <c r="H79" s="10">
        <v>2671</v>
      </c>
      <c r="I79" s="10">
        <v>2821</v>
      </c>
      <c r="J79" s="10">
        <v>2971</v>
      </c>
      <c r="K79" s="10">
        <v>3121</v>
      </c>
      <c r="L79" s="10">
        <v>3271</v>
      </c>
      <c r="M79" s="10">
        <v>3421</v>
      </c>
      <c r="N79" s="10">
        <v>3521</v>
      </c>
      <c r="O79" s="10">
        <v>3621</v>
      </c>
    </row>
    <row r="80" spans="1:15">
      <c r="A80" s="10" t="s">
        <v>86</v>
      </c>
      <c r="B80" s="10"/>
      <c r="C80" s="10"/>
      <c r="D80" s="10"/>
      <c r="E80" s="10"/>
      <c r="F80" s="10"/>
      <c r="G80" s="10"/>
      <c r="H80" s="10">
        <v>200</v>
      </c>
      <c r="I80" s="10">
        <v>1323.76</v>
      </c>
      <c r="J80" s="10">
        <v>2723.76</v>
      </c>
      <c r="K80" s="10">
        <v>2823.76</v>
      </c>
      <c r="L80" s="10">
        <v>2823.76</v>
      </c>
      <c r="M80" s="10">
        <v>2823.76</v>
      </c>
      <c r="N80" s="10">
        <v>2823.76</v>
      </c>
      <c r="O80" s="10">
        <v>2823.76</v>
      </c>
    </row>
    <row r="81" spans="1:15">
      <c r="A81" s="10" t="s">
        <v>87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>
        <v>700</v>
      </c>
      <c r="M81" s="10">
        <v>1500</v>
      </c>
      <c r="N81" s="10">
        <v>1700</v>
      </c>
      <c r="O81" s="10">
        <v>1700</v>
      </c>
    </row>
    <row r="83" spans="1:15" ht="15" thickBot="1"/>
    <row r="84" spans="1:15" ht="15" thickBot="1">
      <c r="A84" s="46" t="s">
        <v>80</v>
      </c>
      <c r="B84" s="47">
        <v>2025</v>
      </c>
      <c r="C84" s="47">
        <v>2026</v>
      </c>
      <c r="D84" s="47">
        <v>2027</v>
      </c>
      <c r="E84" s="47">
        <v>2028</v>
      </c>
      <c r="F84" s="47">
        <v>2029</v>
      </c>
      <c r="G84" s="47">
        <v>2030</v>
      </c>
      <c r="H84" s="47">
        <v>2031</v>
      </c>
      <c r="I84" s="47">
        <v>2032</v>
      </c>
      <c r="J84" s="47">
        <v>2033</v>
      </c>
      <c r="K84" s="47">
        <v>2034</v>
      </c>
      <c r="L84" s="47">
        <v>2035</v>
      </c>
      <c r="M84" s="47">
        <v>2036</v>
      </c>
      <c r="N84" s="47">
        <v>2037</v>
      </c>
      <c r="O84" s="48">
        <v>2038</v>
      </c>
    </row>
    <row r="85" spans="1:15">
      <c r="A85" s="43" t="s">
        <v>116</v>
      </c>
      <c r="B85" s="44"/>
      <c r="C85" s="13">
        <f>SUM(C86:C87)</f>
        <v>5559</v>
      </c>
      <c r="D85" s="13">
        <f t="shared" ref="D85:O85" si="11">SUM(D86:D87)</f>
        <v>6859</v>
      </c>
      <c r="E85" s="13">
        <f t="shared" si="11"/>
        <v>7659</v>
      </c>
      <c r="F85" s="13">
        <f t="shared" si="11"/>
        <v>10922</v>
      </c>
      <c r="G85" s="13">
        <f t="shared" si="11"/>
        <v>10565</v>
      </c>
      <c r="H85" s="13">
        <f t="shared" si="11"/>
        <v>7628</v>
      </c>
      <c r="I85" s="13">
        <f t="shared" si="11"/>
        <v>6138</v>
      </c>
      <c r="J85" s="13">
        <f t="shared" si="11"/>
        <v>6151</v>
      </c>
      <c r="K85" s="13">
        <f t="shared" si="11"/>
        <v>6165</v>
      </c>
      <c r="L85" s="13">
        <f t="shared" si="11"/>
        <v>6628</v>
      </c>
      <c r="M85" s="13">
        <f t="shared" si="11"/>
        <v>5305</v>
      </c>
      <c r="N85" s="13">
        <f t="shared" si="11"/>
        <v>5330</v>
      </c>
      <c r="O85" s="13">
        <f t="shared" si="11"/>
        <v>5343</v>
      </c>
    </row>
    <row r="86" spans="1:15">
      <c r="A86" s="38" t="s">
        <v>117</v>
      </c>
      <c r="B86" s="35"/>
      <c r="C86" s="44">
        <f t="shared" ref="C86:O86" si="12">C77-B77</f>
        <v>4618</v>
      </c>
      <c r="D86" s="44">
        <f t="shared" si="12"/>
        <v>4834</v>
      </c>
      <c r="E86" s="44">
        <f t="shared" si="12"/>
        <v>4923</v>
      </c>
      <c r="F86" s="44">
        <f t="shared" si="12"/>
        <v>4980</v>
      </c>
      <c r="G86" s="44">
        <f t="shared" si="12"/>
        <v>6945</v>
      </c>
      <c r="H86" s="44">
        <f t="shared" si="12"/>
        <v>3588</v>
      </c>
      <c r="I86" s="44">
        <f t="shared" si="12"/>
        <v>3591</v>
      </c>
      <c r="J86" s="44">
        <f t="shared" si="12"/>
        <v>3600</v>
      </c>
      <c r="K86" s="44">
        <f t="shared" si="12"/>
        <v>3611</v>
      </c>
      <c r="L86" s="44">
        <f t="shared" si="12"/>
        <v>3629</v>
      </c>
      <c r="M86" s="44">
        <f t="shared" si="12"/>
        <v>2745</v>
      </c>
      <c r="N86" s="44">
        <f t="shared" si="12"/>
        <v>2761</v>
      </c>
      <c r="O86" s="44">
        <f t="shared" si="12"/>
        <v>2773</v>
      </c>
    </row>
    <row r="87" spans="1:15">
      <c r="A87" s="39" t="s">
        <v>118</v>
      </c>
      <c r="B87" s="35"/>
      <c r="C87" s="44">
        <f t="shared" ref="C87:O87" si="13">C78-B78</f>
        <v>941</v>
      </c>
      <c r="D87" s="44">
        <f t="shared" si="13"/>
        <v>2025</v>
      </c>
      <c r="E87" s="44">
        <f t="shared" si="13"/>
        <v>2736</v>
      </c>
      <c r="F87" s="44">
        <f t="shared" si="13"/>
        <v>5942</v>
      </c>
      <c r="G87" s="44">
        <f t="shared" si="13"/>
        <v>3620</v>
      </c>
      <c r="H87" s="44">
        <f t="shared" si="13"/>
        <v>4040</v>
      </c>
      <c r="I87" s="44">
        <f t="shared" si="13"/>
        <v>2547</v>
      </c>
      <c r="J87" s="44">
        <f t="shared" si="13"/>
        <v>2551</v>
      </c>
      <c r="K87" s="44">
        <f t="shared" si="13"/>
        <v>2554</v>
      </c>
      <c r="L87" s="44">
        <f t="shared" si="13"/>
        <v>2999</v>
      </c>
      <c r="M87" s="44">
        <f t="shared" si="13"/>
        <v>2560</v>
      </c>
      <c r="N87" s="44">
        <f t="shared" si="13"/>
        <v>2569</v>
      </c>
      <c r="O87" s="44">
        <f t="shared" si="13"/>
        <v>2570</v>
      </c>
    </row>
  </sheetData>
  <mergeCells count="22">
    <mergeCell ref="A18:A19"/>
    <mergeCell ref="A5:A7"/>
    <mergeCell ref="B5:K5"/>
    <mergeCell ref="L5:L7"/>
    <mergeCell ref="M5:M7"/>
    <mergeCell ref="B6:G6"/>
    <mergeCell ref="H6:J6"/>
    <mergeCell ref="K6:K7"/>
    <mergeCell ref="A8:A9"/>
    <mergeCell ref="A10:A11"/>
    <mergeCell ref="A12:A13"/>
    <mergeCell ref="A14:A15"/>
    <mergeCell ref="A16:A17"/>
    <mergeCell ref="A32:A33"/>
    <mergeCell ref="A34:A35"/>
    <mergeCell ref="A36:A37"/>
    <mergeCell ref="A20:A21"/>
    <mergeCell ref="A22:A23"/>
    <mergeCell ref="A24:A25"/>
    <mergeCell ref="A26:A27"/>
    <mergeCell ref="A28:A29"/>
    <mergeCell ref="A30:A31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C3DE-FB57-4949-8ACD-A608751B1C98}">
  <dimension ref="A2:AN48"/>
  <sheetViews>
    <sheetView zoomScaleNormal="100" workbookViewId="0">
      <selection activeCell="E17" sqref="E17"/>
    </sheetView>
  </sheetViews>
  <sheetFormatPr defaultRowHeight="14.5"/>
  <cols>
    <col min="1" max="1" width="31.7265625" customWidth="1"/>
    <col min="2" max="2" width="11.90625" customWidth="1"/>
    <col min="17" max="17" width="10.26953125" customWidth="1"/>
    <col min="19" max="19" width="22.26953125" bestFit="1" customWidth="1"/>
    <col min="20" max="20" width="9.08984375" customWidth="1"/>
    <col min="21" max="21" width="6.6328125" customWidth="1"/>
    <col min="22" max="22" width="18" bestFit="1" customWidth="1"/>
    <col min="23" max="23" width="20.26953125" bestFit="1" customWidth="1"/>
    <col min="24" max="24" width="17.36328125" bestFit="1" customWidth="1"/>
    <col min="25" max="25" width="20.26953125" bestFit="1" customWidth="1"/>
  </cols>
  <sheetData>
    <row r="2" spans="1:26">
      <c r="A2" t="s">
        <v>102</v>
      </c>
    </row>
    <row r="3" spans="1:26">
      <c r="A3" s="7" t="s">
        <v>60</v>
      </c>
      <c r="B3" s="7" t="s">
        <v>88</v>
      </c>
      <c r="C3" s="7" t="s">
        <v>49</v>
      </c>
      <c r="D3" s="7" t="s">
        <v>61</v>
      </c>
      <c r="E3" s="7" t="s">
        <v>62</v>
      </c>
      <c r="F3" s="7" t="s">
        <v>63</v>
      </c>
      <c r="G3" s="7" t="s">
        <v>64</v>
      </c>
      <c r="H3" s="7" t="s">
        <v>65</v>
      </c>
      <c r="I3" s="7" t="s">
        <v>66</v>
      </c>
      <c r="J3" s="7" t="s">
        <v>67</v>
      </c>
      <c r="K3" s="7" t="s">
        <v>68</v>
      </c>
      <c r="L3" s="7" t="s">
        <v>69</v>
      </c>
      <c r="M3" s="7" t="s">
        <v>70</v>
      </c>
      <c r="N3" s="7" t="s">
        <v>71</v>
      </c>
      <c r="O3" s="7" t="s">
        <v>72</v>
      </c>
      <c r="R3" s="9"/>
      <c r="S3" s="9"/>
      <c r="T3" s="9"/>
      <c r="U3" s="9"/>
      <c r="V3" s="9"/>
      <c r="W3" s="9"/>
      <c r="X3" s="9"/>
      <c r="Y3" s="9"/>
      <c r="Z3" s="9"/>
    </row>
    <row r="4" spans="1:26">
      <c r="A4" s="7" t="s">
        <v>73</v>
      </c>
      <c r="B4" s="7" t="s">
        <v>92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1370</v>
      </c>
      <c r="R4" s="9"/>
      <c r="S4" s="9"/>
      <c r="T4" s="9"/>
      <c r="U4" s="9"/>
      <c r="V4" s="9"/>
      <c r="W4" s="9"/>
      <c r="X4" s="9"/>
      <c r="Y4" s="9"/>
      <c r="Z4" s="9"/>
    </row>
    <row r="5" spans="1:26">
      <c r="A5" s="7" t="s">
        <v>74</v>
      </c>
      <c r="B5" s="7" t="s">
        <v>103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>
        <v>870</v>
      </c>
      <c r="O5" s="7">
        <v>1550</v>
      </c>
      <c r="R5" s="9"/>
      <c r="S5" s="9"/>
      <c r="T5" s="9"/>
      <c r="U5" s="9"/>
      <c r="V5" s="9"/>
      <c r="W5" s="9"/>
      <c r="X5" s="9"/>
      <c r="Y5" s="9"/>
      <c r="Z5" s="9"/>
    </row>
    <row r="6" spans="1:26">
      <c r="A6" s="7" t="s">
        <v>52</v>
      </c>
      <c r="B6" s="7" t="s">
        <v>52</v>
      </c>
      <c r="C6" s="7">
        <v>3548</v>
      </c>
      <c r="D6" s="7">
        <v>3420</v>
      </c>
      <c r="E6" s="7">
        <v>2700</v>
      </c>
      <c r="F6" s="7">
        <v>2409</v>
      </c>
      <c r="G6" s="7">
        <v>1000</v>
      </c>
      <c r="H6" s="7">
        <v>1285</v>
      </c>
      <c r="I6" s="7">
        <v>2489.39</v>
      </c>
      <c r="J6" s="7"/>
      <c r="K6" s="7">
        <v>1600</v>
      </c>
      <c r="L6" s="7"/>
      <c r="M6" s="7">
        <v>1000</v>
      </c>
      <c r="N6" s="7"/>
      <c r="O6" s="7"/>
      <c r="R6" s="9"/>
      <c r="S6" s="9"/>
      <c r="T6" s="9"/>
      <c r="U6" s="9"/>
      <c r="V6" s="9"/>
      <c r="W6" s="9"/>
      <c r="X6" s="9"/>
      <c r="Y6" s="9"/>
      <c r="Z6" s="9"/>
    </row>
    <row r="7" spans="1:26">
      <c r="A7" s="7" t="s">
        <v>75</v>
      </c>
      <c r="B7" s="7" t="s">
        <v>94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>
        <v>1000</v>
      </c>
      <c r="O7" s="7"/>
      <c r="R7" s="9"/>
      <c r="S7" s="9"/>
      <c r="T7" s="9"/>
      <c r="U7" s="9"/>
      <c r="V7" s="9"/>
      <c r="W7" s="9"/>
      <c r="X7" s="9"/>
      <c r="Y7" s="9"/>
      <c r="Z7" s="9"/>
    </row>
    <row r="8" spans="1:26">
      <c r="A8" s="7" t="s">
        <v>2</v>
      </c>
      <c r="B8" s="7" t="s">
        <v>89</v>
      </c>
      <c r="C8" s="7">
        <v>2800</v>
      </c>
      <c r="D8" s="7"/>
      <c r="E8" s="7"/>
      <c r="F8" s="7"/>
      <c r="G8" s="7"/>
      <c r="H8" s="7"/>
      <c r="I8" s="7">
        <v>1400</v>
      </c>
      <c r="J8" s="7">
        <v>1400</v>
      </c>
      <c r="K8" s="7"/>
      <c r="L8" s="7"/>
      <c r="M8" s="7"/>
      <c r="N8" s="7">
        <v>1400</v>
      </c>
      <c r="O8" s="7">
        <v>1400</v>
      </c>
      <c r="R8" s="9"/>
      <c r="S8" s="9"/>
      <c r="T8" s="9"/>
      <c r="U8" s="9"/>
      <c r="V8" s="9"/>
      <c r="W8" s="9"/>
      <c r="X8" s="9"/>
      <c r="Y8" s="9"/>
      <c r="Z8" s="9"/>
    </row>
    <row r="9" spans="1:26">
      <c r="A9" s="7" t="s">
        <v>76</v>
      </c>
      <c r="B9" s="7" t="s">
        <v>90</v>
      </c>
      <c r="C9" s="7"/>
      <c r="D9" s="7"/>
      <c r="E9" s="7"/>
      <c r="F9" s="7"/>
      <c r="G9" s="7"/>
      <c r="H9" s="7"/>
      <c r="I9" s="7"/>
      <c r="J9" s="7"/>
      <c r="K9" s="7">
        <v>350</v>
      </c>
      <c r="L9" s="7">
        <v>350</v>
      </c>
      <c r="M9" s="7"/>
      <c r="N9" s="7"/>
      <c r="O9" s="7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7" t="s">
        <v>54</v>
      </c>
      <c r="B10" s="7" t="s">
        <v>99</v>
      </c>
      <c r="C10" s="7">
        <v>364.8</v>
      </c>
      <c r="D10" s="7">
        <v>76.2</v>
      </c>
      <c r="E10" s="7">
        <v>396.8</v>
      </c>
      <c r="F10" s="7">
        <v>1632</v>
      </c>
      <c r="G10" s="7">
        <v>104</v>
      </c>
      <c r="H10" s="7">
        <v>0</v>
      </c>
      <c r="I10" s="7">
        <v>0</v>
      </c>
      <c r="J10" s="7">
        <v>0</v>
      </c>
      <c r="K10" s="7">
        <v>0</v>
      </c>
      <c r="L10" s="7"/>
      <c r="M10" s="7"/>
      <c r="N10" s="7"/>
      <c r="O10" s="7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7" t="s">
        <v>77</v>
      </c>
      <c r="B11" s="7" t="s">
        <v>100</v>
      </c>
      <c r="C11" s="7"/>
      <c r="D11" s="7"/>
      <c r="E11" s="7"/>
      <c r="F11" s="7"/>
      <c r="G11" s="7">
        <v>750</v>
      </c>
      <c r="H11" s="7">
        <v>0</v>
      </c>
      <c r="I11" s="7"/>
      <c r="J11" s="7"/>
      <c r="K11" s="7"/>
      <c r="L11" s="7"/>
      <c r="M11" s="7"/>
      <c r="N11" s="7"/>
      <c r="O11" s="7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t="s">
        <v>124</v>
      </c>
      <c r="R13" s="9"/>
      <c r="S13" s="9"/>
      <c r="T13" s="9"/>
      <c r="U13" s="9"/>
      <c r="V13" s="9"/>
      <c r="W13" s="9"/>
      <c r="X13" s="9"/>
      <c r="Y13" s="9"/>
      <c r="Z13" s="9"/>
    </row>
    <row r="14" spans="1:26" ht="15" thickBot="1">
      <c r="R14" s="9"/>
      <c r="S14" s="9"/>
      <c r="T14" s="9"/>
      <c r="U14" s="9"/>
      <c r="V14" s="9"/>
      <c r="W14" s="9"/>
      <c r="X14" s="9"/>
      <c r="Y14" s="9"/>
      <c r="Z14" s="9"/>
    </row>
    <row r="15" spans="1:26" ht="15" thickBot="1">
      <c r="A15" s="46" t="s">
        <v>80</v>
      </c>
      <c r="B15" s="47">
        <v>2025</v>
      </c>
      <c r="C15" s="47">
        <v>2026</v>
      </c>
      <c r="D15" s="47">
        <v>2027</v>
      </c>
      <c r="E15" s="47">
        <v>2028</v>
      </c>
      <c r="F15" s="47">
        <v>2029</v>
      </c>
      <c r="G15" s="47">
        <v>2030</v>
      </c>
      <c r="H15" s="47">
        <v>2031</v>
      </c>
      <c r="I15" s="47">
        <v>2032</v>
      </c>
      <c r="J15" s="47">
        <v>2033</v>
      </c>
      <c r="K15" s="47">
        <v>2034</v>
      </c>
      <c r="L15" s="47">
        <v>2035</v>
      </c>
      <c r="M15" s="47">
        <v>2036</v>
      </c>
      <c r="N15" s="47">
        <v>2037</v>
      </c>
      <c r="O15" s="48">
        <v>2038</v>
      </c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43" t="s">
        <v>116</v>
      </c>
      <c r="B16" s="44">
        <f>'신재생에너지 설비 및 발전량 전망_24~38'!B45</f>
        <v>4539</v>
      </c>
      <c r="C16" s="44">
        <f>'신재생에너지 설비 및 발전량 전망_24~38'!C45</f>
        <v>5067</v>
      </c>
      <c r="D16" s="44">
        <f>'신재생에너지 설비 및 발전량 전망_24~38'!D45</f>
        <v>6353</v>
      </c>
      <c r="E16" s="44">
        <f>'신재생에너지 설비 및 발전량 전망_24~38'!E45</f>
        <v>7140</v>
      </c>
      <c r="F16" s="44">
        <f>'신재생에너지 설비 및 발전량 전망_24~38'!F45</f>
        <v>10392</v>
      </c>
      <c r="G16" s="44">
        <f>'신재생에너지 설비 및 발전량 전망_24~38'!G45</f>
        <v>10023</v>
      </c>
      <c r="H16" s="44">
        <f>'신재생에너지 설비 및 발전량 전망_24~38'!H45</f>
        <v>7075</v>
      </c>
      <c r="I16" s="44">
        <f>'신재생에너지 설비 및 발전량 전망_24~38'!I45</f>
        <v>5576</v>
      </c>
      <c r="J16" s="44">
        <f>'신재생에너지 설비 및 발전량 전망_24~38'!J45</f>
        <v>5575</v>
      </c>
      <c r="K16" s="44">
        <f>'신재생에너지 설비 및 발전량 전망_24~38'!K45</f>
        <v>5576</v>
      </c>
      <c r="L16" s="44">
        <f>'신재생에너지 설비 및 발전량 전망_24~38'!L45</f>
        <v>6025</v>
      </c>
      <c r="M16" s="44">
        <f>'신재생에너지 설비 및 발전량 전망_24~38'!M45</f>
        <v>4690</v>
      </c>
      <c r="N16" s="44">
        <f>'신재생에너지 설비 및 발전량 전망_24~38'!N45</f>
        <v>4701</v>
      </c>
      <c r="O16" s="44">
        <f>'신재생에너지 설비 및 발전량 전망_24~38'!O45</f>
        <v>4700</v>
      </c>
      <c r="R16" s="9"/>
      <c r="S16" s="9"/>
      <c r="T16" s="9"/>
      <c r="U16" s="9"/>
      <c r="V16" s="9"/>
      <c r="W16" s="9"/>
      <c r="X16" s="9"/>
      <c r="Y16" s="9"/>
      <c r="Z16" s="9"/>
    </row>
    <row r="17" spans="1:40">
      <c r="A17" s="50" t="s">
        <v>117</v>
      </c>
      <c r="B17" s="44">
        <f>'신재생에너지 설비 및 발전량 전망_24~38'!B46</f>
        <v>3814</v>
      </c>
      <c r="C17" s="44">
        <f>'신재생에너지 설비 및 발전량 전망_24~38'!C46</f>
        <v>4126</v>
      </c>
      <c r="D17" s="44">
        <f>'신재생에너지 설비 및 발전량 전망_24~38'!D46</f>
        <v>4327</v>
      </c>
      <c r="E17" s="44">
        <f>'신재생에너지 설비 및 발전량 전망_24~38'!E46</f>
        <v>4405</v>
      </c>
      <c r="F17" s="44">
        <f>'신재생에너지 설비 및 발전량 전망_24~38'!F46</f>
        <v>4450</v>
      </c>
      <c r="G17" s="44">
        <f>'신재생에너지 설비 및 발전량 전망_24~38'!G46</f>
        <v>6403</v>
      </c>
      <c r="H17" s="44">
        <f>'신재생에너지 설비 및 발전량 전망_24~38'!H46</f>
        <v>3036</v>
      </c>
      <c r="I17" s="44">
        <f>'신재생에너지 설비 및 발전량 전망_24~38'!I46</f>
        <v>3028</v>
      </c>
      <c r="J17" s="44">
        <f>'신재생에너지 설비 및 발전량 전망_24~38'!J46</f>
        <v>3024</v>
      </c>
      <c r="K17" s="44">
        <f>'신재생에너지 설비 및 발전량 전망_24~38'!K46</f>
        <v>3021</v>
      </c>
      <c r="L17" s="44">
        <f>'신재생에너지 설비 및 발전량 전망_24~38'!L46</f>
        <v>3027</v>
      </c>
      <c r="M17" s="44">
        <f>'신재생에너지 설비 및 발전량 전망_24~38'!M46</f>
        <v>2130</v>
      </c>
      <c r="N17" s="44">
        <f>'신재생에너지 설비 및 발전량 전망_24~38'!N46</f>
        <v>2131</v>
      </c>
      <c r="O17" s="44">
        <f>'신재생에너지 설비 및 발전량 전망_24~38'!O46</f>
        <v>2131</v>
      </c>
      <c r="R17" s="9"/>
      <c r="S17" s="9"/>
      <c r="T17" s="9"/>
      <c r="U17" s="9"/>
      <c r="V17" s="9"/>
      <c r="W17" s="9"/>
      <c r="X17" s="9"/>
      <c r="Y17" s="9"/>
      <c r="Z17" s="9"/>
    </row>
    <row r="18" spans="1:40">
      <c r="A18" s="52" t="s">
        <v>118</v>
      </c>
      <c r="B18" s="44">
        <f>'신재생에너지 설비 및 발전량 전망_24~38'!B47</f>
        <v>724</v>
      </c>
      <c r="C18" s="44">
        <f>'신재생에너지 설비 및 발전량 전망_24~38'!C47</f>
        <v>941</v>
      </c>
      <c r="D18" s="44">
        <f>'신재생에너지 설비 및 발전량 전망_24~38'!D47</f>
        <v>2025</v>
      </c>
      <c r="E18" s="44">
        <f>'신재생에너지 설비 및 발전량 전망_24~38'!E47</f>
        <v>2736</v>
      </c>
      <c r="F18" s="44">
        <f>'신재생에너지 설비 및 발전량 전망_24~38'!F47</f>
        <v>5942</v>
      </c>
      <c r="G18" s="44">
        <f>'신재생에너지 설비 및 발전량 전망_24~38'!G47</f>
        <v>3620</v>
      </c>
      <c r="H18" s="44">
        <f>'신재생에너지 설비 및 발전량 전망_24~38'!H47</f>
        <v>4040</v>
      </c>
      <c r="I18" s="44">
        <f>'신재생에너지 설비 및 발전량 전망_24~38'!I47</f>
        <v>2547</v>
      </c>
      <c r="J18" s="44">
        <f>'신재생에너지 설비 및 발전량 전망_24~38'!J47</f>
        <v>2551</v>
      </c>
      <c r="K18" s="44">
        <f>'신재생에너지 설비 및 발전량 전망_24~38'!K47</f>
        <v>2554</v>
      </c>
      <c r="L18" s="44">
        <f>'신재생에너지 설비 및 발전량 전망_24~38'!L47</f>
        <v>2999</v>
      </c>
      <c r="M18" s="44">
        <f>'신재생에너지 설비 및 발전량 전망_24~38'!M47</f>
        <v>2560</v>
      </c>
      <c r="N18" s="44">
        <f>'신재생에너지 설비 및 발전량 전망_24~38'!N47</f>
        <v>2569</v>
      </c>
      <c r="O18" s="44">
        <f>'신재생에너지 설비 및 발전량 전망_24~38'!O47</f>
        <v>2570</v>
      </c>
      <c r="R18" s="9"/>
      <c r="S18" s="9"/>
      <c r="T18" s="9"/>
      <c r="U18" s="9"/>
      <c r="V18" s="9"/>
      <c r="W18" s="9"/>
      <c r="X18" s="9"/>
      <c r="Y18" s="9"/>
      <c r="Z18" s="9"/>
    </row>
    <row r="19" spans="1:40" ht="18" customHeight="1">
      <c r="A19" s="54" t="s">
        <v>119</v>
      </c>
      <c r="B19" s="44">
        <f>'신재생에너지 설비 및 발전량 전망_24~38'!B48</f>
        <v>0</v>
      </c>
      <c r="C19" s="44">
        <f>'신재생에너지 설비 및 발전량 전망_24~38'!C48</f>
        <v>0</v>
      </c>
      <c r="D19" s="44">
        <f>'신재생에너지 설비 및 발전량 전망_24~38'!D48</f>
        <v>0</v>
      </c>
      <c r="E19" s="44">
        <f>'신재생에너지 설비 및 발전량 전망_24~38'!E48</f>
        <v>0</v>
      </c>
      <c r="F19" s="44">
        <f>'신재생에너지 설비 및 발전량 전망_24~38'!F48</f>
        <v>0</v>
      </c>
      <c r="G19" s="44">
        <f>'신재생에너지 설비 및 발전량 전망_24~38'!G48</f>
        <v>0</v>
      </c>
      <c r="H19" s="44">
        <f>'신재생에너지 설비 및 발전량 전망_24~38'!H48</f>
        <v>0</v>
      </c>
      <c r="I19" s="44">
        <f>'신재생에너지 설비 및 발전량 전망_24~38'!I48</f>
        <v>0</v>
      </c>
      <c r="J19" s="44">
        <f>'신재생에너지 설비 및 발전량 전망_24~38'!J48</f>
        <v>0</v>
      </c>
      <c r="K19" s="44">
        <f>'신재생에너지 설비 및 발전량 전망_24~38'!K48</f>
        <v>0</v>
      </c>
      <c r="L19" s="44">
        <f>'신재생에너지 설비 및 발전량 전망_24~38'!L48</f>
        <v>0</v>
      </c>
      <c r="M19" s="44">
        <f>'신재생에너지 설비 및 발전량 전망_24~38'!M48</f>
        <v>0</v>
      </c>
      <c r="N19" s="44">
        <f>'신재생에너지 설비 및 발전량 전망_24~38'!N48</f>
        <v>0</v>
      </c>
      <c r="O19" s="44">
        <f>'신재생에너지 설비 및 발전량 전망_24~38'!O48</f>
        <v>0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40">
      <c r="A20" s="38" t="s">
        <v>120</v>
      </c>
      <c r="B20" s="44">
        <f>'신재생에너지 설비 및 발전량 전망_24~38'!B49</f>
        <v>0</v>
      </c>
      <c r="C20" s="44">
        <f>'신재생에너지 설비 및 발전량 전망_24~38'!C49</f>
        <v>0</v>
      </c>
      <c r="D20" s="44">
        <f>'신재생에너지 설비 및 발전량 전망_24~38'!D49</f>
        <v>0</v>
      </c>
      <c r="E20" s="44">
        <f>'신재생에너지 설비 및 발전량 전망_24~38'!E49</f>
        <v>0</v>
      </c>
      <c r="F20" s="44">
        <f>'신재생에너지 설비 및 발전량 전망_24~38'!F49</f>
        <v>0</v>
      </c>
      <c r="G20" s="44">
        <f>'신재생에너지 설비 및 발전량 전망_24~38'!G49</f>
        <v>0</v>
      </c>
      <c r="H20" s="44">
        <f>'신재생에너지 설비 및 발전량 전망_24~38'!H49</f>
        <v>0</v>
      </c>
      <c r="I20" s="44">
        <f>'신재생에너지 설비 및 발전량 전망_24~38'!I49</f>
        <v>0</v>
      </c>
      <c r="J20" s="44">
        <f>'신재생에너지 설비 및 발전량 전망_24~38'!J49</f>
        <v>0</v>
      </c>
      <c r="K20" s="44">
        <f>'신재생에너지 설비 및 발전량 전망_24~38'!K49</f>
        <v>0</v>
      </c>
      <c r="L20" s="44">
        <f>'신재생에너지 설비 및 발전량 전망_24~38'!L49</f>
        <v>0</v>
      </c>
      <c r="M20" s="44">
        <f>'신재생에너지 설비 및 발전량 전망_24~38'!M49</f>
        <v>0</v>
      </c>
      <c r="N20" s="44">
        <f>'신재생에너지 설비 및 발전량 전망_24~38'!N49</f>
        <v>0</v>
      </c>
      <c r="O20" s="44">
        <f>'신재생에너지 설비 및 발전량 전망_24~38'!O49</f>
        <v>0</v>
      </c>
      <c r="AF20" s="9">
        <v>2035</v>
      </c>
      <c r="AG20" s="9">
        <v>17500</v>
      </c>
      <c r="AH20" s="9">
        <v>459</v>
      </c>
      <c r="AI20" s="9">
        <v>81135</v>
      </c>
      <c r="AJ20" s="9">
        <v>32972</v>
      </c>
      <c r="AK20" s="9">
        <v>3271</v>
      </c>
      <c r="AL20" s="9">
        <v>2823.76</v>
      </c>
      <c r="AM20" s="9">
        <v>700</v>
      </c>
      <c r="AN20" s="9"/>
    </row>
    <row r="21" spans="1:40" ht="15" thickBot="1">
      <c r="A21" s="56" t="s">
        <v>121</v>
      </c>
      <c r="B21" s="44">
        <f>'신재생에너지 설비 및 발전량 전망_24~38'!B50</f>
        <v>0</v>
      </c>
      <c r="C21" s="44">
        <f>'신재생에너지 설비 및 발전량 전망_24~38'!C50</f>
        <v>0</v>
      </c>
      <c r="D21" s="44">
        <f>'신재생에너지 설비 및 발전량 전망_24~38'!D50</f>
        <v>0</v>
      </c>
      <c r="E21" s="44">
        <f>'신재생에너지 설비 및 발전량 전망_24~38'!E50</f>
        <v>0</v>
      </c>
      <c r="F21" s="44">
        <f>'신재생에너지 설비 및 발전량 전망_24~38'!F50</f>
        <v>0</v>
      </c>
      <c r="G21" s="44">
        <f>'신재생에너지 설비 및 발전량 전망_24~38'!G50</f>
        <v>0</v>
      </c>
      <c r="H21" s="44">
        <f>'신재생에너지 설비 및 발전량 전망_24~38'!H50</f>
        <v>0</v>
      </c>
      <c r="I21" s="44">
        <f>'신재생에너지 설비 및 발전량 전망_24~38'!I50</f>
        <v>0</v>
      </c>
      <c r="J21" s="44">
        <f>'신재생에너지 설비 및 발전량 전망_24~38'!J50</f>
        <v>0</v>
      </c>
      <c r="K21" s="44">
        <f>'신재생에너지 설비 및 발전량 전망_24~38'!K50</f>
        <v>0</v>
      </c>
      <c r="L21" s="44">
        <f>'신재생에너지 설비 및 발전량 전망_24~38'!L50</f>
        <v>0</v>
      </c>
      <c r="M21" s="44">
        <f>'신재생에너지 설비 및 발전량 전망_24~38'!M50</f>
        <v>0</v>
      </c>
      <c r="N21" s="44">
        <f>'신재생에너지 설비 및 발전량 전망_24~38'!N50</f>
        <v>0</v>
      </c>
      <c r="O21" s="44">
        <f>'신재생에너지 설비 및 발전량 전망_24~38'!O50</f>
        <v>0</v>
      </c>
      <c r="Z21" s="9"/>
    </row>
    <row r="22" spans="1:40">
      <c r="A22" s="9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Z22" s="9"/>
    </row>
    <row r="23" spans="1:40">
      <c r="A23" s="9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Z23" s="9"/>
    </row>
    <row r="24" spans="1:40">
      <c r="A24" t="s">
        <v>16</v>
      </c>
      <c r="B24">
        <v>2025</v>
      </c>
      <c r="C24">
        <v>2026</v>
      </c>
      <c r="D24">
        <v>2027</v>
      </c>
      <c r="E24">
        <v>2028</v>
      </c>
      <c r="F24">
        <v>2029</v>
      </c>
      <c r="G24">
        <v>2030</v>
      </c>
      <c r="H24">
        <v>2031</v>
      </c>
      <c r="I24">
        <v>2032</v>
      </c>
      <c r="J24">
        <v>2033</v>
      </c>
      <c r="K24">
        <v>2034</v>
      </c>
      <c r="L24">
        <v>2035</v>
      </c>
      <c r="M24">
        <v>2036</v>
      </c>
      <c r="N24">
        <v>2037</v>
      </c>
      <c r="O24">
        <v>2038</v>
      </c>
      <c r="Z24" s="9"/>
    </row>
    <row r="25" spans="1:40">
      <c r="A25" t="s">
        <v>3</v>
      </c>
      <c r="B25" s="75">
        <f>'설비현황_19~25'!H25</f>
        <v>1050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Z25" s="9"/>
    </row>
    <row r="26" spans="1:40">
      <c r="A26" t="s">
        <v>17</v>
      </c>
      <c r="B26" s="75">
        <f>'설비현황_19~25'!H26</f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40">
      <c r="A27" t="s">
        <v>4</v>
      </c>
      <c r="B27" s="75">
        <f>'설비현황_19~25'!H27</f>
        <v>1332.4</v>
      </c>
      <c r="C27">
        <f>C6</f>
        <v>3548</v>
      </c>
      <c r="D27">
        <f t="shared" ref="D27:O27" si="0">D6</f>
        <v>3420</v>
      </c>
      <c r="E27">
        <f t="shared" si="0"/>
        <v>2700</v>
      </c>
      <c r="F27">
        <f t="shared" si="0"/>
        <v>2409</v>
      </c>
      <c r="G27">
        <f t="shared" si="0"/>
        <v>1000</v>
      </c>
      <c r="H27">
        <f t="shared" si="0"/>
        <v>1285</v>
      </c>
      <c r="I27">
        <f t="shared" si="0"/>
        <v>2489.39</v>
      </c>
      <c r="J27">
        <f t="shared" si="0"/>
        <v>0</v>
      </c>
      <c r="K27">
        <f t="shared" si="0"/>
        <v>1600</v>
      </c>
      <c r="L27">
        <f t="shared" si="0"/>
        <v>0</v>
      </c>
      <c r="M27">
        <f t="shared" si="0"/>
        <v>1000</v>
      </c>
      <c r="N27">
        <f t="shared" si="0"/>
        <v>0</v>
      </c>
      <c r="O27">
        <f t="shared" si="0"/>
        <v>0</v>
      </c>
    </row>
    <row r="28" spans="1:40">
      <c r="A28" t="s">
        <v>2</v>
      </c>
      <c r="B28" s="75">
        <f>'설비현황_19~25'!H28</f>
        <v>0</v>
      </c>
      <c r="C28">
        <f>C8</f>
        <v>2800</v>
      </c>
      <c r="D28">
        <f t="shared" ref="D28:O28" si="1">D8</f>
        <v>0</v>
      </c>
      <c r="E28">
        <f t="shared" si="1"/>
        <v>0</v>
      </c>
      <c r="F28">
        <f t="shared" si="1"/>
        <v>0</v>
      </c>
      <c r="G28">
        <f t="shared" si="1"/>
        <v>0</v>
      </c>
      <c r="H28">
        <f t="shared" si="1"/>
        <v>0</v>
      </c>
      <c r="I28">
        <f t="shared" si="1"/>
        <v>1400</v>
      </c>
      <c r="J28">
        <f t="shared" si="1"/>
        <v>1400</v>
      </c>
      <c r="K28">
        <f t="shared" si="1"/>
        <v>0</v>
      </c>
      <c r="L28">
        <f t="shared" si="1"/>
        <v>0</v>
      </c>
      <c r="M28">
        <f t="shared" si="1"/>
        <v>0</v>
      </c>
      <c r="N28">
        <f t="shared" si="1"/>
        <v>1400</v>
      </c>
      <c r="O28">
        <f t="shared" si="1"/>
        <v>1400</v>
      </c>
    </row>
    <row r="29" spans="1:40">
      <c r="A29" s="55" t="s">
        <v>7</v>
      </c>
      <c r="B29" s="75">
        <f>'설비현황_19~25'!H29</f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40">
      <c r="A30" s="53" t="s">
        <v>13</v>
      </c>
      <c r="B30" s="75">
        <f>'신재생에너지 설비 및 발전량 전망_24~38'!B68</f>
        <v>620.69999999999982</v>
      </c>
      <c r="C30" s="75">
        <f>'신재생에너지 설비 및 발전량 전망_24~38'!C68</f>
        <v>154.6698592950944</v>
      </c>
      <c r="D30" s="75">
        <f>'신재생에너지 설비 및 발전량 전망_24~38'!D68</f>
        <v>332.84427744175019</v>
      </c>
      <c r="E30" s="75">
        <f>'신재생에너지 설비 및 발전량 전망_24~38'!E68</f>
        <v>449.70960152142305</v>
      </c>
      <c r="F30" s="75">
        <f>'신재생에너지 설비 및 발전량 전망_24~38'!F68</f>
        <v>976.67194891796532</v>
      </c>
      <c r="G30" s="75">
        <f>'신재생에너지 설비 및 발전량 전망_24~38'!G68</f>
        <v>595.01051078475837</v>
      </c>
      <c r="H30" s="75">
        <f>'신재생에너지 설비 및 발전량 전망_24~38'!H68</f>
        <v>664.04487943910908</v>
      </c>
      <c r="I30" s="75">
        <f>'신재생에너지 설비 및 발전량 전망_24~38'!I68</f>
        <v>415.11705209985587</v>
      </c>
      <c r="J30" s="75">
        <f>'신재생에너지 설비 및 발전량 전망_24~38'!J68</f>
        <v>392.27395921118011</v>
      </c>
      <c r="K30" s="75">
        <f>'신재생에너지 설비 및 발전량 전망_24~38'!K68</f>
        <v>398.57621666583145</v>
      </c>
      <c r="L30" s="75">
        <f>'신재생에너지 설비 및 발전량 전망_24~38'!L68</f>
        <v>488.17770801325815</v>
      </c>
      <c r="M30" s="75">
        <f>'신재생에너지 설비 및 발전량 전망_24~38'!M68</f>
        <v>405.68726544899846</v>
      </c>
      <c r="N30" s="75">
        <f>'신재생에너지 설비 및 발전량 전망_24~38'!N68</f>
        <v>409.80066147219389</v>
      </c>
      <c r="O30" s="75">
        <f>'신재생에너지 설비 및 발전량 전망_24~38'!O68</f>
        <v>411.83862611988224</v>
      </c>
    </row>
    <row r="31" spans="1:40">
      <c r="A31" s="51" t="s">
        <v>12</v>
      </c>
      <c r="B31" s="75">
        <f>'신재생에너지 설비 및 발전량 전망_24~38'!B67</f>
        <v>3814</v>
      </c>
      <c r="C31" s="75">
        <f>'신재생에너지 설비 및 발전량 전망_24~38'!C67</f>
        <v>4126</v>
      </c>
      <c r="D31" s="75">
        <f>'신재생에너지 설비 및 발전량 전망_24~38'!D67</f>
        <v>4327</v>
      </c>
      <c r="E31" s="75">
        <f>'신재생에너지 설비 및 발전량 전망_24~38'!E67</f>
        <v>4405</v>
      </c>
      <c r="F31" s="75">
        <f>'신재생에너지 설비 및 발전량 전망_24~38'!F67</f>
        <v>4450</v>
      </c>
      <c r="G31" s="75">
        <f>'신재생에너지 설비 및 발전량 전망_24~38'!G67</f>
        <v>6403</v>
      </c>
      <c r="H31" s="75">
        <f>'신재생에너지 설비 및 발전량 전망_24~38'!H67</f>
        <v>3036</v>
      </c>
      <c r="I31" s="75">
        <f>'신재생에너지 설비 및 발전량 전망_24~38'!I67</f>
        <v>3028</v>
      </c>
      <c r="J31" s="75">
        <f>'신재생에너지 설비 및 발전량 전망_24~38'!J67</f>
        <v>3024</v>
      </c>
      <c r="K31" s="75">
        <f>'신재생에너지 설비 및 발전량 전망_24~38'!K67</f>
        <v>3021</v>
      </c>
      <c r="L31" s="75">
        <f>'신재생에너지 설비 및 발전량 전망_24~38'!L67</f>
        <v>3027</v>
      </c>
      <c r="M31" s="75">
        <f>'신재생에너지 설비 및 발전량 전망_24~38'!M67</f>
        <v>2130</v>
      </c>
      <c r="N31" s="75">
        <f>'신재생에너지 설비 및 발전량 전망_24~38'!N67</f>
        <v>2131</v>
      </c>
      <c r="O31" s="75">
        <f>'신재생에너지 설비 및 발전량 전망_24~38'!O67</f>
        <v>2131</v>
      </c>
    </row>
    <row r="32" spans="1:40">
      <c r="A32" t="s">
        <v>18</v>
      </c>
      <c r="B32" s="75">
        <f>'설비현황_19~25'!H32</f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s="26" t="s">
        <v>15</v>
      </c>
      <c r="B33" s="75">
        <f>'설비현황_19~25'!H33</f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19</v>
      </c>
      <c r="B34" s="75">
        <f>'설비현황_19~25'!H34</f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20</v>
      </c>
      <c r="B35" s="75">
        <f>'설비현황_19~25'!H35</f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21</v>
      </c>
      <c r="B36" s="75">
        <f>'설비현황_19~25'!H36</f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22</v>
      </c>
      <c r="B37" s="75">
        <f>'설비현황_19~25'!H37</f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s="53" t="s">
        <v>14</v>
      </c>
      <c r="B38" s="75">
        <f>'신재생에너지 설비 및 발전량 전망_24~38'!B69</f>
        <v>103.30000000000001</v>
      </c>
      <c r="C38" s="75">
        <f>'신재생에너지 설비 및 발전량 전망_24~38'!C69</f>
        <v>786.3301407049056</v>
      </c>
      <c r="D38" s="75">
        <f>'신재생에너지 설비 및 발전량 전망_24~38'!D69</f>
        <v>1692.1557225582499</v>
      </c>
      <c r="E38" s="75">
        <f>'신재생에너지 설비 및 발전량 전망_24~38'!E69</f>
        <v>2286.2903984785771</v>
      </c>
      <c r="F38" s="75">
        <f>'신재생에너지 설비 및 발전량 전망_24~38'!F69</f>
        <v>4965.328051082035</v>
      </c>
      <c r="G38" s="75">
        <f>'신재생에너지 설비 및 발전량 전망_24~38'!G69</f>
        <v>3024.9894892152415</v>
      </c>
      <c r="H38" s="75">
        <f>'신재생에너지 설비 및 발전량 전망_24~38'!H69</f>
        <v>3375.9551205608909</v>
      </c>
      <c r="I38" s="75">
        <f>'신재생에너지 설비 및 발전량 전망_24~38'!I69</f>
        <v>2131.8829479001442</v>
      </c>
      <c r="J38" s="75">
        <f>'신재생에너지 설비 및 발전량 전망_24~38'!J69</f>
        <v>2158.7260407888198</v>
      </c>
      <c r="K38" s="75">
        <f>'신재생에너지 설비 및 발전량 전망_24~38'!K69</f>
        <v>2155.4237833341685</v>
      </c>
      <c r="L38" s="75">
        <f>'신재생에너지 설비 및 발전량 전망_24~38'!L69</f>
        <v>2510.8222919867421</v>
      </c>
      <c r="M38" s="75">
        <f>'신재생에너지 설비 및 발전량 전망_24~38'!M69</f>
        <v>2154.3127345510015</v>
      </c>
      <c r="N38" s="75">
        <f>'신재생에너지 설비 및 발전량 전망_24~38'!N69</f>
        <v>2159.199338527806</v>
      </c>
      <c r="O38" s="75">
        <f>'신재생에너지 설비 및 발전량 전망_24~38'!O69</f>
        <v>2158.1613738801179</v>
      </c>
    </row>
    <row r="39" spans="1:15">
      <c r="A39" t="s">
        <v>9</v>
      </c>
      <c r="B39" s="75">
        <f>'설비현황_19~25'!H39</f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23</v>
      </c>
      <c r="B40" s="75">
        <f>'설비현황_19~25'!H40</f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24</v>
      </c>
      <c r="B41" s="75">
        <f>'설비현황_19~25'!H41</f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25</v>
      </c>
      <c r="B42" s="75">
        <f>'설비현황_19~25'!H42</f>
        <v>0</v>
      </c>
      <c r="C42">
        <f>C4</f>
        <v>0</v>
      </c>
      <c r="D42">
        <f t="shared" ref="D42:O42" si="2">D4</f>
        <v>0</v>
      </c>
      <c r="E42">
        <f t="shared" si="2"/>
        <v>0</v>
      </c>
      <c r="F42">
        <f t="shared" si="2"/>
        <v>0</v>
      </c>
      <c r="G42">
        <f t="shared" si="2"/>
        <v>0</v>
      </c>
      <c r="H42">
        <f t="shared" si="2"/>
        <v>0</v>
      </c>
      <c r="I42">
        <f t="shared" si="2"/>
        <v>0</v>
      </c>
      <c r="J42">
        <f t="shared" si="2"/>
        <v>0</v>
      </c>
      <c r="K42">
        <f t="shared" si="2"/>
        <v>0</v>
      </c>
      <c r="L42">
        <f t="shared" si="2"/>
        <v>0</v>
      </c>
      <c r="M42">
        <f t="shared" si="2"/>
        <v>0</v>
      </c>
      <c r="N42">
        <f t="shared" si="2"/>
        <v>0</v>
      </c>
      <c r="O42">
        <f t="shared" si="2"/>
        <v>1370</v>
      </c>
    </row>
    <row r="43" spans="1:15">
      <c r="A43" t="s">
        <v>26</v>
      </c>
      <c r="B43" s="75">
        <f>'설비현황_19~25'!H43</f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27</v>
      </c>
      <c r="B44" s="75">
        <f>'설비현황_19~25'!H44</f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28</v>
      </c>
      <c r="B45" s="75">
        <f>'설비현황_19~25'!H45</f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8</v>
      </c>
      <c r="B46" s="75">
        <f>'설비현황_19~25'!H46</f>
        <v>0</v>
      </c>
      <c r="C46">
        <f>C9</f>
        <v>0</v>
      </c>
      <c r="D46">
        <f t="shared" ref="D46:O46" si="3">D9</f>
        <v>0</v>
      </c>
      <c r="E46">
        <f t="shared" si="3"/>
        <v>0</v>
      </c>
      <c r="F46">
        <f t="shared" si="3"/>
        <v>0</v>
      </c>
      <c r="G46">
        <f t="shared" si="3"/>
        <v>0</v>
      </c>
      <c r="H46">
        <f t="shared" si="3"/>
        <v>0</v>
      </c>
      <c r="I46">
        <f t="shared" si="3"/>
        <v>0</v>
      </c>
      <c r="J46">
        <f t="shared" si="3"/>
        <v>0</v>
      </c>
      <c r="K46">
        <f t="shared" si="3"/>
        <v>350</v>
      </c>
      <c r="L46">
        <f t="shared" si="3"/>
        <v>350</v>
      </c>
      <c r="M46">
        <f t="shared" si="3"/>
        <v>0</v>
      </c>
      <c r="N46">
        <f t="shared" si="3"/>
        <v>0</v>
      </c>
      <c r="O46">
        <f t="shared" si="3"/>
        <v>0</v>
      </c>
    </row>
    <row r="47" spans="1:15">
      <c r="A47" t="s">
        <v>78</v>
      </c>
      <c r="B47" s="75">
        <f>'설비현황_19~25'!H47</f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 s="75">
        <f>'설비현황_19~25'!H48</f>
        <v>0</v>
      </c>
      <c r="C48">
        <f t="shared" ref="C48:O48" si="4">C5+C7</f>
        <v>0</v>
      </c>
      <c r="D48">
        <f t="shared" si="4"/>
        <v>0</v>
      </c>
      <c r="E48">
        <f t="shared" si="4"/>
        <v>0</v>
      </c>
      <c r="F48">
        <f t="shared" si="4"/>
        <v>0</v>
      </c>
      <c r="G48">
        <f t="shared" si="4"/>
        <v>0</v>
      </c>
      <c r="H48">
        <f t="shared" si="4"/>
        <v>0</v>
      </c>
      <c r="I48">
        <f t="shared" si="4"/>
        <v>0</v>
      </c>
      <c r="J48">
        <f t="shared" si="4"/>
        <v>0</v>
      </c>
      <c r="K48">
        <f t="shared" si="4"/>
        <v>0</v>
      </c>
      <c r="L48">
        <f t="shared" si="4"/>
        <v>0</v>
      </c>
      <c r="M48">
        <f t="shared" si="4"/>
        <v>0</v>
      </c>
      <c r="N48">
        <f t="shared" si="4"/>
        <v>1870</v>
      </c>
      <c r="O48">
        <f t="shared" si="4"/>
        <v>1550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2F56-4C18-49EB-8736-B3A38598D87E}">
  <sheetPr>
    <tabColor theme="3"/>
  </sheetPr>
  <dimension ref="A1:AG25"/>
  <sheetViews>
    <sheetView zoomScale="87" zoomScaleNormal="85" workbookViewId="0">
      <selection activeCell="H30" sqref="H30"/>
    </sheetView>
  </sheetViews>
  <sheetFormatPr defaultRowHeight="14.5"/>
  <cols>
    <col min="1" max="1" width="31.08984375" bestFit="1" customWidth="1"/>
    <col min="2" max="2" width="13.26953125" customWidth="1"/>
    <col min="3" max="3" width="8.26953125" customWidth="1"/>
    <col min="10" max="10" width="9.6328125" bestFit="1" customWidth="1"/>
  </cols>
  <sheetData>
    <row r="1" spans="1:33">
      <c r="A1" t="s">
        <v>16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3</v>
      </c>
      <c r="B2" s="75">
        <f>'설비현황_19~25'!B25</f>
        <v>0</v>
      </c>
      <c r="C2" s="75">
        <f>'설비현황_19~25'!C25</f>
        <v>0</v>
      </c>
      <c r="D2" s="75">
        <f>'설비현황_19~25'!D25</f>
        <v>3098</v>
      </c>
      <c r="E2" s="75">
        <f>'설비현황_19~25'!E25</f>
        <v>2080</v>
      </c>
      <c r="F2" s="75">
        <f>'설비현황_19~25'!F25</f>
        <v>0</v>
      </c>
      <c r="G2" s="75">
        <f>'설비현황_19~25'!G25</f>
        <v>1050</v>
      </c>
      <c r="H2" s="75">
        <f>'설비현황_19~25'!H25</f>
        <v>1050</v>
      </c>
      <c r="I2" s="75">
        <f>'건설계획표_26~38'!C25</f>
        <v>0</v>
      </c>
      <c r="J2" s="75">
        <f>'건설계획표_26~38'!D25</f>
        <v>0</v>
      </c>
      <c r="K2" s="75">
        <f>'건설계획표_26~38'!E25</f>
        <v>0</v>
      </c>
      <c r="L2" s="75">
        <f>'건설계획표_26~38'!F25</f>
        <v>0</v>
      </c>
      <c r="M2" s="75">
        <f>'건설계획표_26~38'!G25</f>
        <v>0</v>
      </c>
      <c r="N2" s="75">
        <f>'건설계획표_26~38'!H25</f>
        <v>0</v>
      </c>
      <c r="O2" s="75">
        <f>'건설계획표_26~38'!I25</f>
        <v>0</v>
      </c>
      <c r="P2" s="75">
        <f>'건설계획표_26~38'!J25</f>
        <v>0</v>
      </c>
      <c r="Q2" s="75">
        <f>'건설계획표_26~38'!K25</f>
        <v>0</v>
      </c>
      <c r="R2" s="75">
        <f>'건설계획표_26~38'!L25</f>
        <v>0</v>
      </c>
      <c r="S2" s="75">
        <f>'건설계획표_26~38'!M25</f>
        <v>0</v>
      </c>
      <c r="T2" s="75">
        <f>'건설계획표_26~38'!N25</f>
        <v>0</v>
      </c>
      <c r="U2" s="75">
        <f>'건설계획표_26~38'!O25</f>
        <v>0</v>
      </c>
      <c r="V2" s="75">
        <f>'건설계획표_26~38'!P25</f>
        <v>0</v>
      </c>
      <c r="W2" s="75">
        <f>'건설계획표_26~38'!Q25</f>
        <v>0</v>
      </c>
      <c r="X2" s="75">
        <f>'건설계획표_26~38'!R25</f>
        <v>0</v>
      </c>
      <c r="Y2" s="75">
        <f>'건설계획표_26~38'!S25</f>
        <v>0</v>
      </c>
      <c r="Z2" s="75">
        <f>'건설계획표_26~38'!T25</f>
        <v>0</v>
      </c>
      <c r="AA2" s="75">
        <f>'건설계획표_26~38'!U25</f>
        <v>0</v>
      </c>
      <c r="AB2" s="75">
        <f>'건설계획표_26~38'!V25</f>
        <v>0</v>
      </c>
      <c r="AC2" s="75">
        <f>'건설계획표_26~38'!W25</f>
        <v>0</v>
      </c>
      <c r="AD2" s="75">
        <f>'건설계획표_26~38'!X25</f>
        <v>0</v>
      </c>
      <c r="AE2" s="75">
        <f>'건설계획표_26~38'!Y25</f>
        <v>0</v>
      </c>
      <c r="AF2" s="75">
        <f>'건설계획표_26~38'!Z25</f>
        <v>0</v>
      </c>
      <c r="AG2" s="75">
        <f>'건설계획표_26~38'!AA25</f>
        <v>0</v>
      </c>
    </row>
    <row r="3" spans="1:33">
      <c r="A3" t="s">
        <v>17</v>
      </c>
      <c r="B3" s="75">
        <f>'설비현황_19~25'!B26</f>
        <v>0</v>
      </c>
      <c r="C3" s="75">
        <f>'설비현황_19~25'!C26</f>
        <v>0</v>
      </c>
      <c r="D3" s="75">
        <f>'설비현황_19~25'!D26</f>
        <v>0</v>
      </c>
      <c r="E3" s="75">
        <f>'설비현황_19~25'!E26</f>
        <v>0</v>
      </c>
      <c r="F3" s="75">
        <f>'설비현황_19~25'!F26</f>
        <v>0</v>
      </c>
      <c r="G3" s="75">
        <f>'설비현황_19~25'!G26</f>
        <v>0</v>
      </c>
      <c r="H3" s="75">
        <f>'설비현황_19~25'!H26</f>
        <v>0</v>
      </c>
      <c r="I3" s="75">
        <f>'건설계획표_26~38'!C26</f>
        <v>0</v>
      </c>
      <c r="J3" s="75">
        <f>'건설계획표_26~38'!D26</f>
        <v>0</v>
      </c>
      <c r="K3" s="75">
        <f>'건설계획표_26~38'!E26</f>
        <v>0</v>
      </c>
      <c r="L3" s="75">
        <f>'건설계획표_26~38'!F26</f>
        <v>0</v>
      </c>
      <c r="M3" s="75">
        <f>'건설계획표_26~38'!G26</f>
        <v>0</v>
      </c>
      <c r="N3" s="75">
        <f>'건설계획표_26~38'!H26</f>
        <v>0</v>
      </c>
      <c r="O3" s="75">
        <f>'건설계획표_26~38'!I26</f>
        <v>0</v>
      </c>
      <c r="P3" s="75">
        <f>'건설계획표_26~38'!J26</f>
        <v>0</v>
      </c>
      <c r="Q3" s="75">
        <f>'건설계획표_26~38'!K26</f>
        <v>0</v>
      </c>
      <c r="R3" s="75">
        <f>'건설계획표_26~38'!L26</f>
        <v>0</v>
      </c>
      <c r="S3" s="75">
        <f>'건설계획표_26~38'!M26</f>
        <v>0</v>
      </c>
      <c r="T3" s="75">
        <f>'건설계획표_26~38'!N26</f>
        <v>0</v>
      </c>
      <c r="U3" s="75">
        <f>'건설계획표_26~38'!O26</f>
        <v>0</v>
      </c>
      <c r="V3" s="75">
        <f>'건설계획표_26~38'!P26</f>
        <v>0</v>
      </c>
      <c r="W3" s="75">
        <f>'건설계획표_26~38'!Q26</f>
        <v>0</v>
      </c>
      <c r="X3" s="75">
        <f>'건설계획표_26~38'!R26</f>
        <v>0</v>
      </c>
      <c r="Y3" s="75">
        <f>'건설계획표_26~38'!S26</f>
        <v>0</v>
      </c>
      <c r="Z3" s="75">
        <f>'건설계획표_26~38'!T26</f>
        <v>0</v>
      </c>
      <c r="AA3" s="75">
        <f>'건설계획표_26~38'!U26</f>
        <v>0</v>
      </c>
      <c r="AB3" s="75">
        <f>'건설계획표_26~38'!V26</f>
        <v>0</v>
      </c>
      <c r="AC3" s="75">
        <f>'건설계획표_26~38'!W26</f>
        <v>0</v>
      </c>
      <c r="AD3" s="75">
        <f>'건설계획표_26~38'!X26</f>
        <v>0</v>
      </c>
      <c r="AE3" s="75">
        <f>'건설계획표_26~38'!Y26</f>
        <v>0</v>
      </c>
      <c r="AF3" s="75">
        <f>'건설계획표_26~38'!Z26</f>
        <v>0</v>
      </c>
      <c r="AG3" s="75">
        <f>'건설계획표_26~38'!AA26</f>
        <v>0</v>
      </c>
    </row>
    <row r="4" spans="1:33">
      <c r="A4" t="s">
        <v>4</v>
      </c>
      <c r="B4" s="75">
        <f>'설비현황_19~25'!B27</f>
        <v>1601.646</v>
      </c>
      <c r="C4" s="75">
        <f>'설비현황_19~25'!C27</f>
        <v>158.79599999999999</v>
      </c>
      <c r="D4" s="75">
        <f>'설비현황_19~25'!D27</f>
        <v>481.69</v>
      </c>
      <c r="E4" s="75">
        <f>'설비현황_19~25'!E27</f>
        <v>0</v>
      </c>
      <c r="F4" s="75">
        <f>'설비현황_19~25'!F27</f>
        <v>1989.8320000000001</v>
      </c>
      <c r="G4" s="75">
        <f>'설비현황_19~25'!G27</f>
        <v>2983.7709999999997</v>
      </c>
      <c r="H4" s="75">
        <f>'설비현황_19~25'!H27</f>
        <v>1332.4</v>
      </c>
      <c r="I4" s="75">
        <f>'건설계획표_26~38'!C27</f>
        <v>3548</v>
      </c>
      <c r="J4" s="75">
        <f>'건설계획표_26~38'!D27</f>
        <v>3420</v>
      </c>
      <c r="K4" s="75">
        <f>'건설계획표_26~38'!E27</f>
        <v>2700</v>
      </c>
      <c r="L4" s="75">
        <f>'건설계획표_26~38'!F27</f>
        <v>2409</v>
      </c>
      <c r="M4" s="75">
        <f>'건설계획표_26~38'!G27</f>
        <v>1000</v>
      </c>
      <c r="N4" s="75">
        <f>'건설계획표_26~38'!H27</f>
        <v>1285</v>
      </c>
      <c r="O4" s="75">
        <f>'건설계획표_26~38'!I27</f>
        <v>2489.39</v>
      </c>
      <c r="P4" s="75">
        <f>'건설계획표_26~38'!J27</f>
        <v>0</v>
      </c>
      <c r="Q4" s="75">
        <f>'건설계획표_26~38'!K27</f>
        <v>1600</v>
      </c>
      <c r="R4" s="75">
        <f>'건설계획표_26~38'!L27</f>
        <v>0</v>
      </c>
      <c r="S4" s="75">
        <f>'건설계획표_26~38'!M27</f>
        <v>1000</v>
      </c>
      <c r="T4" s="75">
        <f>'건설계획표_26~38'!N27</f>
        <v>0</v>
      </c>
      <c r="U4" s="75">
        <f>'건설계획표_26~38'!O27</f>
        <v>0</v>
      </c>
      <c r="V4" s="75">
        <f>'건설계획표_26~38'!P27</f>
        <v>0</v>
      </c>
      <c r="W4" s="75">
        <f>'건설계획표_26~38'!Q27</f>
        <v>0</v>
      </c>
      <c r="X4" s="75">
        <f>'건설계획표_26~38'!R27</f>
        <v>0</v>
      </c>
      <c r="Y4" s="75">
        <f>'건설계획표_26~38'!S27</f>
        <v>0</v>
      </c>
      <c r="Z4" s="75">
        <f>'건설계획표_26~38'!T27</f>
        <v>0</v>
      </c>
      <c r="AA4" s="75">
        <f>'건설계획표_26~38'!U27</f>
        <v>0</v>
      </c>
      <c r="AB4" s="75">
        <f>'건설계획표_26~38'!V27</f>
        <v>0</v>
      </c>
      <c r="AC4" s="75">
        <f>'건설계획표_26~38'!W27</f>
        <v>0</v>
      </c>
      <c r="AD4" s="75">
        <f>'건설계획표_26~38'!X27</f>
        <v>0</v>
      </c>
      <c r="AE4" s="75">
        <f>'건설계획표_26~38'!Y27</f>
        <v>0</v>
      </c>
      <c r="AF4" s="75">
        <f>'건설계획표_26~38'!Z27</f>
        <v>0</v>
      </c>
      <c r="AG4" s="75">
        <f>'건설계획표_26~38'!AA27</f>
        <v>0</v>
      </c>
    </row>
    <row r="5" spans="1:33">
      <c r="A5" t="s">
        <v>2</v>
      </c>
      <c r="B5" s="75">
        <v>0</v>
      </c>
      <c r="C5" s="75">
        <f>'설비현황_19~25'!C28</f>
        <v>0</v>
      </c>
      <c r="D5" s="75">
        <f>'설비현황_19~25'!D28</f>
        <v>0</v>
      </c>
      <c r="E5" s="75">
        <f>'설비현황_19~25'!E28</f>
        <v>1400</v>
      </c>
      <c r="F5" s="75">
        <f>'설비현황_19~25'!F28</f>
        <v>0</v>
      </c>
      <c r="G5" s="75">
        <f>'설비현황_19~25'!G28</f>
        <v>1400</v>
      </c>
      <c r="H5" s="75">
        <f>'설비현황_19~25'!H28</f>
        <v>0</v>
      </c>
      <c r="I5" s="75">
        <f>'건설계획표_26~38'!C28</f>
        <v>2800</v>
      </c>
      <c r="J5" s="75">
        <f>'건설계획표_26~38'!D28</f>
        <v>0</v>
      </c>
      <c r="K5" s="75">
        <f>'건설계획표_26~38'!E28</f>
        <v>0</v>
      </c>
      <c r="L5" s="75">
        <f>'건설계획표_26~38'!F28</f>
        <v>0</v>
      </c>
      <c r="M5" s="75">
        <f>'건설계획표_26~38'!G28</f>
        <v>0</v>
      </c>
      <c r="N5" s="75">
        <f>'건설계획표_26~38'!H28</f>
        <v>0</v>
      </c>
      <c r="O5" s="75">
        <f>'건설계획표_26~38'!I28</f>
        <v>1400</v>
      </c>
      <c r="P5" s="75">
        <f>'건설계획표_26~38'!J28</f>
        <v>1400</v>
      </c>
      <c r="Q5" s="75">
        <f>'건설계획표_26~38'!K28</f>
        <v>0</v>
      </c>
      <c r="R5" s="75">
        <f>'건설계획표_26~38'!L28</f>
        <v>0</v>
      </c>
      <c r="S5" s="75">
        <f>'건설계획표_26~38'!M28</f>
        <v>0</v>
      </c>
      <c r="T5" s="75">
        <f>'건설계획표_26~38'!N28</f>
        <v>1400</v>
      </c>
      <c r="U5" s="75">
        <f>'건설계획표_26~38'!O28</f>
        <v>1400</v>
      </c>
      <c r="V5" s="75">
        <f>'건설계획표_26~38'!P28</f>
        <v>0</v>
      </c>
      <c r="W5" s="75">
        <f>'건설계획표_26~38'!Q28</f>
        <v>0</v>
      </c>
      <c r="X5" s="75">
        <f>'건설계획표_26~38'!R28</f>
        <v>0</v>
      </c>
      <c r="Y5" s="75">
        <f>'건설계획표_26~38'!S28</f>
        <v>0</v>
      </c>
      <c r="Z5" s="75">
        <f>'건설계획표_26~38'!T28</f>
        <v>0</v>
      </c>
      <c r="AA5" s="75">
        <f>'건설계획표_26~38'!U28</f>
        <v>0</v>
      </c>
      <c r="AB5" s="75">
        <f>'건설계획표_26~38'!V28</f>
        <v>0</v>
      </c>
      <c r="AC5" s="75">
        <f>'건설계획표_26~38'!W28</f>
        <v>0</v>
      </c>
      <c r="AD5" s="75">
        <f>'건설계획표_26~38'!X28</f>
        <v>0</v>
      </c>
      <c r="AE5" s="75">
        <f>'건설계획표_26~38'!Y28</f>
        <v>0</v>
      </c>
      <c r="AF5" s="75">
        <f>'건설계획표_26~38'!Z28</f>
        <v>0</v>
      </c>
      <c r="AG5" s="75">
        <f>'건설계획표_26~38'!AA28</f>
        <v>0</v>
      </c>
    </row>
    <row r="6" spans="1:33">
      <c r="A6" t="s">
        <v>7</v>
      </c>
      <c r="B6" s="75">
        <f>'설비현황_19~25'!B29</f>
        <v>0</v>
      </c>
      <c r="C6" s="75">
        <f>'설비현황_19~25'!C29</f>
        <v>0</v>
      </c>
      <c r="D6" s="75">
        <f>'설비현황_19~25'!D29</f>
        <v>0</v>
      </c>
      <c r="E6" s="75">
        <f>'설비현황_19~25'!E29</f>
        <v>0</v>
      </c>
      <c r="F6" s="75">
        <f>'설비현황_19~25'!F29</f>
        <v>0</v>
      </c>
      <c r="G6" s="75">
        <f>'설비현황_19~25'!G29</f>
        <v>0</v>
      </c>
      <c r="H6" s="75">
        <f>'설비현황_19~25'!H29</f>
        <v>0</v>
      </c>
      <c r="I6" s="75">
        <f>'건설계획표_26~38'!C29</f>
        <v>0</v>
      </c>
      <c r="J6" s="75">
        <f>'건설계획표_26~38'!D29</f>
        <v>0</v>
      </c>
      <c r="K6" s="75">
        <f>'건설계획표_26~38'!E29</f>
        <v>0</v>
      </c>
      <c r="L6" s="75">
        <f>'건설계획표_26~38'!F29</f>
        <v>0</v>
      </c>
      <c r="M6" s="75">
        <f>'건설계획표_26~38'!G29</f>
        <v>0</v>
      </c>
      <c r="N6" s="75">
        <f>'건설계획표_26~38'!H29</f>
        <v>0</v>
      </c>
      <c r="O6" s="75">
        <f>'건설계획표_26~38'!I29</f>
        <v>0</v>
      </c>
      <c r="P6" s="75">
        <f>'건설계획표_26~38'!J29</f>
        <v>0</v>
      </c>
      <c r="Q6" s="75">
        <f>'건설계획표_26~38'!K29</f>
        <v>0</v>
      </c>
      <c r="R6" s="75">
        <f>'건설계획표_26~38'!L29</f>
        <v>0</v>
      </c>
      <c r="S6" s="75">
        <f>'건설계획표_26~38'!M29</f>
        <v>0</v>
      </c>
      <c r="T6" s="75">
        <f>'건설계획표_26~38'!N29</f>
        <v>0</v>
      </c>
      <c r="U6" s="75">
        <f>'건설계획표_26~38'!O29</f>
        <v>0</v>
      </c>
      <c r="V6" s="75">
        <f>'건설계획표_26~38'!P29</f>
        <v>0</v>
      </c>
      <c r="W6" s="75">
        <f>'건설계획표_26~38'!Q29</f>
        <v>0</v>
      </c>
      <c r="X6" s="75">
        <f>'건설계획표_26~38'!R29</f>
        <v>0</v>
      </c>
      <c r="Y6" s="75">
        <f>'건설계획표_26~38'!S29</f>
        <v>0</v>
      </c>
      <c r="Z6" s="75">
        <f>'건설계획표_26~38'!T29</f>
        <v>0</v>
      </c>
      <c r="AA6" s="75">
        <f>'건설계획표_26~38'!U29</f>
        <v>0</v>
      </c>
      <c r="AB6" s="75">
        <f>'건설계획표_26~38'!V29</f>
        <v>0</v>
      </c>
      <c r="AC6" s="75">
        <f>'건설계획표_26~38'!W29</f>
        <v>0</v>
      </c>
      <c r="AD6" s="75">
        <f>'건설계획표_26~38'!X29</f>
        <v>0</v>
      </c>
      <c r="AE6" s="75">
        <f>'건설계획표_26~38'!Y29</f>
        <v>0</v>
      </c>
      <c r="AF6" s="75">
        <f>'건설계획표_26~38'!Z29</f>
        <v>0</v>
      </c>
      <c r="AG6" s="75">
        <f>'건설계획표_26~38'!AA29</f>
        <v>0</v>
      </c>
    </row>
    <row r="7" spans="1:33">
      <c r="A7" t="s">
        <v>13</v>
      </c>
      <c r="B7" s="75">
        <f>'설비현황_19~25'!B30</f>
        <v>0</v>
      </c>
      <c r="C7" s="75">
        <f>'설비현황_19~25'!C30</f>
        <v>91.399999999999864</v>
      </c>
      <c r="D7" s="75">
        <f>'설비현황_19~25'!D30</f>
        <v>63.600000000000136</v>
      </c>
      <c r="E7" s="75">
        <f>'설비현황_19~25'!E30</f>
        <v>98.25</v>
      </c>
      <c r="F7" s="75">
        <f>'설비현황_19~25'!F30</f>
        <v>0</v>
      </c>
      <c r="G7" s="75">
        <f>'설비현황_19~25'!G30</f>
        <v>353.20000000000005</v>
      </c>
      <c r="H7" s="75">
        <f>'설비현황_19~25'!H30</f>
        <v>620.69999999999982</v>
      </c>
      <c r="I7" s="75">
        <f>'건설계획표_26~38'!C30</f>
        <v>154.6698592950944</v>
      </c>
      <c r="J7" s="75">
        <f>'건설계획표_26~38'!D30</f>
        <v>332.84427744175019</v>
      </c>
      <c r="K7" s="75">
        <f>'건설계획표_26~38'!E30</f>
        <v>449.70960152142305</v>
      </c>
      <c r="L7" s="75">
        <f>'건설계획표_26~38'!F30</f>
        <v>976.67194891796532</v>
      </c>
      <c r="M7" s="75">
        <f>'건설계획표_26~38'!G30</f>
        <v>595.01051078475837</v>
      </c>
      <c r="N7" s="75">
        <f>'건설계획표_26~38'!H30</f>
        <v>664.04487943910908</v>
      </c>
      <c r="O7" s="75">
        <f>'건설계획표_26~38'!I30</f>
        <v>415.11705209985587</v>
      </c>
      <c r="P7" s="75">
        <f>'건설계획표_26~38'!J30</f>
        <v>392.27395921118011</v>
      </c>
      <c r="Q7" s="75">
        <f>'건설계획표_26~38'!K30</f>
        <v>398.57621666583145</v>
      </c>
      <c r="R7" s="75">
        <f>'건설계획표_26~38'!L30</f>
        <v>488.17770801325815</v>
      </c>
      <c r="S7" s="75">
        <f>'건설계획표_26~38'!M30</f>
        <v>405.68726544899846</v>
      </c>
      <c r="T7" s="75">
        <f>'건설계획표_26~38'!N30</f>
        <v>409.80066147219389</v>
      </c>
      <c r="U7" s="75">
        <f>'건설계획표_26~38'!O30</f>
        <v>411.83862611988224</v>
      </c>
      <c r="V7" s="75">
        <f>'건설계획표_26~38'!P30</f>
        <v>0</v>
      </c>
      <c r="W7" s="75">
        <f>'건설계획표_26~38'!Q30</f>
        <v>0</v>
      </c>
      <c r="X7" s="75">
        <f>'건설계획표_26~38'!R30</f>
        <v>0</v>
      </c>
      <c r="Y7" s="75">
        <f>'건설계획표_26~38'!S30</f>
        <v>0</v>
      </c>
      <c r="Z7" s="75">
        <f>'건설계획표_26~38'!T30</f>
        <v>0</v>
      </c>
      <c r="AA7" s="75">
        <f>'건설계획표_26~38'!U30</f>
        <v>0</v>
      </c>
      <c r="AB7" s="75">
        <f>'건설계획표_26~38'!V30</f>
        <v>0</v>
      </c>
      <c r="AC7" s="75">
        <f>'건설계획표_26~38'!W30</f>
        <v>0</v>
      </c>
      <c r="AD7" s="75">
        <f>'건설계획표_26~38'!X30</f>
        <v>0</v>
      </c>
      <c r="AE7" s="75">
        <f>'건설계획표_26~38'!Y30</f>
        <v>0</v>
      </c>
      <c r="AF7" s="75">
        <f>'건설계획표_26~38'!Z30</f>
        <v>0</v>
      </c>
      <c r="AG7" s="75">
        <f>'건설계획표_26~38'!AA30</f>
        <v>0</v>
      </c>
    </row>
    <row r="8" spans="1:33">
      <c r="A8" t="s">
        <v>12</v>
      </c>
      <c r="B8" s="75">
        <f>'설비현황_19~25'!B31</f>
        <v>0</v>
      </c>
      <c r="C8" s="75">
        <f>'설비현황_19~25'!C31</f>
        <v>4237.8089999999993</v>
      </c>
      <c r="D8" s="75">
        <f>'설비현황_19~25'!D31</f>
        <v>3427.4629999999997</v>
      </c>
      <c r="E8" s="75">
        <f>'설비현황_19~25'!E31</f>
        <v>2712.8480000000018</v>
      </c>
      <c r="F8" s="75">
        <f>'설비현황_19~25'!F31</f>
        <v>3134.84</v>
      </c>
      <c r="G8" s="75">
        <f>'설비현황_19~25'!G31</f>
        <v>3196.2259999999987</v>
      </c>
      <c r="H8" s="75">
        <f>'설비현황_19~25'!H31</f>
        <v>3814</v>
      </c>
      <c r="I8" s="75">
        <f>'건설계획표_26~38'!C31</f>
        <v>4126</v>
      </c>
      <c r="J8" s="75">
        <f>'건설계획표_26~38'!D31</f>
        <v>4327</v>
      </c>
      <c r="K8" s="75">
        <f>'건설계획표_26~38'!E31</f>
        <v>4405</v>
      </c>
      <c r="L8" s="75">
        <f>'건설계획표_26~38'!F31</f>
        <v>4450</v>
      </c>
      <c r="M8" s="75">
        <f>'건설계획표_26~38'!G31</f>
        <v>6403</v>
      </c>
      <c r="N8" s="75">
        <f>'건설계획표_26~38'!H31</f>
        <v>3036</v>
      </c>
      <c r="O8" s="75">
        <f>'건설계획표_26~38'!I31</f>
        <v>3028</v>
      </c>
      <c r="P8" s="75">
        <f>'건설계획표_26~38'!J31</f>
        <v>3024</v>
      </c>
      <c r="Q8" s="75">
        <f>'건설계획표_26~38'!K31</f>
        <v>3021</v>
      </c>
      <c r="R8" s="75">
        <f>'건설계획표_26~38'!L31</f>
        <v>3027</v>
      </c>
      <c r="S8" s="75">
        <f>'건설계획표_26~38'!M31</f>
        <v>2130</v>
      </c>
      <c r="T8" s="75">
        <f>'건설계획표_26~38'!N31</f>
        <v>2131</v>
      </c>
      <c r="U8" s="75">
        <f>'건설계획표_26~38'!O31</f>
        <v>2131</v>
      </c>
      <c r="V8" s="75">
        <f>'건설계획표_26~38'!P31</f>
        <v>0</v>
      </c>
      <c r="W8" s="75">
        <f>'건설계획표_26~38'!Q31</f>
        <v>0</v>
      </c>
      <c r="X8" s="75">
        <f>'건설계획표_26~38'!R31</f>
        <v>0</v>
      </c>
      <c r="Y8" s="75">
        <f>'건설계획표_26~38'!S31</f>
        <v>0</v>
      </c>
      <c r="Z8" s="75">
        <f>'건설계획표_26~38'!T31</f>
        <v>0</v>
      </c>
      <c r="AA8" s="75">
        <f>'건설계획표_26~38'!U31</f>
        <v>0</v>
      </c>
      <c r="AB8" s="75">
        <f>'건설계획표_26~38'!V31</f>
        <v>0</v>
      </c>
      <c r="AC8" s="75">
        <f>'건설계획표_26~38'!W31</f>
        <v>0</v>
      </c>
      <c r="AD8" s="75">
        <f>'건설계획표_26~38'!X31</f>
        <v>0</v>
      </c>
      <c r="AE8" s="75">
        <f>'건설계획표_26~38'!Y31</f>
        <v>0</v>
      </c>
      <c r="AF8" s="75">
        <f>'건설계획표_26~38'!Z31</f>
        <v>0</v>
      </c>
      <c r="AG8" s="75">
        <f>'건설계획표_26~38'!AA31</f>
        <v>0</v>
      </c>
    </row>
    <row r="9" spans="1:33">
      <c r="A9" t="s">
        <v>18</v>
      </c>
      <c r="B9" s="75">
        <f>'설비현황_19~25'!B32</f>
        <v>0</v>
      </c>
      <c r="C9" s="75">
        <f>'설비현황_19~25'!C32</f>
        <v>0</v>
      </c>
      <c r="D9" s="75">
        <f>'설비현황_19~25'!D32</f>
        <v>0</v>
      </c>
      <c r="E9" s="75">
        <f>'설비현황_19~25'!E32</f>
        <v>0</v>
      </c>
      <c r="F9" s="75">
        <f>'설비현황_19~25'!F32</f>
        <v>0</v>
      </c>
      <c r="G9" s="75">
        <f>'설비현황_19~25'!G32</f>
        <v>0</v>
      </c>
      <c r="H9" s="75">
        <f>'설비현황_19~25'!H32</f>
        <v>0</v>
      </c>
      <c r="I9" s="75">
        <f>'건설계획표_26~38'!C32</f>
        <v>0</v>
      </c>
      <c r="J9" s="75">
        <f>'건설계획표_26~38'!D32</f>
        <v>0</v>
      </c>
      <c r="K9" s="75">
        <f>'건설계획표_26~38'!E32</f>
        <v>0</v>
      </c>
      <c r="L9" s="75">
        <f>'건설계획표_26~38'!F32</f>
        <v>0</v>
      </c>
      <c r="M9" s="75">
        <f>'건설계획표_26~38'!G32</f>
        <v>0</v>
      </c>
      <c r="N9" s="75">
        <f>'건설계획표_26~38'!H32</f>
        <v>0</v>
      </c>
      <c r="O9" s="75">
        <f>'건설계획표_26~38'!I32</f>
        <v>0</v>
      </c>
      <c r="P9" s="75">
        <f>'건설계획표_26~38'!J32</f>
        <v>0</v>
      </c>
      <c r="Q9" s="75">
        <f>'건설계획표_26~38'!K32</f>
        <v>0</v>
      </c>
      <c r="R9" s="75">
        <f>'건설계획표_26~38'!L32</f>
        <v>0</v>
      </c>
      <c r="S9" s="75">
        <f>'건설계획표_26~38'!M32</f>
        <v>0</v>
      </c>
      <c r="T9" s="75">
        <f>'건설계획표_26~38'!N32</f>
        <v>0</v>
      </c>
      <c r="U9" s="75">
        <f>'건설계획표_26~38'!O32</f>
        <v>0</v>
      </c>
      <c r="V9" s="75">
        <f>'건설계획표_26~38'!P32</f>
        <v>0</v>
      </c>
      <c r="W9" s="75">
        <f>'건설계획표_26~38'!Q32</f>
        <v>0</v>
      </c>
      <c r="X9" s="75">
        <f>'건설계획표_26~38'!R32</f>
        <v>0</v>
      </c>
      <c r="Y9" s="75">
        <f>'건설계획표_26~38'!S32</f>
        <v>0</v>
      </c>
      <c r="Z9" s="75">
        <f>'건설계획표_26~38'!T32</f>
        <v>0</v>
      </c>
      <c r="AA9" s="75">
        <f>'건설계획표_26~38'!U32</f>
        <v>0</v>
      </c>
      <c r="AB9" s="75">
        <f>'건설계획표_26~38'!V32</f>
        <v>0</v>
      </c>
      <c r="AC9" s="75">
        <f>'건설계획표_26~38'!W32</f>
        <v>0</v>
      </c>
      <c r="AD9" s="75">
        <f>'건설계획표_26~38'!X32</f>
        <v>0</v>
      </c>
      <c r="AE9" s="75">
        <f>'건설계획표_26~38'!Y32</f>
        <v>0</v>
      </c>
      <c r="AF9" s="75">
        <f>'건설계획표_26~38'!Z32</f>
        <v>0</v>
      </c>
      <c r="AG9" s="75">
        <f>'건설계획표_26~38'!AA32</f>
        <v>0</v>
      </c>
    </row>
    <row r="10" spans="1:33">
      <c r="A10" t="s">
        <v>15</v>
      </c>
      <c r="B10" s="75">
        <f>'설비현황_19~25'!B33</f>
        <v>0</v>
      </c>
      <c r="C10" s="75">
        <f>'설비현황_19~25'!C33</f>
        <v>0</v>
      </c>
      <c r="D10" s="75">
        <v>124.044</v>
      </c>
      <c r="E10" s="75">
        <f>'설비현황_19~25'!E33</f>
        <v>0</v>
      </c>
      <c r="F10" s="75">
        <f>'설비현황_19~25'!F33</f>
        <v>0</v>
      </c>
      <c r="G10" s="75">
        <f>'설비현황_19~25'!G33</f>
        <v>0</v>
      </c>
      <c r="H10" s="75">
        <f>'설비현황_19~25'!H33</f>
        <v>0</v>
      </c>
      <c r="I10" s="75">
        <f>'건설계획표_26~38'!C33</f>
        <v>0</v>
      </c>
      <c r="J10" s="75">
        <f>'건설계획표_26~38'!D33</f>
        <v>0</v>
      </c>
      <c r="K10" s="75">
        <f>'건설계획표_26~38'!E33</f>
        <v>0</v>
      </c>
      <c r="L10" s="75">
        <f>'건설계획표_26~38'!F33</f>
        <v>0</v>
      </c>
      <c r="M10" s="75">
        <f>'건설계획표_26~38'!G33</f>
        <v>0</v>
      </c>
      <c r="N10" s="75">
        <f>'건설계획표_26~38'!H33</f>
        <v>0</v>
      </c>
      <c r="O10" s="75">
        <f>'건설계획표_26~38'!I33</f>
        <v>0</v>
      </c>
      <c r="P10" s="75">
        <f>'건설계획표_26~38'!J33</f>
        <v>0</v>
      </c>
      <c r="Q10" s="75">
        <f>'건설계획표_26~38'!K33</f>
        <v>0</v>
      </c>
      <c r="R10" s="75">
        <f>'건설계획표_26~38'!L33</f>
        <v>0</v>
      </c>
      <c r="S10" s="75">
        <f>'건설계획표_26~38'!M33</f>
        <v>0</v>
      </c>
      <c r="T10" s="75">
        <f>'건설계획표_26~38'!N33</f>
        <v>0</v>
      </c>
      <c r="U10" s="75">
        <f>'건설계획표_26~38'!O33</f>
        <v>0</v>
      </c>
      <c r="V10" s="75">
        <f>'건설계획표_26~38'!P33</f>
        <v>0</v>
      </c>
      <c r="W10" s="75">
        <f>'건설계획표_26~38'!Q33</f>
        <v>0</v>
      </c>
      <c r="X10" s="75">
        <f>'건설계획표_26~38'!R33</f>
        <v>0</v>
      </c>
      <c r="Y10" s="75">
        <f>'건설계획표_26~38'!S33</f>
        <v>0</v>
      </c>
      <c r="Z10" s="75">
        <f>'건설계획표_26~38'!T33</f>
        <v>0</v>
      </c>
      <c r="AA10" s="75">
        <f>'건설계획표_26~38'!U33</f>
        <v>0</v>
      </c>
      <c r="AB10" s="75">
        <f>'건설계획표_26~38'!V33</f>
        <v>0</v>
      </c>
      <c r="AC10" s="75">
        <f>'건설계획표_26~38'!W33</f>
        <v>0</v>
      </c>
      <c r="AD10" s="75">
        <f>'건설계획표_26~38'!X33</f>
        <v>0</v>
      </c>
      <c r="AE10" s="75">
        <f>'건설계획표_26~38'!Y33</f>
        <v>0</v>
      </c>
      <c r="AF10" s="75">
        <f>'건설계획표_26~38'!Z33</f>
        <v>0</v>
      </c>
      <c r="AG10" s="75">
        <f>'건설계획표_26~38'!AA33</f>
        <v>0</v>
      </c>
    </row>
    <row r="11" spans="1:33">
      <c r="A11" t="s">
        <v>19</v>
      </c>
      <c r="B11" s="75">
        <f>'설비현황_19~25'!B34</f>
        <v>0</v>
      </c>
      <c r="C11" s="75">
        <f>'설비현황_19~25'!C34</f>
        <v>0</v>
      </c>
      <c r="D11" s="75">
        <f>'설비현황_19~25'!D34</f>
        <v>0</v>
      </c>
      <c r="E11" s="75">
        <f>'설비현황_19~25'!E34</f>
        <v>0</v>
      </c>
      <c r="F11" s="75">
        <f>'설비현황_19~25'!F34</f>
        <v>0</v>
      </c>
      <c r="G11" s="75">
        <f>'설비현황_19~25'!G34</f>
        <v>0</v>
      </c>
      <c r="H11" s="75">
        <f>'설비현황_19~25'!H34</f>
        <v>0</v>
      </c>
      <c r="I11" s="75">
        <f>'건설계획표_26~38'!C34</f>
        <v>0</v>
      </c>
      <c r="J11" s="75">
        <f>'건설계획표_26~38'!D34</f>
        <v>0</v>
      </c>
      <c r="K11" s="75">
        <f>'건설계획표_26~38'!E34</f>
        <v>0</v>
      </c>
      <c r="L11" s="75">
        <f>'건설계획표_26~38'!F34</f>
        <v>0</v>
      </c>
      <c r="M11" s="75">
        <f>'건설계획표_26~38'!G34</f>
        <v>0</v>
      </c>
      <c r="N11" s="75">
        <f>'건설계획표_26~38'!H34</f>
        <v>0</v>
      </c>
      <c r="O11" s="75">
        <f>'건설계획표_26~38'!I34</f>
        <v>0</v>
      </c>
      <c r="P11" s="75">
        <f>'건설계획표_26~38'!J34</f>
        <v>0</v>
      </c>
      <c r="Q11" s="75">
        <f>'건설계획표_26~38'!K34</f>
        <v>0</v>
      </c>
      <c r="R11" s="75">
        <f>'건설계획표_26~38'!L34</f>
        <v>0</v>
      </c>
      <c r="S11" s="75">
        <f>'건설계획표_26~38'!M34</f>
        <v>0</v>
      </c>
      <c r="T11" s="75">
        <f>'건설계획표_26~38'!N34</f>
        <v>0</v>
      </c>
      <c r="U11" s="75">
        <f>'건설계획표_26~38'!O34</f>
        <v>0</v>
      </c>
      <c r="V11" s="75">
        <f>'건설계획표_26~38'!P34</f>
        <v>0</v>
      </c>
      <c r="W11" s="75">
        <f>'건설계획표_26~38'!Q34</f>
        <v>0</v>
      </c>
      <c r="X11" s="75">
        <f>'건설계획표_26~38'!R34</f>
        <v>0</v>
      </c>
      <c r="Y11" s="75">
        <f>'건설계획표_26~38'!S34</f>
        <v>0</v>
      </c>
      <c r="Z11" s="75">
        <f>'건설계획표_26~38'!T34</f>
        <v>0</v>
      </c>
      <c r="AA11" s="75">
        <f>'건설계획표_26~38'!U34</f>
        <v>0</v>
      </c>
      <c r="AB11" s="75">
        <f>'건설계획표_26~38'!V34</f>
        <v>0</v>
      </c>
      <c r="AC11" s="75">
        <f>'건설계획표_26~38'!W34</f>
        <v>0</v>
      </c>
      <c r="AD11" s="75">
        <f>'건설계획표_26~38'!X34</f>
        <v>0</v>
      </c>
      <c r="AE11" s="75">
        <f>'건설계획표_26~38'!Y34</f>
        <v>0</v>
      </c>
      <c r="AF11" s="75">
        <f>'건설계획표_26~38'!Z34</f>
        <v>0</v>
      </c>
      <c r="AG11" s="75">
        <f>'건설계획표_26~38'!AA34</f>
        <v>0</v>
      </c>
    </row>
    <row r="12" spans="1:33">
      <c r="A12" t="s">
        <v>20</v>
      </c>
      <c r="B12" s="75">
        <f>'설비현황_19~25'!B35</f>
        <v>0</v>
      </c>
      <c r="C12" s="75">
        <f>'설비현황_19~25'!C35</f>
        <v>0</v>
      </c>
      <c r="D12" s="75">
        <f>'설비현황_19~25'!D35</f>
        <v>0</v>
      </c>
      <c r="E12" s="75">
        <f>'설비현황_19~25'!E35</f>
        <v>0</v>
      </c>
      <c r="F12" s="75">
        <f>'설비현황_19~25'!F35</f>
        <v>0</v>
      </c>
      <c r="G12" s="75">
        <f>'설비현황_19~25'!G35</f>
        <v>0</v>
      </c>
      <c r="H12" s="75">
        <f>'설비현황_19~25'!H35</f>
        <v>0</v>
      </c>
      <c r="I12" s="75">
        <f>'건설계획표_26~38'!C35</f>
        <v>0</v>
      </c>
      <c r="J12" s="75">
        <f>'건설계획표_26~38'!D35</f>
        <v>0</v>
      </c>
      <c r="K12" s="75">
        <f>'건설계획표_26~38'!E35</f>
        <v>0</v>
      </c>
      <c r="L12" s="75">
        <f>'건설계획표_26~38'!F35</f>
        <v>0</v>
      </c>
      <c r="M12" s="75">
        <f>'건설계획표_26~38'!G35</f>
        <v>0</v>
      </c>
      <c r="N12" s="75">
        <f>'건설계획표_26~38'!H35</f>
        <v>0</v>
      </c>
      <c r="O12" s="75">
        <f>'건설계획표_26~38'!I35</f>
        <v>0</v>
      </c>
      <c r="P12" s="75">
        <f>'건설계획표_26~38'!J35</f>
        <v>0</v>
      </c>
      <c r="Q12" s="75">
        <f>'건설계획표_26~38'!K35</f>
        <v>0</v>
      </c>
      <c r="R12" s="75">
        <f>'건설계획표_26~38'!L35</f>
        <v>0</v>
      </c>
      <c r="S12" s="75">
        <f>'건설계획표_26~38'!M35</f>
        <v>0</v>
      </c>
      <c r="T12" s="75">
        <f>'건설계획표_26~38'!N35</f>
        <v>0</v>
      </c>
      <c r="U12" s="75">
        <f>'건설계획표_26~38'!O35</f>
        <v>0</v>
      </c>
      <c r="V12" s="75">
        <f>'건설계획표_26~38'!P35</f>
        <v>0</v>
      </c>
      <c r="W12" s="75">
        <f>'건설계획표_26~38'!Q35</f>
        <v>0</v>
      </c>
      <c r="X12" s="75">
        <f>'건설계획표_26~38'!R35</f>
        <v>0</v>
      </c>
      <c r="Y12" s="75">
        <f>'건설계획표_26~38'!S35</f>
        <v>0</v>
      </c>
      <c r="Z12" s="75">
        <f>'건설계획표_26~38'!T35</f>
        <v>0</v>
      </c>
      <c r="AA12" s="75">
        <f>'건설계획표_26~38'!U35</f>
        <v>0</v>
      </c>
      <c r="AB12" s="75">
        <f>'건설계획표_26~38'!V35</f>
        <v>0</v>
      </c>
      <c r="AC12" s="75">
        <f>'건설계획표_26~38'!W35</f>
        <v>0</v>
      </c>
      <c r="AD12" s="75">
        <f>'건설계획표_26~38'!X35</f>
        <v>0</v>
      </c>
      <c r="AE12" s="75">
        <f>'건설계획표_26~38'!Y35</f>
        <v>0</v>
      </c>
      <c r="AF12" s="75">
        <f>'건설계획표_26~38'!Z35</f>
        <v>0</v>
      </c>
      <c r="AG12" s="75">
        <f>'건설계획표_26~38'!AA35</f>
        <v>0</v>
      </c>
    </row>
    <row r="13" spans="1:33">
      <c r="A13" t="s">
        <v>21</v>
      </c>
      <c r="B13" s="75">
        <f>'설비현황_19~25'!B36</f>
        <v>0</v>
      </c>
      <c r="C13" s="75">
        <f>'설비현황_19~25'!C36</f>
        <v>0</v>
      </c>
      <c r="D13" s="75">
        <f>'설비현황_19~25'!D36</f>
        <v>0</v>
      </c>
      <c r="E13" s="75">
        <f>'설비현황_19~25'!E36</f>
        <v>0</v>
      </c>
      <c r="F13" s="75">
        <f>'설비현황_19~25'!F36</f>
        <v>0</v>
      </c>
      <c r="G13" s="75">
        <f>'설비현황_19~25'!G36</f>
        <v>0</v>
      </c>
      <c r="H13" s="75">
        <f>'설비현황_19~25'!H36</f>
        <v>0</v>
      </c>
      <c r="I13" s="75">
        <f>'건설계획표_26~38'!C36</f>
        <v>0</v>
      </c>
      <c r="J13" s="75">
        <f>'건설계획표_26~38'!D36</f>
        <v>0</v>
      </c>
      <c r="K13" s="75">
        <f>'건설계획표_26~38'!E36</f>
        <v>0</v>
      </c>
      <c r="L13" s="75">
        <f>'건설계획표_26~38'!F36</f>
        <v>0</v>
      </c>
      <c r="M13" s="75">
        <f>'건설계획표_26~38'!G36</f>
        <v>0</v>
      </c>
      <c r="N13" s="75">
        <f>'건설계획표_26~38'!H36</f>
        <v>0</v>
      </c>
      <c r="O13" s="75">
        <f>'건설계획표_26~38'!I36</f>
        <v>0</v>
      </c>
      <c r="P13" s="75">
        <f>'건설계획표_26~38'!J36</f>
        <v>0</v>
      </c>
      <c r="Q13" s="75">
        <f>'건설계획표_26~38'!K36</f>
        <v>0</v>
      </c>
      <c r="R13" s="75">
        <f>'건설계획표_26~38'!L36</f>
        <v>0</v>
      </c>
      <c r="S13" s="75">
        <f>'건설계획표_26~38'!M36</f>
        <v>0</v>
      </c>
      <c r="T13" s="75">
        <f>'건설계획표_26~38'!N36</f>
        <v>0</v>
      </c>
      <c r="U13" s="75">
        <f>'건설계획표_26~38'!O36</f>
        <v>0</v>
      </c>
      <c r="V13" s="75">
        <f>'건설계획표_26~38'!P36</f>
        <v>0</v>
      </c>
      <c r="W13" s="75">
        <f>'건설계획표_26~38'!Q36</f>
        <v>0</v>
      </c>
      <c r="X13" s="75">
        <f>'건설계획표_26~38'!R36</f>
        <v>0</v>
      </c>
      <c r="Y13" s="75">
        <f>'건설계획표_26~38'!S36</f>
        <v>0</v>
      </c>
      <c r="Z13" s="75">
        <f>'건설계획표_26~38'!T36</f>
        <v>0</v>
      </c>
      <c r="AA13" s="75">
        <f>'건설계획표_26~38'!U36</f>
        <v>0</v>
      </c>
      <c r="AB13" s="75">
        <f>'건설계획표_26~38'!V36</f>
        <v>0</v>
      </c>
      <c r="AC13" s="75">
        <f>'건설계획표_26~38'!W36</f>
        <v>0</v>
      </c>
      <c r="AD13" s="75">
        <f>'건설계획표_26~38'!X36</f>
        <v>0</v>
      </c>
      <c r="AE13" s="75">
        <f>'건설계획표_26~38'!Y36</f>
        <v>0</v>
      </c>
      <c r="AF13" s="75">
        <f>'건설계획표_26~38'!Z36</f>
        <v>0</v>
      </c>
      <c r="AG13" s="75">
        <f>'건설계획표_26~38'!AA36</f>
        <v>0</v>
      </c>
    </row>
    <row r="14" spans="1:33">
      <c r="A14" t="s">
        <v>22</v>
      </c>
      <c r="B14" s="75">
        <f>'설비현황_19~25'!B37</f>
        <v>0</v>
      </c>
      <c r="C14" s="75">
        <f>'설비현황_19~25'!C37</f>
        <v>0</v>
      </c>
      <c r="D14" s="75">
        <f>'설비현황_19~25'!D37</f>
        <v>0</v>
      </c>
      <c r="E14" s="75">
        <f>'설비현황_19~25'!E37</f>
        <v>0</v>
      </c>
      <c r="F14" s="75">
        <f>'설비현황_19~25'!F37</f>
        <v>0</v>
      </c>
      <c r="G14" s="75">
        <f>'설비현황_19~25'!G37</f>
        <v>0</v>
      </c>
      <c r="H14" s="75">
        <f>'설비현황_19~25'!H37</f>
        <v>0</v>
      </c>
      <c r="I14" s="75">
        <f>'건설계획표_26~38'!C37</f>
        <v>0</v>
      </c>
      <c r="J14" s="75">
        <f>'건설계획표_26~38'!D37</f>
        <v>0</v>
      </c>
      <c r="K14" s="75">
        <f>'건설계획표_26~38'!E37</f>
        <v>0</v>
      </c>
      <c r="L14" s="75">
        <f>'건설계획표_26~38'!F37</f>
        <v>0</v>
      </c>
      <c r="M14" s="75">
        <f>'건설계획표_26~38'!G37</f>
        <v>0</v>
      </c>
      <c r="N14" s="75">
        <f>'건설계획표_26~38'!H37</f>
        <v>0</v>
      </c>
      <c r="O14" s="75">
        <f>'건설계획표_26~38'!I37</f>
        <v>0</v>
      </c>
      <c r="P14" s="75">
        <f>'건설계획표_26~38'!J37</f>
        <v>0</v>
      </c>
      <c r="Q14" s="75">
        <f>'건설계획표_26~38'!K37</f>
        <v>0</v>
      </c>
      <c r="R14" s="75">
        <f>'건설계획표_26~38'!L37</f>
        <v>0</v>
      </c>
      <c r="S14" s="75">
        <f>'건설계획표_26~38'!M37</f>
        <v>0</v>
      </c>
      <c r="T14" s="75">
        <f>'건설계획표_26~38'!N37</f>
        <v>0</v>
      </c>
      <c r="U14" s="75">
        <f>'건설계획표_26~38'!O37</f>
        <v>0</v>
      </c>
      <c r="V14" s="75">
        <f>'건설계획표_26~38'!P37</f>
        <v>0</v>
      </c>
      <c r="W14" s="75">
        <f>'건설계획표_26~38'!Q37</f>
        <v>0</v>
      </c>
      <c r="X14" s="75">
        <f>'건설계획표_26~38'!R37</f>
        <v>0</v>
      </c>
      <c r="Y14" s="75">
        <f>'건설계획표_26~38'!S37</f>
        <v>0</v>
      </c>
      <c r="Z14" s="75">
        <f>'건설계획표_26~38'!T37</f>
        <v>0</v>
      </c>
      <c r="AA14" s="75">
        <f>'건설계획표_26~38'!U37</f>
        <v>0</v>
      </c>
      <c r="AB14" s="75">
        <f>'건설계획표_26~38'!V37</f>
        <v>0</v>
      </c>
      <c r="AC14" s="75">
        <f>'건설계획표_26~38'!W37</f>
        <v>0</v>
      </c>
      <c r="AD14" s="75">
        <f>'건설계획표_26~38'!X37</f>
        <v>0</v>
      </c>
      <c r="AE14" s="75">
        <f>'건설계획표_26~38'!Y37</f>
        <v>0</v>
      </c>
      <c r="AF14" s="75">
        <f>'건설계획표_26~38'!Z37</f>
        <v>0</v>
      </c>
      <c r="AG14" s="75">
        <f>'건설계획표_26~38'!AA37</f>
        <v>0</v>
      </c>
    </row>
    <row r="15" spans="1:33">
      <c r="A15" t="s">
        <v>14</v>
      </c>
      <c r="B15" s="75">
        <f>'설비현황_19~25'!B38</f>
        <v>0</v>
      </c>
      <c r="C15" s="75">
        <f>'설비현황_19~25'!C38</f>
        <v>60</v>
      </c>
      <c r="D15" s="75">
        <f>'설비현황_19~25'!D38</f>
        <v>0</v>
      </c>
      <c r="E15" s="75">
        <f>'설비현황_19~25'!E38</f>
        <v>0</v>
      </c>
      <c r="F15" s="75">
        <f>'설비현황_19~25'!F38</f>
        <v>26</v>
      </c>
      <c r="G15" s="75">
        <f>'설비현황_19~25'!G38</f>
        <v>110.32999999999998</v>
      </c>
      <c r="H15" s="75">
        <f>'설비현황_19~25'!H38</f>
        <v>103.30000000000001</v>
      </c>
      <c r="I15" s="75">
        <f>'건설계획표_26~38'!C38</f>
        <v>786.3301407049056</v>
      </c>
      <c r="J15" s="75">
        <f>'건설계획표_26~38'!D38</f>
        <v>1692.1557225582499</v>
      </c>
      <c r="K15" s="75">
        <f>'건설계획표_26~38'!E38</f>
        <v>2286.2903984785771</v>
      </c>
      <c r="L15" s="75">
        <f>'건설계획표_26~38'!F38</f>
        <v>4965.328051082035</v>
      </c>
      <c r="M15" s="75">
        <f>'건설계획표_26~38'!G38</f>
        <v>3024.9894892152415</v>
      </c>
      <c r="N15" s="75">
        <f>'건설계획표_26~38'!H38</f>
        <v>3375.9551205608909</v>
      </c>
      <c r="O15" s="75">
        <f>'건설계획표_26~38'!I38</f>
        <v>2131.8829479001442</v>
      </c>
      <c r="P15" s="75">
        <f>'건설계획표_26~38'!J38</f>
        <v>2158.7260407888198</v>
      </c>
      <c r="Q15" s="75">
        <f>'건설계획표_26~38'!K38</f>
        <v>2155.4237833341685</v>
      </c>
      <c r="R15" s="75">
        <f>'건설계획표_26~38'!L38</f>
        <v>2510.8222919867421</v>
      </c>
      <c r="S15" s="75">
        <f>'건설계획표_26~38'!M38</f>
        <v>2154.3127345510015</v>
      </c>
      <c r="T15" s="75">
        <f>'건설계획표_26~38'!N38</f>
        <v>2159.199338527806</v>
      </c>
      <c r="U15" s="75">
        <f>'건설계획표_26~38'!O38</f>
        <v>2158.1613738801179</v>
      </c>
      <c r="V15" s="75">
        <f>'건설계획표_26~38'!P38</f>
        <v>0</v>
      </c>
      <c r="W15" s="75">
        <f>'건설계획표_26~38'!Q38</f>
        <v>0</v>
      </c>
      <c r="X15" s="75">
        <f>'건설계획표_26~38'!R38</f>
        <v>0</v>
      </c>
      <c r="Y15" s="75">
        <f>'건설계획표_26~38'!S38</f>
        <v>0</v>
      </c>
      <c r="Z15" s="75">
        <f>'건설계획표_26~38'!T38</f>
        <v>0</v>
      </c>
      <c r="AA15" s="75">
        <f>'건설계획표_26~38'!U38</f>
        <v>0</v>
      </c>
      <c r="AB15" s="75">
        <f>'건설계획표_26~38'!V38</f>
        <v>0</v>
      </c>
      <c r="AC15" s="75">
        <f>'건설계획표_26~38'!W38</f>
        <v>0</v>
      </c>
      <c r="AD15" s="75">
        <f>'건설계획표_26~38'!X38</f>
        <v>0</v>
      </c>
      <c r="AE15" s="75">
        <f>'건설계획표_26~38'!Y38</f>
        <v>0</v>
      </c>
      <c r="AF15" s="75">
        <f>'건설계획표_26~38'!Z38</f>
        <v>0</v>
      </c>
      <c r="AG15" s="75">
        <f>'건설계획표_26~38'!AA38</f>
        <v>0</v>
      </c>
    </row>
    <row r="16" spans="1:33">
      <c r="A16" t="s">
        <v>9</v>
      </c>
      <c r="B16" s="75">
        <f>'설비현황_19~25'!B39</f>
        <v>0</v>
      </c>
      <c r="C16" s="75">
        <f>'설비현황_19~25'!C39</f>
        <v>0</v>
      </c>
      <c r="D16" s="75">
        <f>'설비현황_19~25'!D39</f>
        <v>0</v>
      </c>
      <c r="E16" s="75">
        <f>'설비현황_19~25'!E39</f>
        <v>0</v>
      </c>
      <c r="F16" s="75">
        <f>'설비현황_19~25'!F39</f>
        <v>0</v>
      </c>
      <c r="G16" s="75">
        <f>'설비현황_19~25'!G39</f>
        <v>0</v>
      </c>
      <c r="H16" s="75">
        <f>'설비현황_19~25'!H39</f>
        <v>0</v>
      </c>
      <c r="I16" s="75">
        <f>'건설계획표_26~38'!C39</f>
        <v>0</v>
      </c>
      <c r="J16" s="75">
        <f>'건설계획표_26~38'!D39</f>
        <v>0</v>
      </c>
      <c r="K16" s="75">
        <f>'건설계획표_26~38'!E39</f>
        <v>0</v>
      </c>
      <c r="L16" s="75">
        <f>'건설계획표_26~38'!F39</f>
        <v>0</v>
      </c>
      <c r="M16" s="75">
        <f>'건설계획표_26~38'!G39</f>
        <v>0</v>
      </c>
      <c r="N16" s="75">
        <f>'건설계획표_26~38'!H39</f>
        <v>0</v>
      </c>
      <c r="O16" s="75">
        <f>'건설계획표_26~38'!I39</f>
        <v>0</v>
      </c>
      <c r="P16" s="75">
        <f>'건설계획표_26~38'!J39</f>
        <v>0</v>
      </c>
      <c r="Q16" s="75">
        <f>'건설계획표_26~38'!K39</f>
        <v>0</v>
      </c>
      <c r="R16" s="75">
        <f>'건설계획표_26~38'!L39</f>
        <v>0</v>
      </c>
      <c r="S16" s="75">
        <f>'건설계획표_26~38'!M39</f>
        <v>0</v>
      </c>
      <c r="T16" s="75">
        <f>'건설계획표_26~38'!N39</f>
        <v>0</v>
      </c>
      <c r="U16" s="75">
        <f>'건설계획표_26~38'!O39</f>
        <v>0</v>
      </c>
      <c r="V16" s="75">
        <f>'건설계획표_26~38'!P39</f>
        <v>0</v>
      </c>
      <c r="W16" s="75">
        <f>'건설계획표_26~38'!Q39</f>
        <v>0</v>
      </c>
      <c r="X16" s="75">
        <f>'건설계획표_26~38'!R39</f>
        <v>0</v>
      </c>
      <c r="Y16" s="75">
        <f>'건설계획표_26~38'!S39</f>
        <v>0</v>
      </c>
      <c r="Z16" s="75">
        <f>'건설계획표_26~38'!T39</f>
        <v>0</v>
      </c>
      <c r="AA16" s="75">
        <f>'건설계획표_26~38'!U39</f>
        <v>0</v>
      </c>
      <c r="AB16" s="75">
        <f>'건설계획표_26~38'!V39</f>
        <v>0</v>
      </c>
      <c r="AC16" s="75">
        <f>'건설계획표_26~38'!W39</f>
        <v>0</v>
      </c>
      <c r="AD16" s="75">
        <f>'건설계획표_26~38'!X39</f>
        <v>0</v>
      </c>
      <c r="AE16" s="75">
        <f>'건설계획표_26~38'!Y39</f>
        <v>0</v>
      </c>
      <c r="AF16" s="75">
        <f>'건설계획표_26~38'!Z39</f>
        <v>0</v>
      </c>
      <c r="AG16" s="75">
        <f>'건설계획표_26~38'!AA39</f>
        <v>0</v>
      </c>
    </row>
    <row r="17" spans="1:33">
      <c r="A17" t="s">
        <v>23</v>
      </c>
      <c r="B17" s="75">
        <f>'설비현황_19~25'!B40</f>
        <v>0</v>
      </c>
      <c r="C17" s="75">
        <f>'설비현황_19~25'!C40</f>
        <v>0</v>
      </c>
      <c r="D17" s="75">
        <f>'설비현황_19~25'!D40</f>
        <v>0</v>
      </c>
      <c r="E17" s="75">
        <f>'설비현황_19~25'!E40</f>
        <v>0</v>
      </c>
      <c r="F17" s="75">
        <f>'설비현황_19~25'!F40</f>
        <v>0</v>
      </c>
      <c r="G17" s="75">
        <f>'설비현황_19~25'!G40</f>
        <v>0</v>
      </c>
      <c r="H17" s="75">
        <f>'설비현황_19~25'!H40</f>
        <v>0</v>
      </c>
      <c r="I17" s="75">
        <f>'건설계획표_26~38'!C40</f>
        <v>0</v>
      </c>
      <c r="J17" s="75">
        <f>'건설계획표_26~38'!D40</f>
        <v>0</v>
      </c>
      <c r="K17" s="75">
        <f>'건설계획표_26~38'!E40</f>
        <v>0</v>
      </c>
      <c r="L17" s="75">
        <f>'건설계획표_26~38'!F40</f>
        <v>0</v>
      </c>
      <c r="M17" s="75">
        <f>'건설계획표_26~38'!G40</f>
        <v>0</v>
      </c>
      <c r="N17" s="75">
        <f>'건설계획표_26~38'!H40</f>
        <v>0</v>
      </c>
      <c r="O17" s="75">
        <f>'건설계획표_26~38'!I40</f>
        <v>0</v>
      </c>
      <c r="P17" s="75">
        <f>'건설계획표_26~38'!J40</f>
        <v>0</v>
      </c>
      <c r="Q17" s="75">
        <f>'건설계획표_26~38'!K40</f>
        <v>0</v>
      </c>
      <c r="R17" s="75">
        <f>'건설계획표_26~38'!L40</f>
        <v>0</v>
      </c>
      <c r="S17" s="75">
        <f>'건설계획표_26~38'!M40</f>
        <v>0</v>
      </c>
      <c r="T17" s="75">
        <f>'건설계획표_26~38'!N40</f>
        <v>0</v>
      </c>
      <c r="U17" s="75">
        <f>'건설계획표_26~38'!O40</f>
        <v>0</v>
      </c>
      <c r="V17" s="75">
        <f>'건설계획표_26~38'!P40</f>
        <v>0</v>
      </c>
      <c r="W17" s="75">
        <f>'건설계획표_26~38'!Q40</f>
        <v>0</v>
      </c>
      <c r="X17" s="75">
        <f>'건설계획표_26~38'!R40</f>
        <v>0</v>
      </c>
      <c r="Y17" s="75">
        <f>'건설계획표_26~38'!S40</f>
        <v>0</v>
      </c>
      <c r="Z17" s="75">
        <f>'건설계획표_26~38'!T40</f>
        <v>0</v>
      </c>
      <c r="AA17" s="75">
        <f>'건설계획표_26~38'!U40</f>
        <v>0</v>
      </c>
      <c r="AB17" s="75">
        <f>'건설계획표_26~38'!V40</f>
        <v>0</v>
      </c>
      <c r="AC17" s="75">
        <f>'건설계획표_26~38'!W40</f>
        <v>0</v>
      </c>
      <c r="AD17" s="75">
        <f>'건설계획표_26~38'!X40</f>
        <v>0</v>
      </c>
      <c r="AE17" s="75">
        <f>'건설계획표_26~38'!Y40</f>
        <v>0</v>
      </c>
      <c r="AF17" s="75">
        <f>'건설계획표_26~38'!Z40</f>
        <v>0</v>
      </c>
      <c r="AG17" s="75">
        <f>'건설계획표_26~38'!AA40</f>
        <v>0</v>
      </c>
    </row>
    <row r="18" spans="1:33">
      <c r="A18" t="s">
        <v>24</v>
      </c>
      <c r="B18" s="75">
        <f>'설비현황_19~25'!B41</f>
        <v>0</v>
      </c>
      <c r="C18" s="75">
        <f>'설비현황_19~25'!C41</f>
        <v>0</v>
      </c>
      <c r="D18" s="75">
        <f>'설비현황_19~25'!D41</f>
        <v>0</v>
      </c>
      <c r="E18" s="75">
        <f>'설비현황_19~25'!E41</f>
        <v>0</v>
      </c>
      <c r="F18" s="75">
        <f>'설비현황_19~25'!F41</f>
        <v>0</v>
      </c>
      <c r="G18" s="75">
        <f>'설비현황_19~25'!G41</f>
        <v>0</v>
      </c>
      <c r="H18" s="75">
        <f>'설비현황_19~25'!H41</f>
        <v>0</v>
      </c>
      <c r="I18" s="75">
        <f>'건설계획표_26~38'!C41</f>
        <v>0</v>
      </c>
      <c r="J18" s="75">
        <f>'건설계획표_26~38'!D41</f>
        <v>0</v>
      </c>
      <c r="K18" s="75">
        <f>'건설계획표_26~38'!E41</f>
        <v>0</v>
      </c>
      <c r="L18" s="75">
        <f>'건설계획표_26~38'!F41</f>
        <v>0</v>
      </c>
      <c r="M18" s="75">
        <f>'건설계획표_26~38'!G41</f>
        <v>0</v>
      </c>
      <c r="N18" s="75">
        <f>'건설계획표_26~38'!H41</f>
        <v>0</v>
      </c>
      <c r="O18" s="75">
        <f>'건설계획표_26~38'!I41</f>
        <v>0</v>
      </c>
      <c r="P18" s="75">
        <f>'건설계획표_26~38'!J41</f>
        <v>0</v>
      </c>
      <c r="Q18" s="75">
        <f>'건설계획표_26~38'!K41</f>
        <v>0</v>
      </c>
      <c r="R18" s="75">
        <f>'건설계획표_26~38'!L41</f>
        <v>0</v>
      </c>
      <c r="S18" s="75">
        <f>'건설계획표_26~38'!M41</f>
        <v>0</v>
      </c>
      <c r="T18" s="75">
        <f>'건설계획표_26~38'!N41</f>
        <v>0</v>
      </c>
      <c r="U18" s="75">
        <f>'건설계획표_26~38'!O41</f>
        <v>0</v>
      </c>
      <c r="V18" s="75">
        <f>'건설계획표_26~38'!P41</f>
        <v>0</v>
      </c>
      <c r="W18" s="75">
        <f>'건설계획표_26~38'!Q41</f>
        <v>0</v>
      </c>
      <c r="X18" s="75">
        <f>'건설계획표_26~38'!R41</f>
        <v>0</v>
      </c>
      <c r="Y18" s="75">
        <f>'건설계획표_26~38'!S41</f>
        <v>0</v>
      </c>
      <c r="Z18" s="75">
        <f>'건설계획표_26~38'!T41</f>
        <v>0</v>
      </c>
      <c r="AA18" s="75">
        <f>'건설계획표_26~38'!U41</f>
        <v>0</v>
      </c>
      <c r="AB18" s="75">
        <f>'건설계획표_26~38'!V41</f>
        <v>0</v>
      </c>
      <c r="AC18" s="75">
        <f>'건설계획표_26~38'!W41</f>
        <v>0</v>
      </c>
      <c r="AD18" s="75">
        <f>'건설계획표_26~38'!X41</f>
        <v>0</v>
      </c>
      <c r="AE18" s="75">
        <f>'건설계획표_26~38'!Y41</f>
        <v>0</v>
      </c>
      <c r="AF18" s="75">
        <f>'건설계획표_26~38'!Z41</f>
        <v>0</v>
      </c>
      <c r="AG18" s="75">
        <f>'건설계획표_26~38'!AA41</f>
        <v>0</v>
      </c>
    </row>
    <row r="19" spans="1:33">
      <c r="A19" t="s">
        <v>25</v>
      </c>
      <c r="B19" s="75">
        <f>'설비현황_19~25'!B42</f>
        <v>0</v>
      </c>
      <c r="C19" s="75">
        <f>'설비현황_19~25'!C42</f>
        <v>0</v>
      </c>
      <c r="D19" s="75">
        <f>'설비현황_19~25'!D42</f>
        <v>0</v>
      </c>
      <c r="E19" s="75">
        <f>'설비현황_19~25'!E42</f>
        <v>0</v>
      </c>
      <c r="F19" s="75">
        <f>'설비현황_19~25'!F42</f>
        <v>0</v>
      </c>
      <c r="G19" s="75">
        <f>'설비현황_19~25'!G42</f>
        <v>0</v>
      </c>
      <c r="H19" s="75">
        <f>'설비현황_19~25'!H42</f>
        <v>0</v>
      </c>
      <c r="I19" s="75">
        <f>'건설계획표_26~38'!C42</f>
        <v>0</v>
      </c>
      <c r="J19" s="75">
        <f>'건설계획표_26~38'!D42</f>
        <v>0</v>
      </c>
      <c r="K19" s="75">
        <f>'건설계획표_26~38'!E42</f>
        <v>0</v>
      </c>
      <c r="L19" s="75">
        <f>'건설계획표_26~38'!F42</f>
        <v>0</v>
      </c>
      <c r="M19" s="75">
        <f>'건설계획표_26~38'!G42</f>
        <v>0</v>
      </c>
      <c r="N19" s="75">
        <f>'건설계획표_26~38'!H42</f>
        <v>0</v>
      </c>
      <c r="O19" s="75">
        <f>'건설계획표_26~38'!I42</f>
        <v>0</v>
      </c>
      <c r="P19" s="75">
        <f>'건설계획표_26~38'!J42</f>
        <v>0</v>
      </c>
      <c r="Q19" s="75">
        <f>'건설계획표_26~38'!K42</f>
        <v>0</v>
      </c>
      <c r="R19" s="75">
        <f>'건설계획표_26~38'!L42</f>
        <v>0</v>
      </c>
      <c r="S19" s="75">
        <f>'건설계획표_26~38'!M42</f>
        <v>0</v>
      </c>
      <c r="T19" s="75">
        <f>'건설계획표_26~38'!N42</f>
        <v>0</v>
      </c>
      <c r="U19" s="75">
        <f>'건설계획표_26~38'!O42</f>
        <v>1370</v>
      </c>
      <c r="V19" s="75">
        <f>'건설계획표_26~38'!P42</f>
        <v>0</v>
      </c>
      <c r="W19" s="75">
        <f>'건설계획표_26~38'!Q42</f>
        <v>0</v>
      </c>
      <c r="X19" s="75">
        <f>'건설계획표_26~38'!R42</f>
        <v>0</v>
      </c>
      <c r="Y19" s="75">
        <f>'건설계획표_26~38'!S42</f>
        <v>0</v>
      </c>
      <c r="Z19" s="75">
        <f>'건설계획표_26~38'!T42</f>
        <v>0</v>
      </c>
      <c r="AA19" s="75">
        <f>'건설계획표_26~38'!U42</f>
        <v>0</v>
      </c>
      <c r="AB19" s="75">
        <f>'건설계획표_26~38'!V42</f>
        <v>0</v>
      </c>
      <c r="AC19" s="75">
        <f>'건설계획표_26~38'!W42</f>
        <v>0</v>
      </c>
      <c r="AD19" s="75">
        <f>'건설계획표_26~38'!X42</f>
        <v>0</v>
      </c>
      <c r="AE19" s="75">
        <f>'건설계획표_26~38'!Y42</f>
        <v>0</v>
      </c>
      <c r="AF19" s="75">
        <f>'건설계획표_26~38'!Z42</f>
        <v>0</v>
      </c>
      <c r="AG19" s="75">
        <f>'건설계획표_26~38'!AA42</f>
        <v>0</v>
      </c>
    </row>
    <row r="20" spans="1:33">
      <c r="A20" t="s">
        <v>26</v>
      </c>
      <c r="B20" s="75">
        <f>'설비현황_19~25'!B43</f>
        <v>0</v>
      </c>
      <c r="C20" s="75">
        <f>'설비현황_19~25'!C43</f>
        <v>0</v>
      </c>
      <c r="D20" s="75">
        <f>'설비현황_19~25'!D43</f>
        <v>0</v>
      </c>
      <c r="E20" s="75">
        <f>'설비현황_19~25'!E43</f>
        <v>0</v>
      </c>
      <c r="F20" s="75">
        <f>'설비현황_19~25'!F43</f>
        <v>0</v>
      </c>
      <c r="G20" s="75">
        <f>'설비현황_19~25'!G43</f>
        <v>0</v>
      </c>
      <c r="H20" s="75">
        <f>'설비현황_19~25'!H43</f>
        <v>0</v>
      </c>
      <c r="I20" s="75">
        <f>'건설계획표_26~38'!C43</f>
        <v>0</v>
      </c>
      <c r="J20" s="75">
        <f>'건설계획표_26~38'!D43</f>
        <v>0</v>
      </c>
      <c r="K20" s="75">
        <f>'건설계획표_26~38'!E43</f>
        <v>0</v>
      </c>
      <c r="L20" s="75">
        <f>'건설계획표_26~38'!F43</f>
        <v>0</v>
      </c>
      <c r="M20" s="75">
        <f>'건설계획표_26~38'!G43</f>
        <v>0</v>
      </c>
      <c r="N20" s="75">
        <f>'건설계획표_26~38'!H43</f>
        <v>0</v>
      </c>
      <c r="O20" s="75">
        <f>'건설계획표_26~38'!I43</f>
        <v>0</v>
      </c>
      <c r="P20" s="75">
        <f>'건설계획표_26~38'!J43</f>
        <v>0</v>
      </c>
      <c r="Q20" s="75">
        <f>'건설계획표_26~38'!K43</f>
        <v>0</v>
      </c>
      <c r="R20" s="75">
        <f>'건설계획표_26~38'!L43</f>
        <v>0</v>
      </c>
      <c r="S20" s="75">
        <f>'건설계획표_26~38'!M43</f>
        <v>0</v>
      </c>
      <c r="T20" s="75">
        <f>'건설계획표_26~38'!N43</f>
        <v>0</v>
      </c>
      <c r="U20" s="75">
        <f>'건설계획표_26~38'!O43</f>
        <v>0</v>
      </c>
      <c r="V20" s="75">
        <f>'건설계획표_26~38'!P43</f>
        <v>0</v>
      </c>
      <c r="W20" s="75">
        <f>'건설계획표_26~38'!Q43</f>
        <v>0</v>
      </c>
      <c r="X20" s="75">
        <f>'건설계획표_26~38'!R43</f>
        <v>0</v>
      </c>
      <c r="Y20" s="75">
        <f>'건설계획표_26~38'!S43</f>
        <v>0</v>
      </c>
      <c r="Z20" s="75">
        <f>'건설계획표_26~38'!T43</f>
        <v>0</v>
      </c>
      <c r="AA20" s="75">
        <f>'건설계획표_26~38'!U43</f>
        <v>0</v>
      </c>
      <c r="AB20" s="75">
        <f>'건설계획표_26~38'!V43</f>
        <v>0</v>
      </c>
      <c r="AC20" s="75">
        <f>'건설계획표_26~38'!W43</f>
        <v>0</v>
      </c>
      <c r="AD20" s="75">
        <f>'건설계획표_26~38'!X43</f>
        <v>0</v>
      </c>
      <c r="AE20" s="75">
        <f>'건설계획표_26~38'!Y43</f>
        <v>0</v>
      </c>
      <c r="AF20" s="75">
        <f>'건설계획표_26~38'!Z43</f>
        <v>0</v>
      </c>
      <c r="AG20" s="75">
        <f>'건설계획표_26~38'!AA43</f>
        <v>0</v>
      </c>
    </row>
    <row r="21" spans="1:33">
      <c r="A21" t="s">
        <v>27</v>
      </c>
      <c r="B21" s="75">
        <f>'설비현황_19~25'!B44</f>
        <v>0</v>
      </c>
      <c r="C21" s="75">
        <f>'설비현황_19~25'!C44</f>
        <v>0</v>
      </c>
      <c r="D21" s="75">
        <f>'설비현황_19~25'!D44</f>
        <v>0</v>
      </c>
      <c r="E21" s="75">
        <f>'설비현황_19~25'!E44</f>
        <v>0</v>
      </c>
      <c r="F21" s="75">
        <f>'설비현황_19~25'!F44</f>
        <v>0</v>
      </c>
      <c r="G21" s="75">
        <f>'설비현황_19~25'!G44</f>
        <v>0</v>
      </c>
      <c r="H21" s="75">
        <f>'설비현황_19~25'!H44</f>
        <v>0</v>
      </c>
      <c r="I21" s="75">
        <f>'건설계획표_26~38'!C44</f>
        <v>0</v>
      </c>
      <c r="J21" s="75">
        <f>'건설계획표_26~38'!D44</f>
        <v>0</v>
      </c>
      <c r="K21" s="75">
        <f>'건설계획표_26~38'!E44</f>
        <v>0</v>
      </c>
      <c r="L21" s="75">
        <f>'건설계획표_26~38'!F44</f>
        <v>0</v>
      </c>
      <c r="M21" s="75">
        <f>'건설계획표_26~38'!G44</f>
        <v>0</v>
      </c>
      <c r="N21" s="75">
        <f>'건설계획표_26~38'!H44</f>
        <v>0</v>
      </c>
      <c r="O21" s="75">
        <f>'건설계획표_26~38'!I44</f>
        <v>0</v>
      </c>
      <c r="P21" s="75">
        <f>'건설계획표_26~38'!J44</f>
        <v>0</v>
      </c>
      <c r="Q21" s="75">
        <f>'건설계획표_26~38'!K44</f>
        <v>0</v>
      </c>
      <c r="R21" s="75">
        <f>'건설계획표_26~38'!L44</f>
        <v>0</v>
      </c>
      <c r="S21" s="75">
        <f>'건설계획표_26~38'!M44</f>
        <v>0</v>
      </c>
      <c r="T21" s="75">
        <f>'건설계획표_26~38'!N44</f>
        <v>0</v>
      </c>
      <c r="U21" s="75">
        <f>'건설계획표_26~38'!O44</f>
        <v>0</v>
      </c>
      <c r="V21" s="75">
        <f>'건설계획표_26~38'!P44</f>
        <v>0</v>
      </c>
      <c r="W21" s="75">
        <f>'건설계획표_26~38'!Q44</f>
        <v>0</v>
      </c>
      <c r="X21" s="75">
        <f>'건설계획표_26~38'!R44</f>
        <v>0</v>
      </c>
      <c r="Y21" s="75">
        <f>'건설계획표_26~38'!S44</f>
        <v>0</v>
      </c>
      <c r="Z21" s="75">
        <f>'건설계획표_26~38'!T44</f>
        <v>0</v>
      </c>
      <c r="AA21" s="75">
        <f>'건설계획표_26~38'!U44</f>
        <v>0</v>
      </c>
      <c r="AB21" s="75">
        <f>'건설계획표_26~38'!V44</f>
        <v>0</v>
      </c>
      <c r="AC21" s="75">
        <f>'건설계획표_26~38'!W44</f>
        <v>0</v>
      </c>
      <c r="AD21" s="75">
        <f>'건설계획표_26~38'!X44</f>
        <v>0</v>
      </c>
      <c r="AE21" s="75">
        <f>'건설계획표_26~38'!Y44</f>
        <v>0</v>
      </c>
      <c r="AF21" s="75">
        <f>'건설계획표_26~38'!Z44</f>
        <v>0</v>
      </c>
      <c r="AG21" s="75">
        <f>'건설계획표_26~38'!AA44</f>
        <v>0</v>
      </c>
    </row>
    <row r="22" spans="1:33">
      <c r="A22" t="s">
        <v>28</v>
      </c>
      <c r="B22" s="75">
        <f>'설비현황_19~25'!B45</f>
        <v>0</v>
      </c>
      <c r="C22" s="75">
        <f>'설비현황_19~25'!C45</f>
        <v>0</v>
      </c>
      <c r="D22" s="75">
        <f>'설비현황_19~25'!D45</f>
        <v>0</v>
      </c>
      <c r="E22" s="75">
        <f>'설비현황_19~25'!E45</f>
        <v>0</v>
      </c>
      <c r="F22" s="75">
        <f>'설비현황_19~25'!F45</f>
        <v>0</v>
      </c>
      <c r="G22" s="75">
        <f>'설비현황_19~25'!G45</f>
        <v>0</v>
      </c>
      <c r="H22" s="75">
        <f>'설비현황_19~25'!H45</f>
        <v>0</v>
      </c>
      <c r="I22" s="75">
        <f>'건설계획표_26~38'!C45</f>
        <v>0</v>
      </c>
      <c r="J22" s="75">
        <f>'건설계획표_26~38'!D45</f>
        <v>0</v>
      </c>
      <c r="K22" s="75">
        <f>'건설계획표_26~38'!E45</f>
        <v>0</v>
      </c>
      <c r="L22" s="75">
        <f>'건설계획표_26~38'!F45</f>
        <v>0</v>
      </c>
      <c r="M22" s="75">
        <f>'건설계획표_26~38'!G45</f>
        <v>0</v>
      </c>
      <c r="N22" s="75">
        <f>'건설계획표_26~38'!H45</f>
        <v>0</v>
      </c>
      <c r="O22" s="75">
        <f>'건설계획표_26~38'!I45</f>
        <v>0</v>
      </c>
      <c r="P22" s="75">
        <f>'건설계획표_26~38'!J45</f>
        <v>0</v>
      </c>
      <c r="Q22" s="75">
        <f>'건설계획표_26~38'!K45</f>
        <v>0</v>
      </c>
      <c r="R22" s="75">
        <f>'건설계획표_26~38'!L45</f>
        <v>0</v>
      </c>
      <c r="S22" s="75">
        <f>'건설계획표_26~38'!M45</f>
        <v>0</v>
      </c>
      <c r="T22" s="75">
        <f>'건설계획표_26~38'!N45</f>
        <v>0</v>
      </c>
      <c r="U22" s="75">
        <f>'건설계획표_26~38'!O45</f>
        <v>0</v>
      </c>
      <c r="V22" s="75">
        <f>'건설계획표_26~38'!P45</f>
        <v>0</v>
      </c>
      <c r="W22" s="75">
        <f>'건설계획표_26~38'!Q45</f>
        <v>0</v>
      </c>
      <c r="X22" s="75">
        <f>'건설계획표_26~38'!R45</f>
        <v>0</v>
      </c>
      <c r="Y22" s="75">
        <f>'건설계획표_26~38'!S45</f>
        <v>0</v>
      </c>
      <c r="Z22" s="75">
        <f>'건설계획표_26~38'!T45</f>
        <v>0</v>
      </c>
      <c r="AA22" s="75">
        <f>'건설계획표_26~38'!U45</f>
        <v>0</v>
      </c>
      <c r="AB22" s="75">
        <f>'건설계획표_26~38'!V45</f>
        <v>0</v>
      </c>
      <c r="AC22" s="75">
        <f>'건설계획표_26~38'!W45</f>
        <v>0</v>
      </c>
      <c r="AD22" s="75">
        <f>'건설계획표_26~38'!X45</f>
        <v>0</v>
      </c>
      <c r="AE22" s="75">
        <f>'건설계획표_26~38'!Y45</f>
        <v>0</v>
      </c>
      <c r="AF22" s="75">
        <f>'건설계획표_26~38'!Z45</f>
        <v>0</v>
      </c>
      <c r="AG22" s="75">
        <f>'건설계획표_26~38'!AA45</f>
        <v>0</v>
      </c>
    </row>
    <row r="23" spans="1:33">
      <c r="A23" t="s">
        <v>8</v>
      </c>
      <c r="B23" s="75">
        <f>'설비현황_19~25'!B46</f>
        <v>0</v>
      </c>
      <c r="C23" s="75">
        <f>'설비현황_19~25'!C46</f>
        <v>0</v>
      </c>
      <c r="D23" s="75">
        <f>'설비현황_19~25'!D46</f>
        <v>0</v>
      </c>
      <c r="E23" s="75">
        <f>'설비현황_19~25'!E46</f>
        <v>0</v>
      </c>
      <c r="F23" s="75">
        <f>'설비현황_19~25'!F46</f>
        <v>0</v>
      </c>
      <c r="G23" s="75">
        <f>'설비현황_19~25'!G46</f>
        <v>0</v>
      </c>
      <c r="H23" s="75">
        <f>'설비현황_19~25'!H46</f>
        <v>0</v>
      </c>
      <c r="I23" s="75">
        <f>'건설계획표_26~38'!C46</f>
        <v>0</v>
      </c>
      <c r="J23" s="75">
        <f>'건설계획표_26~38'!D46</f>
        <v>0</v>
      </c>
      <c r="K23" s="75">
        <f>'건설계획표_26~38'!E46</f>
        <v>0</v>
      </c>
      <c r="L23" s="75">
        <f>'건설계획표_26~38'!F46</f>
        <v>0</v>
      </c>
      <c r="M23" s="75">
        <f>'건설계획표_26~38'!G46</f>
        <v>0</v>
      </c>
      <c r="N23" s="75">
        <f>'건설계획표_26~38'!H46</f>
        <v>0</v>
      </c>
      <c r="O23" s="75">
        <f>'건설계획표_26~38'!I46</f>
        <v>0</v>
      </c>
      <c r="P23" s="75">
        <f>'건설계획표_26~38'!J46</f>
        <v>0</v>
      </c>
      <c r="Q23" s="75">
        <f>'건설계획표_26~38'!K46</f>
        <v>350</v>
      </c>
      <c r="R23" s="75">
        <f>'건설계획표_26~38'!L46</f>
        <v>350</v>
      </c>
      <c r="S23" s="75">
        <f>'건설계획표_26~38'!M46</f>
        <v>0</v>
      </c>
      <c r="T23" s="75">
        <f>'건설계획표_26~38'!N46</f>
        <v>0</v>
      </c>
      <c r="U23" s="75">
        <f>'건설계획표_26~38'!O46</f>
        <v>0</v>
      </c>
      <c r="V23" s="75">
        <f>'건설계획표_26~38'!P46</f>
        <v>0</v>
      </c>
      <c r="W23" s="75">
        <f>'건설계획표_26~38'!Q46</f>
        <v>0</v>
      </c>
      <c r="X23" s="75">
        <f>'건설계획표_26~38'!R46</f>
        <v>0</v>
      </c>
      <c r="Y23" s="75">
        <f>'건설계획표_26~38'!S46</f>
        <v>0</v>
      </c>
      <c r="Z23" s="75">
        <f>'건설계획표_26~38'!T46</f>
        <v>0</v>
      </c>
      <c r="AA23" s="75">
        <f>'건설계획표_26~38'!U46</f>
        <v>0</v>
      </c>
      <c r="AB23" s="75">
        <f>'건설계획표_26~38'!V46</f>
        <v>0</v>
      </c>
      <c r="AC23" s="75">
        <f>'건설계획표_26~38'!W46</f>
        <v>0</v>
      </c>
      <c r="AD23" s="75">
        <f>'건설계획표_26~38'!X46</f>
        <v>0</v>
      </c>
      <c r="AE23" s="75">
        <f>'건설계획표_26~38'!Y46</f>
        <v>0</v>
      </c>
      <c r="AF23" s="75">
        <f>'건설계획표_26~38'!Z46</f>
        <v>0</v>
      </c>
      <c r="AG23" s="75">
        <f>'건설계획표_26~38'!AA46</f>
        <v>0</v>
      </c>
    </row>
    <row r="24" spans="1:33">
      <c r="A24" s="3" t="s">
        <v>29</v>
      </c>
      <c r="B24" s="75">
        <f>'설비현황_19~25'!B47</f>
        <v>0</v>
      </c>
      <c r="C24" s="75">
        <f>'설비현황_19~25'!C47</f>
        <v>0</v>
      </c>
      <c r="D24" s="75">
        <f>'설비현황_19~25'!D47</f>
        <v>0</v>
      </c>
      <c r="E24" s="75">
        <f>'설비현황_19~25'!E47</f>
        <v>0</v>
      </c>
      <c r="F24" s="75">
        <f>'설비현황_19~25'!F47</f>
        <v>0</v>
      </c>
      <c r="G24" s="75">
        <f>'설비현황_19~25'!G47</f>
        <v>0</v>
      </c>
      <c r="H24" s="75">
        <f>'설비현황_19~25'!H47</f>
        <v>0</v>
      </c>
      <c r="I24" s="75">
        <f>'건설계획표_26~38'!C47</f>
        <v>0</v>
      </c>
      <c r="J24" s="75">
        <f>'건설계획표_26~38'!D47</f>
        <v>0</v>
      </c>
      <c r="K24" s="75">
        <f>'건설계획표_26~38'!E47</f>
        <v>0</v>
      </c>
      <c r="L24" s="75">
        <f>'건설계획표_26~38'!F47</f>
        <v>0</v>
      </c>
      <c r="M24" s="75">
        <f>'건설계획표_26~38'!G47</f>
        <v>0</v>
      </c>
      <c r="N24" s="75">
        <f>'건설계획표_26~38'!H47</f>
        <v>0</v>
      </c>
      <c r="O24" s="75">
        <f>'건설계획표_26~38'!I47</f>
        <v>0</v>
      </c>
      <c r="P24" s="75">
        <f>'건설계획표_26~38'!J47</f>
        <v>0</v>
      </c>
      <c r="Q24" s="75">
        <f>'건설계획표_26~38'!K47</f>
        <v>0</v>
      </c>
      <c r="R24" s="75">
        <f>'건설계획표_26~38'!L47</f>
        <v>0</v>
      </c>
      <c r="S24" s="75">
        <f>'건설계획표_26~38'!M47</f>
        <v>0</v>
      </c>
      <c r="T24" s="75">
        <f>'건설계획표_26~38'!N47</f>
        <v>0</v>
      </c>
      <c r="U24" s="75">
        <f>'건설계획표_26~38'!O47</f>
        <v>0</v>
      </c>
      <c r="V24" s="75">
        <f>'건설계획표_26~38'!P47</f>
        <v>0</v>
      </c>
      <c r="W24" s="75">
        <f>'건설계획표_26~38'!Q47</f>
        <v>0</v>
      </c>
      <c r="X24" s="75">
        <f>'건설계획표_26~38'!R47</f>
        <v>0</v>
      </c>
      <c r="Y24" s="75">
        <f>'건설계획표_26~38'!S47</f>
        <v>0</v>
      </c>
      <c r="Z24" s="75">
        <f>'건설계획표_26~38'!T47</f>
        <v>0</v>
      </c>
      <c r="AA24" s="75">
        <f>'건설계획표_26~38'!U47</f>
        <v>0</v>
      </c>
      <c r="AB24" s="75">
        <f>'건설계획표_26~38'!V47</f>
        <v>0</v>
      </c>
      <c r="AC24" s="75">
        <f>'건설계획표_26~38'!W47</f>
        <v>0</v>
      </c>
      <c r="AD24" s="75">
        <f>'건설계획표_26~38'!X47</f>
        <v>0</v>
      </c>
      <c r="AE24" s="75">
        <f>'건설계획표_26~38'!Y47</f>
        <v>0</v>
      </c>
      <c r="AF24" s="75">
        <f>'건설계획표_26~38'!Z47</f>
        <v>0</v>
      </c>
      <c r="AG24" s="75">
        <f>'건설계획표_26~38'!AA47</f>
        <v>0</v>
      </c>
    </row>
    <row r="25" spans="1:33">
      <c r="A25" s="3" t="s">
        <v>30</v>
      </c>
      <c r="B25" s="75">
        <f>'설비현황_19~25'!B48</f>
        <v>0</v>
      </c>
      <c r="C25" s="75">
        <f>'설비현황_19~25'!C48</f>
        <v>0</v>
      </c>
      <c r="D25" s="75">
        <f>'설비현황_19~25'!D48</f>
        <v>0</v>
      </c>
      <c r="E25" s="75">
        <f>'설비현황_19~25'!E48</f>
        <v>0</v>
      </c>
      <c r="F25" s="75">
        <f>'설비현황_19~25'!F48</f>
        <v>0</v>
      </c>
      <c r="G25" s="75">
        <f>'설비현황_19~25'!G48</f>
        <v>0</v>
      </c>
      <c r="H25" s="75">
        <f>'설비현황_19~25'!H48</f>
        <v>0</v>
      </c>
      <c r="I25" s="75">
        <f>'건설계획표_26~38'!C48</f>
        <v>0</v>
      </c>
      <c r="J25" s="75">
        <f>'건설계획표_26~38'!D48</f>
        <v>0</v>
      </c>
      <c r="K25" s="75">
        <f>'건설계획표_26~38'!E48</f>
        <v>0</v>
      </c>
      <c r="L25" s="75">
        <f>'건설계획표_26~38'!F48</f>
        <v>0</v>
      </c>
      <c r="M25" s="75">
        <f>'건설계획표_26~38'!G48</f>
        <v>0</v>
      </c>
      <c r="N25" s="75">
        <f>'건설계획표_26~38'!H48</f>
        <v>0</v>
      </c>
      <c r="O25" s="75">
        <f>'건설계획표_26~38'!I48</f>
        <v>0</v>
      </c>
      <c r="P25" s="75">
        <f>'건설계획표_26~38'!J48</f>
        <v>0</v>
      </c>
      <c r="Q25" s="75">
        <f>'건설계획표_26~38'!K48</f>
        <v>0</v>
      </c>
      <c r="R25" s="75">
        <f>'건설계획표_26~38'!L48</f>
        <v>0</v>
      </c>
      <c r="S25" s="75">
        <f>'건설계획표_26~38'!M48</f>
        <v>0</v>
      </c>
      <c r="T25" s="75">
        <f>'건설계획표_26~38'!N48</f>
        <v>1870</v>
      </c>
      <c r="U25" s="75">
        <f>'건설계획표_26~38'!O48</f>
        <v>1550</v>
      </c>
      <c r="V25" s="75">
        <f>'건설계획표_26~38'!P48</f>
        <v>0</v>
      </c>
      <c r="W25" s="75">
        <f>'건설계획표_26~38'!Q48</f>
        <v>0</v>
      </c>
      <c r="X25" s="75">
        <f>'건설계획표_26~38'!R48</f>
        <v>0</v>
      </c>
      <c r="Y25" s="75">
        <f>'건설계획표_26~38'!S48</f>
        <v>0</v>
      </c>
      <c r="Z25" s="75">
        <f>'건설계획표_26~38'!T48</f>
        <v>0</v>
      </c>
      <c r="AA25" s="75">
        <f>'건설계획표_26~38'!U48</f>
        <v>0</v>
      </c>
      <c r="AB25" s="75">
        <f>'건설계획표_26~38'!V48</f>
        <v>0</v>
      </c>
      <c r="AC25" s="75">
        <f>'건설계획표_26~38'!W48</f>
        <v>0</v>
      </c>
      <c r="AD25" s="75">
        <f>'건설계획표_26~38'!X48</f>
        <v>0</v>
      </c>
      <c r="AE25" s="75">
        <f>'건설계획표_26~38'!Y48</f>
        <v>0</v>
      </c>
      <c r="AF25" s="75">
        <f>'건설계획표_26~38'!Z48</f>
        <v>0</v>
      </c>
      <c r="AG25" s="75">
        <f>'건설계획표_26~38'!AA48</f>
        <v>0</v>
      </c>
    </row>
  </sheetData>
  <phoneticPr fontId="3" type="noConversion"/>
  <pageMargins left="0.7" right="0.7" top="0.75" bottom="0.75" header="0.3" footer="0.3"/>
  <pageSetup paperSize="9" orientation="portrait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7350D42B0D95040ACC873ED5DCB146E" ma:contentTypeVersion="10" ma:contentTypeDescription="새 문서를 만듭니다." ma:contentTypeScope="" ma:versionID="c2e4f52adf7af47ba555973ff8cbcabe">
  <xsd:schema xmlns:xsd="http://www.w3.org/2001/XMLSchema" xmlns:xs="http://www.w3.org/2001/XMLSchema" xmlns:p="http://schemas.microsoft.com/office/2006/metadata/properties" xmlns:ns2="688c5d3b-a76a-458b-b159-91c2a1154680" targetNamespace="http://schemas.microsoft.com/office/2006/metadata/properties" ma:root="true" ma:fieldsID="502e33886199ad3dabc1cc93359c84e5" ns2:_="">
    <xsd:import namespace="688c5d3b-a76a-458b-b159-91c2a11546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c5d3b-a76a-458b-b159-91c2a1154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eca5b831-c3dc-41cf-bd85-218b82cecb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8c5d3b-a76a-458b-b159-91c2a11546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8EFB68-B099-4082-B802-B144AFACC6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8c5d3b-a76a-458b-b159-91c2a11546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C0E8B6-FC6C-47AD-8E91-EBF41CCB17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444BB4-D2AE-4704-9F59-09418FDD2FE0}">
  <ds:schemaRefs>
    <ds:schemaRef ds:uri="http://schemas.microsoft.com/office/2006/metadata/properties"/>
    <ds:schemaRef ds:uri="http://schemas.microsoft.com/office/infopath/2007/PartnerControls"/>
    <ds:schemaRef ds:uri="688c5d3b-a76a-458b-b159-91c2a1154680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재생에너지설비현황_19~25</vt:lpstr>
      <vt:lpstr>설비현황_19~25</vt:lpstr>
      <vt:lpstr>신재생에너지 설비 및 발전량 전망_24~38</vt:lpstr>
      <vt:lpstr>건설계획표_26~38</vt:lpstr>
      <vt:lpstr>BPMCCS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2026-06-29T06:25:20Z</dcterms:created>
  <dcterms:modified xsi:type="dcterms:W3CDTF">2026-09-15T13:39:44Z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0x01010027350D42B0D95040ACC873ED5DCB146E</vt:lpwstr>
  </property>
</Properties>
</file>