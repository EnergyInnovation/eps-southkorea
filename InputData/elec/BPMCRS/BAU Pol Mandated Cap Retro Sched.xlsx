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90. 개인 폴더\이지우\단기대응\202501 EPS 수요전망\V3\elec\BPMCRS\"/>
    </mc:Choice>
  </mc:AlternateContent>
  <xr:revisionPtr revIDLastSave="0" documentId="13_ncr:1_{D452FA5E-5C02-4787-BEAD-B895C530FA99}" xr6:coauthVersionLast="47" xr6:coauthVersionMax="47" xr10:uidLastSave="{00000000-0000-0000-0000-000000000000}"/>
  <bookViews>
    <workbookView xWindow="600" yWindow="1704" windowWidth="20544" windowHeight="10500" activeTab="5" xr2:uid="{9199B2FD-BD64-4DD1-9285-C284D90C08CC}"/>
  </bookViews>
  <sheets>
    <sheet name="About" sheetId="1" r:id="rId1"/>
    <sheet name="AEO Table 9" sheetId="7" state="hidden" r:id="rId2"/>
    <sheet name="AEO_coal discrepency" sheetId="8" state="hidden" r:id="rId3"/>
    <sheet name="Calculations" sheetId="11" state="hidden" r:id="rId4"/>
    <sheet name="Summary" sheetId="15" r:id="rId5"/>
    <sheet name="BPMCRS" sheetId="14" r:id="rId6"/>
  </sheet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cadia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nalysis_year">#REF!</definedName>
    <definedName name="as" hidden="1">{"calspreads",#N/A,FALSE,"Sheet1";"curves",#N/A,FALSE,"Sheet1";"libor",#N/A,FALSE,"Sheet1"}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" hidden="1">{"calspreads",#N/A,FALSE,"Sheet1";"curves",#N/A,FALSE,"Sheet1";"libor",#N/A,FALSE,"Sheet1"}</definedName>
    <definedName name="discount_rate">#REF!</definedName>
    <definedName name="downtime_for_ipm">#REF!</definedName>
    <definedName name="dq_stq_facility_costs">#REF!</definedName>
    <definedName name="F860_COOLING_STATUS">#REF!</definedName>
    <definedName name="F860_NOXCONTROL">#REF!</definedName>
    <definedName name="fds" hidden="1">{"calspreads",#N/A,FALSE,"Sheet1";"curves",#N/A,FALSE,"Sheet1";"libor",#N/A,FALSE,"Sheet1"}</definedName>
    <definedName name="fom_for_ipm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monitor_markup">#REF!</definedName>
    <definedName name="NEEDS_For_Parsing">#REF!</definedName>
    <definedName name="NEEDS617_Population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un_page">#REF!</definedName>
    <definedName name="SO2EmissionCostChartData">#REF!</definedName>
    <definedName name="SO2EmissionsChartData">#REF!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pivotCaches>
    <pivotCache cacheId="11" r:id="rId7"/>
    <pivotCache cacheId="12" r:id="rId8"/>
    <pivotCache cacheId="1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5" i="15" l="1" a="1"/>
  <c r="AD45" i="15" s="1"/>
  <c r="AE45" i="15" a="1"/>
  <c r="AE45" i="15"/>
  <c r="AF45" i="15" a="1"/>
  <c r="AF45" i="15"/>
  <c r="AG45" i="15" a="1"/>
  <c r="AG45" i="15"/>
  <c r="AC45" i="15" a="1"/>
  <c r="AC45" i="15" s="1"/>
  <c r="Y45" i="15" a="1"/>
  <c r="Y45" i="15"/>
  <c r="Z45" i="15" a="1"/>
  <c r="Z45" i="15"/>
  <c r="AA45" i="15" a="1"/>
  <c r="AA45" i="15"/>
  <c r="AB45" i="15" a="1"/>
  <c r="AB45" i="15"/>
  <c r="X45" i="15" a="1"/>
  <c r="X45" i="15" s="1"/>
  <c r="T45" i="15" a="1"/>
  <c r="T45" i="15"/>
  <c r="U45" i="15" a="1"/>
  <c r="U45" i="15" s="1"/>
  <c r="V45" i="15" a="1"/>
  <c r="V45" i="15" s="1"/>
  <c r="W45" i="15" a="1"/>
  <c r="W45" i="15"/>
  <c r="S45" i="15" a="1"/>
  <c r="S45" i="15"/>
  <c r="O45" i="15" a="1"/>
  <c r="O45" i="15" s="1"/>
  <c r="P45" i="15" a="1"/>
  <c r="P45" i="15"/>
  <c r="Q45" i="15" a="1"/>
  <c r="Q45" i="15" s="1"/>
  <c r="R45" i="15" a="1"/>
  <c r="R45" i="15"/>
  <c r="N45" i="15" a="1"/>
  <c r="N45" i="15"/>
  <c r="L45" i="15" a="1"/>
  <c r="L45" i="15" s="1"/>
  <c r="M45" i="15" a="1"/>
  <c r="M45" i="15" s="1"/>
  <c r="K45" i="15" a="1"/>
  <c r="K45" i="15" s="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AA9" i="8"/>
  <c r="S9" i="8"/>
  <c r="K9" i="8"/>
  <c r="AG8" i="8"/>
  <c r="AG9" i="8" s="1"/>
  <c r="AA8" i="8"/>
  <c r="Y8" i="8"/>
  <c r="Y9" i="8" s="1"/>
  <c r="S8" i="8"/>
  <c r="Q8" i="8"/>
  <c r="Q9" i="8" s="1"/>
  <c r="K8" i="8"/>
  <c r="I8" i="8"/>
  <c r="I9" i="8" s="1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AF8" i="8" s="1"/>
  <c r="AF9" i="8" s="1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AG10" i="8" l="1"/>
  <c r="K10" i="8"/>
  <c r="AA10" i="8"/>
  <c r="Q10" i="8"/>
  <c r="J8" i="8"/>
  <c r="J9" i="8" s="1"/>
  <c r="J10" i="8" s="1"/>
  <c r="R8" i="8"/>
  <c r="R9" i="8" s="1"/>
  <c r="R10" i="8" s="1"/>
  <c r="Z8" i="8"/>
  <c r="Z9" i="8" s="1"/>
  <c r="Z10" i="8" s="1"/>
  <c r="D8" i="8"/>
  <c r="D9" i="8" s="1"/>
  <c r="L8" i="8"/>
  <c r="L9" i="8" s="1"/>
  <c r="L10" i="8" s="1"/>
  <c r="T8" i="8"/>
  <c r="T9" i="8" s="1"/>
  <c r="T10" i="8" s="1"/>
  <c r="AB8" i="8"/>
  <c r="AB9" i="8" s="1"/>
  <c r="AB10" i="8" s="1"/>
  <c r="E8" i="8"/>
  <c r="E9" i="8" s="1"/>
  <c r="E10" i="8" s="1"/>
  <c r="M8" i="8"/>
  <c r="M9" i="8" s="1"/>
  <c r="M10" i="8" s="1"/>
  <c r="U8" i="8"/>
  <c r="U9" i="8" s="1"/>
  <c r="U10" i="8" s="1"/>
  <c r="AC8" i="8"/>
  <c r="AC9" i="8" s="1"/>
  <c r="AC10" i="8" s="1"/>
  <c r="F8" i="8"/>
  <c r="F9" i="8" s="1"/>
  <c r="N8" i="8"/>
  <c r="N9" i="8" s="1"/>
  <c r="N10" i="8" s="1"/>
  <c r="V8" i="8"/>
  <c r="V9" i="8" s="1"/>
  <c r="V10" i="8" s="1"/>
  <c r="AD8" i="8"/>
  <c r="AD9" i="8" s="1"/>
  <c r="AD10" i="8" s="1"/>
  <c r="G8" i="8"/>
  <c r="G9" i="8" s="1"/>
  <c r="G10" i="8" s="1"/>
  <c r="O8" i="8"/>
  <c r="O9" i="8" s="1"/>
  <c r="W8" i="8"/>
  <c r="W9" i="8" s="1"/>
  <c r="W10" i="8" s="1"/>
  <c r="AE8" i="8"/>
  <c r="AE9" i="8" s="1"/>
  <c r="AE10" i="8" s="1"/>
  <c r="H8" i="8"/>
  <c r="H9" i="8" s="1"/>
  <c r="I10" i="8" s="1"/>
  <c r="P8" i="8"/>
  <c r="P9" i="8" s="1"/>
  <c r="P10" i="8" s="1"/>
  <c r="X8" i="8"/>
  <c r="X9" i="8" s="1"/>
  <c r="X10" i="8" s="1"/>
  <c r="AF10" i="8" l="1"/>
  <c r="S10" i="8"/>
  <c r="F10" i="8"/>
  <c r="O10" i="8"/>
  <c r="H11" i="8"/>
  <c r="H10" i="8"/>
  <c r="Y1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VM</author>
  </authors>
  <commentList>
    <comment ref="A9" authorId="0" shapeId="0" xr:uid="{EAD0286E-B1B6-4B1A-B473-094B78AE1A0D}">
      <text>
        <r>
          <rPr>
            <b/>
            <sz val="9"/>
            <color indexed="81"/>
            <rFont val="Tahoma"/>
            <family val="2"/>
          </rPr>
          <t xml:space="preserve">ICFI:
</t>
        </r>
        <r>
          <rPr>
            <sz val="9"/>
            <color indexed="81"/>
            <rFont val="Tahoma"/>
            <family val="2"/>
          </rPr>
          <t>All tons are SHORT tons, unless otherwise noted as metric
Mtons : thousand tons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<sst xmlns="http://schemas.openxmlformats.org/spreadsheetml/2006/main" count="527" uniqueCount="285">
  <si>
    <t>Sources:</t>
  </si>
  <si>
    <t>Note:</t>
  </si>
  <si>
    <t>The purpose of this variable is to specify the electricity generating capacity</t>
  </si>
  <si>
    <t>what else to build in order to satisfy demand, satisfy an RPS (in the policy</t>
  </si>
  <si>
    <t>case), etc.</t>
  </si>
  <si>
    <t>Model Energy Source</t>
  </si>
  <si>
    <t>Petroleum Liquids</t>
  </si>
  <si>
    <t>Onshore Wind Turbine</t>
  </si>
  <si>
    <t>Conventional Hydroelectric</t>
  </si>
  <si>
    <t>Natural Gas Steam Turbine</t>
  </si>
  <si>
    <t>Natural Gas Fired Combined Cycle</t>
  </si>
  <si>
    <t>Natural Gas Fired Combustion Turbine</t>
  </si>
  <si>
    <t>Nuclear</t>
  </si>
  <si>
    <t>Natural Gas Internal Combustion Engine</t>
  </si>
  <si>
    <t>Solar Photovoltaic</t>
  </si>
  <si>
    <t>Geothermal</t>
  </si>
  <si>
    <t>Landfill Gas</t>
  </si>
  <si>
    <t>Batteries</t>
  </si>
  <si>
    <t>Wood/Wood Waste Biomass</t>
  </si>
  <si>
    <t>Other Natural Gas</t>
  </si>
  <si>
    <t>Natural Gas with Compressed Air Storage</t>
  </si>
  <si>
    <t>Other Waste Biomass</t>
  </si>
  <si>
    <t>Solar Thermal without Energy Storage</t>
  </si>
  <si>
    <t>Offshore Wind Turbine</t>
  </si>
  <si>
    <t>biomass</t>
  </si>
  <si>
    <t>natural gas combined cycle</t>
  </si>
  <si>
    <t>hard coal</t>
  </si>
  <si>
    <t>hydro</t>
  </si>
  <si>
    <t>petroleum</t>
  </si>
  <si>
    <t>natural gas peaker</t>
  </si>
  <si>
    <t>geothermal</t>
  </si>
  <si>
    <t>natural gas steam turbine</t>
  </si>
  <si>
    <t>lignite</t>
  </si>
  <si>
    <t>municipal solid waste</t>
  </si>
  <si>
    <t>solar thermal</t>
  </si>
  <si>
    <t>onshore wind</t>
  </si>
  <si>
    <t>offshore wind</t>
  </si>
  <si>
    <t>NA</t>
  </si>
  <si>
    <t>nuclear</t>
  </si>
  <si>
    <t>solar PV</t>
  </si>
  <si>
    <t>crude oil</t>
  </si>
  <si>
    <t>heavy or residual fuel oil</t>
  </si>
  <si>
    <t>Plant Producer Type</t>
  </si>
  <si>
    <t>Status</t>
  </si>
  <si>
    <t>highogs.d120120a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</si>
  <si>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</si>
  <si>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</si>
  <si>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</si>
  <si>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</si>
  <si>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</si>
  <si>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</si>
  <si>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</si>
  <si>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</si>
  <si>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</si>
  <si>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EGC000</t>
  </si>
  <si>
    <t>9. Electricity Generating Capacity</t>
  </si>
  <si>
    <t>Compound</t>
  </si>
  <si>
    <t>(gigawatts)</t>
  </si>
  <si>
    <t xml:space="preserve"> Growth </t>
  </si>
  <si>
    <t xml:space="preserve">2020-2050 </t>
  </si>
  <si>
    <t xml:space="preserve"> Net Summer Capacity 1/</t>
  </si>
  <si>
    <t>(percent)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</si>
  <si>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</si>
  <si>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</si>
  <si>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</si>
  <si>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</si>
  <si>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</si>
  <si>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</si>
  <si>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</si>
  <si>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</si>
  <si>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</si>
  <si>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</si>
  <si>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</si>
  <si>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</si>
  <si>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</si>
  <si>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</si>
  <si>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</si>
  <si>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</si>
  <si>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</si>
  <si>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</si>
  <si>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</si>
  <si>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</si>
  <si>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</si>
  <si>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</si>
  <si>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</si>
  <si>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</si>
  <si>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</si>
  <si>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</si>
  <si>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</si>
  <si>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</si>
  <si>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</si>
  <si>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</si>
  <si>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</si>
  <si>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</si>
  <si>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</si>
  <si>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</si>
  <si>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</si>
  <si>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</si>
  <si>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</si>
  <si>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</si>
  <si>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</si>
  <si>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</si>
  <si>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</si>
  <si>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</si>
  <si>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</si>
  <si>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</si>
  <si>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</si>
  <si>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</si>
  <si>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</si>
  <si>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</si>
  <si>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</si>
  <si>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</si>
  <si>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</si>
  <si>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</si>
  <si>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</si>
  <si>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</si>
  <si>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</si>
  <si>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</si>
  <si>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</si>
  <si>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</si>
  <si>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</si>
  <si>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</si>
  <si>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</si>
  <si>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</si>
  <si>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</si>
  <si>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</si>
  <si>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</si>
  <si>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</si>
  <si>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</si>
  <si>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</si>
  <si>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</si>
  <si>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</si>
  <si>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</si>
  <si>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</si>
  <si>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</si>
  <si>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</si>
  <si>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</si>
  <si>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</si>
  <si>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</si>
  <si>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</si>
  <si>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</si>
  <si>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</si>
  <si>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</si>
  <si>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</si>
  <si>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</si>
  <si>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</si>
  <si>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</si>
  <si>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</si>
  <si>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</si>
  <si>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</si>
  <si>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</si>
  <si>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</si>
  <si>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</si>
  <si>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</si>
  <si>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</si>
  <si>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</si>
  <si>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are not included explicitly as additions or retirements.  No planned conversions are assumed.  The totals reflect any conversions projected by</t>
  </si>
  <si>
    <t>the model.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</si>
  <si>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</si>
  <si>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</si>
  <si>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</si>
  <si>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other biomass, solar, and wind power.  Facilities co-firing biomass and coal are classified as coal.</t>
  </si>
  <si>
    <t>8/ Primarily peak-load capacity fueled by natural gas.</t>
  </si>
  <si>
    <t>9/ Includes combined heat and power plants whose primary business is to sell electricity and heat to the public</t>
  </si>
  <si>
    <t>(i.e., those that report North American Industry Classification System code 22 or that have a regulatory status).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</si>
  <si>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</si>
  <si>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</si>
  <si>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</si>
  <si>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</si>
  <si>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</si>
  <si>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</si>
  <si>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</si>
  <si>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</si>
  <si>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</si>
  <si>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</si>
  <si>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</si>
  <si>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Coal Minus Retirements - forecasted coal cap</t>
  </si>
  <si>
    <t>Additional Retirements from coal to gas switching (see email from EIA staff)</t>
  </si>
  <si>
    <t>GWs</t>
  </si>
  <si>
    <t>Year to year change</t>
  </si>
  <si>
    <t>Estimated additional gas capacity from coal to gas fuel switching (add to BPMCCS)</t>
  </si>
  <si>
    <t>(All)</t>
  </si>
  <si>
    <t>(Multiple Items)</t>
  </si>
  <si>
    <t>Sum of Net Summer Capacity (MW)</t>
  </si>
  <si>
    <t>Column Labels</t>
  </si>
  <si>
    <t>Row Labels</t>
  </si>
  <si>
    <t>Grand Total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</si>
  <si>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</si>
  <si>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</si>
  <si>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</si>
  <si>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</si>
  <si>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</si>
  <si>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</si>
  <si>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</si>
  <si>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Mandated Construction (MW)</t>
  </si>
  <si>
    <t>BPMCRS BAU Policy Mandated Capacity Retrofit Schedule</t>
  </si>
  <si>
    <t>in MW that will be retrofit with CCS each year in the BAU case before the model considers</t>
  </si>
  <si>
    <t xml:space="preserve">                                       EPA IPM Summary Run Results</t>
  </si>
  <si>
    <t xml:space="preserve">                                                 Projections for Continental U.S.</t>
  </si>
  <si>
    <t>Final Rule Sens Vehicle Rules MATS and ELG</t>
  </si>
  <si>
    <t>All costs and prices are in 2022-year dollars</t>
  </si>
  <si>
    <t>Values in red are rounded to zero, not equal to zero</t>
  </si>
  <si>
    <t>NATIONWIDE EMISSIONS</t>
  </si>
  <si>
    <t>SO2 (million tons)</t>
  </si>
  <si>
    <t>NOx (million tons)</t>
  </si>
  <si>
    <t>CO2 (million metric tons)</t>
  </si>
  <si>
    <t>Hg (tons)</t>
  </si>
  <si>
    <t>HCL (Mtons)</t>
  </si>
  <si>
    <t>TOTAL COSTS</t>
  </si>
  <si>
    <t>Total Costs (billion $)</t>
  </si>
  <si>
    <t>PRICES</t>
  </si>
  <si>
    <t>National Wholesale Electricity Price (mills/kWh)</t>
  </si>
  <si>
    <t>Natural Gas Prices (2022 $/MMBtu)</t>
  </si>
  <si>
    <t>Henry Hub</t>
  </si>
  <si>
    <t>Delivered</t>
  </si>
  <si>
    <t>Minemouth Coal Prices (2022 $/MMBtu)</t>
  </si>
  <si>
    <t>Appalachia</t>
  </si>
  <si>
    <t>Imports</t>
  </si>
  <si>
    <t>Interior</t>
  </si>
  <si>
    <t>Waste Coal</t>
  </si>
  <si>
    <t>West</t>
  </si>
  <si>
    <t>National</t>
  </si>
  <si>
    <t>TOTAL CAPACITY (Cumulative GW)</t>
  </si>
  <si>
    <t>Hydro</t>
  </si>
  <si>
    <t>Non-Hydro Renewables</t>
  </si>
  <si>
    <t xml:space="preserve">     Biomass</t>
  </si>
  <si>
    <t xml:space="preserve">     Geothermal</t>
  </si>
  <si>
    <t xml:space="preserve">     Landfill Gas</t>
  </si>
  <si>
    <t xml:space="preserve">     Solar</t>
  </si>
  <si>
    <t xml:space="preserve">     Wind</t>
  </si>
  <si>
    <t xml:space="preserve">     Distributed Solar PV</t>
  </si>
  <si>
    <t>Coal</t>
  </si>
  <si>
    <t xml:space="preserve">     Coal without CCS</t>
  </si>
  <si>
    <t xml:space="preserve">     IGCC without CCS</t>
  </si>
  <si>
    <t xml:space="preserve">     Coal with CCS</t>
  </si>
  <si>
    <t>Energy Storage</t>
  </si>
  <si>
    <t>Natural Gas</t>
  </si>
  <si>
    <t xml:space="preserve">     CC without CCS</t>
  </si>
  <si>
    <t xml:space="preserve">     CC with CCS</t>
  </si>
  <si>
    <t xml:space="preserve">     CT</t>
  </si>
  <si>
    <t>Oil/Gas Steam</t>
  </si>
  <si>
    <t>Other</t>
  </si>
  <si>
    <t>NEW MODELED CAPACITY  (Cumulative GW)</t>
  </si>
  <si>
    <t>NEW HARDWIRED CAPACITY  (Cumulative GW)</t>
  </si>
  <si>
    <t>RETIREMENTS (GW)</t>
  </si>
  <si>
    <t>CC Retirements</t>
  </si>
  <si>
    <t>Coal Retirements</t>
  </si>
  <si>
    <t>CT Retirements</t>
  </si>
  <si>
    <t>Nuclear Retirements</t>
  </si>
  <si>
    <t>O/G Retirements</t>
  </si>
  <si>
    <t>IGCC Retirements</t>
  </si>
  <si>
    <t>Biomass Retirements</t>
  </si>
  <si>
    <t>Fuel Cell Retirements</t>
  </si>
  <si>
    <t>Fossil_Other Retirements</t>
  </si>
  <si>
    <t>Geothermal Retirements</t>
  </si>
  <si>
    <t>Hydro Retirements</t>
  </si>
  <si>
    <t>Landfill Gas Retirements</t>
  </si>
  <si>
    <t>Non Fossil_Other Retirements</t>
  </si>
  <si>
    <t>Energy Storage Retirements</t>
  </si>
  <si>
    <t>GENERATION MIX (thousand GWh)</t>
  </si>
  <si>
    <t xml:space="preserve">     Biomass Co-firing</t>
  </si>
  <si>
    <t xml:space="preserve">     Coal without CCS (Biomass Co-firing is included)</t>
  </si>
  <si>
    <t>FUEL SUPPLY AND CONSUMPTION</t>
  </si>
  <si>
    <t>Coal Use by Region (million tons)</t>
  </si>
  <si>
    <t xml:space="preserve">     Power Sector</t>
  </si>
  <si>
    <t xml:space="preserve">          Appalachia</t>
  </si>
  <si>
    <t xml:space="preserve">          Imports</t>
  </si>
  <si>
    <t xml:space="preserve">          Interior</t>
  </si>
  <si>
    <t xml:space="preserve">          Waste Coal</t>
  </si>
  <si>
    <t xml:space="preserve">          West</t>
  </si>
  <si>
    <t xml:space="preserve">     Non-Power Sector</t>
  </si>
  <si>
    <t>Power Sector Coal Use by Rank (million tons)</t>
  </si>
  <si>
    <t xml:space="preserve">     Bituminous</t>
  </si>
  <si>
    <t xml:space="preserve">     Subbituminous</t>
  </si>
  <si>
    <t xml:space="preserve">     Lignite</t>
  </si>
  <si>
    <t>Natural Gas Use (Trillion cubic feet)</t>
  </si>
  <si>
    <t>Note: Distributed Solar PV are not included in the Grand Total of "Total Capacity" and "Generation Mix"</t>
  </si>
  <si>
    <t>Extrapolated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</si>
  <si>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</si>
  <si>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</si>
  <si>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</si>
  <si>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</si>
  <si>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</si>
  <si>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In the U.S., we use this file to represent expected coal CCS retrofits due to EPA 111 Rules</t>
  </si>
  <si>
    <t>for existing coal capacity.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</si>
</sst>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.00_);_(* \(#,##0.00\);_(* &quot;-&quot;??_);_(@_)"/>
    <numFmt numFmtId="177" formatCode="#,##0.0"/>
    <numFmt numFmtId="178" formatCode="0.0%"/>
    <numFmt numFmtId="179" formatCode="_(* #,##0.000_);_(* \(#,##0.000\);_(* &quot;-&quot;??_);_(@_)"/>
    <numFmt numFmtId="180" formatCode="#,##0.0000"/>
    <numFmt numFmtId="181" formatCode="_(* #,##0.00000_);_(* \(#,##0.00000\);_(* &quot;-&quot;??_);_(@_)"/>
    <numFmt numFmtId="182" formatCode="0.0"/>
  </numFmts>
  <fonts count="3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8"/>
      <name val="Arial"/>
      <family val="2"/>
    </font>
    <font>
      <b/>
      <sz val="12"/>
      <color theme="4"/>
      <name val="맑은 고딕"/>
      <family val="2"/>
      <scheme val="minor"/>
    </font>
    <font>
      <b/>
      <sz val="9"/>
      <color indexed="8"/>
      <name val="Calibri"/>
      <family val="2"/>
    </font>
    <font>
      <sz val="9"/>
      <name val="Calibri"/>
      <family val="2"/>
    </font>
    <font>
      <b/>
      <i/>
      <sz val="11"/>
      <color theme="1"/>
      <name val="맑은 고딕"/>
      <family val="2"/>
      <scheme val="minor"/>
    </font>
    <font>
      <sz val="11"/>
      <color indexed="8"/>
      <name val="Calibri"/>
      <family val="2"/>
    </font>
    <font>
      <sz val="11"/>
      <color rgb="FF000000"/>
      <name val="맑은 고딕"/>
      <family val="2"/>
      <scheme val="minor"/>
    </font>
    <font>
      <sz val="11"/>
      <color rgb="FF333333"/>
      <name val="맑은 고딕"/>
      <family val="2"/>
      <scheme val="minor"/>
    </font>
    <font>
      <sz val="11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20"/>
      <color theme="3"/>
      <name val="Arial"/>
      <family val="2"/>
    </font>
    <font>
      <b/>
      <sz val="14"/>
      <color theme="3"/>
      <name val="Arial"/>
      <family val="2"/>
    </font>
    <font>
      <b/>
      <sz val="12"/>
      <color rgb="FF004178"/>
      <name val="Arial"/>
      <family val="2"/>
    </font>
    <font>
      <b/>
      <sz val="9"/>
      <color theme="3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8"/>
      <color theme="1"/>
      <name val="맑은 고딕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6">
    <xf numFmtId="0" fontId="0" fillId="0" borderId="0"/>
    <xf numFmtId="176" fontId="2" fillId="0" borderId="0"/>
    <xf numFmtId="0" fontId="3" fillId="0" borderId="0"/>
    <xf numFmtId="0" fontId="4" fillId="0" borderId="1">
      <alignment wrapText="1"/>
    </xf>
    <xf numFmtId="0" fontId="8" fillId="0" borderId="0">
      <alignment horizontal="left"/>
    </xf>
    <xf numFmtId="0" fontId="4" fillId="0" borderId="2">
      <alignment wrapText="1"/>
    </xf>
    <xf numFmtId="0" fontId="3" fillId="0" borderId="3">
      <alignment wrapText="1"/>
    </xf>
    <xf numFmtId="0" fontId="3" fillId="0" borderId="4">
      <alignment vertical="top" wrapText="1"/>
    </xf>
    <xf numFmtId="0" fontId="12" fillId="0" borderId="0"/>
    <xf numFmtId="0" fontId="2" fillId="0" borderId="0"/>
    <xf numFmtId="0" fontId="12" fillId="0" borderId="0"/>
    <xf numFmtId="176" fontId="12" fillId="0" borderId="0"/>
    <xf numFmtId="9" fontId="12" fillId="0" borderId="0"/>
    <xf numFmtId="176" fontId="2" fillId="0" borderId="0" applyFont="0" applyFill="0" applyBorder="0" applyAlignment="0" applyProtection="0"/>
    <xf numFmtId="0" fontId="15" fillId="0" borderId="0"/>
    <xf numFmtId="176" fontId="26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2"/>
    <xf numFmtId="0" fontId="4" fillId="0" borderId="1" xfId="3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4">
      <alignment horizontal="left"/>
    </xf>
    <xf numFmtId="0" fontId="9" fillId="0" borderId="0" xfId="0" applyFont="1" applyAlignment="1">
      <alignment horizontal="right"/>
    </xf>
    <xf numFmtId="0" fontId="4" fillId="0" borderId="1" xfId="3" applyAlignment="1">
      <alignment horizontal="right" wrapText="1"/>
    </xf>
    <xf numFmtId="0" fontId="4" fillId="0" borderId="2" xfId="5">
      <alignment wrapText="1"/>
    </xf>
    <xf numFmtId="0" fontId="7" fillId="2" borderId="0" xfId="0" applyFont="1" applyFill="1"/>
    <xf numFmtId="0" fontId="0" fillId="2" borderId="3" xfId="6" applyFont="1" applyFill="1">
      <alignment wrapText="1"/>
    </xf>
    <xf numFmtId="177" fontId="0" fillId="2" borderId="3" xfId="6" applyNumberFormat="1" applyFont="1" applyFill="1" applyAlignment="1">
      <alignment horizontal="right" wrapText="1"/>
    </xf>
    <xf numFmtId="178" fontId="0" fillId="2" borderId="3" xfId="6" applyNumberFormat="1" applyFont="1" applyFill="1" applyAlignment="1">
      <alignment horizontal="right" wrapText="1"/>
    </xf>
    <xf numFmtId="0" fontId="0" fillId="2" borderId="0" xfId="0" applyFill="1"/>
    <xf numFmtId="0" fontId="0" fillId="0" borderId="3" xfId="6" applyFont="1">
      <alignment wrapText="1"/>
    </xf>
    <xf numFmtId="177" fontId="0" fillId="0" borderId="3" xfId="6" applyNumberFormat="1" applyFont="1" applyAlignment="1">
      <alignment horizontal="right" wrapText="1"/>
    </xf>
    <xf numFmtId="178" fontId="0" fillId="0" borderId="3" xfId="6" applyNumberFormat="1" applyFont="1" applyAlignment="1">
      <alignment horizontal="right" wrapText="1"/>
    </xf>
    <xf numFmtId="177" fontId="4" fillId="0" borderId="2" xfId="5" applyNumberFormat="1" applyAlignment="1">
      <alignment horizontal="right" wrapText="1"/>
    </xf>
    <xf numFmtId="178" fontId="4" fillId="0" borderId="2" xfId="5" applyNumberFormat="1" applyAlignment="1">
      <alignment horizontal="right" wrapText="1"/>
    </xf>
    <xf numFmtId="0" fontId="0" fillId="0" borderId="5" xfId="0" applyBorder="1"/>
    <xf numFmtId="0" fontId="10" fillId="0" borderId="0" xfId="0" applyFont="1"/>
    <xf numFmtId="0" fontId="1" fillId="3" borderId="0" xfId="0" applyFont="1" applyFill="1" applyAlignment="1">
      <alignment wrapText="1"/>
    </xf>
    <xf numFmtId="0" fontId="0" fillId="3" borderId="0" xfId="0" applyFill="1"/>
    <xf numFmtId="177" fontId="0" fillId="3" borderId="0" xfId="0" applyNumberFormat="1" applyFill="1"/>
    <xf numFmtId="177" fontId="0" fillId="0" borderId="0" xfId="0" applyNumberFormat="1"/>
    <xf numFmtId="0" fontId="11" fillId="4" borderId="0" xfId="0" applyFont="1" applyFill="1" applyAlignment="1">
      <alignment wrapText="1"/>
    </xf>
    <xf numFmtId="0" fontId="0" fillId="4" borderId="0" xfId="0" applyFill="1"/>
    <xf numFmtId="177" fontId="0" fillId="4" borderId="0" xfId="0" applyNumberFormat="1" applyFill="1"/>
    <xf numFmtId="179" fontId="0" fillId="4" borderId="0" xfId="1" applyNumberFormat="1" applyFont="1" applyFill="1"/>
    <xf numFmtId="176" fontId="0" fillId="4" borderId="0" xfId="1" applyFont="1" applyFill="1"/>
    <xf numFmtId="180" fontId="0" fillId="5" borderId="6" xfId="0" applyNumberFormat="1" applyFill="1" applyBorder="1"/>
    <xf numFmtId="0" fontId="1" fillId="6" borderId="0" xfId="0" applyFont="1" applyFill="1" applyAlignment="1">
      <alignment wrapText="1"/>
    </xf>
    <xf numFmtId="0" fontId="0" fillId="6" borderId="0" xfId="0" applyFill="1"/>
    <xf numFmtId="176" fontId="0" fillId="6" borderId="0" xfId="0" applyNumberFormat="1" applyFill="1"/>
    <xf numFmtId="0" fontId="0" fillId="0" borderId="0" xfId="0" applyAlignment="1">
      <alignment wrapText="1"/>
    </xf>
    <xf numFmtId="181" fontId="0" fillId="0" borderId="0" xfId="1" applyNumberFormat="1" applyFont="1"/>
    <xf numFmtId="179" fontId="0" fillId="7" borderId="6" xfId="0" applyNumberFormat="1" applyFill="1" applyBorder="1"/>
    <xf numFmtId="0" fontId="0" fillId="9" borderId="0" xfId="0" applyFill="1"/>
    <xf numFmtId="1" fontId="0" fillId="0" borderId="0" xfId="0" applyNumberFormat="1"/>
    <xf numFmtId="17" fontId="0" fillId="0" borderId="0" xfId="0" applyNumberFormat="1"/>
    <xf numFmtId="0" fontId="0" fillId="10" borderId="0" xfId="0" applyFill="1"/>
    <xf numFmtId="0" fontId="14" fillId="0" borderId="0" xfId="0" applyFont="1"/>
    <xf numFmtId="14" fontId="0" fillId="0" borderId="0" xfId="0" applyNumberFormat="1"/>
    <xf numFmtId="0" fontId="0" fillId="8" borderId="0" xfId="0" applyFill="1"/>
    <xf numFmtId="0" fontId="13" fillId="8" borderId="0" xfId="0" applyFont="1" applyFill="1" applyAlignment="1">
      <alignment vertical="center"/>
    </xf>
    <xf numFmtId="0" fontId="0" fillId="0" borderId="0" xfId="0"/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6" fillId="11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left"/>
    </xf>
    <xf numFmtId="0" fontId="24" fillId="12" borderId="7" xfId="0" applyFont="1" applyFill="1" applyBorder="1"/>
    <xf numFmtId="0" fontId="25" fillId="12" borderId="8" xfId="0" applyFont="1" applyFill="1" applyBorder="1"/>
    <xf numFmtId="1" fontId="24" fillId="12" borderId="8" xfId="15" applyNumberFormat="1" applyFont="1" applyFill="1" applyBorder="1" applyAlignment="1">
      <alignment horizontal="right"/>
    </xf>
    <xf numFmtId="1" fontId="24" fillId="12" borderId="9" xfId="15" applyNumberFormat="1" applyFont="1" applyFill="1" applyBorder="1" applyAlignment="1">
      <alignment horizontal="right"/>
    </xf>
    <xf numFmtId="1" fontId="27" fillId="0" borderId="0" xfId="15" applyNumberFormat="1" applyFont="1" applyFill="1" applyBorder="1" applyAlignment="1">
      <alignment horizontal="right"/>
    </xf>
    <xf numFmtId="0" fontId="28" fillId="0" borderId="10" xfId="0" applyFont="1" applyBorder="1"/>
    <xf numFmtId="0" fontId="28" fillId="0" borderId="0" xfId="0" applyFont="1"/>
    <xf numFmtId="182" fontId="17" fillId="0" borderId="0" xfId="15" applyNumberFormat="1" applyFont="1" applyFill="1" applyBorder="1" applyAlignment="1">
      <alignment horizontal="right"/>
    </xf>
    <xf numFmtId="182" fontId="29" fillId="0" borderId="0" xfId="15" applyNumberFormat="1" applyFont="1" applyFill="1" applyBorder="1" applyAlignment="1">
      <alignment horizontal="right"/>
    </xf>
    <xf numFmtId="182" fontId="29" fillId="0" borderId="0" xfId="0" applyNumberFormat="1" applyFont="1" applyAlignment="1">
      <alignment horizontal="right"/>
    </xf>
    <xf numFmtId="182" fontId="29" fillId="0" borderId="11" xfId="0" applyNumberFormat="1" applyFont="1" applyBorder="1" applyAlignment="1">
      <alignment horizontal="right"/>
    </xf>
    <xf numFmtId="182" fontId="16" fillId="0" borderId="0" xfId="0" applyNumberFormat="1" applyFont="1" applyAlignment="1">
      <alignment horizontal="right"/>
    </xf>
    <xf numFmtId="0" fontId="28" fillId="13" borderId="10" xfId="0" applyFont="1" applyFill="1" applyBorder="1"/>
    <xf numFmtId="0" fontId="28" fillId="13" borderId="0" xfId="0" applyFont="1" applyFill="1"/>
    <xf numFmtId="182" fontId="17" fillId="13" borderId="0" xfId="15" applyNumberFormat="1" applyFont="1" applyFill="1" applyBorder="1" applyAlignment="1">
      <alignment horizontal="right"/>
    </xf>
    <xf numFmtId="182" fontId="17" fillId="13" borderId="11" xfId="15" applyNumberFormat="1" applyFont="1" applyFill="1" applyBorder="1" applyAlignment="1">
      <alignment horizontal="right"/>
    </xf>
    <xf numFmtId="182" fontId="16" fillId="0" borderId="0" xfId="15" applyNumberFormat="1" applyFont="1" applyFill="1" applyBorder="1" applyAlignment="1">
      <alignment horizontal="right"/>
    </xf>
    <xf numFmtId="1" fontId="17" fillId="0" borderId="0" xfId="0" applyNumberFormat="1" applyFont="1" applyAlignment="1">
      <alignment horizontal="right"/>
    </xf>
    <xf numFmtId="1" fontId="17" fillId="0" borderId="11" xfId="0" applyNumberFormat="1" applyFont="1" applyBorder="1" applyAlignment="1">
      <alignment horizontal="right"/>
    </xf>
    <xf numFmtId="1" fontId="16" fillId="0" borderId="0" xfId="0" applyNumberFormat="1" applyFont="1" applyAlignment="1">
      <alignment horizontal="right"/>
    </xf>
    <xf numFmtId="1" fontId="17" fillId="13" borderId="0" xfId="15" applyNumberFormat="1" applyFont="1" applyFill="1" applyBorder="1" applyAlignment="1">
      <alignment horizontal="right"/>
    </xf>
    <xf numFmtId="1" fontId="17" fillId="13" borderId="11" xfId="15" applyNumberFormat="1" applyFont="1" applyFill="1" applyBorder="1" applyAlignment="1">
      <alignment horizontal="right"/>
    </xf>
    <xf numFmtId="1" fontId="16" fillId="0" borderId="0" xfId="15" applyNumberFormat="1" applyFont="1" applyFill="1" applyBorder="1" applyAlignment="1">
      <alignment horizontal="right"/>
    </xf>
    <xf numFmtId="0" fontId="28" fillId="0" borderId="12" xfId="0" applyFont="1" applyBorder="1"/>
    <xf numFmtId="0" fontId="28" fillId="0" borderId="13" xfId="0" applyFont="1" applyBorder="1"/>
    <xf numFmtId="1" fontId="17" fillId="0" borderId="13" xfId="15" applyNumberFormat="1" applyFont="1" applyFill="1" applyBorder="1" applyAlignment="1">
      <alignment horizontal="right"/>
    </xf>
    <xf numFmtId="1" fontId="29" fillId="0" borderId="13" xfId="15" applyNumberFormat="1" applyFont="1" applyFill="1" applyBorder="1" applyAlignment="1">
      <alignment horizontal="right"/>
    </xf>
    <xf numFmtId="1" fontId="29" fillId="0" borderId="14" xfId="15" applyNumberFormat="1" applyFont="1" applyFill="1" applyBorder="1" applyAlignment="1">
      <alignment horizontal="right"/>
    </xf>
    <xf numFmtId="39" fontId="17" fillId="0" borderId="0" xfId="15" applyNumberFormat="1" applyFont="1" applyFill="1" applyBorder="1" applyAlignment="1">
      <alignment horizontal="right"/>
    </xf>
    <xf numFmtId="37" fontId="17" fillId="0" borderId="0" xfId="15" applyNumberFormat="1" applyFont="1" applyFill="1" applyBorder="1" applyAlignment="1">
      <alignment horizontal="right"/>
    </xf>
    <xf numFmtId="0" fontId="28" fillId="13" borderId="12" xfId="0" applyFont="1" applyFill="1" applyBorder="1"/>
    <xf numFmtId="0" fontId="28" fillId="13" borderId="13" xfId="0" applyFont="1" applyFill="1" applyBorder="1"/>
    <xf numFmtId="2" fontId="17" fillId="13" borderId="13" xfId="15" applyNumberFormat="1" applyFont="1" applyFill="1" applyBorder="1" applyAlignment="1">
      <alignment horizontal="right"/>
    </xf>
    <xf numFmtId="2" fontId="17" fillId="13" borderId="14" xfId="15" applyNumberFormat="1" applyFont="1" applyFill="1" applyBorder="1" applyAlignment="1">
      <alignment horizontal="right"/>
    </xf>
    <xf numFmtId="2" fontId="16" fillId="0" borderId="0" xfId="15" applyNumberFormat="1" applyFont="1" applyFill="1" applyBorder="1" applyAlignment="1">
      <alignment horizontal="right"/>
    </xf>
    <xf numFmtId="1" fontId="28" fillId="0" borderId="0" xfId="15" applyNumberFormat="1" applyFont="1" applyFill="1" applyBorder="1" applyAlignment="1">
      <alignment horizontal="right"/>
    </xf>
    <xf numFmtId="1" fontId="17" fillId="0" borderId="0" xfId="15" applyNumberFormat="1" applyFont="1" applyFill="1" applyBorder="1" applyAlignment="1">
      <alignment horizontal="right"/>
    </xf>
    <xf numFmtId="4" fontId="17" fillId="0" borderId="0" xfId="15" applyNumberFormat="1" applyFont="1" applyFill="1" applyBorder="1" applyAlignment="1">
      <alignment horizontal="right"/>
    </xf>
    <xf numFmtId="4" fontId="17" fillId="0" borderId="11" xfId="15" applyNumberFormat="1" applyFont="1" applyFill="1" applyBorder="1" applyAlignment="1">
      <alignment horizontal="right"/>
    </xf>
    <xf numFmtId="4" fontId="16" fillId="0" borderId="0" xfId="15" applyNumberFormat="1" applyFont="1" applyFill="1" applyBorder="1" applyAlignment="1">
      <alignment horizontal="right"/>
    </xf>
    <xf numFmtId="4" fontId="17" fillId="13" borderId="0" xfId="15" applyNumberFormat="1" applyFont="1" applyFill="1" applyBorder="1" applyAlignment="1">
      <alignment horizontal="right"/>
    </xf>
    <xf numFmtId="4" fontId="17" fillId="13" borderId="11" xfId="15" applyNumberFormat="1" applyFont="1" applyFill="1" applyBorder="1" applyAlignment="1">
      <alignment horizontal="right"/>
    </xf>
    <xf numFmtId="0" fontId="17" fillId="0" borderId="10" xfId="0" applyFont="1" applyBorder="1"/>
    <xf numFmtId="0" fontId="17" fillId="0" borderId="0" xfId="0" applyFont="1"/>
    <xf numFmtId="0" fontId="17" fillId="13" borderId="10" xfId="0" applyFont="1" applyFill="1" applyBorder="1"/>
    <xf numFmtId="0" fontId="17" fillId="13" borderId="0" xfId="0" applyFont="1" applyFill="1"/>
    <xf numFmtId="0" fontId="17" fillId="0" borderId="12" xfId="0" applyFont="1" applyBorder="1"/>
    <xf numFmtId="0" fontId="17" fillId="0" borderId="13" xfId="0" applyFont="1" applyBorder="1"/>
    <xf numFmtId="4" fontId="17" fillId="0" borderId="13" xfId="15" applyNumberFormat="1" applyFont="1" applyFill="1" applyBorder="1" applyAlignment="1">
      <alignment horizontal="right"/>
    </xf>
    <xf numFmtId="4" fontId="17" fillId="0" borderId="14" xfId="15" applyNumberFormat="1" applyFont="1" applyFill="1" applyBorder="1" applyAlignment="1">
      <alignment horizontal="right"/>
    </xf>
    <xf numFmtId="37" fontId="28" fillId="0" borderId="0" xfId="15" applyNumberFormat="1" applyFont="1" applyFill="1" applyBorder="1" applyAlignment="1">
      <alignment horizontal="right"/>
    </xf>
    <xf numFmtId="3" fontId="17" fillId="0" borderId="0" xfId="15" applyNumberFormat="1" applyFont="1" applyFill="1" applyBorder="1" applyAlignment="1">
      <alignment horizontal="right"/>
    </xf>
    <xf numFmtId="3" fontId="17" fillId="0" borderId="11" xfId="15" applyNumberFormat="1" applyFont="1" applyFill="1" applyBorder="1" applyAlignment="1">
      <alignment horizontal="right"/>
    </xf>
    <xf numFmtId="3" fontId="16" fillId="0" borderId="0" xfId="15" applyNumberFormat="1" applyFont="1" applyFill="1" applyBorder="1" applyAlignment="1">
      <alignment horizontal="right"/>
    </xf>
    <xf numFmtId="3" fontId="17" fillId="13" borderId="0" xfId="15" applyNumberFormat="1" applyFont="1" applyFill="1" applyBorder="1" applyAlignment="1">
      <alignment horizontal="right"/>
    </xf>
    <xf numFmtId="3" fontId="17" fillId="13" borderId="11" xfId="15" applyNumberFormat="1" applyFont="1" applyFill="1" applyBorder="1" applyAlignment="1">
      <alignment horizontal="right"/>
    </xf>
    <xf numFmtId="3" fontId="29" fillId="0" borderId="0" xfId="15" applyNumberFormat="1" applyFont="1" applyFill="1" applyBorder="1" applyAlignment="1">
      <alignment horizontal="right"/>
    </xf>
    <xf numFmtId="3" fontId="29" fillId="0" borderId="11" xfId="15" applyNumberFormat="1" applyFont="1" applyFill="1" applyBorder="1" applyAlignment="1">
      <alignment horizontal="right"/>
    </xf>
    <xf numFmtId="0" fontId="30" fillId="0" borderId="0" xfId="0" applyFont="1"/>
    <xf numFmtId="3" fontId="29" fillId="13" borderId="0" xfId="15" applyNumberFormat="1" applyFont="1" applyFill="1" applyBorder="1" applyAlignment="1">
      <alignment horizontal="right"/>
    </xf>
    <xf numFmtId="3" fontId="29" fillId="13" borderId="11" xfId="15" applyNumberFormat="1" applyFont="1" applyFill="1" applyBorder="1" applyAlignment="1">
      <alignment horizontal="right"/>
    </xf>
    <xf numFmtId="0" fontId="28" fillId="0" borderId="15" xfId="0" applyFont="1" applyBorder="1"/>
    <xf numFmtId="0" fontId="17" fillId="0" borderId="16" xfId="0" applyFont="1" applyBorder="1"/>
    <xf numFmtId="3" fontId="17" fillId="0" borderId="16" xfId="15" applyNumberFormat="1" applyFont="1" applyFill="1" applyBorder="1" applyAlignment="1">
      <alignment horizontal="right"/>
    </xf>
    <xf numFmtId="3" fontId="17" fillId="0" borderId="17" xfId="15" applyNumberFormat="1" applyFont="1" applyFill="1" applyBorder="1" applyAlignment="1">
      <alignment horizontal="right"/>
    </xf>
    <xf numFmtId="1" fontId="17" fillId="0" borderId="11" xfId="15" applyNumberFormat="1" applyFont="1" applyFill="1" applyBorder="1" applyAlignment="1">
      <alignment horizontal="right"/>
    </xf>
    <xf numFmtId="3" fontId="31" fillId="0" borderId="0" xfId="15" applyNumberFormat="1" applyFont="1" applyFill="1" applyBorder="1" applyAlignment="1">
      <alignment horizontal="right"/>
    </xf>
    <xf numFmtId="0" fontId="17" fillId="14" borderId="10" xfId="0" applyFont="1" applyFill="1" applyBorder="1"/>
    <xf numFmtId="3" fontId="17" fillId="14" borderId="10" xfId="0" applyNumberFormat="1" applyFont="1" applyFill="1" applyBorder="1" applyAlignment="1">
      <alignment horizontal="left"/>
    </xf>
    <xf numFmtId="0" fontId="28" fillId="0" borderId="18" xfId="0" applyFont="1" applyBorder="1"/>
    <xf numFmtId="0" fontId="28" fillId="0" borderId="19" xfId="0" applyFont="1" applyBorder="1"/>
    <xf numFmtId="3" fontId="32" fillId="0" borderId="19" xfId="15" applyNumberFormat="1" applyFont="1" applyFill="1" applyBorder="1" applyAlignment="1">
      <alignment horizontal="right"/>
    </xf>
    <xf numFmtId="3" fontId="32" fillId="0" borderId="20" xfId="15" applyNumberFormat="1" applyFont="1" applyFill="1" applyBorder="1" applyAlignment="1">
      <alignment horizontal="right"/>
    </xf>
    <xf numFmtId="3" fontId="32" fillId="0" borderId="13" xfId="15" applyNumberFormat="1" applyFont="1" applyFill="1" applyBorder="1" applyAlignment="1">
      <alignment horizontal="right"/>
    </xf>
    <xf numFmtId="1" fontId="17" fillId="0" borderId="21" xfId="15" applyNumberFormat="1" applyFont="1" applyFill="1" applyBorder="1" applyAlignment="1">
      <alignment horizontal="right"/>
    </xf>
    <xf numFmtId="3" fontId="28" fillId="0" borderId="19" xfId="15" applyNumberFormat="1" applyFont="1" applyFill="1" applyBorder="1" applyAlignment="1">
      <alignment horizontal="right"/>
    </xf>
    <xf numFmtId="3" fontId="28" fillId="0" borderId="20" xfId="15" applyNumberFormat="1" applyFont="1" applyFill="1" applyBorder="1" applyAlignment="1">
      <alignment horizontal="right"/>
    </xf>
    <xf numFmtId="3" fontId="7" fillId="0" borderId="0" xfId="15" applyNumberFormat="1" applyFont="1" applyFill="1" applyBorder="1" applyAlignment="1">
      <alignment horizontal="right"/>
    </xf>
    <xf numFmtId="0" fontId="28" fillId="13" borderId="15" xfId="0" applyFont="1" applyFill="1" applyBorder="1"/>
    <xf numFmtId="0" fontId="17" fillId="13" borderId="16" xfId="0" applyFont="1" applyFill="1" applyBorder="1"/>
    <xf numFmtId="3" fontId="17" fillId="13" borderId="16" xfId="15" applyNumberFormat="1" applyFont="1" applyFill="1" applyBorder="1" applyAlignment="1">
      <alignment horizontal="right"/>
    </xf>
    <xf numFmtId="3" fontId="17" fillId="13" borderId="17" xfId="15" applyNumberFormat="1" applyFont="1" applyFill="1" applyBorder="1" applyAlignment="1">
      <alignment horizontal="right"/>
    </xf>
    <xf numFmtId="3" fontId="17" fillId="0" borderId="13" xfId="15" applyNumberFormat="1" applyFont="1" applyFill="1" applyBorder="1" applyAlignment="1">
      <alignment horizontal="right"/>
    </xf>
    <xf numFmtId="3" fontId="17" fillId="0" borderId="14" xfId="15" applyNumberFormat="1" applyFont="1" applyFill="1" applyBorder="1" applyAlignment="1">
      <alignment horizontal="right"/>
    </xf>
    <xf numFmtId="1" fontId="24" fillId="12" borderId="0" xfId="15" applyNumberFormat="1" applyFont="1" applyFill="1" applyBorder="1" applyAlignment="1">
      <alignment horizontal="right"/>
    </xf>
    <xf numFmtId="0" fontId="1" fillId="8" borderId="0" xfId="0" applyFont="1" applyFill="1"/>
    <xf numFmtId="0" fontId="0" fillId="0" borderId="0" xfId="0"/>
    <xf numFmtId="0" fontId="10" fillId="0" borderId="4" xfId="7" applyFont="1" applyAlignment="1">
      <alignment wrapText="1"/>
    </xf>
    <xf numFmtId="0" fontId="0" fillId="0" borderId="4" xfId="0" applyBorder="1"/>
    <xf numFmtId="0" fontId="18" fillId="0" borderId="0" xfId="0" applyFont="1" applyAlignment="1">
      <alignment horizontal="center"/>
    </xf>
    <xf numFmtId="0" fontId="19" fillId="11" borderId="0" xfId="0" applyFont="1" applyFill="1" applyAlignment="1">
      <alignment horizontal="left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16">
    <cellStyle name="Body: normal cell" xfId="6" xr:uid="{00000000-0005-0000-0000-000007000000}"/>
    <cellStyle name="Comma 2" xfId="11" xr:uid="{00000000-0005-0000-0000-00000C000000}"/>
    <cellStyle name="Comma 2 2" xfId="15" xr:uid="{E52FE600-546F-4F88-8BE6-396ADF4D3A73}"/>
    <cellStyle name="Comma 3" xfId="13" xr:uid="{8CAA9DCC-6534-4445-B4B7-CD4CD02EC2DD}"/>
    <cellStyle name="Font: Calibri, 9pt regular" xfId="2" xr:uid="{00000000-0005-0000-0000-000003000000}"/>
    <cellStyle name="Footnotes: top row" xfId="7" xr:uid="{00000000-0005-0000-0000-000008000000}"/>
    <cellStyle name="Header: bottom row" xfId="3" xr:uid="{00000000-0005-0000-0000-000004000000}"/>
    <cellStyle name="Normal 2" xfId="8" xr:uid="{00000000-0005-0000-0000-000009000000}"/>
    <cellStyle name="Normal 2 2" xfId="9" xr:uid="{00000000-0005-0000-0000-00000A000000}"/>
    <cellStyle name="Normal 2 2 2" xfId="10" xr:uid="{00000000-0005-0000-0000-00000B000000}"/>
    <cellStyle name="Normal 3 2" xfId="14" xr:uid="{3550D965-8F2C-4195-BDAB-762F97FD54A2}"/>
    <cellStyle name="Parent row" xfId="5" xr:uid="{00000000-0005-0000-0000-000006000000}"/>
    <cellStyle name="Percent 2" xfId="12" xr:uid="{00000000-0005-0000-0000-00000D000000}"/>
    <cellStyle name="Table title" xfId="4" xr:uid="{00000000-0005-0000-0000-000005000000}"/>
    <cellStyle name="쉼표" xfId="1" builtinId="3"/>
    <cellStyle name="표준" xfId="0" builtinId="0"/>
  </cellStyles>
  <dxfs count="2"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650760</xdr:colOff>
      <xdr:row>0</xdr:row>
      <xdr:rowOff>12701</xdr:rowOff>
    </xdr:from>
    <xdr:to>
      <xdr:col>0</xdr:col>
      <xdr:colOff>2466975</xdr:colOff>
      <xdr:row>7</xdr:row>
      <xdr:rowOff>12140</xdr:rowOff>
    </xdr:to>
    <xdr:pic>
      <xdr:nvPicPr>
        <xdr:cNvPr id="2" name="Picture 1" descr="Image result for epa logo">
          <a:extLst>
            <a:ext uri="{FF2B5EF4-FFF2-40B4-BE49-F238E27FC236}">
              <a16:creationId xmlns:a16="http://schemas.microsoft.com/office/drawing/2014/main" id="{C49ADFC8-7A5C-47AF-85B0-8B2252178A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6" r="17544"/>
        <a:stretch/>
      </xdr:blipFill>
      <xdr:spPr bwMode="auto">
        <a:xfrm>
          <a:off x="650760" y="12701"/>
          <a:ext cx="1816215" cy="1599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4726.539570833331" createdVersion="8" refreshedVersion="8" minRefreshableVersion="3" recordCount="1446" xr:uid="{00000000-000A-0000-FFFF-FFFF02000000}">
  <cacheSource type="worksheet">
    <worksheetSource ref="A2:O1448" sheet="Table_6_05_jan2022"/>
  </cacheSource>
  <cacheFields count="15">
    <cacheField name="Year" numFmtId="0">
      <sharedItems containsSemiMixedTypes="0" containsString="0" containsNumber="1" containsInteger="1" minValue="2021" maxValue="2030" count="8">
        <n v="2021"/>
        <n v="2022"/>
        <n v="2023"/>
        <n v="2024"/>
        <n v="2025"/>
        <n v="2026"/>
        <n v="2027"/>
        <n v="2030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4566"/>
    </cacheField>
    <cacheField name="Entity Name" numFmtId="0">
      <sharedItems/>
    </cacheField>
    <cacheField name="Plant Producer Type" numFmtId="0">
      <sharedItems count="5">
        <s v="IPP"/>
        <s v="Commercial"/>
        <s v="Electric Utility"/>
        <s v="Industrial"/>
        <s v="Electric CHP"/>
      </sharedItems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5276"/>
    </cacheField>
    <cacheField name="Generator ID" numFmtId="49">
      <sharedItems/>
    </cacheField>
    <cacheField name="Net Summer Capacity (MW)" numFmtId="177">
      <sharedItems containsSemiMixedTypes="0" containsString="0" containsNumber="1" minValue="0.1" maxValue="1265"/>
    </cacheField>
    <cacheField name="Technology" numFmtId="0">
      <sharedItems count="19">
        <s v="Solar Photovoltaic"/>
        <s v="Batteries"/>
        <s v="Onshore Wind Turbine"/>
        <s v="Natural Gas Internal Combustion Engine"/>
        <s v="Natural Gas Fired Combustion Turbine"/>
        <s v="Other Natural Gas"/>
        <s v="Natural Gas Steam Turbine"/>
        <s v="Natural Gas Fired Combined Cycle"/>
        <s v="Other Waste Biomass"/>
        <s v="Landfill Gas"/>
        <s v="Geothermal"/>
        <s v="Petroleum Liquids"/>
        <s v="Conventional Hydroelectric"/>
        <s v="Nuclear"/>
        <s v="Wood/Wood Waste Biomass"/>
        <s v="All Other"/>
        <s v="Natural Gas with Compressed Air Storage"/>
        <s v="Offshore Wind Turbine"/>
        <s v="Solar Thermal without Energy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 count="7">
        <s v="(V) Under construction, more than 50 percent complete"/>
        <s v="(TS) Construction complete, but not yet in commercial operation"/>
        <s v="(U) Under construction, less than or equal to 50 percent complete"/>
        <s v="(T) Regulatory approvals received. Not under construction"/>
        <s v="(OT) Other"/>
        <s v="(L) Regulatory approvals pending. Not under construction"/>
        <s v="(P) Planned for installation, but regulatory approvals not initiated"/>
      </sharedItems>
    </cacheField>
    <cacheField name="Nameplate Capacity (MW)" numFmtId="177">
      <sharedItems containsSemiMixedTypes="0" containsString="0" containsNumber="1" minValue="0.2" maxValue="2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 Orvis" refreshedDate="45167.569715509257" createdVersion="8" refreshedVersion="8" minRefreshableVersion="3" recordCount="2037" xr:uid="{00000000-000A-0000-FFFF-FFFF01000000}">
  <cacheSource type="worksheet">
    <worksheetSource ref="B2:P2039" sheet="Table_6_05_NOV2023"/>
  </cacheSource>
  <cacheFields count="15">
    <cacheField name="Year" numFmtId="0">
      <sharedItems containsSemiMixedTypes="0" containsString="0" containsNumber="1" containsInteger="1" minValue="2023" maxValue="2030" count="8">
        <n v="2023"/>
        <n v="2024"/>
        <n v="2025"/>
        <n v="2026"/>
        <n v="2027"/>
        <n v="2028"/>
        <n v="2029"/>
        <n v="2030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5782"/>
    </cacheField>
    <cacheField name="Entity Name" numFmtId="0">
      <sharedItems/>
    </cacheField>
    <cacheField name="Plant Producer Type" numFmtId="0">
      <sharedItems/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6821"/>
    </cacheField>
    <cacheField name="Generator ID" numFmtId="49">
      <sharedItems/>
    </cacheField>
    <cacheField name="Net Summer Capacity (MW)" numFmtId="177">
      <sharedItems containsSemiMixedTypes="0" containsString="0" containsNumber="1" minValue="0.2" maxValue="2250"/>
    </cacheField>
    <cacheField name="Technology" numFmtId="0">
      <sharedItems count="21">
        <s v="Solar Photovoltaic"/>
        <s v="Onshore Wind Turbine"/>
        <s v="Batteries"/>
        <s v="Natural Gas Fired Combustion Turbine"/>
        <s v="Petroleum Liquids"/>
        <s v="Natural Gas Fired Combined Cycle"/>
        <s v="Geothermal"/>
        <s v="All Other"/>
        <s v="Conventional Hydroelectric"/>
        <s v="Other Waste Biomass"/>
        <s v="Landfill Gas"/>
        <s v="Natural Gas Internal Combustion Engine"/>
        <s v="Nuclear"/>
        <s v="Natural Gas Steam Turbine"/>
        <s v="Other Natural Gas"/>
        <s v="Offshore Wind Turbine"/>
        <s v=""/>
        <s v="Wood/Wood Waste Biomass"/>
        <s v="Solar Thermal without Energy Storage"/>
        <s v="Natural Gas with Compressed Air Storage"/>
        <s v="Hydroelectric Pumped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/>
    </cacheField>
    <cacheField name="Nameplate Capacity (MW)" numFmtId="177">
      <sharedItems containsSemiMixedTypes="0" containsString="0" containsNumber="1" minValue="0.2" maxValue="2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4420.430917592603" createdVersion="7" refreshedVersion="7" minRefreshableVersion="3" recordCount="1422" xr:uid="{00000000-000A-0000-FFFF-FFFF00000000}">
  <cacheSource type="worksheet">
    <worksheetSource ref="A2:O1424" sheet="Table_6_05_jan2021"/>
  </cacheSource>
  <cacheFields count="15">
    <cacheField name="Year" numFmtId="0">
      <sharedItems containsSemiMixedTypes="0" containsString="0" containsNumber="1" containsInteger="1" minValue="2020" maxValue="2027" count="8">
        <n v="2020"/>
        <n v="2021"/>
        <n v="2022"/>
        <n v="2023"/>
        <n v="2024"/>
        <n v="2025"/>
        <n v="2026"/>
        <n v="2027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3862"/>
    </cacheField>
    <cacheField name="Entity Name" numFmtId="0">
      <sharedItems/>
    </cacheField>
    <cacheField name="Plant Producer Type" numFmtId="0">
      <sharedItems count="5">
        <s v="IPP"/>
        <s v="Electric Utility"/>
        <s v="Commercial"/>
        <s v="Industrial"/>
        <s v="Electric CHP"/>
      </sharedItems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4272"/>
    </cacheField>
    <cacheField name="Generator ID" numFmtId="49">
      <sharedItems/>
    </cacheField>
    <cacheField name="Net Summer Capacity (MW)" numFmtId="177">
      <sharedItems containsSemiMixedTypes="0" containsString="0" containsNumber="1" minValue="0.3" maxValue="1100"/>
    </cacheField>
    <cacheField name="Technology" numFmtId="0">
      <sharedItems count="20">
        <s v="Solar Photovoltaic"/>
        <s v="Batteries"/>
        <s v="Onshore Wind Turbine"/>
        <s v="Other Natural Gas"/>
        <s v="Landfill Gas"/>
        <s v="Conventional Hydroelectric"/>
        <s v="Petroleum Liquids"/>
        <s v="Other Waste Biomass"/>
        <s v="Natural Gas Fired Combustion Turbine"/>
        <s v="Natural Gas Internal Combustion Engine"/>
        <s v="Natural Gas Fired Combined Cycle"/>
        <s v="Offshore Wind Turbine"/>
        <s v="Natural Gas Steam Turbine"/>
        <s v="Nuclear"/>
        <s v="Geothermal"/>
        <s v="Wood/Wood Waste Biomass"/>
        <s v="All Other"/>
        <s v="Natural Gas with Compressed Air Storage"/>
        <s v="Flywheels"/>
        <s v="Solar Thermal without Energy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 count="7">
        <s v="(V) Under construction, more than 50 percent complete"/>
        <s v="(U) Under construction, less than or equal to 50 percent complete"/>
        <s v="(TS) Construction complete, but not yet in commercial operation"/>
        <s v="(T) Regulatory approvals received. Not under construction"/>
        <s v="(OT) Other"/>
        <s v="(P) Planned for installation, but regulatory approvals not initiated"/>
        <s v="(L) Regulatory approvals pending. Not under construction"/>
      </sharedItems>
    </cacheField>
    <cacheField name="Nameplate Capacity (MW)" numFmtId="177">
      <sharedItems containsSemiMixedTypes="0" containsString="0" containsNumber="1" minValue="0.3" maxValue="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Cache/pivotCacheRecords2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Cache/pivotCacheRecords3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3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57:I76" firstHeaderRow="1" firstDataRow="2" firstDataCol="1"/>
  <pivotFields count="15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axis="axisRow" showAll="0">
      <items count="22">
        <item h="1" x="16"/>
        <item h="1" x="7"/>
        <item x="2"/>
        <item x="8"/>
        <item x="6"/>
        <item h="1" x="20"/>
        <item x="10"/>
        <item x="5"/>
        <item x="3"/>
        <item x="11"/>
        <item x="13"/>
        <item x="19"/>
        <item x="12"/>
        <item x="15"/>
        <item x="1"/>
        <item x="14"/>
        <item x="9"/>
        <item x="4"/>
        <item x="0"/>
        <item x="18"/>
        <item x="17"/>
        <item t="default"/>
      </items>
    </pivotField>
    <pivotField showAll="0"/>
    <pivotField showAll="0"/>
    <pivotField showAll="0"/>
    <pivotField numFmtId="177" showAll="0"/>
  </pivotFields>
  <rowFields count="1">
    <field x="10"/>
  </rowFields>
  <rowItems count="18"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Net Summer Capacity (MW)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" cacheId="1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7" indent="0" outline="1" outlineData="1" multipleFieldFilters="0">
  <location ref="A5:I25" firstHeaderRow="1" firstDataRow="2" firstDataCol="1" rowPageCount="2" colPageCount="1"/>
  <pivotFields count="15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Page" multipleItemSelectionAllowed="1" showAll="0">
      <items count="6">
        <item h="1" x="2"/>
        <item x="4"/>
        <item x="1"/>
        <item h="1" x="3"/>
        <item x="0"/>
        <item t="default"/>
      </items>
    </pivotField>
    <pivotField showAll="0"/>
    <pivotField showAll="0"/>
    <pivotField showAll="0"/>
    <pivotField showAll="0"/>
    <pivotField dataField="1" numFmtId="177" showAll="0"/>
    <pivotField axis="axisRow" showAll="0">
      <items count="21">
        <item x="16"/>
        <item x="1"/>
        <item x="5"/>
        <item x="18"/>
        <item x="14"/>
        <item x="4"/>
        <item x="10"/>
        <item x="8"/>
        <item x="9"/>
        <item x="12"/>
        <item x="17"/>
        <item x="13"/>
        <item x="11"/>
        <item x="2"/>
        <item x="3"/>
        <item x="7"/>
        <item x="6"/>
        <item x="0"/>
        <item x="19"/>
        <item x="15"/>
        <item t="default"/>
      </items>
    </pivotField>
    <pivotField showAll="0"/>
    <pivotField showAll="0"/>
    <pivotField axis="axisPage" multipleItemSelectionAllowed="1" showAll="0">
      <items count="8">
        <item x="6"/>
        <item x="4"/>
        <item x="5"/>
        <item x="3"/>
        <item x="2"/>
        <item x="1"/>
        <item x="0"/>
        <item t="default"/>
      </items>
    </pivotField>
    <pivotField numFmtId="177" showAll="0"/>
  </pivotFields>
  <rowFields count="1">
    <field x="10"/>
  </rowFields>
  <rowItems count="19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3" hier="-1"/>
    <pageField fld="4" hier="-1"/>
  </pageFields>
  <dataFields count="1">
    <dataField name="Sum of Net Summer Capacity (MW)" fld="9" baseField="0" baseItem="0"/>
  </dataFields>
  <formats count="1">
    <format dxfId="0">
      <pivotArea collapsedLevelsAreSubtotals="1" fieldPosition="0">
        <references count="2">
          <reference field="0" count="1" selected="0">
            <x v="1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2" cacheId="1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3:I52" firstHeaderRow="1" firstDataRow="2" firstDataCol="1" rowPageCount="2" colPageCount="1"/>
  <pivotFields count="15">
    <pivotField axis="axisCol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Page" multipleItemSelectionAllowed="1" showAll="0">
      <items count="6">
        <item h="1" x="1"/>
        <item x="4"/>
        <item x="2"/>
        <item h="1" x="3"/>
        <item x="0"/>
        <item t="default"/>
      </items>
    </pivotField>
    <pivotField showAll="0"/>
    <pivotField showAll="0"/>
    <pivotField showAll="0"/>
    <pivotField showAll="0"/>
    <pivotField dataField="1" numFmtId="177" showAll="0"/>
    <pivotField axis="axisRow" showAll="0">
      <items count="20">
        <item x="15"/>
        <item x="1"/>
        <item x="12"/>
        <item x="10"/>
        <item x="9"/>
        <item x="7"/>
        <item x="4"/>
        <item x="3"/>
        <item x="6"/>
        <item x="16"/>
        <item x="13"/>
        <item x="17"/>
        <item x="2"/>
        <item x="5"/>
        <item x="8"/>
        <item x="11"/>
        <item x="0"/>
        <item x="18"/>
        <item x="14"/>
        <item t="default"/>
      </items>
    </pivotField>
    <pivotField showAll="0"/>
    <pivotField showAll="0"/>
    <pivotField axis="axisPage" showAll="0">
      <items count="8">
        <item x="5"/>
        <item x="4"/>
        <item x="6"/>
        <item x="3"/>
        <item x="1"/>
        <item x="2"/>
        <item x="0"/>
        <item t="default"/>
      </items>
    </pivotField>
    <pivotField numFmtId="177" showAll="0"/>
  </pivotFields>
  <rowFields count="1">
    <field x="1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3" hier="-1"/>
    <pageField fld="4" hier="-1"/>
  </pageFields>
  <dataFields count="1">
    <dataField name="Sum of Net Summer Capacity (MW)" fld="9" baseField="0" baseItem="0"/>
  </dataFields>
  <formats count="1">
    <format dxfId="1">
      <pivotArea collapsedLevelsAreSubtotals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workbookViewId="0">
      <selection activeCell="B5" sqref="B5"/>
    </sheetView>
  </sheetViews>
  <sheetFormatPr defaultRowHeight="17.399999999999999" x14ac:dyDescent="0.4"/>
  <cols>
    <col min="2" max="2" width="67.09765625" customWidth="1"/>
  </cols>
  <sheetData>
    <row r="1" spans="1:7" x14ac:dyDescent="0.4">
      <c r="A1" s="1" t="s">
        <v>195</v>
      </c>
      <c r="B1" s="45"/>
      <c r="C1" s="46"/>
      <c r="F1" s="45"/>
      <c r="G1" s="45"/>
    </row>
    <row r="2" spans="1:7" x14ac:dyDescent="0.4">
      <c r="F2" s="45"/>
      <c r="G2" s="45"/>
    </row>
    <row r="3" spans="1:7" x14ac:dyDescent="0.4">
      <c r="A3" s="1" t="s">
        <v>0</v>
      </c>
      <c r="B3" s="142" t="s">
        <v>278</v>
      </c>
      <c r="F3" s="45"/>
      <c r="G3" s="45"/>
    </row>
    <row r="4" spans="1:7" x14ac:dyDescent="0.4">
      <c r="B4" t="s">
        <v>279</v>
      </c>
      <c r="F4" s="45"/>
      <c r="G4" s="45"/>
    </row>
    <row r="5" spans="1:7" x14ac:dyDescent="0.4">
      <c r="B5" t="s">
        <v>280</v>
      </c>
      <c r="F5" s="45"/>
      <c r="G5" s="45"/>
    </row>
    <row r="6" spans="1:7" x14ac:dyDescent="0.4">
      <c r="B6" s="3">
        <v>2024</v>
      </c>
      <c r="F6" s="45"/>
      <c r="G6" s="45"/>
    </row>
    <row r="7" spans="1:7" x14ac:dyDescent="0.4">
      <c r="B7" t="s">
        <v>281</v>
      </c>
      <c r="F7" s="45"/>
      <c r="G7" s="45"/>
    </row>
    <row r="8" spans="1:7" x14ac:dyDescent="0.4">
      <c r="B8" t="s">
        <v>282</v>
      </c>
      <c r="F8" s="45"/>
      <c r="G8" s="45"/>
    </row>
    <row r="9" spans="1:7" x14ac:dyDescent="0.4">
      <c r="F9" s="45"/>
      <c r="G9" s="45"/>
    </row>
    <row r="10" spans="1:7" x14ac:dyDescent="0.4">
      <c r="A10" s="1" t="s">
        <v>1</v>
      </c>
      <c r="F10" s="45"/>
      <c r="G10" s="45"/>
    </row>
    <row r="11" spans="1:7" x14ac:dyDescent="0.4">
      <c r="A11" t="s">
        <v>2</v>
      </c>
      <c r="F11" s="45"/>
      <c r="G11" s="45"/>
    </row>
    <row r="12" spans="1:7" x14ac:dyDescent="0.4">
      <c r="A12" t="s">
        <v>196</v>
      </c>
      <c r="F12" s="45"/>
      <c r="G12" s="45"/>
    </row>
    <row r="13" spans="1:7" x14ac:dyDescent="0.4">
      <c r="A13" t="s">
        <v>3</v>
      </c>
      <c r="F13" s="45"/>
      <c r="G13" s="45"/>
    </row>
    <row r="14" spans="1:7" x14ac:dyDescent="0.4">
      <c r="A14" t="s">
        <v>4</v>
      </c>
      <c r="F14" s="45"/>
      <c r="G14" s="45"/>
    </row>
    <row r="15" spans="1:7" x14ac:dyDescent="0.4">
      <c r="F15" s="45"/>
      <c r="G15" s="45"/>
    </row>
    <row r="16" spans="1:7" x14ac:dyDescent="0.4">
      <c r="A16" t="s">
        <v>283</v>
      </c>
      <c r="F16" s="45"/>
      <c r="G16" s="45"/>
    </row>
    <row r="17" spans="1:7" x14ac:dyDescent="0.4">
      <c r="A17" t="s">
        <v>284</v>
      </c>
      <c r="F17" s="45"/>
      <c r="G17" s="45"/>
    </row>
    <row r="18" spans="1:7" x14ac:dyDescent="0.4">
      <c r="F18" s="45"/>
      <c r="G18" s="45"/>
    </row>
    <row r="19" spans="1:7" x14ac:dyDescent="0.4">
      <c r="F19" s="45"/>
      <c r="G19" s="45"/>
    </row>
    <row r="20" spans="1:7" x14ac:dyDescent="0.4">
      <c r="F20" s="45"/>
      <c r="G20" s="45"/>
    </row>
    <row r="21" spans="1:7" x14ac:dyDescent="0.4">
      <c r="F21" s="45"/>
      <c r="G21" s="45"/>
    </row>
    <row r="22" spans="1:7" x14ac:dyDescent="0.4">
      <c r="F22" s="45"/>
      <c r="G22" s="45"/>
    </row>
    <row r="23" spans="1:7" x14ac:dyDescent="0.4">
      <c r="F23" s="45"/>
      <c r="G23" s="45"/>
    </row>
    <row r="24" spans="1:7" x14ac:dyDescent="0.4">
      <c r="F24" s="45"/>
      <c r="G24" s="45"/>
    </row>
    <row r="25" spans="1:7" x14ac:dyDescent="0.4">
      <c r="F25" s="45"/>
      <c r="G25" s="45"/>
    </row>
    <row r="26" spans="1:7" x14ac:dyDescent="0.4">
      <c r="F26" s="45"/>
      <c r="G26" s="45"/>
    </row>
    <row r="27" spans="1:7" x14ac:dyDescent="0.4">
      <c r="F27" s="45"/>
      <c r="G27" s="45"/>
    </row>
    <row r="28" spans="1:7" x14ac:dyDescent="0.4">
      <c r="F28" s="45"/>
      <c r="G28" s="45"/>
    </row>
    <row r="29" spans="1:7" x14ac:dyDescent="0.4">
      <c r="F29" s="45"/>
      <c r="G29" s="45"/>
    </row>
    <row r="30" spans="1:7" x14ac:dyDescent="0.4">
      <c r="F30" s="45"/>
      <c r="G30" s="45"/>
    </row>
    <row r="31" spans="1:7" x14ac:dyDescent="0.4">
      <c r="F31" s="45"/>
      <c r="G31" s="45"/>
    </row>
    <row r="32" spans="1:7" x14ac:dyDescent="0.4">
      <c r="F32" s="45"/>
      <c r="G32" s="45"/>
    </row>
    <row r="33" spans="6:7" x14ac:dyDescent="0.4">
      <c r="F33" s="45"/>
      <c r="G33" s="45"/>
    </row>
    <row r="34" spans="6:7" x14ac:dyDescent="0.4">
      <c r="F34" s="45"/>
      <c r="G34" s="45"/>
    </row>
    <row r="35" spans="6:7" x14ac:dyDescent="0.4">
      <c r="F35" s="45"/>
      <c r="G35" s="45"/>
    </row>
    <row r="36" spans="6:7" x14ac:dyDescent="0.4">
      <c r="F36" s="45"/>
      <c r="G36" s="45"/>
    </row>
    <row r="37" spans="6:7" x14ac:dyDescent="0.4">
      <c r="F37" s="45"/>
      <c r="G37" s="45"/>
    </row>
    <row r="38" spans="6:7" x14ac:dyDescent="0.4">
      <c r="F38" s="45"/>
      <c r="G38" s="45"/>
    </row>
    <row r="39" spans="6:7" x14ac:dyDescent="0.4">
      <c r="F39" s="45"/>
      <c r="G39" s="45"/>
    </row>
    <row r="40" spans="6:7" x14ac:dyDescent="0.4">
      <c r="F40" s="45"/>
      <c r="G40" s="45"/>
    </row>
    <row r="41" spans="6:7" x14ac:dyDescent="0.4">
      <c r="F41" s="45"/>
      <c r="G41" s="45"/>
    </row>
    <row r="42" spans="6:7" x14ac:dyDescent="0.4">
      <c r="F42" s="45"/>
      <c r="G42" s="45"/>
    </row>
    <row r="43" spans="6:7" x14ac:dyDescent="0.4">
      <c r="F43" s="45"/>
      <c r="G43" s="45"/>
    </row>
    <row r="44" spans="6:7" x14ac:dyDescent="0.4">
      <c r="F44" s="45"/>
      <c r="G44" s="45"/>
    </row>
    <row r="45" spans="6:7" x14ac:dyDescent="0.4">
      <c r="F45" s="45"/>
      <c r="G45" s="45"/>
    </row>
    <row r="46" spans="6:7" x14ac:dyDescent="0.4">
      <c r="F46" s="45"/>
      <c r="G46" s="45"/>
    </row>
    <row r="47" spans="6:7" x14ac:dyDescent="0.4">
      <c r="F47" s="45"/>
      <c r="G47" s="45"/>
    </row>
  </sheetData>
  <phoneticPr fontId="35" type="noConversion"/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837"/>
  <sheetViews>
    <sheetView workbookViewId="0"/>
  </sheetViews>
  <sheetFormatPr defaultRowHeight="15" customHeight="1" x14ac:dyDescent="0.4"/>
  <cols>
    <col min="1" max="1" width="31.8984375" customWidth="1"/>
    <col min="2" max="2" width="49" customWidth="1"/>
  </cols>
  <sheetData>
    <row r="1" spans="1:34" ht="15" customHeight="1" thickBot="1" x14ac:dyDescent="0.45">
      <c r="B1" s="4" t="s">
        <v>44</v>
      </c>
      <c r="C1" s="5">
        <v>2020</v>
      </c>
      <c r="D1" s="5">
        <v>2021</v>
      </c>
      <c r="E1" s="5">
        <v>2022</v>
      </c>
      <c r="F1" s="5">
        <v>2023</v>
      </c>
      <c r="G1" s="5">
        <v>2024</v>
      </c>
      <c r="H1" s="5">
        <v>2025</v>
      </c>
      <c r="I1" s="5">
        <v>2026</v>
      </c>
      <c r="J1" s="5">
        <v>2027</v>
      </c>
      <c r="K1" s="5">
        <v>2028</v>
      </c>
      <c r="L1" s="5">
        <v>2029</v>
      </c>
      <c r="M1" s="5">
        <v>2030</v>
      </c>
      <c r="N1" s="5">
        <v>2031</v>
      </c>
      <c r="O1" s="5">
        <v>2032</v>
      </c>
      <c r="P1" s="5">
        <v>2033</v>
      </c>
      <c r="Q1" s="5">
        <v>2034</v>
      </c>
      <c r="R1" s="5">
        <v>2035</v>
      </c>
      <c r="S1" s="5">
        <v>2036</v>
      </c>
      <c r="T1" s="5">
        <v>2037</v>
      </c>
      <c r="U1" s="5">
        <v>2038</v>
      </c>
      <c r="V1" s="5">
        <v>2039</v>
      </c>
      <c r="W1" s="5">
        <v>2040</v>
      </c>
      <c r="X1" s="5">
        <v>2041</v>
      </c>
      <c r="Y1" s="5">
        <v>2042</v>
      </c>
      <c r="Z1" s="5">
        <v>2043</v>
      </c>
      <c r="AA1" s="5">
        <v>2044</v>
      </c>
      <c r="AB1" s="5">
        <v>2045</v>
      </c>
      <c r="AC1" s="5">
        <v>2046</v>
      </c>
      <c r="AD1" s="5">
        <v>2047</v>
      </c>
      <c r="AE1" s="5">
        <v>2048</v>
      </c>
      <c r="AF1" s="5">
        <v>2049</v>
      </c>
      <c r="AG1" s="5">
        <v>2050</v>
      </c>
    </row>
    <row r="2" spans="1:34" ht="15" customHeight="1" thickTop="1" x14ac:dyDescent="0.4"/>
    <row r="3" spans="1:34" ht="15" customHeight="1" x14ac:dyDescent="0.4">
      <c r="C3" s="6" t="s">
        <v>45</v>
      </c>
      <c r="D3" s="6" t="s">
        <v>46</v>
      </c>
      <c r="E3" s="7"/>
      <c r="F3" s="7"/>
      <c r="G3" s="7"/>
      <c r="H3" s="7"/>
    </row>
    <row r="4" spans="1:34" ht="15" customHeight="1" x14ac:dyDescent="0.4">
      <c r="C4" s="6" t="s">
        <v>47</v>
      </c>
      <c r="D4" s="6" t="s">
        <v>48</v>
      </c>
      <c r="E4" s="7"/>
      <c r="F4" s="7"/>
      <c r="G4" s="6" t="s">
        <v>49</v>
      </c>
      <c r="H4" s="7"/>
    </row>
    <row r="5" spans="1:34" ht="15" customHeight="1" x14ac:dyDescent="0.4">
      <c r="C5" s="6" t="s">
        <v>50</v>
      </c>
      <c r="D5" s="6" t="s">
        <v>51</v>
      </c>
      <c r="E5" s="7"/>
      <c r="F5" s="7"/>
      <c r="G5" s="7"/>
      <c r="H5" s="7"/>
    </row>
    <row r="6" spans="1:34" ht="15" customHeight="1" x14ac:dyDescent="0.4">
      <c r="C6" s="6" t="s">
        <v>52</v>
      </c>
      <c r="D6" s="7"/>
      <c r="E6" s="6" t="s">
        <v>53</v>
      </c>
      <c r="F6" s="7"/>
      <c r="G6" s="7"/>
      <c r="H6" s="7"/>
    </row>
    <row r="7" spans="1:34" ht="15" customHeight="1" x14ac:dyDescent="0.4">
      <c r="C7" s="7"/>
      <c r="D7" s="7"/>
      <c r="E7" s="7"/>
      <c r="F7" s="7"/>
      <c r="G7" s="7"/>
      <c r="H7" s="7"/>
    </row>
    <row r="10" spans="1:34" ht="15" customHeight="1" x14ac:dyDescent="0.45">
      <c r="A10" s="8" t="s">
        <v>54</v>
      </c>
      <c r="B10" s="9" t="s">
        <v>55</v>
      </c>
      <c r="AH10" s="10" t="s">
        <v>56</v>
      </c>
    </row>
    <row r="11" spans="1:34" ht="15" customHeight="1" x14ac:dyDescent="0.4">
      <c r="B11" s="4" t="s">
        <v>57</v>
      </c>
      <c r="AH11" s="10" t="s">
        <v>58</v>
      </c>
    </row>
    <row r="12" spans="1:34" ht="15" customHeight="1" x14ac:dyDescent="0.4"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" t="s">
        <v>59</v>
      </c>
    </row>
    <row r="13" spans="1:34" ht="15" customHeight="1" thickBot="1" x14ac:dyDescent="0.45">
      <c r="B13" s="5" t="s">
        <v>60</v>
      </c>
      <c r="C13" s="5">
        <v>2020</v>
      </c>
      <c r="D13" s="5">
        <v>2021</v>
      </c>
      <c r="E13" s="5">
        <v>2022</v>
      </c>
      <c r="F13" s="5">
        <v>2023</v>
      </c>
      <c r="G13" s="5">
        <v>2024</v>
      </c>
      <c r="H13" s="5">
        <v>2025</v>
      </c>
      <c r="I13" s="5">
        <v>2026</v>
      </c>
      <c r="J13" s="5">
        <v>2027</v>
      </c>
      <c r="K13" s="5">
        <v>2028</v>
      </c>
      <c r="L13" s="5">
        <v>2029</v>
      </c>
      <c r="M13" s="5">
        <v>2030</v>
      </c>
      <c r="N13" s="5">
        <v>2031</v>
      </c>
      <c r="O13" s="5">
        <v>2032</v>
      </c>
      <c r="P13" s="5">
        <v>2033</v>
      </c>
      <c r="Q13" s="5">
        <v>2034</v>
      </c>
      <c r="R13" s="5">
        <v>2035</v>
      </c>
      <c r="S13" s="5">
        <v>2036</v>
      </c>
      <c r="T13" s="5">
        <v>2037</v>
      </c>
      <c r="U13" s="5">
        <v>2038</v>
      </c>
      <c r="V13" s="5">
        <v>2039</v>
      </c>
      <c r="W13" s="5">
        <v>2040</v>
      </c>
      <c r="X13" s="5">
        <v>2041</v>
      </c>
      <c r="Y13" s="5">
        <v>2042</v>
      </c>
      <c r="Z13" s="5">
        <v>2043</v>
      </c>
      <c r="AA13" s="5">
        <v>2044</v>
      </c>
      <c r="AB13" s="5">
        <v>2045</v>
      </c>
      <c r="AC13" s="5">
        <v>2046</v>
      </c>
      <c r="AD13" s="5">
        <v>2047</v>
      </c>
      <c r="AE13" s="5">
        <v>2048</v>
      </c>
      <c r="AF13" s="5">
        <v>2049</v>
      </c>
      <c r="AG13" s="5">
        <v>2050</v>
      </c>
      <c r="AH13" s="11" t="s">
        <v>61</v>
      </c>
    </row>
    <row r="14" spans="1:34" ht="15" customHeight="1" thickTop="1" x14ac:dyDescent="0.4"/>
    <row r="15" spans="1:34" ht="15" customHeight="1" x14ac:dyDescent="0.4">
      <c r="B15" s="12" t="s">
        <v>62</v>
      </c>
    </row>
    <row r="16" spans="1:34" ht="15" customHeight="1" x14ac:dyDescent="0.4">
      <c r="B16" s="12" t="s">
        <v>63</v>
      </c>
    </row>
    <row r="17" spans="1:34" s="17" customFormat="1" ht="15" customHeight="1" x14ac:dyDescent="0.4">
      <c r="A17" s="13" t="s">
        <v>64</v>
      </c>
      <c r="B17" s="14" t="s">
        <v>65</v>
      </c>
      <c r="C17" s="15">
        <v>217.319931</v>
      </c>
      <c r="D17" s="15">
        <v>212.916504</v>
      </c>
      <c r="E17" s="15">
        <v>208.204193</v>
      </c>
      <c r="F17" s="15">
        <v>187.94560200000001</v>
      </c>
      <c r="G17" s="15">
        <v>177.84901400000001</v>
      </c>
      <c r="H17" s="15">
        <v>111.623718</v>
      </c>
      <c r="I17" s="15">
        <v>107.49852</v>
      </c>
      <c r="J17" s="15">
        <v>99.094620000000006</v>
      </c>
      <c r="K17" s="15">
        <v>95.793616999999998</v>
      </c>
      <c r="L17" s="15">
        <v>93.304123000000004</v>
      </c>
      <c r="M17" s="15">
        <v>90.772118000000006</v>
      </c>
      <c r="N17" s="15">
        <v>89.354118</v>
      </c>
      <c r="O17" s="15">
        <v>86.515113999999997</v>
      </c>
      <c r="P17" s="15">
        <v>84.896118000000001</v>
      </c>
      <c r="Q17" s="15">
        <v>82.760315000000006</v>
      </c>
      <c r="R17" s="15">
        <v>81.144310000000004</v>
      </c>
      <c r="S17" s="15">
        <v>81.144310000000004</v>
      </c>
      <c r="T17" s="15">
        <v>80.805312999999998</v>
      </c>
      <c r="U17" s="15">
        <v>78.685310000000001</v>
      </c>
      <c r="V17" s="15">
        <v>78.346305999999998</v>
      </c>
      <c r="W17" s="15">
        <v>78.346305999999998</v>
      </c>
      <c r="X17" s="15">
        <v>78.006309999999999</v>
      </c>
      <c r="Y17" s="15">
        <v>78.006309999999999</v>
      </c>
      <c r="Z17" s="15">
        <v>78.006309999999999</v>
      </c>
      <c r="AA17" s="15">
        <v>77.985305999999994</v>
      </c>
      <c r="AB17" s="15">
        <v>75.056304999999995</v>
      </c>
      <c r="AC17" s="15">
        <v>74.376311999999999</v>
      </c>
      <c r="AD17" s="15">
        <v>74.376311999999999</v>
      </c>
      <c r="AE17" s="15">
        <v>73.266311999999999</v>
      </c>
      <c r="AF17" s="15">
        <v>73.266311999999999</v>
      </c>
      <c r="AG17" s="15">
        <v>73.266311999999999</v>
      </c>
      <c r="AH17" s="16">
        <v>-3.5593E-2</v>
      </c>
    </row>
    <row r="18" spans="1:34" ht="15" customHeight="1" x14ac:dyDescent="0.4">
      <c r="A18" s="8" t="s">
        <v>66</v>
      </c>
      <c r="B18" s="18" t="s">
        <v>67</v>
      </c>
      <c r="C18" s="19">
        <v>72.645202999999995</v>
      </c>
      <c r="D18" s="19">
        <v>71.450103999999996</v>
      </c>
      <c r="E18" s="19">
        <v>66.598999000000006</v>
      </c>
      <c r="F18" s="19">
        <v>62.020508</v>
      </c>
      <c r="G18" s="19">
        <v>56.839500000000001</v>
      </c>
      <c r="H18" s="19">
        <v>69.829696999999996</v>
      </c>
      <c r="I18" s="19">
        <v>65.722999999999999</v>
      </c>
      <c r="J18" s="19">
        <v>64.680496000000005</v>
      </c>
      <c r="K18" s="19">
        <v>63.032501000000003</v>
      </c>
      <c r="L18" s="19">
        <v>56.303103999999998</v>
      </c>
      <c r="M18" s="19">
        <v>56.258102000000001</v>
      </c>
      <c r="N18" s="19">
        <v>55.284602999999997</v>
      </c>
      <c r="O18" s="19">
        <v>55.041598999999998</v>
      </c>
      <c r="P18" s="19">
        <v>54.297801999999997</v>
      </c>
      <c r="Q18" s="19">
        <v>53.794803999999999</v>
      </c>
      <c r="R18" s="19">
        <v>52.824299000000003</v>
      </c>
      <c r="S18" s="19">
        <v>51.914299</v>
      </c>
      <c r="T18" s="19">
        <v>51.914299</v>
      </c>
      <c r="U18" s="19">
        <v>51.914299</v>
      </c>
      <c r="V18" s="19">
        <v>51.7883</v>
      </c>
      <c r="W18" s="19">
        <v>51.7883</v>
      </c>
      <c r="X18" s="19">
        <v>51.7883</v>
      </c>
      <c r="Y18" s="19">
        <v>51.7883</v>
      </c>
      <c r="Z18" s="19">
        <v>51.7883</v>
      </c>
      <c r="AA18" s="19">
        <v>51.7883</v>
      </c>
      <c r="AB18" s="19">
        <v>51.682301000000002</v>
      </c>
      <c r="AC18" s="19">
        <v>51.682301000000002</v>
      </c>
      <c r="AD18" s="19">
        <v>51.682301000000002</v>
      </c>
      <c r="AE18" s="19">
        <v>51.682301000000002</v>
      </c>
      <c r="AF18" s="19">
        <v>51.129299000000003</v>
      </c>
      <c r="AG18" s="19">
        <v>51.129299000000003</v>
      </c>
      <c r="AH18" s="20">
        <v>-1.1639E-2</v>
      </c>
    </row>
    <row r="19" spans="1:34" ht="15" customHeight="1" x14ac:dyDescent="0.4">
      <c r="A19" s="8" t="s">
        <v>68</v>
      </c>
      <c r="B19" s="18" t="s">
        <v>69</v>
      </c>
      <c r="C19" s="19">
        <v>245.41911300000001</v>
      </c>
      <c r="D19" s="19">
        <v>248.74231</v>
      </c>
      <c r="E19" s="19">
        <v>261.34234600000002</v>
      </c>
      <c r="F19" s="19">
        <v>266.809235</v>
      </c>
      <c r="G19" s="19">
        <v>275.23620599999998</v>
      </c>
      <c r="H19" s="19">
        <v>295.59759500000001</v>
      </c>
      <c r="I19" s="19">
        <v>316.24749800000001</v>
      </c>
      <c r="J19" s="19">
        <v>340.656769</v>
      </c>
      <c r="K19" s="19">
        <v>347.021545</v>
      </c>
      <c r="L19" s="19">
        <v>351.83999599999999</v>
      </c>
      <c r="M19" s="19">
        <v>356.66967799999998</v>
      </c>
      <c r="N19" s="19">
        <v>362.06024200000002</v>
      </c>
      <c r="O19" s="19">
        <v>368.02654999999999</v>
      </c>
      <c r="P19" s="19">
        <v>372.73223899999999</v>
      </c>
      <c r="Q19" s="19">
        <v>377.60668900000002</v>
      </c>
      <c r="R19" s="19">
        <v>382.26901199999998</v>
      </c>
      <c r="S19" s="19">
        <v>387.80670199999997</v>
      </c>
      <c r="T19" s="19">
        <v>394.61877399999997</v>
      </c>
      <c r="U19" s="19">
        <v>400.82574499999998</v>
      </c>
      <c r="V19" s="19">
        <v>405.36828600000001</v>
      </c>
      <c r="W19" s="19">
        <v>411.04443400000002</v>
      </c>
      <c r="X19" s="19">
        <v>416.14801</v>
      </c>
      <c r="Y19" s="19">
        <v>421.73791499999999</v>
      </c>
      <c r="Z19" s="19">
        <v>430.15917999999999</v>
      </c>
      <c r="AA19" s="19">
        <v>439.63421599999998</v>
      </c>
      <c r="AB19" s="19">
        <v>444.72955300000001</v>
      </c>
      <c r="AC19" s="19">
        <v>450.20056199999999</v>
      </c>
      <c r="AD19" s="19">
        <v>455.42334</v>
      </c>
      <c r="AE19" s="19">
        <v>462.29406699999998</v>
      </c>
      <c r="AF19" s="19">
        <v>466.41812099999999</v>
      </c>
      <c r="AG19" s="19">
        <v>472.561981</v>
      </c>
      <c r="AH19" s="20">
        <v>2.2079999999999999E-2</v>
      </c>
    </row>
    <row r="20" spans="1:34" ht="15" customHeight="1" x14ac:dyDescent="0.4">
      <c r="A20" s="8" t="s">
        <v>70</v>
      </c>
      <c r="B20" s="18" t="s">
        <v>71</v>
      </c>
      <c r="C20" s="19">
        <v>139.99884</v>
      </c>
      <c r="D20" s="19">
        <v>151.966003</v>
      </c>
      <c r="E20" s="19">
        <v>157.28396599999999</v>
      </c>
      <c r="F20" s="19">
        <v>163.12406899999999</v>
      </c>
      <c r="G20" s="19">
        <v>170.05273399999999</v>
      </c>
      <c r="H20" s="19">
        <v>186.36914100000001</v>
      </c>
      <c r="I20" s="19">
        <v>195.864746</v>
      </c>
      <c r="J20" s="19">
        <v>201.536407</v>
      </c>
      <c r="K20" s="19">
        <v>206.652863</v>
      </c>
      <c r="L20" s="19">
        <v>210.368439</v>
      </c>
      <c r="M20" s="19">
        <v>214.018631</v>
      </c>
      <c r="N20" s="19">
        <v>217.90661600000001</v>
      </c>
      <c r="O20" s="19">
        <v>221.90841699999999</v>
      </c>
      <c r="P20" s="19">
        <v>224.936386</v>
      </c>
      <c r="Q20" s="19">
        <v>229.371002</v>
      </c>
      <c r="R20" s="19">
        <v>234.94541899999999</v>
      </c>
      <c r="S20" s="19">
        <v>239.25157200000001</v>
      </c>
      <c r="T20" s="19">
        <v>243.658432</v>
      </c>
      <c r="U20" s="19">
        <v>246.74908400000001</v>
      </c>
      <c r="V20" s="19">
        <v>250.24752799999999</v>
      </c>
      <c r="W20" s="19">
        <v>255.838989</v>
      </c>
      <c r="X20" s="19">
        <v>259.135986</v>
      </c>
      <c r="Y20" s="19">
        <v>265.74377399999997</v>
      </c>
      <c r="Z20" s="19">
        <v>271.13488799999999</v>
      </c>
      <c r="AA20" s="19">
        <v>275.76062000000002</v>
      </c>
      <c r="AB20" s="19">
        <v>283.54571499999997</v>
      </c>
      <c r="AC20" s="19">
        <v>289.10192899999998</v>
      </c>
      <c r="AD20" s="19">
        <v>293.97659299999998</v>
      </c>
      <c r="AE20" s="19">
        <v>298.957855</v>
      </c>
      <c r="AF20" s="19">
        <v>302.975525</v>
      </c>
      <c r="AG20" s="19">
        <v>310.84103399999998</v>
      </c>
      <c r="AH20" s="20">
        <v>2.6945E-2</v>
      </c>
    </row>
    <row r="21" spans="1:34" ht="15" customHeight="1" x14ac:dyDescent="0.4">
      <c r="A21" s="8" t="s">
        <v>72</v>
      </c>
      <c r="B21" s="18" t="s">
        <v>73</v>
      </c>
      <c r="C21" s="19">
        <v>97.120911000000007</v>
      </c>
      <c r="D21" s="19">
        <v>92.484604000000004</v>
      </c>
      <c r="E21" s="19">
        <v>92.860007999999993</v>
      </c>
      <c r="F21" s="19">
        <v>92.904007000000007</v>
      </c>
      <c r="G21" s="19">
        <v>92.954802999999998</v>
      </c>
      <c r="H21" s="19">
        <v>91.863929999999996</v>
      </c>
      <c r="I21" s="19">
        <v>78.538353000000001</v>
      </c>
      <c r="J21" s="19">
        <v>70.422721999999993</v>
      </c>
      <c r="K21" s="19">
        <v>68.100891000000004</v>
      </c>
      <c r="L21" s="19">
        <v>61.715468999999999</v>
      </c>
      <c r="M21" s="19">
        <v>61.801544</v>
      </c>
      <c r="N21" s="19">
        <v>59.645149000000004</v>
      </c>
      <c r="O21" s="19">
        <v>58.456760000000003</v>
      </c>
      <c r="P21" s="19">
        <v>57.484282999999998</v>
      </c>
      <c r="Q21" s="19">
        <v>55.438353999999997</v>
      </c>
      <c r="R21" s="19">
        <v>55.616706999999998</v>
      </c>
      <c r="S21" s="19">
        <v>54.627181999999998</v>
      </c>
      <c r="T21" s="19">
        <v>52.646942000000003</v>
      </c>
      <c r="U21" s="19">
        <v>51.831885999999997</v>
      </c>
      <c r="V21" s="19">
        <v>51.831885999999997</v>
      </c>
      <c r="W21" s="19">
        <v>51.875618000000003</v>
      </c>
      <c r="X21" s="19">
        <v>52.034545999999999</v>
      </c>
      <c r="Y21" s="19">
        <v>52.149535999999998</v>
      </c>
      <c r="Z21" s="19">
        <v>49.878754000000001</v>
      </c>
      <c r="AA21" s="19">
        <v>44.363968</v>
      </c>
      <c r="AB21" s="19">
        <v>44.467846000000002</v>
      </c>
      <c r="AC21" s="19">
        <v>44.521946</v>
      </c>
      <c r="AD21" s="19">
        <v>43.665047000000001</v>
      </c>
      <c r="AE21" s="19">
        <v>41.858733999999998</v>
      </c>
      <c r="AF21" s="19">
        <v>41.899445</v>
      </c>
      <c r="AG21" s="19">
        <v>41.961776999999998</v>
      </c>
      <c r="AH21" s="20">
        <v>-2.7585999999999999E-2</v>
      </c>
    </row>
    <row r="22" spans="1:34" ht="15" customHeight="1" x14ac:dyDescent="0.4">
      <c r="A22" s="8" t="s">
        <v>74</v>
      </c>
      <c r="B22" s="18" t="s">
        <v>75</v>
      </c>
      <c r="C22" s="19">
        <v>22.778303000000001</v>
      </c>
      <c r="D22" s="19">
        <v>22.778303000000001</v>
      </c>
      <c r="E22" s="19">
        <v>22.778303000000001</v>
      </c>
      <c r="F22" s="19">
        <v>22.778303000000001</v>
      </c>
      <c r="G22" s="19">
        <v>22.778303000000001</v>
      </c>
      <c r="H22" s="19">
        <v>22.778303000000001</v>
      </c>
      <c r="I22" s="19">
        <v>22.778303000000001</v>
      </c>
      <c r="J22" s="19">
        <v>22.778303000000001</v>
      </c>
      <c r="K22" s="19">
        <v>22.778303000000001</v>
      </c>
      <c r="L22" s="19">
        <v>22.778303000000001</v>
      </c>
      <c r="M22" s="19">
        <v>22.778303000000001</v>
      </c>
      <c r="N22" s="19">
        <v>22.778303000000001</v>
      </c>
      <c r="O22" s="19">
        <v>22.778303000000001</v>
      </c>
      <c r="P22" s="19">
        <v>22.778303000000001</v>
      </c>
      <c r="Q22" s="19">
        <v>22.778303000000001</v>
      </c>
      <c r="R22" s="19">
        <v>22.778303000000001</v>
      </c>
      <c r="S22" s="19">
        <v>22.778303000000001</v>
      </c>
      <c r="T22" s="19">
        <v>22.778303000000001</v>
      </c>
      <c r="U22" s="19">
        <v>22.778303000000001</v>
      </c>
      <c r="V22" s="19">
        <v>22.778303000000001</v>
      </c>
      <c r="W22" s="19">
        <v>22.778303000000001</v>
      </c>
      <c r="X22" s="19">
        <v>22.778303000000001</v>
      </c>
      <c r="Y22" s="19">
        <v>22.778303000000001</v>
      </c>
      <c r="Z22" s="19">
        <v>22.778303000000001</v>
      </c>
      <c r="AA22" s="19">
        <v>22.778303000000001</v>
      </c>
      <c r="AB22" s="19">
        <v>22.778303000000001</v>
      </c>
      <c r="AC22" s="19">
        <v>22.778303000000001</v>
      </c>
      <c r="AD22" s="19">
        <v>22.778303000000001</v>
      </c>
      <c r="AE22" s="19">
        <v>22.778303000000001</v>
      </c>
      <c r="AF22" s="19">
        <v>22.778303000000001</v>
      </c>
      <c r="AG22" s="19">
        <v>22.778303000000001</v>
      </c>
      <c r="AH22" s="20">
        <v>0</v>
      </c>
    </row>
    <row r="23" spans="1:34" ht="15" customHeight="1" x14ac:dyDescent="0.4">
      <c r="A23" s="8" t="s">
        <v>76</v>
      </c>
      <c r="B23" s="18" t="s">
        <v>77</v>
      </c>
      <c r="C23" s="19">
        <v>3.1509999999999998</v>
      </c>
      <c r="D23" s="19">
        <v>6.9255000000000004</v>
      </c>
      <c r="E23" s="19">
        <v>8.623799</v>
      </c>
      <c r="F23" s="19">
        <v>9.5348000000000006</v>
      </c>
      <c r="G23" s="19">
        <v>10.196526</v>
      </c>
      <c r="H23" s="19">
        <v>11.049868</v>
      </c>
      <c r="I23" s="19">
        <v>11.467271999999999</v>
      </c>
      <c r="J23" s="19">
        <v>11.890328</v>
      </c>
      <c r="K23" s="19">
        <v>12.301329000000001</v>
      </c>
      <c r="L23" s="19">
        <v>12.712327999999999</v>
      </c>
      <c r="M23" s="19">
        <v>13.123329</v>
      </c>
      <c r="N23" s="19">
        <v>13.123329</v>
      </c>
      <c r="O23" s="19">
        <v>13.128527</v>
      </c>
      <c r="P23" s="19">
        <v>13.128527</v>
      </c>
      <c r="Q23" s="19">
        <v>13.128527</v>
      </c>
      <c r="R23" s="19">
        <v>16.083760999999999</v>
      </c>
      <c r="S23" s="19">
        <v>16.161715999999998</v>
      </c>
      <c r="T23" s="19">
        <v>16.159718000000002</v>
      </c>
      <c r="U23" s="19">
        <v>16.159718000000002</v>
      </c>
      <c r="V23" s="19">
        <v>16.159718000000002</v>
      </c>
      <c r="W23" s="19">
        <v>16.409718000000002</v>
      </c>
      <c r="X23" s="19">
        <v>16.409718000000002</v>
      </c>
      <c r="Y23" s="19">
        <v>16.409718000000002</v>
      </c>
      <c r="Z23" s="19">
        <v>16.409718000000002</v>
      </c>
      <c r="AA23" s="19">
        <v>16.409718000000002</v>
      </c>
      <c r="AB23" s="19">
        <v>16.659718000000002</v>
      </c>
      <c r="AC23" s="19">
        <v>16.659718000000002</v>
      </c>
      <c r="AD23" s="19">
        <v>16.739215999999999</v>
      </c>
      <c r="AE23" s="19">
        <v>17.035295000000001</v>
      </c>
      <c r="AF23" s="19">
        <v>17.258429</v>
      </c>
      <c r="AG23" s="19">
        <v>17.777584000000001</v>
      </c>
      <c r="AH23" s="20">
        <v>5.9369999999999999E-2</v>
      </c>
    </row>
    <row r="24" spans="1:34" ht="15" customHeight="1" x14ac:dyDescent="0.4">
      <c r="A24" s="8" t="s">
        <v>78</v>
      </c>
      <c r="B24" s="18" t="s">
        <v>79</v>
      </c>
      <c r="C24" s="19">
        <v>0.20419999999999999</v>
      </c>
      <c r="D24" s="19">
        <v>0.2303</v>
      </c>
      <c r="E24" s="19">
        <v>0.2303</v>
      </c>
      <c r="F24" s="19">
        <v>0.23139699999999999</v>
      </c>
      <c r="G24" s="19">
        <v>0.23249800000000001</v>
      </c>
      <c r="H24" s="19">
        <v>0.23249800000000001</v>
      </c>
      <c r="I24" s="19">
        <v>0.23249800000000001</v>
      </c>
      <c r="J24" s="19">
        <v>0.23249800000000001</v>
      </c>
      <c r="K24" s="19">
        <v>0.23249800000000001</v>
      </c>
      <c r="L24" s="19">
        <v>0.23249800000000001</v>
      </c>
      <c r="M24" s="19">
        <v>0.23249800000000001</v>
      </c>
      <c r="N24" s="19">
        <v>0.23139799999999999</v>
      </c>
      <c r="O24" s="19">
        <v>0.23139799999999999</v>
      </c>
      <c r="P24" s="19">
        <v>0.23139799999999999</v>
      </c>
      <c r="Q24" s="19">
        <v>0.23139799999999999</v>
      </c>
      <c r="R24" s="19">
        <v>0.23244300000000001</v>
      </c>
      <c r="S24" s="19">
        <v>0.23244300000000001</v>
      </c>
      <c r="T24" s="19">
        <v>0.23244300000000001</v>
      </c>
      <c r="U24" s="19">
        <v>0.23244300000000001</v>
      </c>
      <c r="V24" s="19">
        <v>0.23244300000000001</v>
      </c>
      <c r="W24" s="19">
        <v>0.23244300000000001</v>
      </c>
      <c r="X24" s="19">
        <v>0.23244300000000001</v>
      </c>
      <c r="Y24" s="19">
        <v>0.23244300000000001</v>
      </c>
      <c r="Z24" s="19">
        <v>0.23244300000000001</v>
      </c>
      <c r="AA24" s="19">
        <v>0.23244300000000001</v>
      </c>
      <c r="AB24" s="19">
        <v>0.23244300000000001</v>
      </c>
      <c r="AC24" s="19">
        <v>0.23244300000000001</v>
      </c>
      <c r="AD24" s="19">
        <v>0.23344500000000001</v>
      </c>
      <c r="AE24" s="19">
        <v>0.23344500000000001</v>
      </c>
      <c r="AF24" s="19">
        <v>0.23344500000000001</v>
      </c>
      <c r="AG24" s="19">
        <v>0.23344500000000001</v>
      </c>
      <c r="AH24" s="20">
        <v>4.4720000000000003E-3</v>
      </c>
    </row>
    <row r="25" spans="1:34" ht="15" customHeight="1" x14ac:dyDescent="0.4">
      <c r="A25" s="8" t="s">
        <v>80</v>
      </c>
      <c r="B25" s="18" t="s">
        <v>81</v>
      </c>
      <c r="C25" s="19">
        <v>263.93090799999999</v>
      </c>
      <c r="D25" s="19">
        <v>283.68081699999999</v>
      </c>
      <c r="E25" s="19">
        <v>302.70617700000003</v>
      </c>
      <c r="F25" s="19">
        <v>334.728973</v>
      </c>
      <c r="G25" s="19">
        <v>369.97695900000002</v>
      </c>
      <c r="H25" s="19">
        <v>389.30862400000001</v>
      </c>
      <c r="I25" s="19">
        <v>402.99243200000001</v>
      </c>
      <c r="J25" s="19">
        <v>409.72994999999997</v>
      </c>
      <c r="K25" s="19">
        <v>416.53796399999999</v>
      </c>
      <c r="L25" s="19">
        <v>427.150757</v>
      </c>
      <c r="M25" s="19">
        <v>435.90374800000001</v>
      </c>
      <c r="N25" s="19">
        <v>439.85443099999998</v>
      </c>
      <c r="O25" s="19">
        <v>445.55587800000001</v>
      </c>
      <c r="P25" s="19">
        <v>452.22250400000001</v>
      </c>
      <c r="Q25" s="19">
        <v>463.27233899999999</v>
      </c>
      <c r="R25" s="19">
        <v>476.526611</v>
      </c>
      <c r="S25" s="19">
        <v>486.44335899999999</v>
      </c>
      <c r="T25" s="19">
        <v>493.015625</v>
      </c>
      <c r="U25" s="19">
        <v>502.82403599999998</v>
      </c>
      <c r="V25" s="19">
        <v>508.071259</v>
      </c>
      <c r="W25" s="19">
        <v>514.43145800000002</v>
      </c>
      <c r="X25" s="19">
        <v>519.57922399999995</v>
      </c>
      <c r="Y25" s="19">
        <v>524.29119900000001</v>
      </c>
      <c r="Z25" s="19">
        <v>531.30828899999995</v>
      </c>
      <c r="AA25" s="19">
        <v>540.67932099999996</v>
      </c>
      <c r="AB25" s="19">
        <v>550.00958300000002</v>
      </c>
      <c r="AC25" s="19">
        <v>563.00537099999997</v>
      </c>
      <c r="AD25" s="19">
        <v>580.09588599999995</v>
      </c>
      <c r="AE25" s="19">
        <v>601.65747099999999</v>
      </c>
      <c r="AF25" s="19">
        <v>626.574341</v>
      </c>
      <c r="AG25" s="19">
        <v>637.316284</v>
      </c>
      <c r="AH25" s="20">
        <v>2.9822000000000001E-2</v>
      </c>
    </row>
    <row r="26" spans="1:34" ht="15" customHeight="1" x14ac:dyDescent="0.4">
      <c r="A26" s="8" t="s">
        <v>82</v>
      </c>
      <c r="B26" s="18" t="s">
        <v>83</v>
      </c>
      <c r="C26" s="19">
        <v>0</v>
      </c>
      <c r="D26" s="19">
        <v>0</v>
      </c>
      <c r="E26" s="19">
        <v>1.5576829999999999</v>
      </c>
      <c r="F26" s="19">
        <v>2.029814</v>
      </c>
      <c r="G26" s="19">
        <v>2.5895380000000001</v>
      </c>
      <c r="H26" s="19">
        <v>3.7884250000000002</v>
      </c>
      <c r="I26" s="19">
        <v>4.3695849999999998</v>
      </c>
      <c r="J26" s="19">
        <v>5.0523239999999996</v>
      </c>
      <c r="K26" s="19">
        <v>5.9726509999999999</v>
      </c>
      <c r="L26" s="19">
        <v>6.8292250000000001</v>
      </c>
      <c r="M26" s="19">
        <v>7.5518710000000002</v>
      </c>
      <c r="N26" s="19">
        <v>8.3369949999999999</v>
      </c>
      <c r="O26" s="19">
        <v>9.1962609999999998</v>
      </c>
      <c r="P26" s="19">
        <v>10.102161000000001</v>
      </c>
      <c r="Q26" s="19">
        <v>11.118252999999999</v>
      </c>
      <c r="R26" s="19">
        <v>12.202368</v>
      </c>
      <c r="S26" s="19">
        <v>13.468646</v>
      </c>
      <c r="T26" s="19">
        <v>14.828192</v>
      </c>
      <c r="U26" s="19">
        <v>16.063656000000002</v>
      </c>
      <c r="V26" s="19">
        <v>17.337409999999998</v>
      </c>
      <c r="W26" s="19">
        <v>18.650296999999998</v>
      </c>
      <c r="X26" s="19">
        <v>19.995911</v>
      </c>
      <c r="Y26" s="19">
        <v>21.409272999999999</v>
      </c>
      <c r="Z26" s="19">
        <v>23.142251999999999</v>
      </c>
      <c r="AA26" s="19">
        <v>24.906137000000001</v>
      </c>
      <c r="AB26" s="19">
        <v>26.691203999999999</v>
      </c>
      <c r="AC26" s="19">
        <v>28.452904</v>
      </c>
      <c r="AD26" s="19">
        <v>30.297573</v>
      </c>
      <c r="AE26" s="19">
        <v>32.29063</v>
      </c>
      <c r="AF26" s="19">
        <v>34.308743</v>
      </c>
      <c r="AG26" s="19">
        <v>36.505851999999997</v>
      </c>
      <c r="AH26" s="20" t="s">
        <v>84</v>
      </c>
    </row>
    <row r="27" spans="1:34" ht="15" customHeight="1" x14ac:dyDescent="0.4">
      <c r="A27" s="8" t="s">
        <v>85</v>
      </c>
      <c r="B27" s="12" t="s">
        <v>86</v>
      </c>
      <c r="C27" s="21">
        <v>1062.568481</v>
      </c>
      <c r="D27" s="21">
        <v>1091.174438</v>
      </c>
      <c r="E27" s="21">
        <v>1122.185669</v>
      </c>
      <c r="F27" s="21">
        <v>1142.106689</v>
      </c>
      <c r="G27" s="21">
        <v>1178.7060550000001</v>
      </c>
      <c r="H27" s="21">
        <v>1182.4418949999999</v>
      </c>
      <c r="I27" s="21">
        <v>1205.712158</v>
      </c>
      <c r="J27" s="21">
        <v>1226.0744629999999</v>
      </c>
      <c r="K27" s="21">
        <v>1238.424072</v>
      </c>
      <c r="L27" s="21">
        <v>1243.2341309999999</v>
      </c>
      <c r="M27" s="21">
        <v>1259.109741</v>
      </c>
      <c r="N27" s="21">
        <v>1268.5751949999999</v>
      </c>
      <c r="O27" s="21">
        <v>1280.8388669999999</v>
      </c>
      <c r="P27" s="21">
        <v>1292.809692</v>
      </c>
      <c r="Q27" s="21">
        <v>1309.5</v>
      </c>
      <c r="R27" s="21">
        <v>1334.6232910000001</v>
      </c>
      <c r="S27" s="21">
        <v>1353.8286129999999</v>
      </c>
      <c r="T27" s="21">
        <v>1370.658081</v>
      </c>
      <c r="U27" s="21">
        <v>1388.064331</v>
      </c>
      <c r="V27" s="21">
        <v>1402.161499</v>
      </c>
      <c r="W27" s="21">
        <v>1421.395874</v>
      </c>
      <c r="X27" s="21">
        <v>1436.108643</v>
      </c>
      <c r="Y27" s="21">
        <v>1454.5467530000001</v>
      </c>
      <c r="Z27" s="21">
        <v>1474.8382570000001</v>
      </c>
      <c r="AA27" s="21">
        <v>1494.5382079999999</v>
      </c>
      <c r="AB27" s="21">
        <v>1515.852783</v>
      </c>
      <c r="AC27" s="21">
        <v>1541.0117190000001</v>
      </c>
      <c r="AD27" s="21">
        <v>1569.2680660000001</v>
      </c>
      <c r="AE27" s="21">
        <v>1602.054443</v>
      </c>
      <c r="AF27" s="21">
        <v>1636.8420410000001</v>
      </c>
      <c r="AG27" s="21">
        <v>1664.3718260000001</v>
      </c>
      <c r="AH27" s="22">
        <v>1.5070999999999999E-2</v>
      </c>
    </row>
    <row r="28" spans="1:34" ht="15" customHeight="1" x14ac:dyDescent="0.4">
      <c r="B28" s="12" t="s">
        <v>87</v>
      </c>
    </row>
    <row r="29" spans="1:34" ht="15" customHeight="1" x14ac:dyDescent="0.4">
      <c r="A29" s="8" t="s">
        <v>88</v>
      </c>
      <c r="B29" s="18" t="s">
        <v>89</v>
      </c>
      <c r="C29" s="19">
        <v>1.8878999999999999</v>
      </c>
      <c r="D29" s="19">
        <v>1.7828999999999999</v>
      </c>
      <c r="E29" s="19">
        <v>1.7828999999999999</v>
      </c>
      <c r="F29" s="19">
        <v>1.7828999999999999</v>
      </c>
      <c r="G29" s="19">
        <v>1.7828999999999999</v>
      </c>
      <c r="H29" s="19">
        <v>1.7828999999999999</v>
      </c>
      <c r="I29" s="19">
        <v>1.7828999999999999</v>
      </c>
      <c r="J29" s="19">
        <v>1.7828999999999999</v>
      </c>
      <c r="K29" s="19">
        <v>1.7828999999999999</v>
      </c>
      <c r="L29" s="19">
        <v>1.7828999999999999</v>
      </c>
      <c r="M29" s="19">
        <v>1.7828999999999999</v>
      </c>
      <c r="N29" s="19">
        <v>1.7828999999999999</v>
      </c>
      <c r="O29" s="19">
        <v>1.7828999999999999</v>
      </c>
      <c r="P29" s="19">
        <v>1.7828999999999999</v>
      </c>
      <c r="Q29" s="19">
        <v>1.7828999999999999</v>
      </c>
      <c r="R29" s="19">
        <v>1.7828999999999999</v>
      </c>
      <c r="S29" s="19">
        <v>1.7828999999999999</v>
      </c>
      <c r="T29" s="19">
        <v>1.7828999999999999</v>
      </c>
      <c r="U29" s="19">
        <v>1.7828999999999999</v>
      </c>
      <c r="V29" s="19">
        <v>1.7828999999999999</v>
      </c>
      <c r="W29" s="19">
        <v>1.7828999999999999</v>
      </c>
      <c r="X29" s="19">
        <v>1.7828999999999999</v>
      </c>
      <c r="Y29" s="19">
        <v>1.7828999999999999</v>
      </c>
      <c r="Z29" s="19">
        <v>1.7828999999999999</v>
      </c>
      <c r="AA29" s="19">
        <v>1.7828999999999999</v>
      </c>
      <c r="AB29" s="19">
        <v>1.7828999999999999</v>
      </c>
      <c r="AC29" s="19">
        <v>1.7828999999999999</v>
      </c>
      <c r="AD29" s="19">
        <v>1.7828999999999999</v>
      </c>
      <c r="AE29" s="19">
        <v>1.7828999999999999</v>
      </c>
      <c r="AF29" s="19">
        <v>1.7828999999999999</v>
      </c>
      <c r="AG29" s="19">
        <v>1.7828999999999999</v>
      </c>
      <c r="AH29" s="20">
        <v>-1.9059999999999999E-3</v>
      </c>
    </row>
    <row r="30" spans="1:34" ht="15" customHeight="1" x14ac:dyDescent="0.4">
      <c r="A30" s="8" t="s">
        <v>90</v>
      </c>
      <c r="B30" s="18" t="s">
        <v>91</v>
      </c>
      <c r="C30" s="19">
        <v>0.62180000000000002</v>
      </c>
      <c r="D30" s="19">
        <v>0.62180000000000002</v>
      </c>
      <c r="E30" s="19">
        <v>0.62180000000000002</v>
      </c>
      <c r="F30" s="19">
        <v>0.62180000000000002</v>
      </c>
      <c r="G30" s="19">
        <v>0.62180000000000002</v>
      </c>
      <c r="H30" s="19">
        <v>0.62180000000000002</v>
      </c>
      <c r="I30" s="19">
        <v>0.62180000000000002</v>
      </c>
      <c r="J30" s="19">
        <v>0.62180000000000002</v>
      </c>
      <c r="K30" s="19">
        <v>0.62180000000000002</v>
      </c>
      <c r="L30" s="19">
        <v>0.62180000000000002</v>
      </c>
      <c r="M30" s="19">
        <v>0.62180000000000002</v>
      </c>
      <c r="N30" s="19">
        <v>0.62180000000000002</v>
      </c>
      <c r="O30" s="19">
        <v>0.62180000000000002</v>
      </c>
      <c r="P30" s="19">
        <v>0.62180000000000002</v>
      </c>
      <c r="Q30" s="19">
        <v>0.62180000000000002</v>
      </c>
      <c r="R30" s="19">
        <v>0.62180000000000002</v>
      </c>
      <c r="S30" s="19">
        <v>0.62180000000000002</v>
      </c>
      <c r="T30" s="19">
        <v>0.62180000000000002</v>
      </c>
      <c r="U30" s="19">
        <v>0.62180000000000002</v>
      </c>
      <c r="V30" s="19">
        <v>0.62180000000000002</v>
      </c>
      <c r="W30" s="19">
        <v>0.62180000000000002</v>
      </c>
      <c r="X30" s="19">
        <v>0.62180000000000002</v>
      </c>
      <c r="Y30" s="19">
        <v>0.62180000000000002</v>
      </c>
      <c r="Z30" s="19">
        <v>0.62180000000000002</v>
      </c>
      <c r="AA30" s="19">
        <v>0.62180000000000002</v>
      </c>
      <c r="AB30" s="19">
        <v>0.62180000000000002</v>
      </c>
      <c r="AC30" s="19">
        <v>0.62180000000000002</v>
      </c>
      <c r="AD30" s="19">
        <v>0.62180000000000002</v>
      </c>
      <c r="AE30" s="19">
        <v>0.62180000000000002</v>
      </c>
      <c r="AF30" s="19">
        <v>0.62180000000000002</v>
      </c>
      <c r="AG30" s="19">
        <v>0.62180000000000002</v>
      </c>
      <c r="AH30" s="20">
        <v>0</v>
      </c>
    </row>
    <row r="31" spans="1:34" ht="14.85" customHeight="1" x14ac:dyDescent="0.4">
      <c r="A31" s="8" t="s">
        <v>92</v>
      </c>
      <c r="B31" s="18" t="s">
        <v>69</v>
      </c>
      <c r="C31" s="19">
        <v>21.979706</v>
      </c>
      <c r="D31" s="19">
        <v>21.979706</v>
      </c>
      <c r="E31" s="19">
        <v>21.979706</v>
      </c>
      <c r="F31" s="19">
        <v>21.801105</v>
      </c>
      <c r="G31" s="19">
        <v>21.801105</v>
      </c>
      <c r="H31" s="19">
        <v>21.801105</v>
      </c>
      <c r="I31" s="19">
        <v>21.801105</v>
      </c>
      <c r="J31" s="19">
        <v>21.801105</v>
      </c>
      <c r="K31" s="19">
        <v>21.801105</v>
      </c>
      <c r="L31" s="19">
        <v>21.801105</v>
      </c>
      <c r="M31" s="19">
        <v>21.801105</v>
      </c>
      <c r="N31" s="19">
        <v>21.801105</v>
      </c>
      <c r="O31" s="19">
        <v>21.801105</v>
      </c>
      <c r="P31" s="19">
        <v>21.801105</v>
      </c>
      <c r="Q31" s="19">
        <v>21.801105</v>
      </c>
      <c r="R31" s="19">
        <v>21.801105</v>
      </c>
      <c r="S31" s="19">
        <v>21.801105</v>
      </c>
      <c r="T31" s="19">
        <v>21.801105</v>
      </c>
      <c r="U31" s="19">
        <v>21.801105</v>
      </c>
      <c r="V31" s="19">
        <v>21.801105</v>
      </c>
      <c r="W31" s="19">
        <v>21.801105</v>
      </c>
      <c r="X31" s="19">
        <v>21.801105</v>
      </c>
      <c r="Y31" s="19">
        <v>21.801105</v>
      </c>
      <c r="Z31" s="19">
        <v>21.801105</v>
      </c>
      <c r="AA31" s="19">
        <v>21.801105</v>
      </c>
      <c r="AB31" s="19">
        <v>21.801105</v>
      </c>
      <c r="AC31" s="19">
        <v>21.801105</v>
      </c>
      <c r="AD31" s="19">
        <v>21.801105</v>
      </c>
      <c r="AE31" s="19">
        <v>21.801105</v>
      </c>
      <c r="AF31" s="19">
        <v>21.801105</v>
      </c>
      <c r="AG31" s="19">
        <v>21.801105</v>
      </c>
      <c r="AH31" s="20">
        <v>-2.72E-4</v>
      </c>
    </row>
    <row r="32" spans="1:34" ht="14.85" customHeight="1" x14ac:dyDescent="0.4">
      <c r="A32" s="8" t="s">
        <v>93</v>
      </c>
      <c r="B32" s="18" t="s">
        <v>71</v>
      </c>
      <c r="C32" s="19">
        <v>3.1476000000000002</v>
      </c>
      <c r="D32" s="19">
        <v>3.1476000000000002</v>
      </c>
      <c r="E32" s="19">
        <v>3.1476000000000002</v>
      </c>
      <c r="F32" s="19">
        <v>3.1476000000000002</v>
      </c>
      <c r="G32" s="19">
        <v>3.1476000000000002</v>
      </c>
      <c r="H32" s="19">
        <v>3.1476000000000002</v>
      </c>
      <c r="I32" s="19">
        <v>3.1476000000000002</v>
      </c>
      <c r="J32" s="19">
        <v>3.1476000000000002</v>
      </c>
      <c r="K32" s="19">
        <v>3.1476000000000002</v>
      </c>
      <c r="L32" s="19">
        <v>3.1476000000000002</v>
      </c>
      <c r="M32" s="19">
        <v>3.1476000000000002</v>
      </c>
      <c r="N32" s="19">
        <v>3.1476000000000002</v>
      </c>
      <c r="O32" s="19">
        <v>3.1476000000000002</v>
      </c>
      <c r="P32" s="19">
        <v>3.1476000000000002</v>
      </c>
      <c r="Q32" s="19">
        <v>3.1476000000000002</v>
      </c>
      <c r="R32" s="19">
        <v>3.1476000000000002</v>
      </c>
      <c r="S32" s="19">
        <v>3.1476000000000002</v>
      </c>
      <c r="T32" s="19">
        <v>3.1476000000000002</v>
      </c>
      <c r="U32" s="19">
        <v>3.1476000000000002</v>
      </c>
      <c r="V32" s="19">
        <v>3.1476000000000002</v>
      </c>
      <c r="W32" s="19">
        <v>3.1476000000000002</v>
      </c>
      <c r="X32" s="19">
        <v>3.1476000000000002</v>
      </c>
      <c r="Y32" s="19">
        <v>3.1476000000000002</v>
      </c>
      <c r="Z32" s="19">
        <v>3.1476000000000002</v>
      </c>
      <c r="AA32" s="19">
        <v>3.1476000000000002</v>
      </c>
      <c r="AB32" s="19">
        <v>3.1476000000000002</v>
      </c>
      <c r="AC32" s="19">
        <v>3.1476000000000002</v>
      </c>
      <c r="AD32" s="19">
        <v>3.1476000000000002</v>
      </c>
      <c r="AE32" s="19">
        <v>3.1476000000000002</v>
      </c>
      <c r="AF32" s="19">
        <v>3.1476000000000002</v>
      </c>
      <c r="AG32" s="19">
        <v>3.1476000000000002</v>
      </c>
      <c r="AH32" s="20">
        <v>0</v>
      </c>
    </row>
    <row r="33" spans="1:34" ht="14.85" customHeight="1" x14ac:dyDescent="0.4">
      <c r="A33" s="8" t="s">
        <v>94</v>
      </c>
      <c r="B33" s="18" t="s">
        <v>81</v>
      </c>
      <c r="C33" s="19">
        <v>0.97719999999999996</v>
      </c>
      <c r="D33" s="19">
        <v>0.97919999999999996</v>
      </c>
      <c r="E33" s="19">
        <v>0.97919999999999996</v>
      </c>
      <c r="F33" s="19">
        <v>0.97919999999999996</v>
      </c>
      <c r="G33" s="19">
        <v>0.97919999999999996</v>
      </c>
      <c r="H33" s="19">
        <v>0.97919999999999996</v>
      </c>
      <c r="I33" s="19">
        <v>0.97919999999999996</v>
      </c>
      <c r="J33" s="19">
        <v>0.97919999999999996</v>
      </c>
      <c r="K33" s="19">
        <v>0.97919999999999996</v>
      </c>
      <c r="L33" s="19">
        <v>0.97919999999999996</v>
      </c>
      <c r="M33" s="19">
        <v>0.97919999999999996</v>
      </c>
      <c r="N33" s="19">
        <v>0.97919999999999996</v>
      </c>
      <c r="O33" s="19">
        <v>0.97919999999999996</v>
      </c>
      <c r="P33" s="19">
        <v>0.97919999999999996</v>
      </c>
      <c r="Q33" s="19">
        <v>0.97919999999999996</v>
      </c>
      <c r="R33" s="19">
        <v>0.97919999999999996</v>
      </c>
      <c r="S33" s="19">
        <v>0.97919999999999996</v>
      </c>
      <c r="T33" s="19">
        <v>0.97919999999999996</v>
      </c>
      <c r="U33" s="19">
        <v>0.97919999999999996</v>
      </c>
      <c r="V33" s="19">
        <v>0.97919999999999996</v>
      </c>
      <c r="W33" s="19">
        <v>0.97919999999999996</v>
      </c>
      <c r="X33" s="19">
        <v>0.97919999999999996</v>
      </c>
      <c r="Y33" s="19">
        <v>0.97919999999999996</v>
      </c>
      <c r="Z33" s="19">
        <v>0.97919999999999996</v>
      </c>
      <c r="AA33" s="19">
        <v>0.97919999999999996</v>
      </c>
      <c r="AB33" s="19">
        <v>0.97919999999999996</v>
      </c>
      <c r="AC33" s="19">
        <v>0.97919999999999996</v>
      </c>
      <c r="AD33" s="19">
        <v>0.97919999999999996</v>
      </c>
      <c r="AE33" s="19">
        <v>0.97919999999999996</v>
      </c>
      <c r="AF33" s="19">
        <v>0.97919999999999996</v>
      </c>
      <c r="AG33" s="19">
        <v>0.97919999999999996</v>
      </c>
      <c r="AH33" s="20">
        <v>6.7999999999999999E-5</v>
      </c>
    </row>
    <row r="34" spans="1:34" ht="14.85" customHeight="1" x14ac:dyDescent="0.4">
      <c r="A34" s="8" t="s">
        <v>95</v>
      </c>
      <c r="B34" s="12" t="s">
        <v>86</v>
      </c>
      <c r="C34" s="21">
        <v>28.614205999999999</v>
      </c>
      <c r="D34" s="21">
        <v>28.511206000000001</v>
      </c>
      <c r="E34" s="21">
        <v>28.511206000000001</v>
      </c>
      <c r="F34" s="21">
        <v>28.332605000000001</v>
      </c>
      <c r="G34" s="21">
        <v>28.332605000000001</v>
      </c>
      <c r="H34" s="21">
        <v>28.332605000000001</v>
      </c>
      <c r="I34" s="21">
        <v>28.332605000000001</v>
      </c>
      <c r="J34" s="21">
        <v>28.332605000000001</v>
      </c>
      <c r="K34" s="21">
        <v>28.332605000000001</v>
      </c>
      <c r="L34" s="21">
        <v>28.332605000000001</v>
      </c>
      <c r="M34" s="21">
        <v>28.332605000000001</v>
      </c>
      <c r="N34" s="21">
        <v>28.332605000000001</v>
      </c>
      <c r="O34" s="21">
        <v>28.332605000000001</v>
      </c>
      <c r="P34" s="21">
        <v>28.332605000000001</v>
      </c>
      <c r="Q34" s="21">
        <v>28.332605000000001</v>
      </c>
      <c r="R34" s="21">
        <v>28.332605000000001</v>
      </c>
      <c r="S34" s="21">
        <v>28.332605000000001</v>
      </c>
      <c r="T34" s="21">
        <v>28.332605000000001</v>
      </c>
      <c r="U34" s="21">
        <v>28.332605000000001</v>
      </c>
      <c r="V34" s="21">
        <v>28.332605000000001</v>
      </c>
      <c r="W34" s="21">
        <v>28.332605000000001</v>
      </c>
      <c r="X34" s="21">
        <v>28.332605000000001</v>
      </c>
      <c r="Y34" s="21">
        <v>28.332605000000001</v>
      </c>
      <c r="Z34" s="21">
        <v>28.332605000000001</v>
      </c>
      <c r="AA34" s="21">
        <v>28.332605000000001</v>
      </c>
      <c r="AB34" s="21">
        <v>28.332605000000001</v>
      </c>
      <c r="AC34" s="21">
        <v>28.332605000000001</v>
      </c>
      <c r="AD34" s="21">
        <v>28.332605000000001</v>
      </c>
      <c r="AE34" s="21">
        <v>28.332605000000001</v>
      </c>
      <c r="AF34" s="21">
        <v>28.332605000000001</v>
      </c>
      <c r="AG34" s="21">
        <v>28.332605000000001</v>
      </c>
      <c r="AH34" s="22">
        <v>-3.3E-4</v>
      </c>
    </row>
    <row r="36" spans="1:34" ht="14.85" customHeight="1" x14ac:dyDescent="0.4">
      <c r="B36" s="12" t="s">
        <v>96</v>
      </c>
    </row>
    <row r="37" spans="1:34" ht="14.85" customHeight="1" x14ac:dyDescent="0.4">
      <c r="A37" s="8" t="s">
        <v>97</v>
      </c>
      <c r="B37" s="18" t="s">
        <v>89</v>
      </c>
      <c r="C37" s="19" t="s">
        <v>84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20" t="s">
        <v>84</v>
      </c>
    </row>
    <row r="38" spans="1:34" ht="14.85" customHeight="1" x14ac:dyDescent="0.4">
      <c r="A38" s="8" t="s">
        <v>98</v>
      </c>
      <c r="B38" s="18" t="s">
        <v>91</v>
      </c>
      <c r="C38" s="19" t="s">
        <v>84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20" t="s">
        <v>84</v>
      </c>
    </row>
    <row r="39" spans="1:34" ht="14.85" customHeight="1" x14ac:dyDescent="0.4">
      <c r="A39" s="8" t="s">
        <v>99</v>
      </c>
      <c r="B39" s="18" t="s">
        <v>69</v>
      </c>
      <c r="C39" s="19" t="s">
        <v>84</v>
      </c>
      <c r="D39" s="19">
        <v>3.3792</v>
      </c>
      <c r="E39" s="19">
        <v>17.000202000000002</v>
      </c>
      <c r="F39" s="19">
        <v>17.000202000000002</v>
      </c>
      <c r="G39" s="19">
        <v>17.000202000000002</v>
      </c>
      <c r="H39" s="19">
        <v>17.000202000000002</v>
      </c>
      <c r="I39" s="19">
        <v>17.000202000000002</v>
      </c>
      <c r="J39" s="19">
        <v>17.000202000000002</v>
      </c>
      <c r="K39" s="19">
        <v>17.000202000000002</v>
      </c>
      <c r="L39" s="19">
        <v>17.000202000000002</v>
      </c>
      <c r="M39" s="19">
        <v>17.000202000000002</v>
      </c>
      <c r="N39" s="19">
        <v>17.000202000000002</v>
      </c>
      <c r="O39" s="19">
        <v>17.000202000000002</v>
      </c>
      <c r="P39" s="19">
        <v>17.000202000000002</v>
      </c>
      <c r="Q39" s="19">
        <v>17.000202000000002</v>
      </c>
      <c r="R39" s="19">
        <v>17.000202000000002</v>
      </c>
      <c r="S39" s="19">
        <v>17.000202000000002</v>
      </c>
      <c r="T39" s="19">
        <v>17.000202000000002</v>
      </c>
      <c r="U39" s="19">
        <v>17.000202000000002</v>
      </c>
      <c r="V39" s="19">
        <v>17.000202000000002</v>
      </c>
      <c r="W39" s="19">
        <v>17.000202000000002</v>
      </c>
      <c r="X39" s="19">
        <v>17.000202000000002</v>
      </c>
      <c r="Y39" s="19">
        <v>17.000202000000002</v>
      </c>
      <c r="Z39" s="19">
        <v>17.000202000000002</v>
      </c>
      <c r="AA39" s="19">
        <v>17.000202000000002</v>
      </c>
      <c r="AB39" s="19">
        <v>17.000202000000002</v>
      </c>
      <c r="AC39" s="19">
        <v>17.000202000000002</v>
      </c>
      <c r="AD39" s="19">
        <v>17.000202000000002</v>
      </c>
      <c r="AE39" s="19">
        <v>17.000202000000002</v>
      </c>
      <c r="AF39" s="19">
        <v>17.000202000000002</v>
      </c>
      <c r="AG39" s="19">
        <v>17.000202000000002</v>
      </c>
      <c r="AH39" s="20" t="s">
        <v>84</v>
      </c>
    </row>
    <row r="40" spans="1:34" ht="14.85" customHeight="1" x14ac:dyDescent="0.4">
      <c r="A40" s="8" t="s">
        <v>100</v>
      </c>
      <c r="B40" s="18" t="s">
        <v>71</v>
      </c>
      <c r="C40" s="19" t="s">
        <v>84</v>
      </c>
      <c r="D40" s="19">
        <v>3.2778</v>
      </c>
      <c r="E40" s="19">
        <v>4.028899</v>
      </c>
      <c r="F40" s="19">
        <v>4.028899</v>
      </c>
      <c r="G40" s="19">
        <v>4.5458990000000004</v>
      </c>
      <c r="H40" s="19">
        <v>4.5458990000000004</v>
      </c>
      <c r="I40" s="19">
        <v>4.5458990000000004</v>
      </c>
      <c r="J40" s="19">
        <v>4.5458990000000004</v>
      </c>
      <c r="K40" s="19">
        <v>4.5458990000000004</v>
      </c>
      <c r="L40" s="19">
        <v>4.5458990000000004</v>
      </c>
      <c r="M40" s="19">
        <v>4.5458990000000004</v>
      </c>
      <c r="N40" s="19">
        <v>4.5458990000000004</v>
      </c>
      <c r="O40" s="19">
        <v>4.5458990000000004</v>
      </c>
      <c r="P40" s="19">
        <v>4.5458990000000004</v>
      </c>
      <c r="Q40" s="19">
        <v>4.5458990000000004</v>
      </c>
      <c r="R40" s="19">
        <v>4.5458990000000004</v>
      </c>
      <c r="S40" s="19">
        <v>4.5458990000000004</v>
      </c>
      <c r="T40" s="19">
        <v>4.5458990000000004</v>
      </c>
      <c r="U40" s="19">
        <v>4.5458990000000004</v>
      </c>
      <c r="V40" s="19">
        <v>4.5458990000000004</v>
      </c>
      <c r="W40" s="19">
        <v>4.5458990000000004</v>
      </c>
      <c r="X40" s="19">
        <v>4.5458990000000004</v>
      </c>
      <c r="Y40" s="19">
        <v>4.5458990000000004</v>
      </c>
      <c r="Z40" s="19">
        <v>4.5458990000000004</v>
      </c>
      <c r="AA40" s="19">
        <v>4.5458990000000004</v>
      </c>
      <c r="AB40" s="19">
        <v>4.5458990000000004</v>
      </c>
      <c r="AC40" s="19">
        <v>4.5458990000000004</v>
      </c>
      <c r="AD40" s="19">
        <v>4.5458990000000004</v>
      </c>
      <c r="AE40" s="19">
        <v>4.5458990000000004</v>
      </c>
      <c r="AF40" s="19">
        <v>4.5458990000000004</v>
      </c>
      <c r="AG40" s="19">
        <v>4.5458990000000004</v>
      </c>
      <c r="AH40" s="20" t="s">
        <v>84</v>
      </c>
    </row>
    <row r="41" spans="1:34" ht="14.85" customHeight="1" x14ac:dyDescent="0.4">
      <c r="A41" s="8" t="s">
        <v>101</v>
      </c>
      <c r="B41" s="18" t="s">
        <v>102</v>
      </c>
      <c r="C41" s="19" t="s">
        <v>84</v>
      </c>
      <c r="D41" s="19">
        <v>1.1000000000000001</v>
      </c>
      <c r="E41" s="19">
        <v>2.2000000000000002</v>
      </c>
      <c r="F41" s="19">
        <v>2.2000000000000002</v>
      </c>
      <c r="G41" s="19">
        <v>2.2000000000000002</v>
      </c>
      <c r="H41" s="19">
        <v>2.2000000000000002</v>
      </c>
      <c r="I41" s="19">
        <v>2.2000000000000002</v>
      </c>
      <c r="J41" s="19">
        <v>2.2000000000000002</v>
      </c>
      <c r="K41" s="19">
        <v>2.2000000000000002</v>
      </c>
      <c r="L41" s="19">
        <v>2.2000000000000002</v>
      </c>
      <c r="M41" s="19">
        <v>2.2000000000000002</v>
      </c>
      <c r="N41" s="19">
        <v>2.2000000000000002</v>
      </c>
      <c r="O41" s="19">
        <v>2.2000000000000002</v>
      </c>
      <c r="P41" s="19">
        <v>2.2000000000000002</v>
      </c>
      <c r="Q41" s="19">
        <v>2.2000000000000002</v>
      </c>
      <c r="R41" s="19">
        <v>2.2000000000000002</v>
      </c>
      <c r="S41" s="19">
        <v>2.2000000000000002</v>
      </c>
      <c r="T41" s="19">
        <v>2.2000000000000002</v>
      </c>
      <c r="U41" s="19">
        <v>2.2000000000000002</v>
      </c>
      <c r="V41" s="19">
        <v>2.2000000000000002</v>
      </c>
      <c r="W41" s="19">
        <v>2.2000000000000002</v>
      </c>
      <c r="X41" s="19">
        <v>2.2000000000000002</v>
      </c>
      <c r="Y41" s="19">
        <v>2.2000000000000002</v>
      </c>
      <c r="Z41" s="19">
        <v>2.2000000000000002</v>
      </c>
      <c r="AA41" s="19">
        <v>2.2000000000000002</v>
      </c>
      <c r="AB41" s="19">
        <v>2.2000000000000002</v>
      </c>
      <c r="AC41" s="19">
        <v>2.2000000000000002</v>
      </c>
      <c r="AD41" s="19">
        <v>2.2000000000000002</v>
      </c>
      <c r="AE41" s="19">
        <v>2.2000000000000002</v>
      </c>
      <c r="AF41" s="19">
        <v>2.2000000000000002</v>
      </c>
      <c r="AG41" s="19">
        <v>2.2000000000000002</v>
      </c>
      <c r="AH41" s="20" t="s">
        <v>84</v>
      </c>
    </row>
    <row r="42" spans="1:34" ht="14.85" customHeight="1" x14ac:dyDescent="0.4">
      <c r="A42" s="8" t="s">
        <v>103</v>
      </c>
      <c r="B42" s="18" t="s">
        <v>75</v>
      </c>
      <c r="C42" s="19" t="s">
        <v>84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20" t="s">
        <v>84</v>
      </c>
    </row>
    <row r="43" spans="1:34" ht="14.85" customHeight="1" x14ac:dyDescent="0.4">
      <c r="A43" s="8" t="s">
        <v>104</v>
      </c>
      <c r="B43" s="18" t="s">
        <v>77</v>
      </c>
      <c r="C43" s="19" t="s">
        <v>84</v>
      </c>
      <c r="D43" s="19">
        <v>3.7745000000000002</v>
      </c>
      <c r="E43" s="19">
        <v>5.4727990000000002</v>
      </c>
      <c r="F43" s="19">
        <v>6.3837999999999999</v>
      </c>
      <c r="G43" s="19">
        <v>7.0148000000000001</v>
      </c>
      <c r="H43" s="19">
        <v>7.4577999999999998</v>
      </c>
      <c r="I43" s="19">
        <v>7.8688000000000002</v>
      </c>
      <c r="J43" s="19">
        <v>8.2797999999999998</v>
      </c>
      <c r="K43" s="19">
        <v>8.6907999999999994</v>
      </c>
      <c r="L43" s="19">
        <v>9.1017989999999998</v>
      </c>
      <c r="M43" s="19">
        <v>9.5128000000000004</v>
      </c>
      <c r="N43" s="19">
        <v>9.5128000000000004</v>
      </c>
      <c r="O43" s="19">
        <v>9.5128000000000004</v>
      </c>
      <c r="P43" s="19">
        <v>9.5128000000000004</v>
      </c>
      <c r="Q43" s="19">
        <v>9.5128000000000004</v>
      </c>
      <c r="R43" s="19">
        <v>12.462799</v>
      </c>
      <c r="S43" s="19">
        <v>12.462799</v>
      </c>
      <c r="T43" s="19">
        <v>12.462799</v>
      </c>
      <c r="U43" s="19">
        <v>12.462799</v>
      </c>
      <c r="V43" s="19">
        <v>12.462799</v>
      </c>
      <c r="W43" s="19">
        <v>12.7128</v>
      </c>
      <c r="X43" s="19">
        <v>12.7128</v>
      </c>
      <c r="Y43" s="19">
        <v>12.7128</v>
      </c>
      <c r="Z43" s="19">
        <v>12.7128</v>
      </c>
      <c r="AA43" s="19">
        <v>12.7128</v>
      </c>
      <c r="AB43" s="19">
        <v>12.9628</v>
      </c>
      <c r="AC43" s="19">
        <v>12.9628</v>
      </c>
      <c r="AD43" s="19">
        <v>12.9628</v>
      </c>
      <c r="AE43" s="19">
        <v>12.9628</v>
      </c>
      <c r="AF43" s="19">
        <v>12.9628</v>
      </c>
      <c r="AG43" s="19">
        <v>12.9628</v>
      </c>
      <c r="AH43" s="20" t="s">
        <v>84</v>
      </c>
    </row>
    <row r="44" spans="1:34" ht="14.85" customHeight="1" x14ac:dyDescent="0.4">
      <c r="A44" s="8" t="s">
        <v>105</v>
      </c>
      <c r="B44" s="18" t="s">
        <v>79</v>
      </c>
      <c r="C44" s="19" t="s">
        <v>84</v>
      </c>
      <c r="D44" s="19">
        <v>2.6100000000000002E-2</v>
      </c>
      <c r="E44" s="19">
        <v>2.6100000000000002E-2</v>
      </c>
      <c r="F44" s="19">
        <v>2.6100000000000002E-2</v>
      </c>
      <c r="G44" s="19">
        <v>2.6100000000000002E-2</v>
      </c>
      <c r="H44" s="19">
        <v>2.6100000000000002E-2</v>
      </c>
      <c r="I44" s="19">
        <v>2.6100000000000002E-2</v>
      </c>
      <c r="J44" s="19">
        <v>2.6100000000000002E-2</v>
      </c>
      <c r="K44" s="19">
        <v>2.6100000000000002E-2</v>
      </c>
      <c r="L44" s="19">
        <v>2.6100000000000002E-2</v>
      </c>
      <c r="M44" s="19">
        <v>2.6100000000000002E-2</v>
      </c>
      <c r="N44" s="19">
        <v>2.6100000000000002E-2</v>
      </c>
      <c r="O44" s="19">
        <v>2.6100000000000002E-2</v>
      </c>
      <c r="P44" s="19">
        <v>2.6100000000000002E-2</v>
      </c>
      <c r="Q44" s="19">
        <v>2.6100000000000002E-2</v>
      </c>
      <c r="R44" s="19">
        <v>2.6100000000000002E-2</v>
      </c>
      <c r="S44" s="19">
        <v>2.6100000000000002E-2</v>
      </c>
      <c r="T44" s="19">
        <v>2.6100000000000002E-2</v>
      </c>
      <c r="U44" s="19">
        <v>2.6100000000000002E-2</v>
      </c>
      <c r="V44" s="19">
        <v>2.6100000000000002E-2</v>
      </c>
      <c r="W44" s="19">
        <v>2.6100000000000002E-2</v>
      </c>
      <c r="X44" s="19">
        <v>2.6100000000000002E-2</v>
      </c>
      <c r="Y44" s="19">
        <v>2.6100000000000002E-2</v>
      </c>
      <c r="Z44" s="19">
        <v>2.6100000000000002E-2</v>
      </c>
      <c r="AA44" s="19">
        <v>2.6100000000000002E-2</v>
      </c>
      <c r="AB44" s="19">
        <v>2.6100000000000002E-2</v>
      </c>
      <c r="AC44" s="19">
        <v>2.6100000000000002E-2</v>
      </c>
      <c r="AD44" s="19">
        <v>2.6100000000000002E-2</v>
      </c>
      <c r="AE44" s="19">
        <v>2.6100000000000002E-2</v>
      </c>
      <c r="AF44" s="19">
        <v>2.6100000000000002E-2</v>
      </c>
      <c r="AG44" s="19">
        <v>2.6100000000000002E-2</v>
      </c>
      <c r="AH44" s="20" t="s">
        <v>84</v>
      </c>
    </row>
    <row r="45" spans="1:34" ht="14.85" customHeight="1" x14ac:dyDescent="0.4">
      <c r="A45" s="8" t="s">
        <v>106</v>
      </c>
      <c r="B45" s="18" t="s">
        <v>81</v>
      </c>
      <c r="C45" s="19" t="s">
        <v>84</v>
      </c>
      <c r="D45" s="19">
        <v>19.650895999999999</v>
      </c>
      <c r="E45" s="19">
        <v>29.922706999999999</v>
      </c>
      <c r="F45" s="19">
        <v>32.861702000000001</v>
      </c>
      <c r="G45" s="19">
        <v>33.421703000000001</v>
      </c>
      <c r="H45" s="19">
        <v>33.421703000000001</v>
      </c>
      <c r="I45" s="19">
        <v>33.421703000000001</v>
      </c>
      <c r="J45" s="19">
        <v>33.421703000000001</v>
      </c>
      <c r="K45" s="19">
        <v>35.421706999999998</v>
      </c>
      <c r="L45" s="19">
        <v>35.421706999999998</v>
      </c>
      <c r="M45" s="19">
        <v>42.521709000000001</v>
      </c>
      <c r="N45" s="19">
        <v>42.521709000000001</v>
      </c>
      <c r="O45" s="19">
        <v>42.521709000000001</v>
      </c>
      <c r="P45" s="19">
        <v>42.521709000000001</v>
      </c>
      <c r="Q45" s="19">
        <v>47.721705999999998</v>
      </c>
      <c r="R45" s="19">
        <v>55.921703000000001</v>
      </c>
      <c r="S45" s="19">
        <v>55.921703000000001</v>
      </c>
      <c r="T45" s="19">
        <v>55.921703000000001</v>
      </c>
      <c r="U45" s="19">
        <v>55.921703000000001</v>
      </c>
      <c r="V45" s="19">
        <v>55.921703000000001</v>
      </c>
      <c r="W45" s="19">
        <v>55.921703000000001</v>
      </c>
      <c r="X45" s="19">
        <v>55.921703000000001</v>
      </c>
      <c r="Y45" s="19">
        <v>55.921703000000001</v>
      </c>
      <c r="Z45" s="19">
        <v>55.921703000000001</v>
      </c>
      <c r="AA45" s="19">
        <v>55.921703000000001</v>
      </c>
      <c r="AB45" s="19">
        <v>55.921703000000001</v>
      </c>
      <c r="AC45" s="19">
        <v>55.921703000000001</v>
      </c>
      <c r="AD45" s="19">
        <v>55.921703000000001</v>
      </c>
      <c r="AE45" s="19">
        <v>55.921703000000001</v>
      </c>
      <c r="AF45" s="19">
        <v>55.921703000000001</v>
      </c>
      <c r="AG45" s="19">
        <v>55.921703000000001</v>
      </c>
      <c r="AH45" s="20" t="s">
        <v>84</v>
      </c>
    </row>
    <row r="46" spans="1:34" ht="14.85" customHeight="1" x14ac:dyDescent="0.4">
      <c r="A46" s="8" t="s">
        <v>107</v>
      </c>
      <c r="B46" s="18" t="s">
        <v>108</v>
      </c>
      <c r="C46" s="19" t="s">
        <v>84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20" t="s">
        <v>84</v>
      </c>
    </row>
    <row r="47" spans="1:34" ht="14.85" customHeight="1" x14ac:dyDescent="0.4">
      <c r="A47" s="8" t="s">
        <v>109</v>
      </c>
      <c r="B47" s="12" t="s">
        <v>86</v>
      </c>
      <c r="C47" s="21" t="s">
        <v>84</v>
      </c>
      <c r="D47" s="21">
        <v>31.208511000000001</v>
      </c>
      <c r="E47" s="21">
        <v>58.650719000000002</v>
      </c>
      <c r="F47" s="21">
        <v>62.500725000000003</v>
      </c>
      <c r="G47" s="21">
        <v>64.208716999999993</v>
      </c>
      <c r="H47" s="21">
        <v>64.651718000000002</v>
      </c>
      <c r="I47" s="21">
        <v>65.062720999999996</v>
      </c>
      <c r="J47" s="21">
        <v>65.473724000000004</v>
      </c>
      <c r="K47" s="21">
        <v>67.884720000000002</v>
      </c>
      <c r="L47" s="21">
        <v>68.295722999999995</v>
      </c>
      <c r="M47" s="21">
        <v>75.806725</v>
      </c>
      <c r="N47" s="21">
        <v>75.806725</v>
      </c>
      <c r="O47" s="21">
        <v>75.806725</v>
      </c>
      <c r="P47" s="21">
        <v>75.806725</v>
      </c>
      <c r="Q47" s="21">
        <v>81.006729000000007</v>
      </c>
      <c r="R47" s="21">
        <v>92.156730999999994</v>
      </c>
      <c r="S47" s="21">
        <v>92.156730999999994</v>
      </c>
      <c r="T47" s="21">
        <v>92.156730999999994</v>
      </c>
      <c r="U47" s="21">
        <v>92.156730999999994</v>
      </c>
      <c r="V47" s="21">
        <v>92.156730999999994</v>
      </c>
      <c r="W47" s="21">
        <v>92.406730999999994</v>
      </c>
      <c r="X47" s="21">
        <v>92.406730999999994</v>
      </c>
      <c r="Y47" s="21">
        <v>92.406730999999994</v>
      </c>
      <c r="Z47" s="21">
        <v>92.406730999999994</v>
      </c>
      <c r="AA47" s="21">
        <v>92.406730999999994</v>
      </c>
      <c r="AB47" s="21">
        <v>92.656730999999994</v>
      </c>
      <c r="AC47" s="21">
        <v>92.656730999999994</v>
      </c>
      <c r="AD47" s="21">
        <v>92.656730999999994</v>
      </c>
      <c r="AE47" s="21">
        <v>92.656730999999994</v>
      </c>
      <c r="AF47" s="21">
        <v>92.656730999999994</v>
      </c>
      <c r="AG47" s="21">
        <v>92.656730999999994</v>
      </c>
      <c r="AH47" s="22" t="s">
        <v>84</v>
      </c>
    </row>
    <row r="48" spans="1:34" ht="14.85" customHeight="1" x14ac:dyDescent="0.4">
      <c r="B48" s="12" t="s">
        <v>110</v>
      </c>
    </row>
    <row r="49" spans="1:34" ht="14.85" customHeight="1" x14ac:dyDescent="0.4">
      <c r="A49" s="8" t="s">
        <v>111</v>
      </c>
      <c r="B49" s="18" t="s">
        <v>89</v>
      </c>
      <c r="C49" s="19" t="s">
        <v>84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20" t="s">
        <v>84</v>
      </c>
    </row>
    <row r="50" spans="1:34" ht="15" customHeight="1" x14ac:dyDescent="0.4">
      <c r="A50" s="8" t="s">
        <v>112</v>
      </c>
      <c r="B50" s="18" t="s">
        <v>91</v>
      </c>
      <c r="C50" s="19" t="s">
        <v>84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20" t="s">
        <v>84</v>
      </c>
    </row>
    <row r="51" spans="1:34" ht="15" customHeight="1" x14ac:dyDescent="0.4">
      <c r="A51" s="8" t="s">
        <v>113</v>
      </c>
      <c r="B51" s="18" t="s">
        <v>69</v>
      </c>
      <c r="C51" s="19" t="s">
        <v>84</v>
      </c>
      <c r="D51" s="19">
        <v>0</v>
      </c>
      <c r="E51" s="19">
        <v>0</v>
      </c>
      <c r="F51" s="19">
        <v>6.8555109999999999</v>
      </c>
      <c r="G51" s="19">
        <v>16.450566999999999</v>
      </c>
      <c r="H51" s="19">
        <v>38.256062</v>
      </c>
      <c r="I51" s="19">
        <v>58.905982999999999</v>
      </c>
      <c r="J51" s="19">
        <v>83.765274000000005</v>
      </c>
      <c r="K51" s="19">
        <v>90.179405000000003</v>
      </c>
      <c r="L51" s="19">
        <v>95.041961999999998</v>
      </c>
      <c r="M51" s="19">
        <v>100.935455</v>
      </c>
      <c r="N51" s="19">
        <v>107.211006</v>
      </c>
      <c r="O51" s="19">
        <v>113.17733</v>
      </c>
      <c r="P51" s="19">
        <v>117.945724</v>
      </c>
      <c r="Q51" s="19">
        <v>122.96219600000001</v>
      </c>
      <c r="R51" s="19">
        <v>127.695549</v>
      </c>
      <c r="S51" s="19">
        <v>133.23320000000001</v>
      </c>
      <c r="T51" s="19">
        <v>140.04530299999999</v>
      </c>
      <c r="U51" s="19">
        <v>146.252274</v>
      </c>
      <c r="V51" s="19">
        <v>151.44778400000001</v>
      </c>
      <c r="W51" s="19">
        <v>157.12399300000001</v>
      </c>
      <c r="X51" s="19">
        <v>162.22753900000001</v>
      </c>
      <c r="Y51" s="19">
        <v>168.328506</v>
      </c>
      <c r="Z51" s="19">
        <v>176.74975599999999</v>
      </c>
      <c r="AA51" s="19">
        <v>186.22479200000001</v>
      </c>
      <c r="AB51" s="19">
        <v>191.347137</v>
      </c>
      <c r="AC51" s="19">
        <v>196.818207</v>
      </c>
      <c r="AD51" s="19">
        <v>202.66996800000001</v>
      </c>
      <c r="AE51" s="19">
        <v>209.540695</v>
      </c>
      <c r="AF51" s="19">
        <v>213.72131300000001</v>
      </c>
      <c r="AG51" s="19">
        <v>219.86515800000001</v>
      </c>
      <c r="AH51" s="20" t="s">
        <v>84</v>
      </c>
    </row>
    <row r="52" spans="1:34" ht="15" customHeight="1" x14ac:dyDescent="0.4">
      <c r="A52" s="8" t="s">
        <v>114</v>
      </c>
      <c r="B52" s="18" t="s">
        <v>71</v>
      </c>
      <c r="C52" s="19" t="s">
        <v>84</v>
      </c>
      <c r="D52" s="19">
        <v>8.7081459999999993</v>
      </c>
      <c r="E52" s="19">
        <v>13.355809000000001</v>
      </c>
      <c r="F52" s="19">
        <v>19.833431000000001</v>
      </c>
      <c r="G52" s="19">
        <v>26.814488999999998</v>
      </c>
      <c r="H52" s="19">
        <v>43.190497999999998</v>
      </c>
      <c r="I52" s="19">
        <v>53.946213</v>
      </c>
      <c r="J52" s="19">
        <v>60.250495999999998</v>
      </c>
      <c r="K52" s="19">
        <v>65.372116000000005</v>
      </c>
      <c r="L52" s="19">
        <v>69.087692000000004</v>
      </c>
      <c r="M52" s="19">
        <v>73.102401999999998</v>
      </c>
      <c r="N52" s="19">
        <v>76.990356000000006</v>
      </c>
      <c r="O52" s="19">
        <v>81.154197999999994</v>
      </c>
      <c r="P52" s="19">
        <v>84.302963000000005</v>
      </c>
      <c r="Q52" s="19">
        <v>88.756134000000003</v>
      </c>
      <c r="R52" s="19">
        <v>94.347572</v>
      </c>
      <c r="S52" s="19">
        <v>98.653747999999993</v>
      </c>
      <c r="T52" s="19">
        <v>103.060608</v>
      </c>
      <c r="U52" s="19">
        <v>106.163765</v>
      </c>
      <c r="V52" s="19">
        <v>109.662178</v>
      </c>
      <c r="W52" s="19">
        <v>115.25361599999999</v>
      </c>
      <c r="X52" s="19">
        <v>118.759636</v>
      </c>
      <c r="Y52" s="19">
        <v>125.399483</v>
      </c>
      <c r="Z52" s="19">
        <v>130.790558</v>
      </c>
      <c r="AA52" s="19">
        <v>135.41630599999999</v>
      </c>
      <c r="AB52" s="19">
        <v>143.28834499999999</v>
      </c>
      <c r="AC52" s="19">
        <v>148.84458900000001</v>
      </c>
      <c r="AD52" s="19">
        <v>153.71923799999999</v>
      </c>
      <c r="AE52" s="19">
        <v>158.76603700000001</v>
      </c>
      <c r="AF52" s="19">
        <v>162.78370699999999</v>
      </c>
      <c r="AG52" s="19">
        <v>170.64920000000001</v>
      </c>
      <c r="AH52" s="20" t="s">
        <v>84</v>
      </c>
    </row>
    <row r="53" spans="1:34" ht="15" customHeight="1" x14ac:dyDescent="0.4">
      <c r="A53" s="8" t="s">
        <v>115</v>
      </c>
      <c r="B53" s="18" t="s">
        <v>102</v>
      </c>
      <c r="C53" s="19" t="s">
        <v>84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20" t="s">
        <v>84</v>
      </c>
    </row>
    <row r="54" spans="1:34" ht="15" customHeight="1" x14ac:dyDescent="0.4">
      <c r="A54" s="8" t="s">
        <v>116</v>
      </c>
      <c r="B54" s="18" t="s">
        <v>75</v>
      </c>
      <c r="C54" s="19" t="s">
        <v>84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20" t="s">
        <v>84</v>
      </c>
    </row>
    <row r="55" spans="1:34" ht="15" customHeight="1" x14ac:dyDescent="0.4">
      <c r="A55" s="8" t="s">
        <v>117</v>
      </c>
      <c r="B55" s="18" t="s">
        <v>77</v>
      </c>
      <c r="C55" s="19" t="s">
        <v>84</v>
      </c>
      <c r="D55" s="19">
        <v>0</v>
      </c>
      <c r="E55" s="19">
        <v>0</v>
      </c>
      <c r="F55" s="19">
        <v>0</v>
      </c>
      <c r="G55" s="19">
        <v>3.1725999999999997E-2</v>
      </c>
      <c r="H55" s="19">
        <v>0.44206699999999999</v>
      </c>
      <c r="I55" s="19">
        <v>0.44847100000000001</v>
      </c>
      <c r="J55" s="19">
        <v>0.46052799999999999</v>
      </c>
      <c r="K55" s="19">
        <v>0.46052799999999999</v>
      </c>
      <c r="L55" s="19">
        <v>0.46052799999999999</v>
      </c>
      <c r="M55" s="19">
        <v>0.46052799999999999</v>
      </c>
      <c r="N55" s="19">
        <v>0.46052799999999999</v>
      </c>
      <c r="O55" s="19">
        <v>0.46572599999999997</v>
      </c>
      <c r="P55" s="19">
        <v>0.46572599999999997</v>
      </c>
      <c r="Q55" s="19">
        <v>0.46572599999999997</v>
      </c>
      <c r="R55" s="19">
        <v>0.47096199999999999</v>
      </c>
      <c r="S55" s="19">
        <v>0.54891699999999999</v>
      </c>
      <c r="T55" s="19">
        <v>0.54891699999999999</v>
      </c>
      <c r="U55" s="19">
        <v>0.54891699999999999</v>
      </c>
      <c r="V55" s="19">
        <v>0.54891699999999999</v>
      </c>
      <c r="W55" s="19">
        <v>0.54891699999999999</v>
      </c>
      <c r="X55" s="19">
        <v>0.54891699999999999</v>
      </c>
      <c r="Y55" s="19">
        <v>0.54891699999999999</v>
      </c>
      <c r="Z55" s="19">
        <v>0.54891699999999999</v>
      </c>
      <c r="AA55" s="19">
        <v>0.54891699999999999</v>
      </c>
      <c r="AB55" s="19">
        <v>0.54891699999999999</v>
      </c>
      <c r="AC55" s="19">
        <v>0.54891699999999999</v>
      </c>
      <c r="AD55" s="19">
        <v>0.62841499999999995</v>
      </c>
      <c r="AE55" s="19">
        <v>0.92449499999999996</v>
      </c>
      <c r="AF55" s="19">
        <v>1.1476280000000001</v>
      </c>
      <c r="AG55" s="19">
        <v>1.666782</v>
      </c>
      <c r="AH55" s="20" t="s">
        <v>84</v>
      </c>
    </row>
    <row r="56" spans="1:34" ht="15" customHeight="1" x14ac:dyDescent="0.4">
      <c r="A56" s="8" t="s">
        <v>118</v>
      </c>
      <c r="B56" s="18" t="s">
        <v>79</v>
      </c>
      <c r="C56" s="19" t="s">
        <v>84</v>
      </c>
      <c r="D56" s="19">
        <v>0</v>
      </c>
      <c r="E56" s="19">
        <v>0</v>
      </c>
      <c r="F56" s="19">
        <v>1.0970000000000001E-3</v>
      </c>
      <c r="G56" s="19">
        <v>2.1979999999999999E-3</v>
      </c>
      <c r="H56" s="19">
        <v>2.1979999999999999E-3</v>
      </c>
      <c r="I56" s="19">
        <v>2.1979999999999999E-3</v>
      </c>
      <c r="J56" s="19">
        <v>2.1979999999999999E-3</v>
      </c>
      <c r="K56" s="19">
        <v>2.1979999999999999E-3</v>
      </c>
      <c r="L56" s="19">
        <v>2.1979999999999999E-3</v>
      </c>
      <c r="M56" s="19">
        <v>2.1979999999999999E-3</v>
      </c>
      <c r="N56" s="19">
        <v>2.1979999999999999E-3</v>
      </c>
      <c r="O56" s="19">
        <v>2.1979999999999999E-3</v>
      </c>
      <c r="P56" s="19">
        <v>2.1979999999999999E-3</v>
      </c>
      <c r="Q56" s="19">
        <v>2.1979999999999999E-3</v>
      </c>
      <c r="R56" s="19">
        <v>3.2429999999999998E-3</v>
      </c>
      <c r="S56" s="19">
        <v>3.2429999999999998E-3</v>
      </c>
      <c r="T56" s="19">
        <v>3.2429999999999998E-3</v>
      </c>
      <c r="U56" s="19">
        <v>3.2429999999999998E-3</v>
      </c>
      <c r="V56" s="19">
        <v>3.2429999999999998E-3</v>
      </c>
      <c r="W56" s="19">
        <v>3.2429999999999998E-3</v>
      </c>
      <c r="X56" s="19">
        <v>3.2429999999999998E-3</v>
      </c>
      <c r="Y56" s="19">
        <v>3.2429999999999998E-3</v>
      </c>
      <c r="Z56" s="19">
        <v>3.2429999999999998E-3</v>
      </c>
      <c r="AA56" s="19">
        <v>3.2429999999999998E-3</v>
      </c>
      <c r="AB56" s="19">
        <v>3.2429999999999998E-3</v>
      </c>
      <c r="AC56" s="19">
        <v>3.2429999999999998E-3</v>
      </c>
      <c r="AD56" s="19">
        <v>4.2449999999999996E-3</v>
      </c>
      <c r="AE56" s="19">
        <v>4.2449999999999996E-3</v>
      </c>
      <c r="AF56" s="19">
        <v>4.2449999999999996E-3</v>
      </c>
      <c r="AG56" s="19">
        <v>4.2449999999999996E-3</v>
      </c>
      <c r="AH56" s="20" t="s">
        <v>84</v>
      </c>
    </row>
    <row r="57" spans="1:34" ht="15" customHeight="1" x14ac:dyDescent="0.4">
      <c r="A57" s="8" t="s">
        <v>119</v>
      </c>
      <c r="B57" s="18" t="s">
        <v>81</v>
      </c>
      <c r="C57" s="19" t="s">
        <v>84</v>
      </c>
      <c r="D57" s="19">
        <v>0.100994</v>
      </c>
      <c r="E57" s="19">
        <v>8.8666490000000007</v>
      </c>
      <c r="F57" s="19">
        <v>37.973278000000001</v>
      </c>
      <c r="G57" s="19">
        <v>72.677268999999995</v>
      </c>
      <c r="H57" s="19">
        <v>92.013435000000001</v>
      </c>
      <c r="I57" s="19">
        <v>105.69729599999999</v>
      </c>
      <c r="J57" s="19">
        <v>112.43943</v>
      </c>
      <c r="K57" s="19">
        <v>117.455681</v>
      </c>
      <c r="L57" s="19">
        <v>128.147919</v>
      </c>
      <c r="M57" s="19">
        <v>129.800873</v>
      </c>
      <c r="N57" s="19">
        <v>133.75157200000001</v>
      </c>
      <c r="O57" s="19">
        <v>139.453003</v>
      </c>
      <c r="P57" s="19">
        <v>146.11961400000001</v>
      </c>
      <c r="Q57" s="19">
        <v>151.96945199999999</v>
      </c>
      <c r="R57" s="19">
        <v>157.02372700000001</v>
      </c>
      <c r="S57" s="19">
        <v>166.94049100000001</v>
      </c>
      <c r="T57" s="19">
        <v>173.512833</v>
      </c>
      <c r="U57" s="19">
        <v>183.321091</v>
      </c>
      <c r="V57" s="19">
        <v>188.56845100000001</v>
      </c>
      <c r="W57" s="19">
        <v>194.92855800000001</v>
      </c>
      <c r="X57" s="19">
        <v>200.07630900000001</v>
      </c>
      <c r="Y57" s="19">
        <v>204.78831500000001</v>
      </c>
      <c r="Z57" s="19">
        <v>211.80543499999999</v>
      </c>
      <c r="AA57" s="19">
        <v>221.25636299999999</v>
      </c>
      <c r="AB57" s="19">
        <v>230.58656300000001</v>
      </c>
      <c r="AC57" s="19">
        <v>243.582413</v>
      </c>
      <c r="AD57" s="19">
        <v>260.67590300000001</v>
      </c>
      <c r="AE57" s="19">
        <v>282.23745700000001</v>
      </c>
      <c r="AF57" s="19">
        <v>307.169464</v>
      </c>
      <c r="AG57" s="19">
        <v>317.91125499999998</v>
      </c>
      <c r="AH57" s="20" t="s">
        <v>84</v>
      </c>
    </row>
    <row r="58" spans="1:34" ht="15" customHeight="1" x14ac:dyDescent="0.4">
      <c r="A58" s="8" t="s">
        <v>120</v>
      </c>
      <c r="B58" s="18" t="s">
        <v>108</v>
      </c>
      <c r="C58" s="19" t="s">
        <v>84</v>
      </c>
      <c r="D58" s="19">
        <v>0</v>
      </c>
      <c r="E58" s="19">
        <v>1.5576829999999999</v>
      </c>
      <c r="F58" s="19">
        <v>2.029814</v>
      </c>
      <c r="G58" s="19">
        <v>2.5895380000000001</v>
      </c>
      <c r="H58" s="19">
        <v>3.7884250000000002</v>
      </c>
      <c r="I58" s="19">
        <v>4.3695849999999998</v>
      </c>
      <c r="J58" s="19">
        <v>5.0523239999999996</v>
      </c>
      <c r="K58" s="19">
        <v>5.9726509999999999</v>
      </c>
      <c r="L58" s="19">
        <v>6.8292250000000001</v>
      </c>
      <c r="M58" s="19">
        <v>7.5518710000000002</v>
      </c>
      <c r="N58" s="19">
        <v>8.3369949999999999</v>
      </c>
      <c r="O58" s="19">
        <v>9.1962609999999998</v>
      </c>
      <c r="P58" s="19">
        <v>10.102161000000001</v>
      </c>
      <c r="Q58" s="19">
        <v>11.118252999999999</v>
      </c>
      <c r="R58" s="19">
        <v>12.202368</v>
      </c>
      <c r="S58" s="19">
        <v>13.468646</v>
      </c>
      <c r="T58" s="19">
        <v>14.828192</v>
      </c>
      <c r="U58" s="19">
        <v>16.063656000000002</v>
      </c>
      <c r="V58" s="19">
        <v>17.337409999999998</v>
      </c>
      <c r="W58" s="19">
        <v>18.650296999999998</v>
      </c>
      <c r="X58" s="19">
        <v>19.995911</v>
      </c>
      <c r="Y58" s="19">
        <v>21.409272999999999</v>
      </c>
      <c r="Z58" s="19">
        <v>23.142251999999999</v>
      </c>
      <c r="AA58" s="19">
        <v>24.906137000000001</v>
      </c>
      <c r="AB58" s="19">
        <v>26.691203999999999</v>
      </c>
      <c r="AC58" s="19">
        <v>28.452904</v>
      </c>
      <c r="AD58" s="19">
        <v>30.297573</v>
      </c>
      <c r="AE58" s="19">
        <v>32.29063</v>
      </c>
      <c r="AF58" s="19">
        <v>34.308743</v>
      </c>
      <c r="AG58" s="19">
        <v>36.505851999999997</v>
      </c>
      <c r="AH58" s="20" t="s">
        <v>84</v>
      </c>
    </row>
    <row r="59" spans="1:34" ht="15" customHeight="1" x14ac:dyDescent="0.4">
      <c r="A59" s="8" t="s">
        <v>121</v>
      </c>
      <c r="B59" s="12" t="s">
        <v>86</v>
      </c>
      <c r="C59" s="21" t="s">
        <v>84</v>
      </c>
      <c r="D59" s="21">
        <v>8.8091390000000001</v>
      </c>
      <c r="E59" s="21">
        <v>23.780142000000001</v>
      </c>
      <c r="F59" s="21">
        <v>66.693123</v>
      </c>
      <c r="G59" s="21">
        <v>118.565781</v>
      </c>
      <c r="H59" s="21">
        <v>177.69270299999999</v>
      </c>
      <c r="I59" s="21">
        <v>223.36970500000001</v>
      </c>
      <c r="J59" s="21">
        <v>261.97018400000002</v>
      </c>
      <c r="K59" s="21">
        <v>279.44250499999998</v>
      </c>
      <c r="L59" s="21">
        <v>299.56939699999998</v>
      </c>
      <c r="M59" s="21">
        <v>311.85327100000001</v>
      </c>
      <c r="N59" s="21">
        <v>326.75259399999999</v>
      </c>
      <c r="O59" s="21">
        <v>343.448669</v>
      </c>
      <c r="P59" s="21">
        <v>358.938354</v>
      </c>
      <c r="Q59" s="21">
        <v>375.27404799999999</v>
      </c>
      <c r="R59" s="21">
        <v>391.74343900000002</v>
      </c>
      <c r="S59" s="21">
        <v>412.84817500000003</v>
      </c>
      <c r="T59" s="21">
        <v>431.99893200000002</v>
      </c>
      <c r="U59" s="21">
        <v>452.35299700000002</v>
      </c>
      <c r="V59" s="21">
        <v>467.56793199999998</v>
      </c>
      <c r="W59" s="21">
        <v>486.50869799999998</v>
      </c>
      <c r="X59" s="21">
        <v>501.611603</v>
      </c>
      <c r="Y59" s="21">
        <v>520.47778300000004</v>
      </c>
      <c r="Z59" s="21">
        <v>543.04028300000004</v>
      </c>
      <c r="AA59" s="21">
        <v>568.35583499999996</v>
      </c>
      <c r="AB59" s="21">
        <v>592.46545400000002</v>
      </c>
      <c r="AC59" s="21">
        <v>618.25018299999999</v>
      </c>
      <c r="AD59" s="21">
        <v>647.99548300000004</v>
      </c>
      <c r="AE59" s="21">
        <v>683.76336700000002</v>
      </c>
      <c r="AF59" s="21">
        <v>719.13476600000001</v>
      </c>
      <c r="AG59" s="21">
        <v>746.60253899999998</v>
      </c>
      <c r="AH59" s="22" t="s">
        <v>84</v>
      </c>
    </row>
    <row r="60" spans="1:34" ht="15" customHeight="1" x14ac:dyDescent="0.4">
      <c r="A60" s="8" t="s">
        <v>122</v>
      </c>
      <c r="B60" s="12" t="s">
        <v>123</v>
      </c>
      <c r="C60" s="21" t="s">
        <v>84</v>
      </c>
      <c r="D60" s="21">
        <v>40.017651000000001</v>
      </c>
      <c r="E60" s="21">
        <v>82.430862000000005</v>
      </c>
      <c r="F60" s="21">
        <v>129.193848</v>
      </c>
      <c r="G60" s="21">
        <v>182.774506</v>
      </c>
      <c r="H60" s="21">
        <v>242.34442100000001</v>
      </c>
      <c r="I60" s="21">
        <v>288.432434</v>
      </c>
      <c r="J60" s="21">
        <v>327.44390900000002</v>
      </c>
      <c r="K60" s="21">
        <v>347.32720899999998</v>
      </c>
      <c r="L60" s="21">
        <v>367.86511200000001</v>
      </c>
      <c r="M60" s="21">
        <v>387.66000400000001</v>
      </c>
      <c r="N60" s="21">
        <v>402.559326</v>
      </c>
      <c r="O60" s="21">
        <v>419.255402</v>
      </c>
      <c r="P60" s="21">
        <v>434.74508700000001</v>
      </c>
      <c r="Q60" s="21">
        <v>456.28076199999998</v>
      </c>
      <c r="R60" s="21">
        <v>483.90017699999999</v>
      </c>
      <c r="S60" s="21">
        <v>505.00491299999999</v>
      </c>
      <c r="T60" s="21">
        <v>524.15563999999995</v>
      </c>
      <c r="U60" s="21">
        <v>544.50970500000005</v>
      </c>
      <c r="V60" s="21">
        <v>559.72466999999995</v>
      </c>
      <c r="W60" s="21">
        <v>578.91540499999996</v>
      </c>
      <c r="X60" s="21">
        <v>594.01831100000004</v>
      </c>
      <c r="Y60" s="21">
        <v>612.88452099999995</v>
      </c>
      <c r="Z60" s="21">
        <v>635.44702099999995</v>
      </c>
      <c r="AA60" s="21">
        <v>660.76257299999997</v>
      </c>
      <c r="AB60" s="21">
        <v>685.12219200000004</v>
      </c>
      <c r="AC60" s="21">
        <v>710.90692100000001</v>
      </c>
      <c r="AD60" s="21">
        <v>740.65222200000005</v>
      </c>
      <c r="AE60" s="21">
        <v>776.42010500000004</v>
      </c>
      <c r="AF60" s="21">
        <v>811.79150400000003</v>
      </c>
      <c r="AG60" s="21">
        <v>839.259277</v>
      </c>
      <c r="AH60" s="22" t="s">
        <v>84</v>
      </c>
    </row>
    <row r="62" spans="1:34" ht="15" customHeight="1" x14ac:dyDescent="0.4">
      <c r="B62" s="12" t="s">
        <v>124</v>
      </c>
    </row>
    <row r="63" spans="1:34" s="17" customFormat="1" ht="15" customHeight="1" x14ac:dyDescent="0.4">
      <c r="A63" s="13" t="s">
        <v>125</v>
      </c>
      <c r="B63" s="14" t="s">
        <v>89</v>
      </c>
      <c r="C63" s="15" t="s">
        <v>84</v>
      </c>
      <c r="D63" s="15">
        <v>4.5084</v>
      </c>
      <c r="E63" s="15">
        <v>9.2206989999999998</v>
      </c>
      <c r="F63" s="15">
        <v>29.479296000000001</v>
      </c>
      <c r="G63" s="15">
        <v>39.575901000000002</v>
      </c>
      <c r="H63" s="15">
        <v>89.742378000000002</v>
      </c>
      <c r="I63" s="15">
        <v>93.867583999999994</v>
      </c>
      <c r="J63" s="15">
        <v>102.27149199999999</v>
      </c>
      <c r="K63" s="15">
        <v>105.572487</v>
      </c>
      <c r="L63" s="15">
        <v>108.06199599999999</v>
      </c>
      <c r="M63" s="15">
        <v>110.594002</v>
      </c>
      <c r="N63" s="15">
        <v>112.012001</v>
      </c>
      <c r="O63" s="15">
        <v>114.851006</v>
      </c>
      <c r="P63" s="15">
        <v>116.470009</v>
      </c>
      <c r="Q63" s="15">
        <v>118.60580400000001</v>
      </c>
      <c r="R63" s="15">
        <v>120.22180899999999</v>
      </c>
      <c r="S63" s="15">
        <v>120.22180899999999</v>
      </c>
      <c r="T63" s="15">
        <v>120.56081399999999</v>
      </c>
      <c r="U63" s="15">
        <v>122.68079400000001</v>
      </c>
      <c r="V63" s="15">
        <v>123.01979799999999</v>
      </c>
      <c r="W63" s="15">
        <v>123.01979799999999</v>
      </c>
      <c r="X63" s="15">
        <v>123.35979500000001</v>
      </c>
      <c r="Y63" s="15">
        <v>123.35979500000001</v>
      </c>
      <c r="Z63" s="15">
        <v>123.35979500000001</v>
      </c>
      <c r="AA63" s="15">
        <v>123.380791</v>
      </c>
      <c r="AB63" s="15">
        <v>126.309792</v>
      </c>
      <c r="AC63" s="15">
        <v>126.989799</v>
      </c>
      <c r="AD63" s="15">
        <v>126.989799</v>
      </c>
      <c r="AE63" s="15">
        <v>128.09979200000001</v>
      </c>
      <c r="AF63" s="15">
        <v>128.09979200000001</v>
      </c>
      <c r="AG63" s="15">
        <v>128.09979200000001</v>
      </c>
      <c r="AH63" s="16" t="s">
        <v>84</v>
      </c>
    </row>
    <row r="64" spans="1:34" ht="15" customHeight="1" x14ac:dyDescent="0.4">
      <c r="A64" s="8" t="s">
        <v>126</v>
      </c>
      <c r="B64" s="18" t="s">
        <v>91</v>
      </c>
      <c r="C64" s="19" t="s">
        <v>84</v>
      </c>
      <c r="D64" s="19">
        <v>1.1951000000000001</v>
      </c>
      <c r="E64" s="19">
        <v>6.0462009999999999</v>
      </c>
      <c r="F64" s="19">
        <v>10.624701999999999</v>
      </c>
      <c r="G64" s="19">
        <v>15.805702</v>
      </c>
      <c r="H64" s="19">
        <v>18.874302</v>
      </c>
      <c r="I64" s="19">
        <v>22.981003000000001</v>
      </c>
      <c r="J64" s="19">
        <v>24.023502000000001</v>
      </c>
      <c r="K64" s="19">
        <v>25.671500999999999</v>
      </c>
      <c r="L64" s="19">
        <v>32.400902000000002</v>
      </c>
      <c r="M64" s="19">
        <v>32.445903999999999</v>
      </c>
      <c r="N64" s="19">
        <v>33.419407</v>
      </c>
      <c r="O64" s="19">
        <v>33.662407000000002</v>
      </c>
      <c r="P64" s="19">
        <v>34.406207999999999</v>
      </c>
      <c r="Q64" s="19">
        <v>34.909205999999998</v>
      </c>
      <c r="R64" s="19">
        <v>35.879707000000003</v>
      </c>
      <c r="S64" s="19">
        <v>36.789703000000003</v>
      </c>
      <c r="T64" s="19">
        <v>36.789703000000003</v>
      </c>
      <c r="U64" s="19">
        <v>36.789703000000003</v>
      </c>
      <c r="V64" s="19">
        <v>36.915703000000001</v>
      </c>
      <c r="W64" s="19">
        <v>36.915703000000001</v>
      </c>
      <c r="X64" s="19">
        <v>36.915703000000001</v>
      </c>
      <c r="Y64" s="19">
        <v>36.915703000000001</v>
      </c>
      <c r="Z64" s="19">
        <v>36.915703000000001</v>
      </c>
      <c r="AA64" s="19">
        <v>36.915703000000001</v>
      </c>
      <c r="AB64" s="19">
        <v>37.021706000000002</v>
      </c>
      <c r="AC64" s="19">
        <v>37.021706000000002</v>
      </c>
      <c r="AD64" s="19">
        <v>37.021706000000002</v>
      </c>
      <c r="AE64" s="19">
        <v>37.021706000000002</v>
      </c>
      <c r="AF64" s="19">
        <v>37.574706999999997</v>
      </c>
      <c r="AG64" s="19">
        <v>37.574706999999997</v>
      </c>
      <c r="AH64" s="20" t="s">
        <v>84</v>
      </c>
    </row>
    <row r="65" spans="1:34" ht="15" customHeight="1" x14ac:dyDescent="0.4">
      <c r="A65" s="8" t="s">
        <v>127</v>
      </c>
      <c r="B65" s="18" t="s">
        <v>69</v>
      </c>
      <c r="C65" s="19" t="s">
        <v>84</v>
      </c>
      <c r="D65" s="19">
        <v>5.6000000000000001E-2</v>
      </c>
      <c r="E65" s="19">
        <v>1.077</v>
      </c>
      <c r="F65" s="19">
        <v>2.6442000000000001</v>
      </c>
      <c r="G65" s="19">
        <v>3.8123</v>
      </c>
      <c r="H65" s="19">
        <v>5.2564019999999996</v>
      </c>
      <c r="I65" s="19">
        <v>5.2564019999999996</v>
      </c>
      <c r="J65" s="19">
        <v>5.7064019999999998</v>
      </c>
      <c r="K65" s="19">
        <v>5.7558020000000001</v>
      </c>
      <c r="L65" s="19">
        <v>5.7999010000000002</v>
      </c>
      <c r="M65" s="19">
        <v>6.8637009999999998</v>
      </c>
      <c r="N65" s="19">
        <v>7.7487019999999998</v>
      </c>
      <c r="O65" s="19">
        <v>7.7487019999999998</v>
      </c>
      <c r="P65" s="19">
        <v>7.8114020000000002</v>
      </c>
      <c r="Q65" s="19">
        <v>7.9534019999999996</v>
      </c>
      <c r="R65" s="19">
        <v>8.0244020000000003</v>
      </c>
      <c r="S65" s="19">
        <v>8.0244020000000003</v>
      </c>
      <c r="T65" s="19">
        <v>8.0244020000000003</v>
      </c>
      <c r="U65" s="19">
        <v>8.0244020000000003</v>
      </c>
      <c r="V65" s="19">
        <v>8.6774020000000007</v>
      </c>
      <c r="W65" s="19">
        <v>8.6774020000000007</v>
      </c>
      <c r="X65" s="19">
        <v>8.6774020000000007</v>
      </c>
      <c r="Y65" s="19">
        <v>9.1885019999999997</v>
      </c>
      <c r="Z65" s="19">
        <v>9.1885019999999997</v>
      </c>
      <c r="AA65" s="19">
        <v>9.1885019999999997</v>
      </c>
      <c r="AB65" s="19">
        <v>9.2155020000000007</v>
      </c>
      <c r="AC65" s="19">
        <v>9.2155020000000007</v>
      </c>
      <c r="AD65" s="19">
        <v>9.8445009999999993</v>
      </c>
      <c r="AE65" s="19">
        <v>9.8445009999999993</v>
      </c>
      <c r="AF65" s="19">
        <v>9.9011019999999998</v>
      </c>
      <c r="AG65" s="19">
        <v>9.9011019999999998</v>
      </c>
      <c r="AH65" s="20" t="s">
        <v>84</v>
      </c>
    </row>
    <row r="66" spans="1:34" ht="14.85" customHeight="1" x14ac:dyDescent="0.4">
      <c r="A66" s="8" t="s">
        <v>128</v>
      </c>
      <c r="B66" s="18" t="s">
        <v>71</v>
      </c>
      <c r="C66" s="19" t="s">
        <v>84</v>
      </c>
      <c r="D66" s="19">
        <v>1.8800000000000001E-2</v>
      </c>
      <c r="E66" s="19">
        <v>9.9599999999999994E-2</v>
      </c>
      <c r="F66" s="19">
        <v>0.73709999999999998</v>
      </c>
      <c r="G66" s="19">
        <v>1.3065</v>
      </c>
      <c r="H66" s="19">
        <v>1.3661000000000001</v>
      </c>
      <c r="I66" s="19">
        <v>2.6261999999999999</v>
      </c>
      <c r="J66" s="19">
        <v>3.2588010000000001</v>
      </c>
      <c r="K66" s="19">
        <v>3.2639999999999998</v>
      </c>
      <c r="L66" s="19">
        <v>3.2639999999999998</v>
      </c>
      <c r="M66" s="19">
        <v>3.6284999999999998</v>
      </c>
      <c r="N66" s="19">
        <v>3.6284999999999998</v>
      </c>
      <c r="O66" s="19">
        <v>3.7905009999999999</v>
      </c>
      <c r="P66" s="19">
        <v>3.9113009999999999</v>
      </c>
      <c r="Q66" s="19">
        <v>3.9299010000000001</v>
      </c>
      <c r="R66" s="19">
        <v>3.946901</v>
      </c>
      <c r="S66" s="19">
        <v>3.946901</v>
      </c>
      <c r="T66" s="19">
        <v>3.946901</v>
      </c>
      <c r="U66" s="19">
        <v>3.9594010000000002</v>
      </c>
      <c r="V66" s="19">
        <v>3.9594010000000002</v>
      </c>
      <c r="W66" s="19">
        <v>3.9594010000000002</v>
      </c>
      <c r="X66" s="19">
        <v>4.1684010000000002</v>
      </c>
      <c r="Y66" s="19">
        <v>4.2004010000000003</v>
      </c>
      <c r="Z66" s="19">
        <v>4.2004010000000003</v>
      </c>
      <c r="AA66" s="19">
        <v>4.2004010000000003</v>
      </c>
      <c r="AB66" s="19">
        <v>4.287401</v>
      </c>
      <c r="AC66" s="19">
        <v>4.287401</v>
      </c>
      <c r="AD66" s="19">
        <v>4.287401</v>
      </c>
      <c r="AE66" s="19">
        <v>4.3529010000000001</v>
      </c>
      <c r="AF66" s="19">
        <v>4.3529010000000001</v>
      </c>
      <c r="AG66" s="19">
        <v>4.3529010000000001</v>
      </c>
      <c r="AH66" s="20" t="s">
        <v>84</v>
      </c>
    </row>
    <row r="67" spans="1:34" ht="15" customHeight="1" x14ac:dyDescent="0.4">
      <c r="A67" s="8" t="s">
        <v>129</v>
      </c>
      <c r="B67" s="18" t="s">
        <v>102</v>
      </c>
      <c r="C67" s="19" t="s">
        <v>84</v>
      </c>
      <c r="D67" s="19">
        <v>5.7363</v>
      </c>
      <c r="E67" s="19">
        <v>6.5079000000000002</v>
      </c>
      <c r="F67" s="19">
        <v>6.5079000000000002</v>
      </c>
      <c r="G67" s="19">
        <v>6.5079000000000002</v>
      </c>
      <c r="H67" s="19">
        <v>7.6299000000000001</v>
      </c>
      <c r="I67" s="19">
        <v>20.986601</v>
      </c>
      <c r="J67" s="19">
        <v>29.137402000000002</v>
      </c>
      <c r="K67" s="19">
        <v>31.494406000000001</v>
      </c>
      <c r="L67" s="19">
        <v>37.924796999999998</v>
      </c>
      <c r="M67" s="19">
        <v>37.924796999999998</v>
      </c>
      <c r="N67" s="19">
        <v>40.219898000000001</v>
      </c>
      <c r="O67" s="19">
        <v>41.504596999999997</v>
      </c>
      <c r="P67" s="19">
        <v>42.569598999999997</v>
      </c>
      <c r="Q67" s="19">
        <v>44.703598</v>
      </c>
      <c r="R67" s="19">
        <v>44.703598</v>
      </c>
      <c r="S67" s="19">
        <v>45.825699</v>
      </c>
      <c r="T67" s="19">
        <v>47.832698999999998</v>
      </c>
      <c r="U67" s="19">
        <v>48.674495999999998</v>
      </c>
      <c r="V67" s="19">
        <v>48.674495999999998</v>
      </c>
      <c r="W67" s="19">
        <v>48.674495999999998</v>
      </c>
      <c r="X67" s="19">
        <v>48.674495999999998</v>
      </c>
      <c r="Y67" s="19">
        <v>48.674495999999998</v>
      </c>
      <c r="Z67" s="19">
        <v>51.056198000000002</v>
      </c>
      <c r="AA67" s="19">
        <v>56.666896999999999</v>
      </c>
      <c r="AB67" s="19">
        <v>56.666896999999999</v>
      </c>
      <c r="AC67" s="19">
        <v>56.666896999999999</v>
      </c>
      <c r="AD67" s="19">
        <v>57.5779</v>
      </c>
      <c r="AE67" s="19">
        <v>59.417895999999999</v>
      </c>
      <c r="AF67" s="19">
        <v>59.417895999999999</v>
      </c>
      <c r="AG67" s="19">
        <v>59.417895999999999</v>
      </c>
      <c r="AH67" s="20" t="s">
        <v>84</v>
      </c>
    </row>
    <row r="68" spans="1:34" ht="15" customHeight="1" x14ac:dyDescent="0.4">
      <c r="A68" s="8" t="s">
        <v>130</v>
      </c>
      <c r="B68" s="18" t="s">
        <v>75</v>
      </c>
      <c r="C68" s="19" t="s">
        <v>84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20" t="s">
        <v>84</v>
      </c>
    </row>
    <row r="69" spans="1:34" ht="15" customHeight="1" x14ac:dyDescent="0.4">
      <c r="A69" s="8" t="s">
        <v>131</v>
      </c>
      <c r="B69" s="18" t="s">
        <v>77</v>
      </c>
      <c r="C69" s="19" t="s">
        <v>84</v>
      </c>
      <c r="D69" s="19">
        <v>0</v>
      </c>
      <c r="E69" s="19">
        <v>0</v>
      </c>
      <c r="F69" s="19">
        <v>0</v>
      </c>
      <c r="G69" s="19">
        <v>1E-3</v>
      </c>
      <c r="H69" s="19">
        <v>1E-3</v>
      </c>
      <c r="I69" s="19">
        <v>1E-3</v>
      </c>
      <c r="J69" s="19">
        <v>1E-3</v>
      </c>
      <c r="K69" s="19">
        <v>1E-3</v>
      </c>
      <c r="L69" s="19">
        <v>1E-3</v>
      </c>
      <c r="M69" s="19">
        <v>1E-3</v>
      </c>
      <c r="N69" s="19">
        <v>1E-3</v>
      </c>
      <c r="O69" s="19">
        <v>1E-3</v>
      </c>
      <c r="P69" s="19">
        <v>1E-3</v>
      </c>
      <c r="Q69" s="19">
        <v>1E-3</v>
      </c>
      <c r="R69" s="19">
        <v>1E-3</v>
      </c>
      <c r="S69" s="19">
        <v>1E-3</v>
      </c>
      <c r="T69" s="19">
        <v>3.0000000000000001E-3</v>
      </c>
      <c r="U69" s="19">
        <v>3.0000000000000001E-3</v>
      </c>
      <c r="V69" s="19">
        <v>3.0000000000000001E-3</v>
      </c>
      <c r="W69" s="19">
        <v>3.0000000000000001E-3</v>
      </c>
      <c r="X69" s="19">
        <v>3.0000000000000001E-3</v>
      </c>
      <c r="Y69" s="19">
        <v>3.0000000000000001E-3</v>
      </c>
      <c r="Z69" s="19">
        <v>3.0000000000000001E-3</v>
      </c>
      <c r="AA69" s="19">
        <v>3.0000000000000001E-3</v>
      </c>
      <c r="AB69" s="19">
        <v>3.0000000000000001E-3</v>
      </c>
      <c r="AC69" s="19">
        <v>3.0000000000000001E-3</v>
      </c>
      <c r="AD69" s="19">
        <v>3.0000000000000001E-3</v>
      </c>
      <c r="AE69" s="19">
        <v>3.0000000000000001E-3</v>
      </c>
      <c r="AF69" s="19">
        <v>3.0000000000000001E-3</v>
      </c>
      <c r="AG69" s="19">
        <v>3.0000000000000001E-3</v>
      </c>
      <c r="AH69" s="20" t="s">
        <v>84</v>
      </c>
    </row>
    <row r="70" spans="1:34" ht="15" customHeight="1" x14ac:dyDescent="0.4">
      <c r="A70" s="8" t="s">
        <v>132</v>
      </c>
      <c r="B70" s="18" t="s">
        <v>79</v>
      </c>
      <c r="C70" s="19" t="s">
        <v>84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1.1000000000000001E-3</v>
      </c>
      <c r="O70" s="19">
        <v>1.1000000000000001E-3</v>
      </c>
      <c r="P70" s="19">
        <v>1.1000000000000001E-3</v>
      </c>
      <c r="Q70" s="19">
        <v>1.1000000000000001E-3</v>
      </c>
      <c r="R70" s="19">
        <v>1.1000000000000001E-3</v>
      </c>
      <c r="S70" s="19">
        <v>1.1000000000000001E-3</v>
      </c>
      <c r="T70" s="19">
        <v>1.1000000000000001E-3</v>
      </c>
      <c r="U70" s="19">
        <v>1.1000000000000001E-3</v>
      </c>
      <c r="V70" s="19">
        <v>1.1000000000000001E-3</v>
      </c>
      <c r="W70" s="19">
        <v>1.1000000000000001E-3</v>
      </c>
      <c r="X70" s="19">
        <v>1.1000000000000001E-3</v>
      </c>
      <c r="Y70" s="19">
        <v>1.1000000000000001E-3</v>
      </c>
      <c r="Z70" s="19">
        <v>1.1000000000000001E-3</v>
      </c>
      <c r="AA70" s="19">
        <v>1.1000000000000001E-3</v>
      </c>
      <c r="AB70" s="19">
        <v>1.1000000000000001E-3</v>
      </c>
      <c r="AC70" s="19">
        <v>1.1000000000000001E-3</v>
      </c>
      <c r="AD70" s="19">
        <v>1.1000000000000001E-3</v>
      </c>
      <c r="AE70" s="19">
        <v>1.1000000000000001E-3</v>
      </c>
      <c r="AF70" s="19">
        <v>1.1000000000000001E-3</v>
      </c>
      <c r="AG70" s="19">
        <v>1.1000000000000001E-3</v>
      </c>
      <c r="AH70" s="20" t="s">
        <v>84</v>
      </c>
    </row>
    <row r="71" spans="1:34" ht="15" customHeight="1" x14ac:dyDescent="0.4">
      <c r="A71" s="8" t="s">
        <v>133</v>
      </c>
      <c r="B71" s="18" t="s">
        <v>81</v>
      </c>
      <c r="C71" s="19" t="s">
        <v>84</v>
      </c>
      <c r="D71" s="19">
        <v>0</v>
      </c>
      <c r="E71" s="19">
        <v>1.21E-2</v>
      </c>
      <c r="F71" s="19">
        <v>3.49E-2</v>
      </c>
      <c r="G71" s="19">
        <v>5.0900000000000001E-2</v>
      </c>
      <c r="H71" s="19">
        <v>5.5399999999999998E-2</v>
      </c>
      <c r="I71" s="19">
        <v>5.5399999999999998E-2</v>
      </c>
      <c r="J71" s="19">
        <v>0.06</v>
      </c>
      <c r="K71" s="19">
        <v>0.23230000000000001</v>
      </c>
      <c r="L71" s="19">
        <v>0.31169999999999998</v>
      </c>
      <c r="M71" s="19">
        <v>0.31169999999999998</v>
      </c>
      <c r="N71" s="19">
        <v>0.31169999999999998</v>
      </c>
      <c r="O71" s="19">
        <v>0.31169999999999998</v>
      </c>
      <c r="P71" s="19">
        <v>0.31169999999999998</v>
      </c>
      <c r="Q71" s="19">
        <v>0.31169999999999998</v>
      </c>
      <c r="R71" s="19">
        <v>0.31169999999999998</v>
      </c>
      <c r="S71" s="19">
        <v>0.31169999999999998</v>
      </c>
      <c r="T71" s="19">
        <v>0.31169999999999998</v>
      </c>
      <c r="U71" s="19">
        <v>0.31169999999999998</v>
      </c>
      <c r="V71" s="19">
        <v>0.31169999999999998</v>
      </c>
      <c r="W71" s="19">
        <v>0.31169999999999998</v>
      </c>
      <c r="X71" s="19">
        <v>0.31169999999999998</v>
      </c>
      <c r="Y71" s="19">
        <v>0.31169999999999998</v>
      </c>
      <c r="Z71" s="19">
        <v>0.31169999999999998</v>
      </c>
      <c r="AA71" s="19">
        <v>0.3916</v>
      </c>
      <c r="AB71" s="19">
        <v>0.3916</v>
      </c>
      <c r="AC71" s="19">
        <v>0.3916</v>
      </c>
      <c r="AD71" s="19">
        <v>0.39460000000000001</v>
      </c>
      <c r="AE71" s="19">
        <v>0.39460000000000001</v>
      </c>
      <c r="AF71" s="19">
        <v>0.40960000000000002</v>
      </c>
      <c r="AG71" s="19">
        <v>0.40960000000000002</v>
      </c>
      <c r="AH71" s="20" t="s">
        <v>84</v>
      </c>
    </row>
    <row r="72" spans="1:34" ht="15" customHeight="1" x14ac:dyDescent="0.4">
      <c r="A72" s="8" t="s">
        <v>134</v>
      </c>
      <c r="B72" s="12" t="s">
        <v>86</v>
      </c>
      <c r="C72" s="21" t="s">
        <v>84</v>
      </c>
      <c r="D72" s="21">
        <v>11.514602999999999</v>
      </c>
      <c r="E72" s="21">
        <v>22.963498999999999</v>
      </c>
      <c r="F72" s="21">
        <v>50.028084</v>
      </c>
      <c r="G72" s="21">
        <v>67.060181</v>
      </c>
      <c r="H72" s="21">
        <v>122.925499</v>
      </c>
      <c r="I72" s="21">
        <v>145.774216</v>
      </c>
      <c r="J72" s="21">
        <v>164.458618</v>
      </c>
      <c r="K72" s="21">
        <v>172.027512</v>
      </c>
      <c r="L72" s="21">
        <v>187.80027799999999</v>
      </c>
      <c r="M72" s="21">
        <v>191.80557300000001</v>
      </c>
      <c r="N72" s="21">
        <v>197.37825000000001</v>
      </c>
      <c r="O72" s="21">
        <v>201.906982</v>
      </c>
      <c r="P72" s="21">
        <v>205.51829499999999</v>
      </c>
      <c r="Q72" s="21">
        <v>210.45167499999999</v>
      </c>
      <c r="R72" s="21">
        <v>213.12617499999999</v>
      </c>
      <c r="S72" s="21">
        <v>215.15827899999999</v>
      </c>
      <c r="T72" s="21">
        <v>217.506271</v>
      </c>
      <c r="U72" s="21">
        <v>220.48054500000001</v>
      </c>
      <c r="V72" s="21">
        <v>221.59854100000001</v>
      </c>
      <c r="W72" s="21">
        <v>221.59854100000001</v>
      </c>
      <c r="X72" s="21">
        <v>222.147537</v>
      </c>
      <c r="Y72" s="21">
        <v>222.690628</v>
      </c>
      <c r="Z72" s="21">
        <v>225.072327</v>
      </c>
      <c r="AA72" s="21">
        <v>230.78398100000001</v>
      </c>
      <c r="AB72" s="21">
        <v>233.93296799999999</v>
      </c>
      <c r="AC72" s="21">
        <v>234.61296100000001</v>
      </c>
      <c r="AD72" s="21">
        <v>236.15597500000001</v>
      </c>
      <c r="AE72" s="21">
        <v>239.17146299999999</v>
      </c>
      <c r="AF72" s="21">
        <v>239.796066</v>
      </c>
      <c r="AG72" s="21">
        <v>239.796066</v>
      </c>
      <c r="AH72" s="22" t="s">
        <v>84</v>
      </c>
    </row>
    <row r="74" spans="1:34" ht="15" customHeight="1" x14ac:dyDescent="0.4">
      <c r="A74" s="8" t="s">
        <v>135</v>
      </c>
      <c r="B74" s="12" t="s">
        <v>136</v>
      </c>
      <c r="C74" s="21">
        <v>1091.1827390000001</v>
      </c>
      <c r="D74" s="21">
        <v>1119.685669</v>
      </c>
      <c r="E74" s="21">
        <v>1150.696899</v>
      </c>
      <c r="F74" s="21">
        <v>1170.439331</v>
      </c>
      <c r="G74" s="21">
        <v>1207.0386960000001</v>
      </c>
      <c r="H74" s="21">
        <v>1210.7745359999999</v>
      </c>
      <c r="I74" s="21">
        <v>1234.0447999999999</v>
      </c>
      <c r="J74" s="21">
        <v>1254.4071039999999</v>
      </c>
      <c r="K74" s="21">
        <v>1266.7567140000001</v>
      </c>
      <c r="L74" s="21">
        <v>1271.5667719999999</v>
      </c>
      <c r="M74" s="21">
        <v>1287.4423830000001</v>
      </c>
      <c r="N74" s="21">
        <v>1296.907837</v>
      </c>
      <c r="O74" s="21">
        <v>1309.171509</v>
      </c>
      <c r="P74" s="21">
        <v>1321.1423339999999</v>
      </c>
      <c r="Q74" s="21">
        <v>1337.8326420000001</v>
      </c>
      <c r="R74" s="21">
        <v>1362.955933</v>
      </c>
      <c r="S74" s="21">
        <v>1382.161255</v>
      </c>
      <c r="T74" s="21">
        <v>1398.9907229999999</v>
      </c>
      <c r="U74" s="21">
        <v>1416.3969729999999</v>
      </c>
      <c r="V74" s="21">
        <v>1430.4941409999999</v>
      </c>
      <c r="W74" s="21">
        <v>1449.7285159999999</v>
      </c>
      <c r="X74" s="21">
        <v>1464.441284</v>
      </c>
      <c r="Y74" s="21">
        <v>1482.8793949999999</v>
      </c>
      <c r="Z74" s="21">
        <v>1503.1708980000001</v>
      </c>
      <c r="AA74" s="21">
        <v>1522.87085</v>
      </c>
      <c r="AB74" s="21">
        <v>1544.1854249999999</v>
      </c>
      <c r="AC74" s="21">
        <v>1569.3443600000001</v>
      </c>
      <c r="AD74" s="21">
        <v>1597.6007079999999</v>
      </c>
      <c r="AE74" s="21">
        <v>1630.3870850000001</v>
      </c>
      <c r="AF74" s="21">
        <v>1665.174683</v>
      </c>
      <c r="AG74" s="21">
        <v>1692.7044679999999</v>
      </c>
      <c r="AH74" s="22">
        <v>1.4742999999999999E-2</v>
      </c>
    </row>
    <row r="76" spans="1:34" ht="15" customHeight="1" x14ac:dyDescent="0.4">
      <c r="B76" s="12" t="s">
        <v>137</v>
      </c>
    </row>
    <row r="77" spans="1:34" ht="15" customHeight="1" x14ac:dyDescent="0.4">
      <c r="A77" s="8" t="s">
        <v>138</v>
      </c>
      <c r="B77" s="18" t="s">
        <v>89</v>
      </c>
      <c r="C77" s="19">
        <v>1.94556</v>
      </c>
      <c r="D77" s="19">
        <v>1.9162760000000001</v>
      </c>
      <c r="E77" s="19">
        <v>1.925017</v>
      </c>
      <c r="F77" s="19">
        <v>1.922601</v>
      </c>
      <c r="G77" s="19">
        <v>1.9269829999999999</v>
      </c>
      <c r="H77" s="19">
        <v>1.926186</v>
      </c>
      <c r="I77" s="19">
        <v>1.924083</v>
      </c>
      <c r="J77" s="19">
        <v>1.920661</v>
      </c>
      <c r="K77" s="19">
        <v>1.9165509999999999</v>
      </c>
      <c r="L77" s="19">
        <v>1.9100619999999999</v>
      </c>
      <c r="M77" s="19">
        <v>1.907287</v>
      </c>
      <c r="N77" s="19">
        <v>1.9038330000000001</v>
      </c>
      <c r="O77" s="19">
        <v>1.900576</v>
      </c>
      <c r="P77" s="19">
        <v>1.8952560000000001</v>
      </c>
      <c r="Q77" s="19">
        <v>1.8917550000000001</v>
      </c>
      <c r="R77" s="19">
        <v>1.890439</v>
      </c>
      <c r="S77" s="19">
        <v>1.887616</v>
      </c>
      <c r="T77" s="19">
        <v>1.88537</v>
      </c>
      <c r="U77" s="19">
        <v>1.884536</v>
      </c>
      <c r="V77" s="19">
        <v>1.883561</v>
      </c>
      <c r="W77" s="19">
        <v>1.8798520000000001</v>
      </c>
      <c r="X77" s="19">
        <v>1.8774770000000001</v>
      </c>
      <c r="Y77" s="19">
        <v>1.876735</v>
      </c>
      <c r="Z77" s="19">
        <v>1.8777509999999999</v>
      </c>
      <c r="AA77" s="19">
        <v>1.8753010000000001</v>
      </c>
      <c r="AB77" s="19">
        <v>1.8742350000000001</v>
      </c>
      <c r="AC77" s="19">
        <v>1.8717600000000001</v>
      </c>
      <c r="AD77" s="19">
        <v>1.868565</v>
      </c>
      <c r="AE77" s="19">
        <v>1.866995</v>
      </c>
      <c r="AF77" s="19">
        <v>1.865326</v>
      </c>
      <c r="AG77" s="19">
        <v>1.8652629999999999</v>
      </c>
      <c r="AH77" s="20">
        <v>-1.4040000000000001E-3</v>
      </c>
    </row>
    <row r="78" spans="1:34" ht="15" customHeight="1" x14ac:dyDescent="0.4">
      <c r="A78" s="8" t="s">
        <v>139</v>
      </c>
      <c r="B78" s="18" t="s">
        <v>140</v>
      </c>
      <c r="C78" s="19">
        <v>0.56876099999999996</v>
      </c>
      <c r="D78" s="19">
        <v>0.56876099999999996</v>
      </c>
      <c r="E78" s="19">
        <v>0.56876099999999996</v>
      </c>
      <c r="F78" s="19">
        <v>0.56876099999999996</v>
      </c>
      <c r="G78" s="19">
        <v>0.56876099999999996</v>
      </c>
      <c r="H78" s="19">
        <v>0.56876099999999996</v>
      </c>
      <c r="I78" s="19">
        <v>0.56876099999999996</v>
      </c>
      <c r="J78" s="19">
        <v>0.56876099999999996</v>
      </c>
      <c r="K78" s="19">
        <v>0.56876099999999996</v>
      </c>
      <c r="L78" s="19">
        <v>0.56876099999999996</v>
      </c>
      <c r="M78" s="19">
        <v>0.56876099999999996</v>
      </c>
      <c r="N78" s="19">
        <v>0.56876099999999996</v>
      </c>
      <c r="O78" s="19">
        <v>0.56876099999999996</v>
      </c>
      <c r="P78" s="19">
        <v>0.56876099999999996</v>
      </c>
      <c r="Q78" s="19">
        <v>0.56876099999999996</v>
      </c>
      <c r="R78" s="19">
        <v>0.56876099999999996</v>
      </c>
      <c r="S78" s="19">
        <v>0.56876099999999996</v>
      </c>
      <c r="T78" s="19">
        <v>0.56876099999999996</v>
      </c>
      <c r="U78" s="19">
        <v>0.56876099999999996</v>
      </c>
      <c r="V78" s="19">
        <v>0.56876099999999996</v>
      </c>
      <c r="W78" s="19">
        <v>0.56876099999999996</v>
      </c>
      <c r="X78" s="19">
        <v>0.56876099999999996</v>
      </c>
      <c r="Y78" s="19">
        <v>0.56876099999999996</v>
      </c>
      <c r="Z78" s="19">
        <v>0.56876099999999996</v>
      </c>
      <c r="AA78" s="19">
        <v>0.56876099999999996</v>
      </c>
      <c r="AB78" s="19">
        <v>0.56876099999999996</v>
      </c>
      <c r="AC78" s="19">
        <v>0.56876099999999996</v>
      </c>
      <c r="AD78" s="19">
        <v>0.56876099999999996</v>
      </c>
      <c r="AE78" s="19">
        <v>0.56876099999999996</v>
      </c>
      <c r="AF78" s="19">
        <v>0.56876099999999996</v>
      </c>
      <c r="AG78" s="19">
        <v>0.56876099999999996</v>
      </c>
      <c r="AH78" s="20">
        <v>0</v>
      </c>
    </row>
    <row r="79" spans="1:34" ht="14.85" customHeight="1" x14ac:dyDescent="0.4">
      <c r="A79" s="8" t="s">
        <v>141</v>
      </c>
      <c r="B79" s="18" t="s">
        <v>142</v>
      </c>
      <c r="C79" s="19">
        <v>17.840422</v>
      </c>
      <c r="D79" s="19">
        <v>18.414034000000001</v>
      </c>
      <c r="E79" s="19">
        <v>18.744447999999998</v>
      </c>
      <c r="F79" s="19">
        <v>19.040002999999999</v>
      </c>
      <c r="G79" s="19">
        <v>19.390608</v>
      </c>
      <c r="H79" s="19">
        <v>19.757415999999999</v>
      </c>
      <c r="I79" s="19">
        <v>20.138280999999999</v>
      </c>
      <c r="J79" s="19">
        <v>20.523817000000001</v>
      </c>
      <c r="K79" s="19">
        <v>20.906796</v>
      </c>
      <c r="L79" s="19">
        <v>21.285425</v>
      </c>
      <c r="M79" s="19">
        <v>21.655716000000002</v>
      </c>
      <c r="N79" s="19">
        <v>22.032509000000001</v>
      </c>
      <c r="O79" s="19">
        <v>22.409348000000001</v>
      </c>
      <c r="P79" s="19">
        <v>22.789431</v>
      </c>
      <c r="Q79" s="19">
        <v>23.18235</v>
      </c>
      <c r="R79" s="19">
        <v>23.596098000000001</v>
      </c>
      <c r="S79" s="19">
        <v>24.022133</v>
      </c>
      <c r="T79" s="19">
        <v>24.469906000000002</v>
      </c>
      <c r="U79" s="19">
        <v>24.943709999999999</v>
      </c>
      <c r="V79" s="19">
        <v>25.43655</v>
      </c>
      <c r="W79" s="19">
        <v>25.943194999999999</v>
      </c>
      <c r="X79" s="19">
        <v>26.494547000000001</v>
      </c>
      <c r="Y79" s="19">
        <v>27.106615000000001</v>
      </c>
      <c r="Z79" s="19">
        <v>27.799931999999998</v>
      </c>
      <c r="AA79" s="19">
        <v>28.559950000000001</v>
      </c>
      <c r="AB79" s="19">
        <v>29.406044000000001</v>
      </c>
      <c r="AC79" s="19">
        <v>30.335108000000002</v>
      </c>
      <c r="AD79" s="19">
        <v>31.345692</v>
      </c>
      <c r="AE79" s="19">
        <v>32.447322999999997</v>
      </c>
      <c r="AF79" s="19">
        <v>33.679141999999999</v>
      </c>
      <c r="AG79" s="19">
        <v>35.076495999999999</v>
      </c>
      <c r="AH79" s="20">
        <v>2.2790999999999999E-2</v>
      </c>
    </row>
    <row r="80" spans="1:34" ht="15" customHeight="1" x14ac:dyDescent="0.4">
      <c r="A80" s="8" t="s">
        <v>143</v>
      </c>
      <c r="B80" s="18" t="s">
        <v>144</v>
      </c>
      <c r="C80" s="19">
        <v>2.8463500000000002</v>
      </c>
      <c r="D80" s="19">
        <v>2.8697499999999998</v>
      </c>
      <c r="E80" s="19">
        <v>2.88985</v>
      </c>
      <c r="F80" s="19">
        <v>2.88985</v>
      </c>
      <c r="G80" s="19">
        <v>2.88985</v>
      </c>
      <c r="H80" s="19">
        <v>2.88985</v>
      </c>
      <c r="I80" s="19">
        <v>2.88985</v>
      </c>
      <c r="J80" s="19">
        <v>2.88985</v>
      </c>
      <c r="K80" s="19">
        <v>2.88985</v>
      </c>
      <c r="L80" s="19">
        <v>2.88985</v>
      </c>
      <c r="M80" s="19">
        <v>2.88985</v>
      </c>
      <c r="N80" s="19">
        <v>2.88985</v>
      </c>
      <c r="O80" s="19">
        <v>2.88985</v>
      </c>
      <c r="P80" s="19">
        <v>2.88985</v>
      </c>
      <c r="Q80" s="19">
        <v>2.88985</v>
      </c>
      <c r="R80" s="19">
        <v>2.88985</v>
      </c>
      <c r="S80" s="19">
        <v>2.88985</v>
      </c>
      <c r="T80" s="19">
        <v>2.88985</v>
      </c>
      <c r="U80" s="19">
        <v>2.88985</v>
      </c>
      <c r="V80" s="19">
        <v>2.88985</v>
      </c>
      <c r="W80" s="19">
        <v>2.88985</v>
      </c>
      <c r="X80" s="19">
        <v>2.88985</v>
      </c>
      <c r="Y80" s="19">
        <v>2.88985</v>
      </c>
      <c r="Z80" s="19">
        <v>2.88985</v>
      </c>
      <c r="AA80" s="19">
        <v>2.88985</v>
      </c>
      <c r="AB80" s="19">
        <v>2.88985</v>
      </c>
      <c r="AC80" s="19">
        <v>2.88985</v>
      </c>
      <c r="AD80" s="19">
        <v>2.88985</v>
      </c>
      <c r="AE80" s="19">
        <v>2.88985</v>
      </c>
      <c r="AF80" s="19">
        <v>2.88985</v>
      </c>
      <c r="AG80" s="19">
        <v>2.88985</v>
      </c>
      <c r="AH80" s="20">
        <v>5.0600000000000005E-4</v>
      </c>
    </row>
    <row r="81" spans="1:34" ht="14.85" customHeight="1" x14ac:dyDescent="0.4">
      <c r="A81" s="8" t="s">
        <v>145</v>
      </c>
      <c r="B81" s="18" t="s">
        <v>81</v>
      </c>
      <c r="C81" s="19">
        <v>40.204830000000001</v>
      </c>
      <c r="D81" s="19">
        <v>45.801537000000003</v>
      </c>
      <c r="E81" s="19">
        <v>50.177376000000002</v>
      </c>
      <c r="F81" s="19">
        <v>53.586945</v>
      </c>
      <c r="G81" s="19">
        <v>56.823535999999997</v>
      </c>
      <c r="H81" s="19">
        <v>60.726688000000003</v>
      </c>
      <c r="I81" s="19">
        <v>64.043723999999997</v>
      </c>
      <c r="J81" s="19">
        <v>68.181313000000003</v>
      </c>
      <c r="K81" s="19">
        <v>71.735198999999994</v>
      </c>
      <c r="L81" s="19">
        <v>75.260589999999993</v>
      </c>
      <c r="M81" s="19">
        <v>78.723595000000003</v>
      </c>
      <c r="N81" s="19">
        <v>82.729477000000003</v>
      </c>
      <c r="O81" s="19">
        <v>86.037529000000006</v>
      </c>
      <c r="P81" s="19">
        <v>89.811133999999996</v>
      </c>
      <c r="Q81" s="19">
        <v>93.586371999999997</v>
      </c>
      <c r="R81" s="19">
        <v>97.505814000000001</v>
      </c>
      <c r="S81" s="19">
        <v>102.02861799999999</v>
      </c>
      <c r="T81" s="19">
        <v>105.99028800000001</v>
      </c>
      <c r="U81" s="19">
        <v>110.255112</v>
      </c>
      <c r="V81" s="19">
        <v>114.541855</v>
      </c>
      <c r="W81" s="19">
        <v>118.970917</v>
      </c>
      <c r="X81" s="19">
        <v>123.353157</v>
      </c>
      <c r="Y81" s="19">
        <v>127.818031</v>
      </c>
      <c r="Z81" s="19">
        <v>132.41514599999999</v>
      </c>
      <c r="AA81" s="19">
        <v>136.86402899999999</v>
      </c>
      <c r="AB81" s="19">
        <v>141.62399300000001</v>
      </c>
      <c r="AC81" s="19">
        <v>146.97782900000001</v>
      </c>
      <c r="AD81" s="19">
        <v>151.49603300000001</v>
      </c>
      <c r="AE81" s="19">
        <v>155.98623699999999</v>
      </c>
      <c r="AF81" s="19">
        <v>160.290649</v>
      </c>
      <c r="AG81" s="19">
        <v>164.92387400000001</v>
      </c>
      <c r="AH81" s="20">
        <v>4.8174000000000002E-2</v>
      </c>
    </row>
    <row r="82" spans="1:34" ht="15" customHeight="1" x14ac:dyDescent="0.4">
      <c r="A82" s="8" t="s">
        <v>146</v>
      </c>
      <c r="B82" s="18" t="s">
        <v>147</v>
      </c>
      <c r="C82" s="19">
        <v>0.63580000000000003</v>
      </c>
      <c r="D82" s="19">
        <v>0.63580000000000003</v>
      </c>
      <c r="E82" s="19">
        <v>0.68579999999999997</v>
      </c>
      <c r="F82" s="19">
        <v>0.68579999999999997</v>
      </c>
      <c r="G82" s="19">
        <v>0.68579999999999997</v>
      </c>
      <c r="H82" s="19">
        <v>0.68579999999999997</v>
      </c>
      <c r="I82" s="19">
        <v>0.68579999999999997</v>
      </c>
      <c r="J82" s="19">
        <v>0.68579999999999997</v>
      </c>
      <c r="K82" s="19">
        <v>0.68579999999999997</v>
      </c>
      <c r="L82" s="19">
        <v>0.68579999999999997</v>
      </c>
      <c r="M82" s="19">
        <v>0.68579999999999997</v>
      </c>
      <c r="N82" s="19">
        <v>0.68579999999999997</v>
      </c>
      <c r="O82" s="19">
        <v>0.68579999999999997</v>
      </c>
      <c r="P82" s="19">
        <v>0.68579999999999997</v>
      </c>
      <c r="Q82" s="19">
        <v>0.68579999999999997</v>
      </c>
      <c r="R82" s="19">
        <v>0.68579999999999997</v>
      </c>
      <c r="S82" s="19">
        <v>0.68579999999999997</v>
      </c>
      <c r="T82" s="19">
        <v>0.68579999999999997</v>
      </c>
      <c r="U82" s="19">
        <v>0.68579999999999997</v>
      </c>
      <c r="V82" s="19">
        <v>0.68579999999999997</v>
      </c>
      <c r="W82" s="19">
        <v>0.68579999999999997</v>
      </c>
      <c r="X82" s="19">
        <v>0.68579999999999997</v>
      </c>
      <c r="Y82" s="19">
        <v>0.68579999999999997</v>
      </c>
      <c r="Z82" s="19">
        <v>0.68579999999999997</v>
      </c>
      <c r="AA82" s="19">
        <v>0.68579999999999997</v>
      </c>
      <c r="AB82" s="19">
        <v>0.68579999999999997</v>
      </c>
      <c r="AC82" s="19">
        <v>0.68579999999999997</v>
      </c>
      <c r="AD82" s="19">
        <v>0.68579999999999997</v>
      </c>
      <c r="AE82" s="19">
        <v>0.68579999999999997</v>
      </c>
      <c r="AF82" s="19">
        <v>0.68579999999999997</v>
      </c>
      <c r="AG82" s="19">
        <v>0.68579999999999997</v>
      </c>
      <c r="AH82" s="20">
        <v>2.5270000000000002E-3</v>
      </c>
    </row>
    <row r="83" spans="1:34" ht="15" customHeight="1" x14ac:dyDescent="0.4">
      <c r="A83" s="8" t="s">
        <v>148</v>
      </c>
      <c r="B83" s="12" t="s">
        <v>86</v>
      </c>
      <c r="C83" s="21">
        <v>64.041725</v>
      </c>
      <c r="D83" s="21">
        <v>70.206160999999994</v>
      </c>
      <c r="E83" s="21">
        <v>74.991257000000004</v>
      </c>
      <c r="F83" s="21">
        <v>78.693961999999999</v>
      </c>
      <c r="G83" s="21">
        <v>82.285538000000003</v>
      </c>
      <c r="H83" s="21">
        <v>86.554703000000003</v>
      </c>
      <c r="I83" s="21">
        <v>90.250504000000006</v>
      </c>
      <c r="J83" s="21">
        <v>94.770202999999995</v>
      </c>
      <c r="K83" s="21">
        <v>98.702956999999998</v>
      </c>
      <c r="L83" s="21">
        <v>102.600487</v>
      </c>
      <c r="M83" s="21">
        <v>106.43100699999999</v>
      </c>
      <c r="N83" s="21">
        <v>110.810226</v>
      </c>
      <c r="O83" s="21">
        <v>114.49185900000001</v>
      </c>
      <c r="P83" s="21">
        <v>118.64022799999999</v>
      </c>
      <c r="Q83" s="21">
        <v>122.804886</v>
      </c>
      <c r="R83" s="21">
        <v>127.136765</v>
      </c>
      <c r="S83" s="21">
        <v>132.08277899999999</v>
      </c>
      <c r="T83" s="21">
        <v>136.48997499999999</v>
      </c>
      <c r="U83" s="21">
        <v>141.227768</v>
      </c>
      <c r="V83" s="21">
        <v>146.00637800000001</v>
      </c>
      <c r="W83" s="21">
        <v>150.93836999999999</v>
      </c>
      <c r="X83" s="21">
        <v>155.869598</v>
      </c>
      <c r="Y83" s="21">
        <v>160.945786</v>
      </c>
      <c r="Z83" s="21">
        <v>166.237244</v>
      </c>
      <c r="AA83" s="21">
        <v>171.44369499999999</v>
      </c>
      <c r="AB83" s="21">
        <v>177.048676</v>
      </c>
      <c r="AC83" s="21">
        <v>183.32910200000001</v>
      </c>
      <c r="AD83" s="21">
        <v>188.85470599999999</v>
      </c>
      <c r="AE83" s="21">
        <v>194.44497699999999</v>
      </c>
      <c r="AF83" s="21">
        <v>199.979523</v>
      </c>
      <c r="AG83" s="21">
        <v>206.01004</v>
      </c>
      <c r="AH83" s="22">
        <v>3.9715E-2</v>
      </c>
    </row>
    <row r="85" spans="1:34" ht="15" customHeight="1" x14ac:dyDescent="0.4">
      <c r="A85" s="8" t="s">
        <v>149</v>
      </c>
      <c r="B85" s="12" t="s">
        <v>150</v>
      </c>
      <c r="C85" s="21" t="s">
        <v>84</v>
      </c>
      <c r="D85" s="21">
        <v>6.1937160000000002</v>
      </c>
      <c r="E85" s="21">
        <v>10.978814</v>
      </c>
      <c r="F85" s="21">
        <v>14.683935999999999</v>
      </c>
      <c r="G85" s="21">
        <v>18.275517000000001</v>
      </c>
      <c r="H85" s="21">
        <v>22.545470999999999</v>
      </c>
      <c r="I85" s="21">
        <v>26.244617000000002</v>
      </c>
      <c r="J85" s="21">
        <v>30.767748000000001</v>
      </c>
      <c r="K85" s="21">
        <v>34.704608999999998</v>
      </c>
      <c r="L85" s="21">
        <v>38.608631000000003</v>
      </c>
      <c r="M85" s="21">
        <v>42.441955999999998</v>
      </c>
      <c r="N85" s="21">
        <v>46.824618999999998</v>
      </c>
      <c r="O85" s="21">
        <v>50.509506000000002</v>
      </c>
      <c r="P85" s="21">
        <v>54.663204</v>
      </c>
      <c r="Q85" s="21">
        <v>58.831370999999997</v>
      </c>
      <c r="R85" s="21">
        <v>63.164593000000004</v>
      </c>
      <c r="S85" s="21">
        <v>68.113403000000005</v>
      </c>
      <c r="T85" s="21">
        <v>72.522850000000005</v>
      </c>
      <c r="U85" s="21">
        <v>77.261459000000002</v>
      </c>
      <c r="V85" s="21">
        <v>82.041015999999999</v>
      </c>
      <c r="W85" s="21">
        <v>86.976746000000006</v>
      </c>
      <c r="X85" s="21">
        <v>91.910331999999997</v>
      </c>
      <c r="Y85" s="21">
        <v>96.987289000000004</v>
      </c>
      <c r="Z85" s="21">
        <v>102.27872499999999</v>
      </c>
      <c r="AA85" s="21">
        <v>107.487595</v>
      </c>
      <c r="AB85" s="21">
        <v>113.093643</v>
      </c>
      <c r="AC85" s="21">
        <v>119.37653400000001</v>
      </c>
      <c r="AD85" s="21">
        <v>124.905342</v>
      </c>
      <c r="AE85" s="21">
        <v>130.49717699999999</v>
      </c>
      <c r="AF85" s="21">
        <v>136.07678200000001</v>
      </c>
      <c r="AG85" s="21">
        <v>142.10734600000001</v>
      </c>
      <c r="AH85" s="22" t="s">
        <v>84</v>
      </c>
    </row>
    <row r="86" spans="1:34" ht="15" customHeight="1" thickBot="1" x14ac:dyDescent="0.45"/>
    <row r="87" spans="1:34" ht="15" customHeight="1" x14ac:dyDescent="0.4">
      <c r="B87" s="144" t="s">
        <v>151</v>
      </c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23"/>
    </row>
    <row r="88" spans="1:34" ht="15" customHeight="1" x14ac:dyDescent="0.4">
      <c r="B88" s="24" t="s">
        <v>152</v>
      </c>
    </row>
    <row r="89" spans="1:34" ht="15" customHeight="1" x14ac:dyDescent="0.4">
      <c r="B89" s="24" t="s">
        <v>153</v>
      </c>
    </row>
    <row r="90" spans="1:34" ht="15" customHeight="1" x14ac:dyDescent="0.4">
      <c r="B90" s="24" t="s">
        <v>154</v>
      </c>
    </row>
    <row r="91" spans="1:34" ht="15" customHeight="1" x14ac:dyDescent="0.4">
      <c r="B91" s="24" t="s">
        <v>155</v>
      </c>
    </row>
    <row r="92" spans="1:34" ht="14.85" customHeight="1" x14ac:dyDescent="0.4">
      <c r="B92" s="24" t="s">
        <v>156</v>
      </c>
    </row>
    <row r="93" spans="1:34" ht="15" customHeight="1" x14ac:dyDescent="0.4">
      <c r="B93" s="24" t="s">
        <v>157</v>
      </c>
    </row>
    <row r="94" spans="1:34" ht="15" customHeight="1" x14ac:dyDescent="0.4">
      <c r="B94" s="24" t="s">
        <v>158</v>
      </c>
    </row>
    <row r="95" spans="1:34" ht="15" customHeight="1" x14ac:dyDescent="0.4">
      <c r="B95" s="24" t="s">
        <v>159</v>
      </c>
    </row>
    <row r="96" spans="1:34" ht="15" customHeight="1" x14ac:dyDescent="0.4">
      <c r="B96" s="24" t="s">
        <v>160</v>
      </c>
    </row>
    <row r="97" spans="2:34" ht="15" customHeight="1" x14ac:dyDescent="0.4">
      <c r="B97" s="24" t="s">
        <v>161</v>
      </c>
    </row>
    <row r="98" spans="2:34" ht="15" customHeight="1" x14ac:dyDescent="0.4">
      <c r="B98" s="24" t="s">
        <v>162</v>
      </c>
    </row>
    <row r="99" spans="2:34" ht="15" customHeight="1" x14ac:dyDescent="0.4">
      <c r="B99" s="24" t="s">
        <v>163</v>
      </c>
    </row>
    <row r="100" spans="2:34" ht="15" customHeight="1" x14ac:dyDescent="0.4">
      <c r="B100" s="24" t="s">
        <v>164</v>
      </c>
    </row>
    <row r="101" spans="2:34" ht="14.85" customHeight="1" x14ac:dyDescent="0.4">
      <c r="B101" s="24" t="s">
        <v>165</v>
      </c>
    </row>
    <row r="102" spans="2:34" ht="14.85" customHeight="1" x14ac:dyDescent="0.4">
      <c r="B102" s="24" t="s">
        <v>166</v>
      </c>
    </row>
    <row r="103" spans="2:34" ht="15" customHeight="1" x14ac:dyDescent="0.4">
      <c r="B103" s="24" t="s">
        <v>167</v>
      </c>
    </row>
    <row r="104" spans="2:34" ht="15" customHeight="1" x14ac:dyDescent="0.4">
      <c r="B104" s="24" t="s">
        <v>168</v>
      </c>
    </row>
    <row r="105" spans="2:34" ht="15" customHeight="1" x14ac:dyDescent="0.4">
      <c r="B105" s="24" t="s">
        <v>169</v>
      </c>
    </row>
    <row r="106" spans="2:34" ht="15" customHeight="1" x14ac:dyDescent="0.4">
      <c r="B106" s="24" t="s">
        <v>170</v>
      </c>
    </row>
    <row r="107" spans="2:34" ht="15" customHeight="1" x14ac:dyDescent="0.4">
      <c r="B107" s="24" t="s">
        <v>171</v>
      </c>
    </row>
    <row r="108" spans="2:34" ht="15" customHeight="1" x14ac:dyDescent="0.4">
      <c r="B108" s="24" t="s">
        <v>172</v>
      </c>
    </row>
    <row r="109" spans="2:34" ht="15" customHeight="1" x14ac:dyDescent="0.4">
      <c r="B109" s="24" t="s">
        <v>173</v>
      </c>
    </row>
    <row r="110" spans="2:34" ht="15" customHeight="1" x14ac:dyDescent="0.4">
      <c r="B110" s="24" t="s">
        <v>174</v>
      </c>
    </row>
    <row r="111" spans="2:34" ht="15" customHeight="1" x14ac:dyDescent="0.4">
      <c r="B111" s="24" t="s">
        <v>175</v>
      </c>
    </row>
    <row r="112" spans="2:34" ht="15" customHeight="1" x14ac:dyDescent="0.4"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</row>
    <row r="308" spans="2:34" ht="15" customHeight="1" x14ac:dyDescent="0.4"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</row>
    <row r="511" spans="2:34" ht="15" customHeight="1" x14ac:dyDescent="0.4"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</row>
    <row r="712" spans="2:34" ht="15" customHeight="1" x14ac:dyDescent="0.4"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</row>
    <row r="887" spans="2:34" ht="15" customHeight="1" x14ac:dyDescent="0.4"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43"/>
    </row>
    <row r="1100" spans="2:34" ht="15" customHeight="1" x14ac:dyDescent="0.4">
      <c r="B1100" s="143"/>
      <c r="C1100" s="143"/>
      <c r="D1100" s="143"/>
      <c r="E1100" s="143"/>
      <c r="F1100" s="143"/>
      <c r="G1100" s="143"/>
      <c r="H1100" s="143"/>
      <c r="I1100" s="143"/>
      <c r="J1100" s="143"/>
      <c r="K1100" s="143"/>
      <c r="L1100" s="143"/>
      <c r="M1100" s="143"/>
      <c r="N1100" s="143"/>
      <c r="O1100" s="143"/>
      <c r="P1100" s="143"/>
      <c r="Q1100" s="143"/>
      <c r="R1100" s="143"/>
      <c r="S1100" s="143"/>
      <c r="T1100" s="143"/>
      <c r="U1100" s="143"/>
      <c r="V1100" s="143"/>
      <c r="W1100" s="143"/>
      <c r="X1100" s="143"/>
      <c r="Y1100" s="143"/>
      <c r="Z1100" s="143"/>
      <c r="AA1100" s="143"/>
      <c r="AB1100" s="143"/>
      <c r="AC1100" s="143"/>
      <c r="AD1100" s="143"/>
      <c r="AE1100" s="143"/>
      <c r="AF1100" s="143"/>
      <c r="AG1100" s="143"/>
      <c r="AH1100" s="143"/>
    </row>
    <row r="1227" spans="2:34" ht="15" customHeight="1" x14ac:dyDescent="0.4">
      <c r="B1227" s="143"/>
      <c r="C1227" s="143"/>
      <c r="D1227" s="143"/>
      <c r="E1227" s="143"/>
      <c r="F1227" s="143"/>
      <c r="G1227" s="143"/>
      <c r="H1227" s="143"/>
      <c r="I1227" s="143"/>
      <c r="J1227" s="143"/>
      <c r="K1227" s="143"/>
      <c r="L1227" s="143"/>
      <c r="M1227" s="143"/>
      <c r="N1227" s="143"/>
      <c r="O1227" s="143"/>
      <c r="P1227" s="143"/>
      <c r="Q1227" s="143"/>
      <c r="R1227" s="143"/>
      <c r="S1227" s="143"/>
      <c r="T1227" s="143"/>
      <c r="U1227" s="143"/>
      <c r="V1227" s="143"/>
      <c r="W1227" s="143"/>
      <c r="X1227" s="143"/>
      <c r="Y1227" s="143"/>
      <c r="Z1227" s="143"/>
      <c r="AA1227" s="143"/>
      <c r="AB1227" s="143"/>
      <c r="AC1227" s="143"/>
      <c r="AD1227" s="143"/>
      <c r="AE1227" s="143"/>
      <c r="AF1227" s="143"/>
      <c r="AG1227" s="143"/>
      <c r="AH1227" s="143"/>
    </row>
    <row r="1390" spans="2:34" ht="15" customHeight="1" x14ac:dyDescent="0.4">
      <c r="B1390" s="143"/>
      <c r="C1390" s="143"/>
      <c r="D1390" s="143"/>
      <c r="E1390" s="143"/>
      <c r="F1390" s="143"/>
      <c r="G1390" s="143"/>
      <c r="H1390" s="143"/>
      <c r="I1390" s="143"/>
      <c r="J1390" s="143"/>
      <c r="K1390" s="143"/>
      <c r="L1390" s="143"/>
      <c r="M1390" s="143"/>
      <c r="N1390" s="143"/>
      <c r="O1390" s="143"/>
      <c r="P1390" s="143"/>
      <c r="Q1390" s="143"/>
      <c r="R1390" s="143"/>
      <c r="S1390" s="143"/>
      <c r="T1390" s="143"/>
      <c r="U1390" s="143"/>
      <c r="V1390" s="143"/>
      <c r="W1390" s="143"/>
      <c r="X1390" s="143"/>
      <c r="Y1390" s="143"/>
      <c r="Z1390" s="143"/>
      <c r="AA1390" s="143"/>
      <c r="AB1390" s="143"/>
      <c r="AC1390" s="143"/>
      <c r="AD1390" s="143"/>
      <c r="AE1390" s="143"/>
      <c r="AF1390" s="143"/>
      <c r="AG1390" s="143"/>
      <c r="AH1390" s="143"/>
    </row>
    <row r="1502" spans="2:34" ht="15" customHeight="1" x14ac:dyDescent="0.4">
      <c r="B1502" s="143"/>
      <c r="C1502" s="143"/>
      <c r="D1502" s="143"/>
      <c r="E1502" s="143"/>
      <c r="F1502" s="143"/>
      <c r="G1502" s="143"/>
      <c r="H1502" s="143"/>
      <c r="I1502" s="143"/>
      <c r="J1502" s="143"/>
      <c r="K1502" s="143"/>
      <c r="L1502" s="143"/>
      <c r="M1502" s="143"/>
      <c r="N1502" s="143"/>
      <c r="O1502" s="143"/>
      <c r="P1502" s="143"/>
      <c r="Q1502" s="143"/>
      <c r="R1502" s="143"/>
      <c r="S1502" s="143"/>
      <c r="T1502" s="143"/>
      <c r="U1502" s="143"/>
      <c r="V1502" s="143"/>
      <c r="W1502" s="143"/>
      <c r="X1502" s="143"/>
      <c r="Y1502" s="143"/>
      <c r="Z1502" s="143"/>
      <c r="AA1502" s="143"/>
      <c r="AB1502" s="143"/>
      <c r="AC1502" s="143"/>
      <c r="AD1502" s="143"/>
      <c r="AE1502" s="143"/>
      <c r="AF1502" s="143"/>
      <c r="AG1502" s="143"/>
      <c r="AH1502" s="143"/>
    </row>
    <row r="1604" spans="2:34" ht="15" customHeight="1" x14ac:dyDescent="0.4">
      <c r="B1604" s="143"/>
      <c r="C1604" s="143"/>
      <c r="D1604" s="143"/>
      <c r="E1604" s="143"/>
      <c r="F1604" s="143"/>
      <c r="G1604" s="143"/>
      <c r="H1604" s="143"/>
      <c r="I1604" s="143"/>
      <c r="J1604" s="143"/>
      <c r="K1604" s="143"/>
      <c r="L1604" s="143"/>
      <c r="M1604" s="143"/>
      <c r="N1604" s="143"/>
      <c r="O1604" s="143"/>
      <c r="P1604" s="143"/>
      <c r="Q1604" s="143"/>
      <c r="R1604" s="143"/>
      <c r="S1604" s="143"/>
      <c r="T1604" s="143"/>
      <c r="U1604" s="143"/>
      <c r="V1604" s="143"/>
      <c r="W1604" s="143"/>
      <c r="X1604" s="143"/>
      <c r="Y1604" s="143"/>
      <c r="Z1604" s="143"/>
      <c r="AA1604" s="143"/>
      <c r="AB1604" s="143"/>
      <c r="AC1604" s="143"/>
      <c r="AD1604" s="143"/>
      <c r="AE1604" s="143"/>
      <c r="AF1604" s="143"/>
      <c r="AG1604" s="143"/>
      <c r="AH1604" s="143"/>
    </row>
    <row r="1698" spans="2:34" ht="15" customHeight="1" x14ac:dyDescent="0.4">
      <c r="B1698" s="143"/>
      <c r="C1698" s="143"/>
      <c r="D1698" s="143"/>
      <c r="E1698" s="143"/>
      <c r="F1698" s="143"/>
      <c r="G1698" s="143"/>
      <c r="H1698" s="143"/>
      <c r="I1698" s="143"/>
      <c r="J1698" s="143"/>
      <c r="K1698" s="143"/>
      <c r="L1698" s="143"/>
      <c r="M1698" s="143"/>
      <c r="N1698" s="143"/>
      <c r="O1698" s="143"/>
      <c r="P1698" s="143"/>
      <c r="Q1698" s="143"/>
      <c r="R1698" s="143"/>
      <c r="S1698" s="143"/>
      <c r="T1698" s="143"/>
      <c r="U1698" s="143"/>
      <c r="V1698" s="143"/>
      <c r="W1698" s="143"/>
      <c r="X1698" s="143"/>
      <c r="Y1698" s="143"/>
      <c r="Z1698" s="143"/>
      <c r="AA1698" s="143"/>
      <c r="AB1698" s="143"/>
      <c r="AC1698" s="143"/>
      <c r="AD1698" s="143"/>
      <c r="AE1698" s="143"/>
      <c r="AF1698" s="143"/>
      <c r="AG1698" s="143"/>
      <c r="AH1698" s="143"/>
    </row>
    <row r="1945" spans="2:34" ht="15" customHeight="1" x14ac:dyDescent="0.4">
      <c r="B1945" s="143"/>
      <c r="C1945" s="143"/>
      <c r="D1945" s="143"/>
      <c r="E1945" s="143"/>
      <c r="F1945" s="143"/>
      <c r="G1945" s="143"/>
      <c r="H1945" s="143"/>
      <c r="I1945" s="143"/>
      <c r="J1945" s="143"/>
      <c r="K1945" s="143"/>
      <c r="L1945" s="143"/>
      <c r="M1945" s="143"/>
      <c r="N1945" s="143"/>
      <c r="O1945" s="143"/>
      <c r="P1945" s="143"/>
      <c r="Q1945" s="143"/>
      <c r="R1945" s="143"/>
      <c r="S1945" s="143"/>
      <c r="T1945" s="143"/>
      <c r="U1945" s="143"/>
      <c r="V1945" s="143"/>
      <c r="W1945" s="143"/>
      <c r="X1945" s="143"/>
      <c r="Y1945" s="143"/>
      <c r="Z1945" s="143"/>
      <c r="AA1945" s="143"/>
      <c r="AB1945" s="143"/>
      <c r="AC1945" s="143"/>
      <c r="AD1945" s="143"/>
      <c r="AE1945" s="143"/>
      <c r="AF1945" s="143"/>
      <c r="AG1945" s="143"/>
      <c r="AH1945" s="143"/>
    </row>
    <row r="2031" spans="2:34" ht="15" customHeight="1" x14ac:dyDescent="0.4">
      <c r="B2031" s="143"/>
      <c r="C2031" s="143"/>
      <c r="D2031" s="143"/>
      <c r="E2031" s="143"/>
      <c r="F2031" s="143"/>
      <c r="G2031" s="143"/>
      <c r="H2031" s="143"/>
      <c r="I2031" s="143"/>
      <c r="J2031" s="143"/>
      <c r="K2031" s="143"/>
      <c r="L2031" s="143"/>
      <c r="M2031" s="143"/>
      <c r="N2031" s="143"/>
      <c r="O2031" s="143"/>
      <c r="P2031" s="143"/>
      <c r="Q2031" s="143"/>
      <c r="R2031" s="143"/>
      <c r="S2031" s="143"/>
      <c r="T2031" s="143"/>
      <c r="U2031" s="143"/>
      <c r="V2031" s="143"/>
      <c r="W2031" s="143"/>
      <c r="X2031" s="143"/>
      <c r="Y2031" s="143"/>
      <c r="Z2031" s="143"/>
      <c r="AA2031" s="143"/>
      <c r="AB2031" s="143"/>
      <c r="AC2031" s="143"/>
      <c r="AD2031" s="143"/>
      <c r="AE2031" s="143"/>
      <c r="AF2031" s="143"/>
      <c r="AG2031" s="143"/>
      <c r="AH2031" s="143"/>
    </row>
    <row r="2153" spans="2:34" ht="15" customHeight="1" x14ac:dyDescent="0.4">
      <c r="B2153" s="143"/>
      <c r="C2153" s="143"/>
      <c r="D2153" s="143"/>
      <c r="E2153" s="143"/>
      <c r="F2153" s="143"/>
      <c r="G2153" s="143"/>
      <c r="H2153" s="143"/>
      <c r="I2153" s="143"/>
      <c r="J2153" s="143"/>
      <c r="K2153" s="143"/>
      <c r="L2153" s="143"/>
      <c r="M2153" s="143"/>
      <c r="N2153" s="143"/>
      <c r="O2153" s="143"/>
      <c r="P2153" s="143"/>
      <c r="Q2153" s="143"/>
      <c r="R2153" s="143"/>
      <c r="S2153" s="143"/>
      <c r="T2153" s="143"/>
      <c r="U2153" s="143"/>
      <c r="V2153" s="143"/>
      <c r="W2153" s="143"/>
      <c r="X2153" s="143"/>
      <c r="Y2153" s="143"/>
      <c r="Z2153" s="143"/>
      <c r="AA2153" s="143"/>
      <c r="AB2153" s="143"/>
      <c r="AC2153" s="143"/>
      <c r="AD2153" s="143"/>
      <c r="AE2153" s="143"/>
      <c r="AF2153" s="143"/>
      <c r="AG2153" s="143"/>
      <c r="AH2153" s="143"/>
    </row>
    <row r="2317" spans="2:34" ht="15" customHeight="1" x14ac:dyDescent="0.4">
      <c r="B2317" s="143"/>
      <c r="C2317" s="143"/>
      <c r="D2317" s="143"/>
      <c r="E2317" s="143"/>
      <c r="F2317" s="143"/>
      <c r="G2317" s="143"/>
      <c r="H2317" s="143"/>
      <c r="I2317" s="143"/>
      <c r="J2317" s="143"/>
      <c r="K2317" s="143"/>
      <c r="L2317" s="143"/>
      <c r="M2317" s="143"/>
      <c r="N2317" s="143"/>
      <c r="O2317" s="143"/>
      <c r="P2317" s="143"/>
      <c r="Q2317" s="143"/>
      <c r="R2317" s="143"/>
      <c r="S2317" s="143"/>
      <c r="T2317" s="143"/>
      <c r="U2317" s="143"/>
      <c r="V2317" s="143"/>
      <c r="W2317" s="143"/>
      <c r="X2317" s="143"/>
      <c r="Y2317" s="143"/>
      <c r="Z2317" s="143"/>
      <c r="AA2317" s="143"/>
      <c r="AB2317" s="143"/>
      <c r="AC2317" s="143"/>
      <c r="AD2317" s="143"/>
      <c r="AE2317" s="143"/>
      <c r="AF2317" s="143"/>
      <c r="AG2317" s="143"/>
      <c r="AH2317" s="143"/>
    </row>
    <row r="2419" spans="2:34" ht="15" customHeight="1" x14ac:dyDescent="0.4">
      <c r="B2419" s="143"/>
      <c r="C2419" s="143"/>
      <c r="D2419" s="143"/>
      <c r="E2419" s="143"/>
      <c r="F2419" s="143"/>
      <c r="G2419" s="143"/>
      <c r="H2419" s="143"/>
      <c r="I2419" s="143"/>
      <c r="J2419" s="143"/>
      <c r="K2419" s="143"/>
      <c r="L2419" s="143"/>
      <c r="M2419" s="143"/>
      <c r="N2419" s="143"/>
      <c r="O2419" s="143"/>
      <c r="P2419" s="143"/>
      <c r="Q2419" s="143"/>
      <c r="R2419" s="143"/>
      <c r="S2419" s="143"/>
      <c r="T2419" s="143"/>
      <c r="U2419" s="143"/>
      <c r="V2419" s="143"/>
      <c r="W2419" s="143"/>
      <c r="X2419" s="143"/>
      <c r="Y2419" s="143"/>
      <c r="Z2419" s="143"/>
      <c r="AA2419" s="143"/>
      <c r="AB2419" s="143"/>
      <c r="AC2419" s="143"/>
      <c r="AD2419" s="143"/>
      <c r="AE2419" s="143"/>
      <c r="AF2419" s="143"/>
      <c r="AG2419" s="143"/>
      <c r="AH2419" s="143"/>
    </row>
    <row r="2509" spans="2:34" ht="15" customHeight="1" x14ac:dyDescent="0.4">
      <c r="B2509" s="143"/>
      <c r="C2509" s="143"/>
      <c r="D2509" s="143"/>
      <c r="E2509" s="143"/>
      <c r="F2509" s="143"/>
      <c r="G2509" s="143"/>
      <c r="H2509" s="143"/>
      <c r="I2509" s="143"/>
      <c r="J2509" s="143"/>
      <c r="K2509" s="143"/>
      <c r="L2509" s="143"/>
      <c r="M2509" s="143"/>
      <c r="N2509" s="143"/>
      <c r="O2509" s="143"/>
      <c r="P2509" s="143"/>
      <c r="Q2509" s="143"/>
      <c r="R2509" s="143"/>
      <c r="S2509" s="143"/>
      <c r="T2509" s="143"/>
      <c r="U2509" s="143"/>
      <c r="V2509" s="143"/>
      <c r="W2509" s="143"/>
      <c r="X2509" s="143"/>
      <c r="Y2509" s="143"/>
      <c r="Z2509" s="143"/>
      <c r="AA2509" s="143"/>
      <c r="AB2509" s="143"/>
      <c r="AC2509" s="143"/>
      <c r="AD2509" s="143"/>
      <c r="AE2509" s="143"/>
      <c r="AF2509" s="143"/>
      <c r="AG2509" s="143"/>
      <c r="AH2509" s="143"/>
    </row>
    <row r="2598" spans="2:34" ht="15" customHeight="1" x14ac:dyDescent="0.4">
      <c r="B2598" s="143"/>
      <c r="C2598" s="143"/>
      <c r="D2598" s="143"/>
      <c r="E2598" s="143"/>
      <c r="F2598" s="143"/>
      <c r="G2598" s="143"/>
      <c r="H2598" s="143"/>
      <c r="I2598" s="143"/>
      <c r="J2598" s="143"/>
      <c r="K2598" s="143"/>
      <c r="L2598" s="143"/>
      <c r="M2598" s="143"/>
      <c r="N2598" s="143"/>
      <c r="O2598" s="143"/>
      <c r="P2598" s="143"/>
      <c r="Q2598" s="143"/>
      <c r="R2598" s="143"/>
      <c r="S2598" s="143"/>
      <c r="T2598" s="143"/>
      <c r="U2598" s="143"/>
      <c r="V2598" s="143"/>
      <c r="W2598" s="143"/>
      <c r="X2598" s="143"/>
      <c r="Y2598" s="143"/>
      <c r="Z2598" s="143"/>
      <c r="AA2598" s="143"/>
      <c r="AB2598" s="143"/>
      <c r="AC2598" s="143"/>
      <c r="AD2598" s="143"/>
      <c r="AE2598" s="143"/>
      <c r="AF2598" s="143"/>
      <c r="AG2598" s="143"/>
      <c r="AH2598" s="143"/>
    </row>
    <row r="2719" spans="2:34" ht="15" customHeight="1" x14ac:dyDescent="0.4">
      <c r="B2719" s="143"/>
      <c r="C2719" s="143"/>
      <c r="D2719" s="143"/>
      <c r="E2719" s="143"/>
      <c r="F2719" s="143"/>
      <c r="G2719" s="143"/>
      <c r="H2719" s="143"/>
      <c r="I2719" s="143"/>
      <c r="J2719" s="143"/>
      <c r="K2719" s="143"/>
      <c r="L2719" s="143"/>
      <c r="M2719" s="143"/>
      <c r="N2719" s="143"/>
      <c r="O2719" s="143"/>
      <c r="P2719" s="143"/>
      <c r="Q2719" s="143"/>
      <c r="R2719" s="143"/>
      <c r="S2719" s="143"/>
      <c r="T2719" s="143"/>
      <c r="U2719" s="143"/>
      <c r="V2719" s="143"/>
      <c r="W2719" s="143"/>
      <c r="X2719" s="143"/>
      <c r="Y2719" s="143"/>
      <c r="Z2719" s="143"/>
      <c r="AA2719" s="143"/>
      <c r="AB2719" s="143"/>
      <c r="AC2719" s="143"/>
      <c r="AD2719" s="143"/>
      <c r="AE2719" s="143"/>
      <c r="AF2719" s="143"/>
      <c r="AG2719" s="143"/>
      <c r="AH2719" s="143"/>
    </row>
    <row r="2837" spans="2:34" ht="15" customHeight="1" x14ac:dyDescent="0.4">
      <c r="B2837" s="143"/>
      <c r="C2837" s="143"/>
      <c r="D2837" s="143"/>
      <c r="E2837" s="143"/>
      <c r="F2837" s="143"/>
      <c r="G2837" s="143"/>
      <c r="H2837" s="143"/>
      <c r="I2837" s="143"/>
      <c r="J2837" s="143"/>
      <c r="K2837" s="143"/>
      <c r="L2837" s="143"/>
      <c r="M2837" s="143"/>
      <c r="N2837" s="143"/>
      <c r="O2837" s="143"/>
      <c r="P2837" s="143"/>
      <c r="Q2837" s="143"/>
      <c r="R2837" s="143"/>
      <c r="S2837" s="143"/>
      <c r="T2837" s="143"/>
      <c r="U2837" s="143"/>
      <c r="V2837" s="143"/>
      <c r="W2837" s="143"/>
      <c r="X2837" s="143"/>
      <c r="Y2837" s="143"/>
      <c r="Z2837" s="143"/>
      <c r="AA2837" s="143"/>
      <c r="AB2837" s="143"/>
      <c r="AC2837" s="143"/>
      <c r="AD2837" s="143"/>
      <c r="AE2837" s="143"/>
      <c r="AF2837" s="143"/>
      <c r="AG2837" s="143"/>
      <c r="AH2837" s="143"/>
    </row>
  </sheetData>
  <mergeCells count="21">
    <mergeCell ref="B2598:AH2598"/>
    <mergeCell ref="B2719:AH2719"/>
    <mergeCell ref="B2837:AH2837"/>
    <mergeCell ref="B1945:AH1945"/>
    <mergeCell ref="B2031:AH2031"/>
    <mergeCell ref="B2153:AH2153"/>
    <mergeCell ref="B2317:AH2317"/>
    <mergeCell ref="B2419:AH2419"/>
    <mergeCell ref="B2509:AH2509"/>
    <mergeCell ref="B1698:AH1698"/>
    <mergeCell ref="B87:AG87"/>
    <mergeCell ref="B112:AH11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</mergeCells>
  <phoneticPr fontId="35" type="noConversion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6"/>
  <sheetViews>
    <sheetView workbookViewId="0"/>
  </sheetViews>
  <sheetFormatPr defaultRowHeight="17.399999999999999" x14ac:dyDescent="0.4"/>
  <cols>
    <col min="2" max="2" width="47.59765625" style="38" customWidth="1"/>
    <col min="8" max="8" width="10.69921875" bestFit="1" customWidth="1"/>
  </cols>
  <sheetData>
    <row r="1" spans="1:34" ht="15" customHeight="1" x14ac:dyDescent="0.4">
      <c r="B1" s="12" t="s">
        <v>62</v>
      </c>
      <c r="C1">
        <f>'AEO Table 9'!C13</f>
        <v>2020</v>
      </c>
      <c r="D1">
        <f>'AEO Table 9'!D13</f>
        <v>2021</v>
      </c>
      <c r="E1">
        <f>'AEO Table 9'!E13</f>
        <v>2022</v>
      </c>
      <c r="F1">
        <f>'AEO Table 9'!F13</f>
        <v>2023</v>
      </c>
      <c r="G1">
        <f>'AEO Table 9'!G13</f>
        <v>2024</v>
      </c>
      <c r="H1">
        <f>'AEO Table 9'!H13</f>
        <v>2025</v>
      </c>
      <c r="I1">
        <f>'AEO Table 9'!I13</f>
        <v>2026</v>
      </c>
      <c r="J1">
        <f>'AEO Table 9'!J13</f>
        <v>2027</v>
      </c>
      <c r="K1">
        <f>'AEO Table 9'!K13</f>
        <v>2028</v>
      </c>
      <c r="L1">
        <f>'AEO Table 9'!L13</f>
        <v>2029</v>
      </c>
      <c r="M1">
        <f>'AEO Table 9'!M13</f>
        <v>2030</v>
      </c>
      <c r="N1">
        <f>'AEO Table 9'!N13</f>
        <v>2031</v>
      </c>
      <c r="O1">
        <f>'AEO Table 9'!O13</f>
        <v>2032</v>
      </c>
      <c r="P1">
        <f>'AEO Table 9'!P13</f>
        <v>2033</v>
      </c>
      <c r="Q1">
        <f>'AEO Table 9'!Q13</f>
        <v>2034</v>
      </c>
      <c r="R1">
        <f>'AEO Table 9'!R13</f>
        <v>2035</v>
      </c>
      <c r="S1">
        <f>'AEO Table 9'!S13</f>
        <v>2036</v>
      </c>
      <c r="T1">
        <f>'AEO Table 9'!T13</f>
        <v>2037</v>
      </c>
      <c r="U1">
        <f>'AEO Table 9'!U13</f>
        <v>2038</v>
      </c>
      <c r="V1">
        <f>'AEO Table 9'!V13</f>
        <v>2039</v>
      </c>
      <c r="W1">
        <f>'AEO Table 9'!W13</f>
        <v>2040</v>
      </c>
      <c r="X1">
        <f>'AEO Table 9'!X13</f>
        <v>2041</v>
      </c>
      <c r="Y1">
        <f>'AEO Table 9'!Y13</f>
        <v>2042</v>
      </c>
      <c r="Z1">
        <f>'AEO Table 9'!Z13</f>
        <v>2043</v>
      </c>
      <c r="AA1">
        <f>'AEO Table 9'!AA13</f>
        <v>2044</v>
      </c>
      <c r="AB1">
        <f>'AEO Table 9'!AB13</f>
        <v>2045</v>
      </c>
      <c r="AC1">
        <f>'AEO Table 9'!AC13</f>
        <v>2046</v>
      </c>
      <c r="AD1">
        <f>'AEO Table 9'!AD13</f>
        <v>2047</v>
      </c>
      <c r="AE1">
        <f>'AEO Table 9'!AE13</f>
        <v>2048</v>
      </c>
      <c r="AF1">
        <f>'AEO Table 9'!AF13</f>
        <v>2049</v>
      </c>
      <c r="AG1">
        <f>'AEO Table 9'!AG13</f>
        <v>2050</v>
      </c>
    </row>
    <row r="2" spans="1:34" ht="15" customHeight="1" x14ac:dyDescent="0.4">
      <c r="B2" s="12" t="s">
        <v>63</v>
      </c>
    </row>
    <row r="3" spans="1:34" ht="15" customHeight="1" x14ac:dyDescent="0.4">
      <c r="A3" s="8" t="s">
        <v>64</v>
      </c>
      <c r="B3" s="18" t="s">
        <v>65</v>
      </c>
      <c r="C3" s="19">
        <f>'AEO Table 9'!C17</f>
        <v>217.319931</v>
      </c>
      <c r="D3" s="19">
        <f>'AEO Table 9'!D17</f>
        <v>212.916504</v>
      </c>
      <c r="E3" s="19">
        <f>'AEO Table 9'!E17</f>
        <v>208.204193</v>
      </c>
      <c r="F3" s="19">
        <f>'AEO Table 9'!F17</f>
        <v>187.94560200000001</v>
      </c>
      <c r="G3" s="19">
        <f>'AEO Table 9'!G17</f>
        <v>177.84901400000001</v>
      </c>
      <c r="H3" s="19">
        <f>'AEO Table 9'!H17</f>
        <v>111.623718</v>
      </c>
      <c r="I3" s="19">
        <f>'AEO Table 9'!I17</f>
        <v>107.49852</v>
      </c>
      <c r="J3" s="19">
        <f>'AEO Table 9'!J17</f>
        <v>99.094620000000006</v>
      </c>
      <c r="K3" s="19">
        <f>'AEO Table 9'!K17</f>
        <v>95.793616999999998</v>
      </c>
      <c r="L3" s="19">
        <f>'AEO Table 9'!L17</f>
        <v>93.304123000000004</v>
      </c>
      <c r="M3" s="19">
        <f>'AEO Table 9'!M17</f>
        <v>90.772118000000006</v>
      </c>
      <c r="N3" s="19">
        <f>'AEO Table 9'!N17</f>
        <v>89.354118</v>
      </c>
      <c r="O3" s="19">
        <f>'AEO Table 9'!O17</f>
        <v>86.515113999999997</v>
      </c>
      <c r="P3" s="19">
        <f>'AEO Table 9'!P17</f>
        <v>84.896118000000001</v>
      </c>
      <c r="Q3" s="19">
        <f>'AEO Table 9'!Q17</f>
        <v>82.760315000000006</v>
      </c>
      <c r="R3" s="19">
        <f>'AEO Table 9'!R17</f>
        <v>81.144310000000004</v>
      </c>
      <c r="S3" s="19">
        <f>'AEO Table 9'!S17</f>
        <v>81.144310000000004</v>
      </c>
      <c r="T3" s="19">
        <f>'AEO Table 9'!T17</f>
        <v>80.805312999999998</v>
      </c>
      <c r="U3" s="19">
        <f>'AEO Table 9'!U17</f>
        <v>78.685310000000001</v>
      </c>
      <c r="V3" s="19">
        <f>'AEO Table 9'!V17</f>
        <v>78.346305999999998</v>
      </c>
      <c r="W3" s="19">
        <f>'AEO Table 9'!W17</f>
        <v>78.346305999999998</v>
      </c>
      <c r="X3" s="19">
        <f>'AEO Table 9'!X17</f>
        <v>78.006309999999999</v>
      </c>
      <c r="Y3" s="19">
        <f>'AEO Table 9'!Y17</f>
        <v>78.006309999999999</v>
      </c>
      <c r="Z3" s="19">
        <f>'AEO Table 9'!Z17</f>
        <v>78.006309999999999</v>
      </c>
      <c r="AA3" s="19">
        <f>'AEO Table 9'!AA17</f>
        <v>77.985305999999994</v>
      </c>
      <c r="AB3" s="19">
        <f>'AEO Table 9'!AB17</f>
        <v>75.056304999999995</v>
      </c>
      <c r="AC3" s="19">
        <f>'AEO Table 9'!AC17</f>
        <v>74.376311999999999</v>
      </c>
      <c r="AD3" s="19">
        <f>'AEO Table 9'!AD17</f>
        <v>74.376311999999999</v>
      </c>
      <c r="AE3" s="19">
        <f>'AEO Table 9'!AE17</f>
        <v>73.266311999999999</v>
      </c>
      <c r="AF3" s="19">
        <f>'AEO Table 9'!AF17</f>
        <v>73.266311999999999</v>
      </c>
      <c r="AG3" s="19">
        <f>'AEO Table 9'!AG17</f>
        <v>73.266311999999999</v>
      </c>
      <c r="AH3" s="19"/>
    </row>
    <row r="5" spans="1:34" ht="15" customHeight="1" x14ac:dyDescent="0.4">
      <c r="B5" s="12" t="s">
        <v>124</v>
      </c>
    </row>
    <row r="6" spans="1:34" ht="15" customHeight="1" x14ac:dyDescent="0.4">
      <c r="A6" s="8" t="s">
        <v>125</v>
      </c>
      <c r="B6" s="18" t="s">
        <v>89</v>
      </c>
      <c r="C6" s="19" t="str">
        <f>'AEO Table 9'!C63</f>
        <v>- -</v>
      </c>
      <c r="D6" s="19">
        <f>'AEO Table 9'!D63</f>
        <v>4.5084</v>
      </c>
      <c r="E6" s="19">
        <f>'AEO Table 9'!E63</f>
        <v>9.2206989999999998</v>
      </c>
      <c r="F6" s="19">
        <f>'AEO Table 9'!F63</f>
        <v>29.479296000000001</v>
      </c>
      <c r="G6" s="19">
        <f>'AEO Table 9'!G63</f>
        <v>39.575901000000002</v>
      </c>
      <c r="H6" s="19">
        <f>'AEO Table 9'!H63</f>
        <v>89.742378000000002</v>
      </c>
      <c r="I6" s="19">
        <f>'AEO Table 9'!I63</f>
        <v>93.867583999999994</v>
      </c>
      <c r="J6" s="19">
        <f>'AEO Table 9'!J63</f>
        <v>102.27149199999999</v>
      </c>
      <c r="K6" s="19">
        <f>'AEO Table 9'!K63</f>
        <v>105.572487</v>
      </c>
      <c r="L6" s="19">
        <f>'AEO Table 9'!L63</f>
        <v>108.06199599999999</v>
      </c>
      <c r="M6" s="19">
        <f>'AEO Table 9'!M63</f>
        <v>110.594002</v>
      </c>
      <c r="N6" s="19">
        <f>'AEO Table 9'!N63</f>
        <v>112.012001</v>
      </c>
      <c r="O6" s="19">
        <f>'AEO Table 9'!O63</f>
        <v>114.851006</v>
      </c>
      <c r="P6" s="19">
        <f>'AEO Table 9'!P63</f>
        <v>116.470009</v>
      </c>
      <c r="Q6" s="19">
        <f>'AEO Table 9'!Q63</f>
        <v>118.60580400000001</v>
      </c>
      <c r="R6" s="19">
        <f>'AEO Table 9'!R63</f>
        <v>120.22180899999999</v>
      </c>
      <c r="S6" s="19">
        <f>'AEO Table 9'!S63</f>
        <v>120.22180899999999</v>
      </c>
      <c r="T6" s="19">
        <f>'AEO Table 9'!T63</f>
        <v>120.56081399999999</v>
      </c>
      <c r="U6" s="19">
        <f>'AEO Table 9'!U63</f>
        <v>122.68079400000001</v>
      </c>
      <c r="V6" s="19">
        <f>'AEO Table 9'!V63</f>
        <v>123.01979799999999</v>
      </c>
      <c r="W6" s="19">
        <f>'AEO Table 9'!W63</f>
        <v>123.01979799999999</v>
      </c>
      <c r="X6" s="19">
        <f>'AEO Table 9'!X63</f>
        <v>123.35979500000001</v>
      </c>
      <c r="Y6" s="19">
        <f>'AEO Table 9'!Y63</f>
        <v>123.35979500000001</v>
      </c>
      <c r="Z6" s="19">
        <f>'AEO Table 9'!Z63</f>
        <v>123.35979500000001</v>
      </c>
      <c r="AA6" s="19">
        <f>'AEO Table 9'!AA63</f>
        <v>123.380791</v>
      </c>
      <c r="AB6" s="19">
        <f>'AEO Table 9'!AB63</f>
        <v>126.309792</v>
      </c>
      <c r="AC6" s="19">
        <f>'AEO Table 9'!AC63</f>
        <v>126.989799</v>
      </c>
      <c r="AD6" s="19">
        <f>'AEO Table 9'!AD63</f>
        <v>126.989799</v>
      </c>
      <c r="AE6" s="19">
        <f>'AEO Table 9'!AE63</f>
        <v>128.09979200000001</v>
      </c>
      <c r="AF6" s="19">
        <f>'AEO Table 9'!AF63</f>
        <v>128.09979200000001</v>
      </c>
      <c r="AG6" s="19">
        <f>'AEO Table 9'!AG63</f>
        <v>128.09979200000001</v>
      </c>
      <c r="AH6" s="19"/>
    </row>
    <row r="8" spans="1:34" x14ac:dyDescent="0.4">
      <c r="B8" s="25" t="s">
        <v>176</v>
      </c>
      <c r="C8" s="26"/>
      <c r="D8" s="27">
        <f t="shared" ref="D8:AG8" si="0">$C$3-D6</f>
        <v>212.811531</v>
      </c>
      <c r="E8" s="27">
        <f t="shared" si="0"/>
        <v>208.099232</v>
      </c>
      <c r="F8" s="27">
        <f t="shared" si="0"/>
        <v>187.84063499999999</v>
      </c>
      <c r="G8" s="27">
        <f t="shared" si="0"/>
        <v>177.74403000000001</v>
      </c>
      <c r="H8" s="27">
        <f t="shared" si="0"/>
        <v>127.57755299999999</v>
      </c>
      <c r="I8" s="27">
        <f t="shared" si="0"/>
        <v>123.452347</v>
      </c>
      <c r="J8" s="27">
        <f t="shared" si="0"/>
        <v>115.048439</v>
      </c>
      <c r="K8" s="27">
        <f t="shared" si="0"/>
        <v>111.747444</v>
      </c>
      <c r="L8" s="27">
        <f t="shared" si="0"/>
        <v>109.257935</v>
      </c>
      <c r="M8" s="27">
        <f t="shared" si="0"/>
        <v>106.72592899999999</v>
      </c>
      <c r="N8" s="27">
        <f t="shared" si="0"/>
        <v>105.30793</v>
      </c>
      <c r="O8" s="27">
        <f t="shared" si="0"/>
        <v>102.468925</v>
      </c>
      <c r="P8" s="27">
        <f t="shared" si="0"/>
        <v>100.84992199999999</v>
      </c>
      <c r="Q8" s="27">
        <f t="shared" si="0"/>
        <v>98.714126999999991</v>
      </c>
      <c r="R8" s="27">
        <f t="shared" si="0"/>
        <v>97.098122000000004</v>
      </c>
      <c r="S8" s="27">
        <f t="shared" si="0"/>
        <v>97.098122000000004</v>
      </c>
      <c r="T8" s="27">
        <f t="shared" si="0"/>
        <v>96.759117000000003</v>
      </c>
      <c r="U8" s="27">
        <f t="shared" si="0"/>
        <v>94.639136999999991</v>
      </c>
      <c r="V8" s="27">
        <f t="shared" si="0"/>
        <v>94.300133000000002</v>
      </c>
      <c r="W8" s="27">
        <f t="shared" si="0"/>
        <v>94.300133000000002</v>
      </c>
      <c r="X8" s="27">
        <f t="shared" si="0"/>
        <v>93.960135999999991</v>
      </c>
      <c r="Y8" s="27">
        <f t="shared" si="0"/>
        <v>93.960135999999991</v>
      </c>
      <c r="Z8" s="27">
        <f t="shared" si="0"/>
        <v>93.960135999999991</v>
      </c>
      <c r="AA8" s="27">
        <f t="shared" si="0"/>
        <v>93.939139999999995</v>
      </c>
      <c r="AB8" s="27">
        <f t="shared" si="0"/>
        <v>91.010138999999995</v>
      </c>
      <c r="AC8" s="27">
        <f t="shared" si="0"/>
        <v>90.330131999999992</v>
      </c>
      <c r="AD8" s="27">
        <f t="shared" si="0"/>
        <v>90.330131999999992</v>
      </c>
      <c r="AE8" s="27">
        <f t="shared" si="0"/>
        <v>89.220138999999989</v>
      </c>
      <c r="AF8" s="27">
        <f t="shared" si="0"/>
        <v>89.220138999999989</v>
      </c>
      <c r="AG8" s="27">
        <f t="shared" si="0"/>
        <v>89.220138999999989</v>
      </c>
      <c r="AH8" s="28"/>
    </row>
    <row r="9" spans="1:34" ht="30.75" customHeight="1" thickBot="1" x14ac:dyDescent="0.45">
      <c r="B9" s="29" t="s">
        <v>177</v>
      </c>
      <c r="C9" s="30"/>
      <c r="D9" s="31">
        <f t="shared" ref="D9:AG9" si="1">IF(D8-D3&lt;0,0,D8-D3)</f>
        <v>0</v>
      </c>
      <c r="E9" s="31">
        <f t="shared" si="1"/>
        <v>0</v>
      </c>
      <c r="F9" s="31">
        <f t="shared" si="1"/>
        <v>0</v>
      </c>
      <c r="G9" s="31">
        <f t="shared" si="1"/>
        <v>0</v>
      </c>
      <c r="H9" s="32">
        <f t="shared" si="1"/>
        <v>15.953834999999998</v>
      </c>
      <c r="I9" s="33">
        <f t="shared" si="1"/>
        <v>15.953827000000004</v>
      </c>
      <c r="J9" s="33">
        <f t="shared" si="1"/>
        <v>15.953818999999996</v>
      </c>
      <c r="K9" s="33">
        <f t="shared" si="1"/>
        <v>15.953827000000004</v>
      </c>
      <c r="L9" s="33">
        <f t="shared" si="1"/>
        <v>15.953811999999999</v>
      </c>
      <c r="M9" s="33">
        <f t="shared" si="1"/>
        <v>15.953810999999988</v>
      </c>
      <c r="N9" s="33">
        <f t="shared" si="1"/>
        <v>15.953811999999999</v>
      </c>
      <c r="O9" s="33">
        <f t="shared" si="1"/>
        <v>15.953811000000002</v>
      </c>
      <c r="P9" s="33">
        <f t="shared" si="1"/>
        <v>15.953803999999991</v>
      </c>
      <c r="Q9" s="33">
        <f t="shared" si="1"/>
        <v>15.953811999999985</v>
      </c>
      <c r="R9" s="33">
        <f t="shared" si="1"/>
        <v>15.953811999999999</v>
      </c>
      <c r="S9" s="33">
        <f t="shared" si="1"/>
        <v>15.953811999999999</v>
      </c>
      <c r="T9" s="33">
        <f t="shared" si="1"/>
        <v>15.953804000000005</v>
      </c>
      <c r="U9" s="33">
        <f t="shared" si="1"/>
        <v>15.95382699999999</v>
      </c>
      <c r="V9" s="33">
        <f t="shared" si="1"/>
        <v>15.953827000000004</v>
      </c>
      <c r="W9" s="33">
        <f t="shared" si="1"/>
        <v>15.953827000000004</v>
      </c>
      <c r="X9" s="33">
        <f t="shared" si="1"/>
        <v>15.953825999999992</v>
      </c>
      <c r="Y9" s="33">
        <f t="shared" si="1"/>
        <v>15.953825999999992</v>
      </c>
      <c r="Z9" s="33">
        <f t="shared" si="1"/>
        <v>15.953825999999992</v>
      </c>
      <c r="AA9" s="33">
        <f t="shared" si="1"/>
        <v>15.953834000000001</v>
      </c>
      <c r="AB9" s="33">
        <f t="shared" si="1"/>
        <v>15.953834000000001</v>
      </c>
      <c r="AC9" s="33">
        <f t="shared" si="1"/>
        <v>15.953819999999993</v>
      </c>
      <c r="AD9" s="33">
        <f t="shared" si="1"/>
        <v>15.953819999999993</v>
      </c>
      <c r="AE9" s="33">
        <f t="shared" si="1"/>
        <v>15.95382699999999</v>
      </c>
      <c r="AF9" s="33">
        <f t="shared" si="1"/>
        <v>15.95382699999999</v>
      </c>
      <c r="AG9" s="33">
        <f t="shared" si="1"/>
        <v>15.95382699999999</v>
      </c>
    </row>
    <row r="10" spans="1:34" ht="15.75" customHeight="1" thickBot="1" x14ac:dyDescent="0.45">
      <c r="A10" t="s">
        <v>178</v>
      </c>
      <c r="B10" s="29" t="s">
        <v>179</v>
      </c>
      <c r="C10" s="30"/>
      <c r="D10" s="31"/>
      <c r="E10" s="31">
        <f t="shared" ref="E10:AG10" si="2">E9-D9</f>
        <v>0</v>
      </c>
      <c r="F10" s="31">
        <f t="shared" si="2"/>
        <v>0</v>
      </c>
      <c r="G10" s="31">
        <f t="shared" si="2"/>
        <v>0</v>
      </c>
      <c r="H10" s="34">
        <f t="shared" si="2"/>
        <v>15.953834999999998</v>
      </c>
      <c r="I10" s="31">
        <f t="shared" si="2"/>
        <v>-7.9999999940127964E-6</v>
      </c>
      <c r="J10" s="31">
        <f t="shared" si="2"/>
        <v>-8.0000000082236511E-6</v>
      </c>
      <c r="K10" s="31">
        <f t="shared" si="2"/>
        <v>8.0000000082236511E-6</v>
      </c>
      <c r="L10" s="31">
        <f t="shared" si="2"/>
        <v>-1.5000000004761205E-5</v>
      </c>
      <c r="M10" s="31">
        <f t="shared" si="2"/>
        <v>-1.0000000116860974E-6</v>
      </c>
      <c r="N10" s="31">
        <f t="shared" si="2"/>
        <v>1.0000000116860974E-6</v>
      </c>
      <c r="O10" s="31">
        <f t="shared" si="2"/>
        <v>-9.9999999747524271E-7</v>
      </c>
      <c r="P10" s="31">
        <f t="shared" si="2"/>
        <v>-7.0000000107484084E-6</v>
      </c>
      <c r="Q10" s="31">
        <f t="shared" si="2"/>
        <v>7.9999999940127964E-6</v>
      </c>
      <c r="R10" s="31">
        <f t="shared" si="2"/>
        <v>1.4210854715202004E-14</v>
      </c>
      <c r="S10" s="31">
        <f t="shared" si="2"/>
        <v>0</v>
      </c>
      <c r="T10" s="31">
        <f t="shared" si="2"/>
        <v>-7.9999999940127964E-6</v>
      </c>
      <c r="U10" s="31">
        <f t="shared" si="2"/>
        <v>2.2999999984563146E-5</v>
      </c>
      <c r="V10" s="31">
        <f t="shared" si="2"/>
        <v>1.4210854715202004E-14</v>
      </c>
      <c r="W10" s="31">
        <f t="shared" si="2"/>
        <v>0</v>
      </c>
      <c r="X10" s="31">
        <f t="shared" si="2"/>
        <v>-1.0000000116860974E-6</v>
      </c>
      <c r="Y10" s="31">
        <f t="shared" si="2"/>
        <v>0</v>
      </c>
      <c r="Z10" s="31">
        <f t="shared" si="2"/>
        <v>0</v>
      </c>
      <c r="AA10" s="31">
        <f t="shared" si="2"/>
        <v>8.0000000082236511E-6</v>
      </c>
      <c r="AB10" s="31">
        <f t="shared" si="2"/>
        <v>0</v>
      </c>
      <c r="AC10" s="31">
        <f t="shared" si="2"/>
        <v>-1.4000000007285962E-5</v>
      </c>
      <c r="AD10" s="31">
        <f t="shared" si="2"/>
        <v>0</v>
      </c>
      <c r="AE10" s="31">
        <f t="shared" si="2"/>
        <v>6.9999999965375537E-6</v>
      </c>
      <c r="AF10" s="31">
        <f t="shared" si="2"/>
        <v>0</v>
      </c>
      <c r="AG10" s="31">
        <f t="shared" si="2"/>
        <v>0</v>
      </c>
    </row>
    <row r="11" spans="1:34" ht="30.75" customHeight="1" thickBot="1" x14ac:dyDescent="0.45">
      <c r="A11" t="s">
        <v>178</v>
      </c>
      <c r="B11" s="35" t="s">
        <v>180</v>
      </c>
      <c r="C11" s="36"/>
      <c r="D11" s="36"/>
      <c r="E11" s="36"/>
      <c r="F11" s="36"/>
      <c r="G11" s="36"/>
      <c r="H11" s="40">
        <f>H9</f>
        <v>15.953834999999998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5" spans="1:34" x14ac:dyDescent="0.4">
      <c r="H15" s="39"/>
    </row>
    <row r="16" spans="1:34" x14ac:dyDescent="0.4">
      <c r="H16" s="28"/>
    </row>
  </sheetData>
  <phoneticPr fontId="3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7"/>
  <sheetViews>
    <sheetView workbookViewId="0"/>
  </sheetViews>
  <sheetFormatPr defaultRowHeight="17.399999999999999" x14ac:dyDescent="0.4"/>
  <cols>
    <col min="1" max="1" width="38.09765625" bestFit="1" customWidth="1"/>
    <col min="2" max="2" width="16.296875" bestFit="1" customWidth="1"/>
    <col min="3" max="4" width="8" bestFit="1" customWidth="1"/>
    <col min="5" max="5" width="7" bestFit="1" customWidth="1"/>
    <col min="6" max="7" width="6" bestFit="1" customWidth="1"/>
    <col min="8" max="8" width="5" bestFit="1" customWidth="1"/>
    <col min="9" max="9" width="6" bestFit="1" customWidth="1"/>
    <col min="10" max="11" width="10.69921875" bestFit="1" customWidth="1"/>
    <col min="12" max="12" width="5" customWidth="1"/>
    <col min="13" max="13" width="37.296875" customWidth="1"/>
  </cols>
  <sheetData>
    <row r="1" spans="1:13" x14ac:dyDescent="0.4">
      <c r="A1" s="43">
        <v>44197</v>
      </c>
    </row>
    <row r="2" spans="1:13" x14ac:dyDescent="0.4">
      <c r="A2" s="2" t="s">
        <v>43</v>
      </c>
      <c r="B2" t="s">
        <v>181</v>
      </c>
    </row>
    <row r="3" spans="1:13" x14ac:dyDescent="0.4">
      <c r="A3" s="2" t="s">
        <v>42</v>
      </c>
      <c r="B3" t="s">
        <v>182</v>
      </c>
    </row>
    <row r="4" spans="1:13" x14ac:dyDescent="0.4">
      <c r="M4" s="41" t="s">
        <v>5</v>
      </c>
    </row>
    <row r="5" spans="1:13" x14ac:dyDescent="0.4">
      <c r="A5" s="2" t="s">
        <v>183</v>
      </c>
      <c r="B5" s="2" t="s">
        <v>184</v>
      </c>
    </row>
    <row r="6" spans="1:13" x14ac:dyDescent="0.4">
      <c r="A6" s="2" t="s">
        <v>185</v>
      </c>
      <c r="B6">
        <v>2020</v>
      </c>
      <c r="C6">
        <v>2021</v>
      </c>
      <c r="D6">
        <v>2022</v>
      </c>
      <c r="E6">
        <v>2023</v>
      </c>
      <c r="F6">
        <v>2024</v>
      </c>
      <c r="G6">
        <v>2025</v>
      </c>
      <c r="H6">
        <v>2026</v>
      </c>
      <c r="I6">
        <v>2027</v>
      </c>
    </row>
    <row r="7" spans="1:13" x14ac:dyDescent="0.4">
      <c r="A7" s="3" t="s">
        <v>17</v>
      </c>
      <c r="B7" s="44">
        <v>394.1</v>
      </c>
      <c r="C7" s="44">
        <v>4025</v>
      </c>
      <c r="D7">
        <v>1966.2</v>
      </c>
      <c r="E7">
        <v>3848.3</v>
      </c>
      <c r="F7">
        <v>100</v>
      </c>
      <c r="M7" s="41" t="s">
        <v>37</v>
      </c>
    </row>
    <row r="8" spans="1:13" x14ac:dyDescent="0.4">
      <c r="A8" s="3" t="s">
        <v>8</v>
      </c>
      <c r="B8" s="44">
        <v>5.2</v>
      </c>
      <c r="C8" s="44">
        <v>104.8</v>
      </c>
      <c r="D8">
        <v>19.800000000000011</v>
      </c>
      <c r="E8">
        <v>177.6</v>
      </c>
      <c r="G8">
        <v>9</v>
      </c>
      <c r="I8">
        <v>9.6</v>
      </c>
      <c r="M8" s="41" t="s">
        <v>27</v>
      </c>
    </row>
    <row r="9" spans="1:13" x14ac:dyDescent="0.4">
      <c r="A9" s="3" t="s">
        <v>15</v>
      </c>
      <c r="B9" s="44"/>
      <c r="C9" s="44">
        <v>42</v>
      </c>
      <c r="M9" s="41" t="s">
        <v>30</v>
      </c>
    </row>
    <row r="10" spans="1:13" x14ac:dyDescent="0.4">
      <c r="A10" s="3" t="s">
        <v>16</v>
      </c>
      <c r="B10" s="44">
        <v>1.4</v>
      </c>
      <c r="C10" s="44"/>
      <c r="D10">
        <v>3</v>
      </c>
      <c r="F10">
        <v>3.2</v>
      </c>
      <c r="M10" s="41" t="s">
        <v>24</v>
      </c>
    </row>
    <row r="11" spans="1:13" x14ac:dyDescent="0.4">
      <c r="A11" s="3" t="s">
        <v>10</v>
      </c>
      <c r="B11" s="44"/>
      <c r="C11" s="44">
        <v>3529.6</v>
      </c>
      <c r="D11">
        <v>13680.7</v>
      </c>
      <c r="E11">
        <v>7174.7</v>
      </c>
      <c r="F11">
        <v>2671.9</v>
      </c>
      <c r="G11">
        <v>3143.8</v>
      </c>
      <c r="M11" s="41" t="s">
        <v>25</v>
      </c>
    </row>
    <row r="12" spans="1:13" x14ac:dyDescent="0.4">
      <c r="A12" s="3" t="s">
        <v>11</v>
      </c>
      <c r="B12" s="44">
        <v>364.4</v>
      </c>
      <c r="C12" s="44">
        <v>2124.3000000000002</v>
      </c>
      <c r="D12">
        <v>1145.9000000000001</v>
      </c>
      <c r="E12">
        <v>746.8</v>
      </c>
      <c r="F12">
        <v>517</v>
      </c>
      <c r="M12" s="41" t="s">
        <v>29</v>
      </c>
    </row>
    <row r="13" spans="1:13" x14ac:dyDescent="0.4">
      <c r="A13" s="3" t="s">
        <v>13</v>
      </c>
      <c r="B13" s="44"/>
      <c r="C13" s="44">
        <v>55.2</v>
      </c>
      <c r="M13" s="41" t="s">
        <v>29</v>
      </c>
    </row>
    <row r="14" spans="1:13" x14ac:dyDescent="0.4">
      <c r="A14" s="3" t="s">
        <v>9</v>
      </c>
      <c r="B14" s="44"/>
      <c r="C14" s="44"/>
      <c r="E14">
        <v>335</v>
      </c>
      <c r="M14" s="41" t="s">
        <v>31</v>
      </c>
    </row>
    <row r="15" spans="1:13" x14ac:dyDescent="0.4">
      <c r="A15" s="3" t="s">
        <v>20</v>
      </c>
      <c r="B15" s="44"/>
      <c r="C15" s="44"/>
      <c r="E15">
        <v>317</v>
      </c>
      <c r="M15" s="41" t="s">
        <v>29</v>
      </c>
    </row>
    <row r="16" spans="1:13" x14ac:dyDescent="0.4">
      <c r="A16" s="3" t="s">
        <v>12</v>
      </c>
      <c r="B16" s="44"/>
      <c r="C16" s="44">
        <v>1100</v>
      </c>
      <c r="D16">
        <v>1100</v>
      </c>
      <c r="H16">
        <v>380</v>
      </c>
      <c r="I16">
        <v>190</v>
      </c>
      <c r="M16" s="41" t="s">
        <v>38</v>
      </c>
    </row>
    <row r="17" spans="1:13" x14ac:dyDescent="0.4">
      <c r="A17" s="3" t="s">
        <v>23</v>
      </c>
      <c r="B17" s="44"/>
      <c r="C17" s="44">
        <v>12</v>
      </c>
      <c r="D17">
        <v>20.399999999999999</v>
      </c>
      <c r="E17">
        <v>920</v>
      </c>
      <c r="F17">
        <v>1100</v>
      </c>
      <c r="M17" s="41" t="s">
        <v>36</v>
      </c>
    </row>
    <row r="18" spans="1:13" x14ac:dyDescent="0.4">
      <c r="A18" s="3" t="s">
        <v>7</v>
      </c>
      <c r="B18" s="44">
        <v>10166</v>
      </c>
      <c r="C18" s="44">
        <v>15280.7</v>
      </c>
      <c r="D18">
        <v>3600.6</v>
      </c>
      <c r="E18">
        <v>2446.5</v>
      </c>
      <c r="F18">
        <v>895.5</v>
      </c>
      <c r="G18">
        <v>1360</v>
      </c>
      <c r="H18">
        <v>750</v>
      </c>
      <c r="M18" s="41" t="s">
        <v>35</v>
      </c>
    </row>
    <row r="19" spans="1:13" x14ac:dyDescent="0.4">
      <c r="A19" s="3" t="s">
        <v>19</v>
      </c>
      <c r="B19" s="44">
        <v>3.7</v>
      </c>
      <c r="C19" s="44">
        <v>33.500000000000007</v>
      </c>
      <c r="D19">
        <v>8.3999999999999986</v>
      </c>
      <c r="M19" s="41" t="s">
        <v>29</v>
      </c>
    </row>
    <row r="20" spans="1:13" x14ac:dyDescent="0.4">
      <c r="A20" s="3" t="s">
        <v>21</v>
      </c>
      <c r="B20" s="44"/>
      <c r="C20" s="44">
        <v>41</v>
      </c>
      <c r="D20">
        <v>1.2</v>
      </c>
      <c r="E20">
        <v>19</v>
      </c>
      <c r="M20" s="41" t="s">
        <v>24</v>
      </c>
    </row>
    <row r="21" spans="1:13" x14ac:dyDescent="0.4">
      <c r="A21" s="3" t="s">
        <v>6</v>
      </c>
      <c r="B21" s="44">
        <v>3.1</v>
      </c>
      <c r="C21" s="44">
        <v>1.7</v>
      </c>
      <c r="M21" s="41" t="s">
        <v>28</v>
      </c>
    </row>
    <row r="22" spans="1:13" x14ac:dyDescent="0.4">
      <c r="A22" s="3" t="s">
        <v>14</v>
      </c>
      <c r="B22" s="44">
        <v>4254.5999999999995</v>
      </c>
      <c r="C22" s="44">
        <v>16239.4</v>
      </c>
      <c r="D22">
        <v>12316</v>
      </c>
      <c r="E22">
        <v>8213.0999999999985</v>
      </c>
      <c r="F22">
        <v>1100</v>
      </c>
      <c r="G22">
        <v>7</v>
      </c>
      <c r="M22" s="41" t="s">
        <v>39</v>
      </c>
    </row>
    <row r="23" spans="1:13" x14ac:dyDescent="0.4">
      <c r="A23" s="3" t="s">
        <v>22</v>
      </c>
      <c r="B23" s="44"/>
      <c r="C23" s="44"/>
      <c r="G23">
        <v>200</v>
      </c>
      <c r="M23" s="41" t="s">
        <v>34</v>
      </c>
    </row>
    <row r="24" spans="1:13" x14ac:dyDescent="0.4">
      <c r="A24" s="3" t="s">
        <v>18</v>
      </c>
      <c r="B24" s="44"/>
      <c r="C24" s="44"/>
      <c r="D24">
        <v>42</v>
      </c>
      <c r="M24" s="41" t="s">
        <v>24</v>
      </c>
    </row>
    <row r="25" spans="1:13" x14ac:dyDescent="0.4">
      <c r="A25" s="3" t="s">
        <v>186</v>
      </c>
      <c r="B25">
        <v>15192.5</v>
      </c>
      <c r="C25">
        <v>42589.2</v>
      </c>
      <c r="D25">
        <v>33904.199999999997</v>
      </c>
      <c r="E25">
        <v>24198</v>
      </c>
      <c r="F25">
        <v>6387.5999999999995</v>
      </c>
      <c r="G25">
        <v>4719.8</v>
      </c>
      <c r="H25">
        <v>1130</v>
      </c>
      <c r="I25">
        <v>199.6</v>
      </c>
    </row>
    <row r="28" spans="1:13" x14ac:dyDescent="0.4">
      <c r="M28" s="42"/>
    </row>
    <row r="29" spans="1:13" x14ac:dyDescent="0.4">
      <c r="A29" s="43">
        <v>44562</v>
      </c>
    </row>
    <row r="30" spans="1:13" x14ac:dyDescent="0.4">
      <c r="A30" s="2" t="s">
        <v>43</v>
      </c>
      <c r="B30" t="s">
        <v>181</v>
      </c>
    </row>
    <row r="31" spans="1:13" x14ac:dyDescent="0.4">
      <c r="A31" s="2" t="s">
        <v>42</v>
      </c>
      <c r="B31" t="s">
        <v>182</v>
      </c>
    </row>
    <row r="32" spans="1:13" x14ac:dyDescent="0.4">
      <c r="M32" s="41" t="s">
        <v>5</v>
      </c>
    </row>
    <row r="33" spans="1:13" x14ac:dyDescent="0.4">
      <c r="A33" s="2" t="s">
        <v>183</v>
      </c>
      <c r="B33" s="2" t="s">
        <v>184</v>
      </c>
    </row>
    <row r="34" spans="1:13" x14ac:dyDescent="0.4">
      <c r="A34" s="2" t="s">
        <v>185</v>
      </c>
      <c r="B34">
        <v>2021</v>
      </c>
      <c r="C34">
        <v>2022</v>
      </c>
      <c r="D34">
        <v>2023</v>
      </c>
      <c r="E34">
        <v>2024</v>
      </c>
      <c r="F34">
        <v>2025</v>
      </c>
      <c r="G34">
        <v>2026</v>
      </c>
      <c r="H34">
        <v>2027</v>
      </c>
      <c r="I34">
        <v>2030</v>
      </c>
    </row>
    <row r="35" spans="1:13" x14ac:dyDescent="0.4">
      <c r="A35" s="3" t="s">
        <v>17</v>
      </c>
      <c r="B35" s="44">
        <v>1118.8</v>
      </c>
      <c r="C35" s="44">
        <v>5404.8</v>
      </c>
      <c r="D35" s="44">
        <v>5335</v>
      </c>
      <c r="E35" s="44">
        <v>1130</v>
      </c>
      <c r="F35" s="44">
        <v>30</v>
      </c>
      <c r="G35" s="44"/>
      <c r="H35" s="44"/>
      <c r="I35" s="44"/>
      <c r="M35" s="41" t="str">
        <f t="shared" ref="M35:M51" si="0">INDEX($M$7:$M$24,MATCH(A35,$A$7:$A$24,0))</f>
        <v>NA</v>
      </c>
    </row>
    <row r="36" spans="1:13" x14ac:dyDescent="0.4">
      <c r="A36" s="3" t="s">
        <v>8</v>
      </c>
      <c r="B36" s="44"/>
      <c r="C36" s="44">
        <v>27.999999999999989</v>
      </c>
      <c r="D36" s="44">
        <v>78.300000000000011</v>
      </c>
      <c r="E36" s="44">
        <v>110.6</v>
      </c>
      <c r="F36" s="44">
        <v>20</v>
      </c>
      <c r="G36" s="44">
        <v>1.5</v>
      </c>
      <c r="H36" s="44">
        <v>9.6</v>
      </c>
      <c r="I36" s="44"/>
      <c r="M36" s="41" t="str">
        <f t="shared" si="0"/>
        <v>hydro</v>
      </c>
    </row>
    <row r="37" spans="1:13" x14ac:dyDescent="0.4">
      <c r="A37" s="3" t="s">
        <v>15</v>
      </c>
      <c r="B37" s="44"/>
      <c r="C37" s="44">
        <v>42</v>
      </c>
      <c r="D37" s="44"/>
      <c r="E37" s="44"/>
      <c r="F37" s="44"/>
      <c r="G37" s="44"/>
      <c r="H37" s="44"/>
      <c r="I37" s="44"/>
      <c r="M37" s="41" t="str">
        <f t="shared" si="0"/>
        <v>geothermal</v>
      </c>
    </row>
    <row r="38" spans="1:13" x14ac:dyDescent="0.4">
      <c r="A38" s="3" t="s">
        <v>16</v>
      </c>
      <c r="B38" s="44"/>
      <c r="C38" s="44">
        <v>4.5999999999999996</v>
      </c>
      <c r="D38" s="44"/>
      <c r="E38" s="44"/>
      <c r="F38" s="44"/>
      <c r="G38" s="44"/>
      <c r="H38" s="44"/>
      <c r="I38" s="44"/>
      <c r="M38" s="41" t="str">
        <f t="shared" si="0"/>
        <v>biomass</v>
      </c>
    </row>
    <row r="39" spans="1:13" x14ac:dyDescent="0.4">
      <c r="A39" s="3" t="s">
        <v>10</v>
      </c>
      <c r="B39" s="44"/>
      <c r="C39" s="44">
        <v>8256</v>
      </c>
      <c r="D39" s="44">
        <v>4270.7999999999993</v>
      </c>
      <c r="E39" s="44">
        <v>3266.7</v>
      </c>
      <c r="F39" s="44">
        <v>7063.2000000000007</v>
      </c>
      <c r="G39" s="44"/>
      <c r="H39" s="44">
        <v>680</v>
      </c>
      <c r="I39" s="44"/>
      <c r="M39" s="41" t="str">
        <f t="shared" si="0"/>
        <v>natural gas combined cycle</v>
      </c>
    </row>
    <row r="40" spans="1:13" x14ac:dyDescent="0.4">
      <c r="A40" s="3" t="s">
        <v>11</v>
      </c>
      <c r="B40" s="44">
        <v>806</v>
      </c>
      <c r="C40" s="44">
        <v>1534.1</v>
      </c>
      <c r="D40" s="44">
        <v>1616.6</v>
      </c>
      <c r="E40" s="44">
        <v>517</v>
      </c>
      <c r="F40" s="44">
        <v>5</v>
      </c>
      <c r="G40" s="44"/>
      <c r="H40" s="44"/>
      <c r="I40" s="44"/>
      <c r="M40" s="41" t="str">
        <f t="shared" si="0"/>
        <v>natural gas peaker</v>
      </c>
    </row>
    <row r="41" spans="1:13" x14ac:dyDescent="0.4">
      <c r="A41" s="3" t="s">
        <v>13</v>
      </c>
      <c r="B41" s="44"/>
      <c r="C41" s="44"/>
      <c r="D41" s="44">
        <v>125.3</v>
      </c>
      <c r="E41" s="44">
        <v>136</v>
      </c>
      <c r="F41" s="44"/>
      <c r="G41" s="44"/>
      <c r="H41" s="44"/>
      <c r="I41" s="44"/>
      <c r="M41" s="41" t="str">
        <f t="shared" si="0"/>
        <v>natural gas peaker</v>
      </c>
    </row>
    <row r="42" spans="1:13" x14ac:dyDescent="0.4">
      <c r="A42" s="3" t="s">
        <v>9</v>
      </c>
      <c r="B42" s="44"/>
      <c r="C42" s="44"/>
      <c r="D42" s="44">
        <v>335</v>
      </c>
      <c r="E42" s="44"/>
      <c r="F42" s="44"/>
      <c r="G42" s="44"/>
      <c r="H42" s="44"/>
      <c r="I42" s="44"/>
      <c r="M42" s="41" t="str">
        <f t="shared" si="0"/>
        <v>natural gas steam turbine</v>
      </c>
    </row>
    <row r="43" spans="1:13" x14ac:dyDescent="0.4">
      <c r="A43" s="3" t="s">
        <v>20</v>
      </c>
      <c r="B43" s="44"/>
      <c r="C43" s="44"/>
      <c r="D43" s="44">
        <v>158.5</v>
      </c>
      <c r="E43" s="44">
        <v>158.5</v>
      </c>
      <c r="F43" s="44"/>
      <c r="G43" s="44"/>
      <c r="H43" s="44"/>
      <c r="I43" s="44"/>
      <c r="M43" s="41" t="str">
        <f t="shared" si="0"/>
        <v>natural gas peaker</v>
      </c>
    </row>
    <row r="44" spans="1:13" x14ac:dyDescent="0.4">
      <c r="A44" s="3" t="s">
        <v>12</v>
      </c>
      <c r="B44" s="44"/>
      <c r="C44" s="44">
        <v>1114</v>
      </c>
      <c r="D44" s="44">
        <v>1114</v>
      </c>
      <c r="E44" s="44"/>
      <c r="F44" s="44"/>
      <c r="G44" s="44">
        <v>380</v>
      </c>
      <c r="H44" s="44">
        <v>190</v>
      </c>
      <c r="I44" s="44"/>
      <c r="M44" s="41" t="str">
        <f t="shared" si="0"/>
        <v>nuclear</v>
      </c>
    </row>
    <row r="45" spans="1:13" x14ac:dyDescent="0.4">
      <c r="A45" s="3" t="s">
        <v>23</v>
      </c>
      <c r="B45" s="44"/>
      <c r="C45" s="44"/>
      <c r="D45" s="44"/>
      <c r="E45" s="44">
        <v>1920.400000000001</v>
      </c>
      <c r="F45" s="44"/>
      <c r="G45" s="44">
        <v>120</v>
      </c>
      <c r="H45" s="44">
        <v>1265</v>
      </c>
      <c r="I45" s="44"/>
      <c r="M45" s="41" t="str">
        <f t="shared" si="0"/>
        <v>offshore wind</v>
      </c>
    </row>
    <row r="46" spans="1:13" x14ac:dyDescent="0.4">
      <c r="A46" s="3" t="s">
        <v>7</v>
      </c>
      <c r="B46" s="44">
        <v>5326.2999999999993</v>
      </c>
      <c r="C46" s="44">
        <v>7743.5999999999976</v>
      </c>
      <c r="D46" s="44">
        <v>4267.2</v>
      </c>
      <c r="E46" s="44">
        <v>2347.5</v>
      </c>
      <c r="F46" s="44">
        <v>2290</v>
      </c>
      <c r="G46" s="44">
        <v>1500</v>
      </c>
      <c r="H46" s="44"/>
      <c r="I46" s="44"/>
      <c r="M46" s="41" t="str">
        <f t="shared" si="0"/>
        <v>onshore wind</v>
      </c>
    </row>
    <row r="47" spans="1:13" x14ac:dyDescent="0.4">
      <c r="A47" s="3" t="s">
        <v>19</v>
      </c>
      <c r="B47" s="44">
        <v>15.8</v>
      </c>
      <c r="C47" s="44">
        <v>34.799999999999997</v>
      </c>
      <c r="D47" s="44"/>
      <c r="E47" s="44"/>
      <c r="F47" s="44"/>
      <c r="G47" s="44"/>
      <c r="H47" s="44"/>
      <c r="I47" s="44"/>
      <c r="M47" s="41" t="str">
        <f t="shared" si="0"/>
        <v>natural gas peaker</v>
      </c>
    </row>
    <row r="48" spans="1:13" x14ac:dyDescent="0.4">
      <c r="A48" s="3" t="s">
        <v>21</v>
      </c>
      <c r="B48" s="44"/>
      <c r="C48" s="44">
        <v>41</v>
      </c>
      <c r="D48" s="44">
        <v>19</v>
      </c>
      <c r="E48" s="44"/>
      <c r="F48" s="44"/>
      <c r="G48" s="44"/>
      <c r="H48" s="44"/>
      <c r="I48" s="44"/>
      <c r="M48" s="41" t="str">
        <f t="shared" si="0"/>
        <v>biomass</v>
      </c>
    </row>
    <row r="49" spans="1:13" x14ac:dyDescent="0.4">
      <c r="A49" s="3" t="s">
        <v>6</v>
      </c>
      <c r="B49" s="44"/>
      <c r="C49" s="44">
        <v>25.4</v>
      </c>
      <c r="D49" s="44"/>
      <c r="E49" s="44"/>
      <c r="F49" s="44"/>
      <c r="G49" s="44"/>
      <c r="H49" s="44"/>
      <c r="I49" s="44"/>
      <c r="M49" s="41" t="str">
        <f t="shared" si="0"/>
        <v>petroleum</v>
      </c>
    </row>
    <row r="50" spans="1:13" x14ac:dyDescent="0.4">
      <c r="A50" s="3" t="s">
        <v>14</v>
      </c>
      <c r="B50" s="44">
        <v>4350.8000000000011</v>
      </c>
      <c r="C50" s="44">
        <v>21625.099999999991</v>
      </c>
      <c r="D50" s="44">
        <v>17328.80000000001</v>
      </c>
      <c r="E50" s="44">
        <v>5097.3999999999996</v>
      </c>
      <c r="F50" s="44">
        <v>885</v>
      </c>
      <c r="G50" s="44">
        <v>1051.8</v>
      </c>
      <c r="H50" s="44"/>
      <c r="I50" s="44">
        <v>222.8</v>
      </c>
      <c r="M50" s="41" t="str">
        <f t="shared" si="0"/>
        <v>solar PV</v>
      </c>
    </row>
    <row r="51" spans="1:13" x14ac:dyDescent="0.4">
      <c r="A51" s="3" t="s">
        <v>22</v>
      </c>
      <c r="B51" s="44"/>
      <c r="C51" s="44"/>
      <c r="D51" s="44"/>
      <c r="E51" s="44"/>
      <c r="F51" s="44">
        <v>200</v>
      </c>
      <c r="G51" s="44"/>
      <c r="H51" s="44"/>
      <c r="I51" s="44"/>
      <c r="M51" s="41" t="str">
        <f t="shared" si="0"/>
        <v>solar thermal</v>
      </c>
    </row>
    <row r="52" spans="1:13" x14ac:dyDescent="0.4">
      <c r="A52" s="3" t="s">
        <v>186</v>
      </c>
      <c r="B52">
        <v>11617.7</v>
      </c>
      <c r="C52">
        <v>45853.399999999987</v>
      </c>
      <c r="D52">
        <v>34648.5</v>
      </c>
      <c r="E52">
        <v>14684.1</v>
      </c>
      <c r="F52">
        <v>10493.2</v>
      </c>
      <c r="G52">
        <v>3053.3</v>
      </c>
      <c r="H52">
        <v>2144.6</v>
      </c>
      <c r="I52">
        <v>222.8</v>
      </c>
      <c r="M52" s="41"/>
    </row>
    <row r="53" spans="1:13" x14ac:dyDescent="0.4">
      <c r="M53" s="41"/>
    </row>
    <row r="55" spans="1:13" x14ac:dyDescent="0.4">
      <c r="A55" s="1">
        <v>2023</v>
      </c>
    </row>
    <row r="56" spans="1:13" x14ac:dyDescent="0.4">
      <c r="M56" s="41" t="s">
        <v>5</v>
      </c>
    </row>
    <row r="57" spans="1:13" x14ac:dyDescent="0.4">
      <c r="A57" s="2" t="s">
        <v>183</v>
      </c>
      <c r="B57" s="2" t="s">
        <v>184</v>
      </c>
    </row>
    <row r="58" spans="1:13" x14ac:dyDescent="0.4">
      <c r="A58" s="2" t="s">
        <v>185</v>
      </c>
      <c r="B58">
        <v>2023</v>
      </c>
      <c r="C58">
        <v>2024</v>
      </c>
      <c r="D58">
        <v>2025</v>
      </c>
      <c r="E58">
        <v>2026</v>
      </c>
      <c r="F58">
        <v>2027</v>
      </c>
      <c r="G58">
        <v>2028</v>
      </c>
      <c r="H58">
        <v>2029</v>
      </c>
      <c r="I58">
        <v>2030</v>
      </c>
    </row>
    <row r="59" spans="1:13" x14ac:dyDescent="0.4">
      <c r="A59" s="3" t="s">
        <v>17</v>
      </c>
      <c r="B59">
        <v>12345.8</v>
      </c>
      <c r="C59">
        <v>12018.6</v>
      </c>
      <c r="D59">
        <v>7876.5</v>
      </c>
      <c r="E59">
        <v>2939</v>
      </c>
      <c r="F59">
        <v>352.5</v>
      </c>
      <c r="G59">
        <v>20</v>
      </c>
      <c r="M59" s="41" t="str">
        <f t="shared" ref="M59:M77" si="1">INDEX($M$7:$M$24,MATCH(A59,$A$7:$A$24,0))</f>
        <v>NA</v>
      </c>
    </row>
    <row r="60" spans="1:13" x14ac:dyDescent="0.4">
      <c r="A60" s="3" t="s">
        <v>8</v>
      </c>
      <c r="B60">
        <v>22.599999999999991</v>
      </c>
      <c r="C60">
        <v>10.3</v>
      </c>
      <c r="D60">
        <v>10.4</v>
      </c>
      <c r="E60">
        <v>31.4</v>
      </c>
      <c r="F60">
        <v>51.1</v>
      </c>
      <c r="G60">
        <v>132.30000000000001</v>
      </c>
      <c r="M60" s="41" t="str">
        <f t="shared" si="1"/>
        <v>hydro</v>
      </c>
    </row>
    <row r="61" spans="1:13" x14ac:dyDescent="0.4">
      <c r="A61" s="3" t="s">
        <v>15</v>
      </c>
      <c r="B61">
        <v>25</v>
      </c>
      <c r="C61">
        <v>16</v>
      </c>
      <c r="M61" s="41" t="str">
        <f t="shared" si="1"/>
        <v>geothermal</v>
      </c>
    </row>
    <row r="62" spans="1:13" x14ac:dyDescent="0.4">
      <c r="A62" s="3" t="s">
        <v>16</v>
      </c>
      <c r="B62">
        <v>7.5</v>
      </c>
      <c r="E62">
        <v>6.4</v>
      </c>
      <c r="M62" s="41" t="str">
        <f t="shared" si="1"/>
        <v>biomass</v>
      </c>
    </row>
    <row r="63" spans="1:13" x14ac:dyDescent="0.4">
      <c r="A63" s="3" t="s">
        <v>10</v>
      </c>
      <c r="B63">
        <v>5442.2</v>
      </c>
      <c r="C63">
        <v>97.8</v>
      </c>
      <c r="D63">
        <v>4109.6000000000004</v>
      </c>
      <c r="E63">
        <v>2749.6</v>
      </c>
      <c r="F63">
        <v>524.5</v>
      </c>
      <c r="M63" s="41" t="str">
        <f t="shared" si="1"/>
        <v>natural gas combined cycle</v>
      </c>
    </row>
    <row r="64" spans="1:13" x14ac:dyDescent="0.4">
      <c r="A64" s="3" t="s">
        <v>11</v>
      </c>
      <c r="B64">
        <v>1338.2</v>
      </c>
      <c r="C64">
        <v>2208.6999999999998</v>
      </c>
      <c r="D64">
        <v>1068.5999999999999</v>
      </c>
      <c r="E64">
        <v>775.5</v>
      </c>
      <c r="F64">
        <v>42</v>
      </c>
      <c r="M64" s="41" t="str">
        <f t="shared" si="1"/>
        <v>natural gas peaker</v>
      </c>
    </row>
    <row r="65" spans="1:13" x14ac:dyDescent="0.4">
      <c r="A65" s="3" t="s">
        <v>13</v>
      </c>
      <c r="B65">
        <v>379.90000000000009</v>
      </c>
      <c r="C65">
        <v>273.2</v>
      </c>
      <c r="D65">
        <v>295.60000000000002</v>
      </c>
      <c r="M65" s="41" t="str">
        <f t="shared" si="1"/>
        <v>natural gas peaker</v>
      </c>
    </row>
    <row r="66" spans="1:13" x14ac:dyDescent="0.4">
      <c r="A66" s="3" t="s">
        <v>9</v>
      </c>
      <c r="B66">
        <v>11</v>
      </c>
      <c r="C66">
        <v>4.5999999999999996</v>
      </c>
      <c r="F66">
        <v>25</v>
      </c>
      <c r="M66" s="41" t="str">
        <f t="shared" si="1"/>
        <v>natural gas steam turbine</v>
      </c>
    </row>
    <row r="67" spans="1:13" x14ac:dyDescent="0.4">
      <c r="A67" s="3" t="s">
        <v>20</v>
      </c>
      <c r="F67">
        <v>317</v>
      </c>
      <c r="M67" s="41" t="str">
        <f t="shared" si="1"/>
        <v>natural gas peaker</v>
      </c>
    </row>
    <row r="68" spans="1:13" x14ac:dyDescent="0.4">
      <c r="A68" s="3" t="s">
        <v>12</v>
      </c>
      <c r="B68">
        <v>2228</v>
      </c>
      <c r="C68">
        <v>1114</v>
      </c>
      <c r="H68">
        <v>72.7</v>
      </c>
      <c r="I68">
        <v>363.5</v>
      </c>
      <c r="M68" s="41" t="str">
        <f t="shared" si="1"/>
        <v>nuclear</v>
      </c>
    </row>
    <row r="69" spans="1:13" x14ac:dyDescent="0.4">
      <c r="A69" s="3" t="s">
        <v>23</v>
      </c>
      <c r="B69">
        <v>130</v>
      </c>
      <c r="C69">
        <v>2015</v>
      </c>
      <c r="D69">
        <v>715</v>
      </c>
      <c r="E69">
        <v>986.4</v>
      </c>
      <c r="F69">
        <v>1265</v>
      </c>
      <c r="H69">
        <v>1148</v>
      </c>
      <c r="M69" s="41" t="str">
        <f t="shared" si="1"/>
        <v>offshore wind</v>
      </c>
    </row>
    <row r="70" spans="1:13" x14ac:dyDescent="0.4">
      <c r="A70" s="3" t="s">
        <v>7</v>
      </c>
      <c r="B70">
        <v>7864.7</v>
      </c>
      <c r="C70">
        <v>3999.1</v>
      </c>
      <c r="D70">
        <v>4991.2</v>
      </c>
      <c r="E70">
        <v>1494.9</v>
      </c>
      <c r="F70">
        <v>2285</v>
      </c>
      <c r="G70">
        <v>821.4</v>
      </c>
      <c r="H70">
        <v>750</v>
      </c>
      <c r="M70" s="41" t="str">
        <f t="shared" si="1"/>
        <v>onshore wind</v>
      </c>
    </row>
    <row r="71" spans="1:13" x14ac:dyDescent="0.4">
      <c r="A71" s="3" t="s">
        <v>19</v>
      </c>
      <c r="B71">
        <v>14</v>
      </c>
      <c r="M71" s="41" t="str">
        <f t="shared" si="1"/>
        <v>natural gas peaker</v>
      </c>
    </row>
    <row r="72" spans="1:13" x14ac:dyDescent="0.4">
      <c r="A72" s="3" t="s">
        <v>21</v>
      </c>
      <c r="B72">
        <v>9</v>
      </c>
      <c r="C72">
        <v>51</v>
      </c>
      <c r="M72" s="41" t="str">
        <f t="shared" si="1"/>
        <v>biomass</v>
      </c>
    </row>
    <row r="73" spans="1:13" x14ac:dyDescent="0.4">
      <c r="A73" s="3" t="s">
        <v>6</v>
      </c>
      <c r="B73">
        <v>69.000000000000028</v>
      </c>
      <c r="M73" s="41" t="str">
        <f t="shared" si="1"/>
        <v>petroleum</v>
      </c>
    </row>
    <row r="74" spans="1:13" x14ac:dyDescent="0.4">
      <c r="A74" s="3" t="s">
        <v>14</v>
      </c>
      <c r="B74">
        <v>28795.200000000012</v>
      </c>
      <c r="C74">
        <v>32837.299999999988</v>
      </c>
      <c r="D74">
        <v>20404.900000000001</v>
      </c>
      <c r="E74">
        <v>8079.8</v>
      </c>
      <c r="F74">
        <v>4939</v>
      </c>
      <c r="G74">
        <v>628</v>
      </c>
      <c r="H74">
        <v>100</v>
      </c>
      <c r="I74">
        <v>222.8</v>
      </c>
      <c r="M74" s="41" t="str">
        <f t="shared" si="1"/>
        <v>solar PV</v>
      </c>
    </row>
    <row r="75" spans="1:13" x14ac:dyDescent="0.4">
      <c r="A75" s="3" t="s">
        <v>22</v>
      </c>
      <c r="F75">
        <v>200</v>
      </c>
      <c r="M75" s="41" t="str">
        <f t="shared" si="1"/>
        <v>solar thermal</v>
      </c>
    </row>
    <row r="76" spans="1:13" x14ac:dyDescent="0.4">
      <c r="A76" s="3" t="s">
        <v>18</v>
      </c>
      <c r="D76">
        <v>20</v>
      </c>
      <c r="M76" s="41" t="str">
        <f t="shared" si="1"/>
        <v>biomass</v>
      </c>
    </row>
    <row r="77" spans="1:13" x14ac:dyDescent="0.4">
      <c r="M77" s="41" t="e">
        <f t="shared" si="1"/>
        <v>#N/A</v>
      </c>
    </row>
  </sheetData>
  <phoneticPr fontId="3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87D5-F70B-4E40-8A44-F4753F5E6E9B}">
  <dimension ref="A1:AG158"/>
  <sheetViews>
    <sheetView showGridLines="0" topLeftCell="A55" zoomScale="83" zoomScaleNormal="83" workbookViewId="0">
      <selection activeCell="AC45" sqref="AC45:AG45"/>
    </sheetView>
  </sheetViews>
  <sheetFormatPr defaultRowHeight="17.399999999999999" x14ac:dyDescent="0.4"/>
  <cols>
    <col min="1" max="1" width="65.296875" style="100" customWidth="1"/>
    <col min="2" max="2" width="2" style="100" customWidth="1"/>
    <col min="3" max="8" width="8.3984375" style="51" customWidth="1"/>
  </cols>
  <sheetData>
    <row r="1" spans="1:14" x14ac:dyDescent="0.4">
      <c r="A1" s="50"/>
      <c r="B1" s="50"/>
      <c r="C1" s="50"/>
      <c r="D1" s="50"/>
      <c r="E1" s="50"/>
      <c r="F1" s="50"/>
      <c r="G1"/>
    </row>
    <row r="2" spans="1:14" ht="24.6" x14ac:dyDescent="0.4">
      <c r="A2" s="146" t="s">
        <v>197</v>
      </c>
      <c r="B2" s="146"/>
      <c r="C2" s="146"/>
      <c r="D2" s="146"/>
      <c r="E2" s="146"/>
      <c r="F2" s="146"/>
      <c r="G2" s="146"/>
    </row>
    <row r="3" spans="1:14" ht="18.600000000000001" x14ac:dyDescent="0.4">
      <c r="A3" s="50"/>
      <c r="B3" s="50"/>
      <c r="C3" s="50"/>
      <c r="D3" s="50"/>
      <c r="E3" s="50"/>
      <c r="F3" s="50"/>
      <c r="G3"/>
      <c r="K3" s="147"/>
      <c r="L3" s="147"/>
      <c r="M3" s="147"/>
      <c r="N3" s="147"/>
    </row>
    <row r="4" spans="1:14" ht="18.600000000000001" x14ac:dyDescent="0.4">
      <c r="A4" s="148" t="s">
        <v>198</v>
      </c>
      <c r="B4" s="148"/>
      <c r="C4" s="148"/>
      <c r="D4" s="148"/>
      <c r="E4" s="148"/>
      <c r="F4" s="148"/>
      <c r="G4" s="148"/>
    </row>
    <row r="5" spans="1:14" ht="18.600000000000001" x14ac:dyDescent="0.4">
      <c r="A5" s="50"/>
      <c r="B5" s="147"/>
      <c r="C5" s="147"/>
      <c r="D5" s="147"/>
      <c r="E5" s="147"/>
      <c r="F5" s="50"/>
      <c r="G5"/>
    </row>
    <row r="6" spans="1:14" x14ac:dyDescent="0.4">
      <c r="A6" s="52"/>
      <c r="B6" s="52"/>
      <c r="C6" s="52" t="s">
        <v>199</v>
      </c>
      <c r="D6" s="53"/>
      <c r="E6" s="52"/>
      <c r="F6" s="52"/>
      <c r="G6" s="52"/>
    </row>
    <row r="7" spans="1:14" x14ac:dyDescent="0.4">
      <c r="A7" s="149"/>
      <c r="B7" s="149"/>
      <c r="C7" s="149"/>
      <c r="D7" s="149"/>
      <c r="E7" s="149"/>
      <c r="F7" s="149"/>
      <c r="G7" s="149"/>
    </row>
    <row r="8" spans="1:14" x14ac:dyDescent="0.4">
      <c r="A8" s="54"/>
      <c r="B8" s="54"/>
      <c r="C8" s="54"/>
      <c r="D8" s="54"/>
      <c r="E8" s="54"/>
      <c r="F8" s="54"/>
      <c r="G8" s="54"/>
    </row>
    <row r="9" spans="1:14" ht="18" thickBot="1" x14ac:dyDescent="0.45">
      <c r="A9" s="55" t="s">
        <v>200</v>
      </c>
      <c r="B9" s="55"/>
      <c r="C9" s="56" t="s">
        <v>201</v>
      </c>
    </row>
    <row r="10" spans="1:14" ht="19.2" thickBot="1" x14ac:dyDescent="0.45">
      <c r="A10" s="57" t="s">
        <v>202</v>
      </c>
      <c r="B10" s="58"/>
      <c r="C10" s="59">
        <v>2028</v>
      </c>
      <c r="D10" s="59">
        <v>2030</v>
      </c>
      <c r="E10" s="59">
        <v>2035</v>
      </c>
      <c r="F10" s="59">
        <v>2040</v>
      </c>
      <c r="G10" s="59">
        <v>2045</v>
      </c>
      <c r="H10" s="59">
        <v>2050</v>
      </c>
      <c r="I10" s="60">
        <v>2055</v>
      </c>
      <c r="J10" s="61"/>
    </row>
    <row r="11" spans="1:14" x14ac:dyDescent="0.4">
      <c r="A11" s="62" t="s">
        <v>203</v>
      </c>
      <c r="B11" s="63"/>
      <c r="C11" s="64">
        <v>0.38178203655590803</v>
      </c>
      <c r="D11" s="64">
        <v>0.28776660432657397</v>
      </c>
      <c r="E11" s="64">
        <v>0.15008061837902698</v>
      </c>
      <c r="F11" s="64">
        <v>0.133750765519183</v>
      </c>
      <c r="G11" s="65">
        <v>1.36601001582439E-2</v>
      </c>
      <c r="H11" s="66">
        <v>1.6605887490001098E-2</v>
      </c>
      <c r="I11" s="67">
        <v>1.70355902300998E-2</v>
      </c>
      <c r="J11" s="68"/>
    </row>
    <row r="12" spans="1:14" x14ac:dyDescent="0.4">
      <c r="A12" s="69" t="s">
        <v>204</v>
      </c>
      <c r="B12" s="70"/>
      <c r="C12" s="71">
        <v>0.41680327636435999</v>
      </c>
      <c r="D12" s="71">
        <v>0.349669757281726</v>
      </c>
      <c r="E12" s="71">
        <v>0.219153065230694</v>
      </c>
      <c r="F12" s="71">
        <v>0.17104617987864601</v>
      </c>
      <c r="G12" s="71">
        <v>8.68620641293711E-2</v>
      </c>
      <c r="H12" s="71">
        <v>0.108901043591679</v>
      </c>
      <c r="I12" s="72">
        <v>0.118691033689307</v>
      </c>
      <c r="J12" s="73"/>
    </row>
    <row r="13" spans="1:14" x14ac:dyDescent="0.4">
      <c r="A13" s="62" t="s">
        <v>205</v>
      </c>
      <c r="B13" s="63"/>
      <c r="C13" s="74">
        <v>1075.7035876597711</v>
      </c>
      <c r="D13" s="74">
        <v>1007.9379903702765</v>
      </c>
      <c r="E13" s="74">
        <v>652.29000898086917</v>
      </c>
      <c r="F13" s="74">
        <v>440.68979404808982</v>
      </c>
      <c r="G13" s="74">
        <v>289.83435719708137</v>
      </c>
      <c r="H13" s="74">
        <v>413.78669060721154</v>
      </c>
      <c r="I13" s="75">
        <v>475.62130707511125</v>
      </c>
      <c r="J13" s="76"/>
    </row>
    <row r="14" spans="1:14" x14ac:dyDescent="0.4">
      <c r="A14" s="69" t="s">
        <v>206</v>
      </c>
      <c r="B14" s="70"/>
      <c r="C14" s="77">
        <v>2.362284207281975</v>
      </c>
      <c r="D14" s="77">
        <v>2.1904470347769851</v>
      </c>
      <c r="E14" s="77">
        <v>1.8558747250900252</v>
      </c>
      <c r="F14" s="77">
        <v>1.7549231047939</v>
      </c>
      <c r="G14" s="77">
        <v>1.2599123568758901</v>
      </c>
      <c r="H14" s="77">
        <v>1.2566786259307752</v>
      </c>
      <c r="I14" s="78">
        <v>1.2690882627550051</v>
      </c>
      <c r="J14" s="79"/>
    </row>
    <row r="15" spans="1:14" ht="18" thickBot="1" x14ac:dyDescent="0.45">
      <c r="A15" s="80" t="s">
        <v>207</v>
      </c>
      <c r="B15" s="81"/>
      <c r="C15" s="82">
        <v>2.1144117607940398</v>
      </c>
      <c r="D15" s="82">
        <v>1.7733222674486699</v>
      </c>
      <c r="E15" s="82">
        <v>1.16171800503003</v>
      </c>
      <c r="F15" s="82">
        <v>1.04926780110533</v>
      </c>
      <c r="G15" s="83">
        <v>9.6565890819868994E-2</v>
      </c>
      <c r="H15" s="83">
        <v>0.116990421681148</v>
      </c>
      <c r="I15" s="84">
        <v>0.117155446869056</v>
      </c>
      <c r="J15" s="79"/>
    </row>
    <row r="16" spans="1:14" ht="18" thickBot="1" x14ac:dyDescent="0.45">
      <c r="A16" s="63"/>
      <c r="B16" s="63"/>
      <c r="C16" s="85"/>
      <c r="D16" s="85"/>
      <c r="E16" s="85"/>
      <c r="F16" s="85"/>
      <c r="G16" s="85"/>
      <c r="H16" s="86"/>
    </row>
    <row r="17" spans="1:11" ht="19.2" thickBot="1" x14ac:dyDescent="0.45">
      <c r="A17" s="57" t="s">
        <v>208</v>
      </c>
      <c r="B17" s="58"/>
      <c r="C17" s="59">
        <v>2028</v>
      </c>
      <c r="D17" s="59">
        <v>2030</v>
      </c>
      <c r="E17" s="59">
        <v>2035</v>
      </c>
      <c r="F17" s="59">
        <v>2040</v>
      </c>
      <c r="G17" s="59">
        <v>2045</v>
      </c>
      <c r="H17" s="59">
        <v>2050</v>
      </c>
      <c r="I17" s="60">
        <v>2055</v>
      </c>
      <c r="J17" s="61"/>
    </row>
    <row r="18" spans="1:11" ht="18" thickBot="1" x14ac:dyDescent="0.45">
      <c r="A18" s="87" t="s">
        <v>209</v>
      </c>
      <c r="B18" s="88"/>
      <c r="C18" s="89">
        <v>132.75368551191599</v>
      </c>
      <c r="D18" s="89">
        <v>141.08152710447899</v>
      </c>
      <c r="E18" s="89">
        <v>155.020271350907</v>
      </c>
      <c r="F18" s="89">
        <v>160.858246941678</v>
      </c>
      <c r="G18" s="89">
        <v>178.05320115219899</v>
      </c>
      <c r="H18" s="89">
        <v>190.13076753082399</v>
      </c>
      <c r="I18" s="90">
        <v>209.24890239405502</v>
      </c>
      <c r="J18" s="91"/>
    </row>
    <row r="19" spans="1:11" ht="18" thickBot="1" x14ac:dyDescent="0.45">
      <c r="A19" s="63"/>
      <c r="B19" s="63"/>
      <c r="C19" s="92"/>
      <c r="D19" s="92"/>
      <c r="E19" s="92"/>
      <c r="F19" s="92"/>
      <c r="G19" s="92"/>
      <c r="H19" s="93"/>
    </row>
    <row r="20" spans="1:11" ht="19.2" thickBot="1" x14ac:dyDescent="0.45">
      <c r="A20" s="57" t="s">
        <v>210</v>
      </c>
      <c r="B20" s="58"/>
      <c r="C20" s="59">
        <v>2028</v>
      </c>
      <c r="D20" s="59">
        <v>2030</v>
      </c>
      <c r="E20" s="59">
        <v>2035</v>
      </c>
      <c r="F20" s="59">
        <v>2040</v>
      </c>
      <c r="G20" s="59">
        <v>2045</v>
      </c>
      <c r="H20" s="59">
        <v>2050</v>
      </c>
      <c r="I20" s="60">
        <v>2055</v>
      </c>
      <c r="J20" s="61"/>
    </row>
    <row r="21" spans="1:11" x14ac:dyDescent="0.4">
      <c r="A21" s="62" t="s">
        <v>211</v>
      </c>
      <c r="B21" s="63"/>
      <c r="C21" s="94">
        <v>35.598188541429217</v>
      </c>
      <c r="D21" s="94">
        <v>39.985036219480172</v>
      </c>
      <c r="E21" s="94">
        <v>39.047731613384897</v>
      </c>
      <c r="F21" s="94">
        <v>33.91931662644869</v>
      </c>
      <c r="G21" s="94">
        <v>28.962111214521279</v>
      </c>
      <c r="H21" s="94">
        <v>39.068346058963435</v>
      </c>
      <c r="I21" s="95">
        <v>42.898248554426125</v>
      </c>
      <c r="J21" s="96"/>
    </row>
    <row r="22" spans="1:11" x14ac:dyDescent="0.4">
      <c r="A22" s="69" t="s">
        <v>212</v>
      </c>
      <c r="B22" s="70"/>
      <c r="C22" s="97"/>
      <c r="D22" s="97"/>
      <c r="E22" s="97"/>
      <c r="F22" s="97"/>
      <c r="G22" s="97"/>
      <c r="H22" s="97"/>
      <c r="I22" s="98"/>
      <c r="J22" s="96"/>
    </row>
    <row r="23" spans="1:11" x14ac:dyDescent="0.4">
      <c r="A23" s="99" t="s">
        <v>213</v>
      </c>
      <c r="C23" s="94">
        <v>3.0610043549041901</v>
      </c>
      <c r="D23" s="94">
        <v>3.2856843228489598</v>
      </c>
      <c r="E23" s="94">
        <v>3.5237570753124801</v>
      </c>
      <c r="F23" s="94">
        <v>3.2990908995595798</v>
      </c>
      <c r="G23" s="94">
        <v>3.4962831708508899</v>
      </c>
      <c r="H23" s="94">
        <v>4.2861253331459599</v>
      </c>
      <c r="I23" s="95">
        <v>4.7051272233568202</v>
      </c>
      <c r="J23" s="96"/>
    </row>
    <row r="24" spans="1:11" x14ac:dyDescent="0.4">
      <c r="A24" s="101" t="s">
        <v>214</v>
      </c>
      <c r="B24" s="102"/>
      <c r="C24" s="97">
        <v>3.135364455001687</v>
      </c>
      <c r="D24" s="97">
        <v>3.3594684034249314</v>
      </c>
      <c r="E24" s="97">
        <v>3.545300964638574</v>
      </c>
      <c r="F24" s="97">
        <v>3.267340688402161</v>
      </c>
      <c r="G24" s="97">
        <v>3.4817098767750645</v>
      </c>
      <c r="H24" s="97">
        <v>4.2784840341821608</v>
      </c>
      <c r="I24" s="98">
        <v>4.699949294431363</v>
      </c>
      <c r="J24" s="96"/>
    </row>
    <row r="25" spans="1:11" x14ac:dyDescent="0.4">
      <c r="A25" s="62" t="s">
        <v>215</v>
      </c>
      <c r="B25" s="63"/>
      <c r="C25" s="94"/>
      <c r="D25" s="94"/>
      <c r="E25" s="94"/>
      <c r="F25" s="94"/>
      <c r="G25" s="94"/>
      <c r="H25" s="94"/>
      <c r="I25" s="95"/>
      <c r="J25" s="96"/>
    </row>
    <row r="26" spans="1:11" x14ac:dyDescent="0.4">
      <c r="A26" s="101" t="s">
        <v>216</v>
      </c>
      <c r="B26" s="102"/>
      <c r="C26" s="97">
        <v>1.4549263108832191</v>
      </c>
      <c r="D26" s="97">
        <v>1.4772263982239877</v>
      </c>
      <c r="E26" s="97">
        <v>1.4863063353595951</v>
      </c>
      <c r="F26" s="97">
        <v>1.5516406162024994</v>
      </c>
      <c r="G26" s="97">
        <v>2.2655174759257339</v>
      </c>
      <c r="H26" s="97">
        <v>2.398014249760247</v>
      </c>
      <c r="I26" s="98">
        <v>2.3977365366475563</v>
      </c>
      <c r="J26" s="96"/>
    </row>
    <row r="27" spans="1:11" x14ac:dyDescent="0.4">
      <c r="A27" s="99" t="s">
        <v>217</v>
      </c>
      <c r="C27" s="94">
        <v>4.7290260366364203</v>
      </c>
      <c r="D27" s="94">
        <v>4.4503375120515596</v>
      </c>
      <c r="E27" s="94">
        <v>4.3027965279951701</v>
      </c>
      <c r="F27" s="94"/>
      <c r="G27" s="94"/>
      <c r="H27" s="94"/>
      <c r="I27" s="95"/>
      <c r="J27" s="96"/>
    </row>
    <row r="28" spans="1:11" x14ac:dyDescent="0.4">
      <c r="A28" s="101" t="s">
        <v>218</v>
      </c>
      <c r="B28" s="102"/>
      <c r="C28" s="97">
        <v>1.5183629869401347</v>
      </c>
      <c r="D28" s="97">
        <v>1.5722407750786667</v>
      </c>
      <c r="E28" s="97">
        <v>1.7297246619928095</v>
      </c>
      <c r="F28" s="97">
        <v>1.785977859337492</v>
      </c>
      <c r="G28" s="97">
        <v>1.865233064616137</v>
      </c>
      <c r="H28" s="97">
        <v>1.981952954705549</v>
      </c>
      <c r="I28" s="98">
        <v>2.0035881416414534</v>
      </c>
      <c r="J28" s="96"/>
    </row>
    <row r="29" spans="1:11" x14ac:dyDescent="0.4">
      <c r="A29" s="99" t="s">
        <v>219</v>
      </c>
      <c r="C29" s="94">
        <v>0.54324640800156898</v>
      </c>
      <c r="D29" s="94">
        <v>0.81628239202452102</v>
      </c>
      <c r="E29" s="94">
        <v>0.38324153447818893</v>
      </c>
      <c r="F29" s="94">
        <v>2.0167941066512505</v>
      </c>
      <c r="G29" s="94"/>
      <c r="H29" s="94"/>
      <c r="I29" s="95"/>
      <c r="J29" s="96"/>
    </row>
    <row r="30" spans="1:11" x14ac:dyDescent="0.4">
      <c r="A30" s="101" t="s">
        <v>220</v>
      </c>
      <c r="B30" s="102"/>
      <c r="C30" s="97">
        <v>0.85137438534954457</v>
      </c>
      <c r="D30" s="97">
        <v>0.91585382757538536</v>
      </c>
      <c r="E30" s="97">
        <v>0.99292376539318727</v>
      </c>
      <c r="F30" s="97">
        <v>1.041521245135181</v>
      </c>
      <c r="G30" s="97">
        <v>1.478463609066323</v>
      </c>
      <c r="H30" s="97">
        <v>1.2613478590784684</v>
      </c>
      <c r="I30" s="98">
        <v>1.2721752991441668</v>
      </c>
      <c r="J30" s="96"/>
    </row>
    <row r="31" spans="1:11" ht="18" thickBot="1" x14ac:dyDescent="0.45">
      <c r="A31" s="103" t="s">
        <v>221</v>
      </c>
      <c r="B31" s="104"/>
      <c r="C31" s="105">
        <v>1.0780782380882352</v>
      </c>
      <c r="D31" s="105">
        <v>1.1725092425257939</v>
      </c>
      <c r="E31" s="105">
        <v>1.2457788386512954</v>
      </c>
      <c r="F31" s="105">
        <v>1.3783974731248412</v>
      </c>
      <c r="G31" s="105">
        <v>1.6974457565854826</v>
      </c>
      <c r="H31" s="105">
        <v>1.6369370818158655</v>
      </c>
      <c r="I31" s="106">
        <v>1.6490269613718609</v>
      </c>
      <c r="J31" s="96"/>
    </row>
    <row r="32" spans="1:11" ht="18" thickBot="1" x14ac:dyDescent="0.45">
      <c r="A32" s="63"/>
      <c r="B32" s="63"/>
      <c r="C32" s="107"/>
      <c r="D32" s="107"/>
      <c r="E32" s="107"/>
      <c r="F32" s="107"/>
      <c r="G32" s="107"/>
      <c r="H32" s="107"/>
      <c r="K32" t="s">
        <v>277</v>
      </c>
    </row>
    <row r="33" spans="1:33" ht="19.2" thickBot="1" x14ac:dyDescent="0.45">
      <c r="A33" s="57" t="s">
        <v>222</v>
      </c>
      <c r="B33" s="58"/>
      <c r="C33" s="59">
        <v>2028</v>
      </c>
      <c r="D33" s="59">
        <v>2030</v>
      </c>
      <c r="E33" s="59">
        <v>2035</v>
      </c>
      <c r="F33" s="59">
        <v>2040</v>
      </c>
      <c r="G33" s="59">
        <v>2045</v>
      </c>
      <c r="H33" s="59">
        <v>2050</v>
      </c>
      <c r="I33" s="60">
        <v>2055</v>
      </c>
      <c r="J33" s="61"/>
      <c r="K33" s="141">
        <v>2028</v>
      </c>
      <c r="L33" s="141">
        <v>2029</v>
      </c>
      <c r="M33" s="141">
        <v>2030</v>
      </c>
      <c r="N33" s="141">
        <v>2031</v>
      </c>
      <c r="O33" s="141">
        <v>2032</v>
      </c>
      <c r="P33" s="141">
        <v>2033</v>
      </c>
      <c r="Q33" s="141">
        <v>2034</v>
      </c>
      <c r="R33" s="141">
        <v>2035</v>
      </c>
      <c r="S33" s="141">
        <v>2036</v>
      </c>
      <c r="T33" s="141">
        <v>2037</v>
      </c>
      <c r="U33" s="141">
        <v>2038</v>
      </c>
      <c r="V33" s="141">
        <v>2039</v>
      </c>
      <c r="W33" s="141">
        <v>2040</v>
      </c>
      <c r="X33" s="141">
        <v>2041</v>
      </c>
      <c r="Y33" s="141">
        <v>2042</v>
      </c>
      <c r="Z33" s="141">
        <v>2043</v>
      </c>
      <c r="AA33" s="141">
        <v>2044</v>
      </c>
      <c r="AB33" s="141">
        <v>2045</v>
      </c>
      <c r="AC33" s="141">
        <v>2046</v>
      </c>
      <c r="AD33" s="141">
        <v>2047</v>
      </c>
      <c r="AE33" s="141">
        <v>2048</v>
      </c>
      <c r="AF33" s="141">
        <v>2049</v>
      </c>
      <c r="AG33" s="141">
        <v>2050</v>
      </c>
    </row>
    <row r="34" spans="1:33" x14ac:dyDescent="0.4">
      <c r="A34" s="62" t="s">
        <v>223</v>
      </c>
      <c r="B34" s="63"/>
      <c r="C34" s="108">
        <v>102.40670000000001</v>
      </c>
      <c r="D34" s="108">
        <v>104.507993438</v>
      </c>
      <c r="E34" s="108">
        <v>108.145155937</v>
      </c>
      <c r="F34" s="108">
        <v>111.82620918900001</v>
      </c>
      <c r="G34" s="108">
        <v>112.26044352100001</v>
      </c>
      <c r="H34" s="108">
        <v>112.26044352100001</v>
      </c>
      <c r="I34" s="109">
        <v>112.26053360200001</v>
      </c>
      <c r="J34" s="110"/>
    </row>
    <row r="35" spans="1:33" x14ac:dyDescent="0.4">
      <c r="A35" s="69" t="s">
        <v>224</v>
      </c>
      <c r="B35" s="70"/>
      <c r="C35" s="111">
        <v>428.534122153</v>
      </c>
      <c r="D35" s="111">
        <v>477.61207899600004</v>
      </c>
      <c r="E35" s="111">
        <v>738.08050350999997</v>
      </c>
      <c r="F35" s="111">
        <v>1032.3573401369999</v>
      </c>
      <c r="G35" s="111">
        <v>1366.256947049</v>
      </c>
      <c r="H35" s="111">
        <v>1400.5869280869999</v>
      </c>
      <c r="I35" s="112">
        <v>1492.8569951569998</v>
      </c>
      <c r="J35" s="110"/>
    </row>
    <row r="36" spans="1:33" x14ac:dyDescent="0.4">
      <c r="A36" s="99" t="s">
        <v>225</v>
      </c>
      <c r="B36" s="63"/>
      <c r="C36" s="113">
        <v>0.2029</v>
      </c>
      <c r="D36" s="113">
        <v>0.2029</v>
      </c>
      <c r="E36" s="113">
        <v>0.19090000000000001</v>
      </c>
      <c r="F36" s="113">
        <v>0.1444</v>
      </c>
      <c r="G36" s="113">
        <v>0.1444</v>
      </c>
      <c r="H36" s="113">
        <v>0.1444</v>
      </c>
      <c r="I36" s="114">
        <v>0.1444</v>
      </c>
      <c r="J36" s="110"/>
    </row>
    <row r="37" spans="1:33" x14ac:dyDescent="0.4">
      <c r="A37" s="101" t="s">
        <v>226</v>
      </c>
      <c r="B37" s="70"/>
      <c r="C37" s="111">
        <v>3.21123</v>
      </c>
      <c r="D37" s="111">
        <v>3.21123</v>
      </c>
      <c r="E37" s="111">
        <v>3.21123</v>
      </c>
      <c r="F37" s="111">
        <v>3.21123</v>
      </c>
      <c r="G37" s="111">
        <v>3.2852800000000002</v>
      </c>
      <c r="H37" s="111">
        <v>3.2852800000000002</v>
      </c>
      <c r="I37" s="112">
        <v>3.2852800000000002</v>
      </c>
      <c r="J37" s="110"/>
    </row>
    <row r="38" spans="1:33" s="115" customFormat="1" ht="13.8" x14ac:dyDescent="0.25">
      <c r="A38" s="99" t="s">
        <v>227</v>
      </c>
      <c r="B38" s="100"/>
      <c r="C38" s="108">
        <v>3.1948999979999999</v>
      </c>
      <c r="D38" s="108">
        <v>3.1948999979999999</v>
      </c>
      <c r="E38" s="108">
        <v>3.0752999979999998</v>
      </c>
      <c r="F38" s="108">
        <v>3.0752999979999998</v>
      </c>
      <c r="G38" s="108">
        <v>3.0752999979999998</v>
      </c>
      <c r="H38" s="108">
        <v>4.609992589</v>
      </c>
      <c r="I38" s="109">
        <v>5.5548313699999996</v>
      </c>
      <c r="J38" s="110"/>
    </row>
    <row r="39" spans="1:33" s="115" customFormat="1" ht="13.8" x14ac:dyDescent="0.25">
      <c r="A39" s="101" t="s">
        <v>228</v>
      </c>
      <c r="B39" s="102"/>
      <c r="C39" s="111">
        <v>184.197865616</v>
      </c>
      <c r="D39" s="111">
        <v>187.349550693</v>
      </c>
      <c r="E39" s="111">
        <v>303.75831319399998</v>
      </c>
      <c r="F39" s="111">
        <v>366.91603864699999</v>
      </c>
      <c r="G39" s="111">
        <v>540.260252541</v>
      </c>
      <c r="H39" s="111">
        <v>565.94633180300002</v>
      </c>
      <c r="I39" s="112">
        <v>604.50261935599997</v>
      </c>
      <c r="J39" s="110"/>
    </row>
    <row r="40" spans="1:33" s="115" customFormat="1" ht="13.8" x14ac:dyDescent="0.25">
      <c r="A40" s="99" t="s">
        <v>229</v>
      </c>
      <c r="B40" s="100"/>
      <c r="C40" s="108">
        <v>237.72722653900001</v>
      </c>
      <c r="D40" s="108">
        <v>283.65349830500003</v>
      </c>
      <c r="E40" s="108">
        <v>427.84476031800006</v>
      </c>
      <c r="F40" s="108">
        <v>659.01037149199999</v>
      </c>
      <c r="G40" s="108">
        <v>819.49171451000007</v>
      </c>
      <c r="H40" s="108">
        <v>826.60092369499989</v>
      </c>
      <c r="I40" s="109">
        <v>879.36986443099988</v>
      </c>
      <c r="J40" s="110"/>
    </row>
    <row r="41" spans="1:33" s="115" customFormat="1" ht="13.8" x14ac:dyDescent="0.25">
      <c r="A41" s="101" t="s">
        <v>230</v>
      </c>
      <c r="B41" s="102"/>
      <c r="C41" s="111">
        <v>81.438517035039894</v>
      </c>
      <c r="D41" s="111">
        <v>92.29553124858991</v>
      </c>
      <c r="E41" s="111">
        <v>120.510155097782</v>
      </c>
      <c r="F41" s="111">
        <v>151.53083064981399</v>
      </c>
      <c r="G41" s="111">
        <v>185.35585913917899</v>
      </c>
      <c r="H41" s="111">
        <v>223.72962451074901</v>
      </c>
      <c r="I41" s="112">
        <v>273.91910155627897</v>
      </c>
      <c r="J41" s="110"/>
    </row>
    <row r="42" spans="1:33" x14ac:dyDescent="0.4">
      <c r="A42" s="62" t="s">
        <v>231</v>
      </c>
      <c r="C42" s="108">
        <v>92.52881696</v>
      </c>
      <c r="D42" s="108">
        <v>63.35454715538021</v>
      </c>
      <c r="E42" s="108">
        <v>20.016060894724191</v>
      </c>
      <c r="F42" s="108">
        <v>18.614682050724191</v>
      </c>
      <c r="G42" s="108">
        <v>0.91530777072419367</v>
      </c>
      <c r="H42" s="108">
        <v>0.86830777072419363</v>
      </c>
      <c r="I42" s="109">
        <v>0.86830777072419363</v>
      </c>
      <c r="J42" s="110"/>
    </row>
    <row r="43" spans="1:33" s="115" customFormat="1" ht="13.8" x14ac:dyDescent="0.25">
      <c r="A43" s="101" t="s">
        <v>232</v>
      </c>
      <c r="B43" s="102"/>
      <c r="C43" s="111">
        <v>92.459169145999994</v>
      </c>
      <c r="D43" s="111">
        <v>62.315999656380214</v>
      </c>
      <c r="E43" s="111">
        <v>0.83908577772419357</v>
      </c>
      <c r="F43" s="116">
        <v>0.17560000972419357</v>
      </c>
      <c r="G43" s="116">
        <v>0.1733000097241936</v>
      </c>
      <c r="H43" s="116">
        <v>0.12630000972419356</v>
      </c>
      <c r="I43" s="117">
        <v>0.12630000972419356</v>
      </c>
      <c r="J43" s="110"/>
    </row>
    <row r="44" spans="1:33" s="115" customFormat="1" ht="13.8" x14ac:dyDescent="0.25">
      <c r="A44" s="99" t="s">
        <v>233</v>
      </c>
      <c r="B44" s="100"/>
      <c r="C44" s="113">
        <v>6.9647814000000002E-2</v>
      </c>
      <c r="D44" s="113">
        <v>6.9647814000000002E-2</v>
      </c>
      <c r="E44" s="108">
        <v>0</v>
      </c>
      <c r="F44" s="108">
        <v>0</v>
      </c>
      <c r="G44" s="108">
        <v>0</v>
      </c>
      <c r="H44" s="108">
        <v>0</v>
      </c>
      <c r="I44" s="109">
        <v>0</v>
      </c>
      <c r="J44" s="110"/>
    </row>
    <row r="45" spans="1:33" s="115" customFormat="1" ht="13.8" x14ac:dyDescent="0.25">
      <c r="A45" s="101" t="s">
        <v>234</v>
      </c>
      <c r="B45" s="102"/>
      <c r="C45" s="111">
        <v>0</v>
      </c>
      <c r="D45" s="111">
        <v>0.96889968500000012</v>
      </c>
      <c r="E45" s="111">
        <v>19.176975116999998</v>
      </c>
      <c r="F45" s="111">
        <v>18.439082040999999</v>
      </c>
      <c r="G45" s="111">
        <v>0.7420077610000001</v>
      </c>
      <c r="H45" s="111">
        <v>0.7420077610000001</v>
      </c>
      <c r="I45" s="112">
        <v>0.7420077610000001</v>
      </c>
      <c r="J45" s="110"/>
      <c r="K45" s="115" cm="1">
        <f t="array" ref="K45">TREND($C$45:$D$45,$C$33:$D$33,K33)</f>
        <v>0</v>
      </c>
      <c r="L45" s="115" cm="1">
        <f t="array" ref="L45">TREND($C$45:$D$45,$C$33:$D$33,L33)</f>
        <v>0.48444984249999834</v>
      </c>
      <c r="M45" s="115" cm="1">
        <f t="array" ref="M45">TREND($C$45:$D$45,$C$33:$D$33,M33)</f>
        <v>0.96889968499999668</v>
      </c>
      <c r="N45" s="115" cm="1">
        <f t="array" ref="N45">TREND($D$45:$E$45,$D$33:$E$33,N33)</f>
        <v>4.6105147713997212</v>
      </c>
      <c r="O45" s="115" cm="1">
        <f t="array" ref="O45">TREND($D$45:$E$45,$D$33:$E$33,O33)</f>
        <v>8.2521298577994457</v>
      </c>
      <c r="P45" s="115" cm="1">
        <f t="array" ref="P45">TREND($D$45:$E$45,$D$33:$E$33,P33)</f>
        <v>11.89374494419917</v>
      </c>
      <c r="Q45" s="115" cm="1">
        <f t="array" ref="Q45">TREND($D$45:$E$45,$D$33:$E$33,Q33)</f>
        <v>15.535360030599804</v>
      </c>
      <c r="R45" s="115" cm="1">
        <f t="array" ref="R45">TREND($D$45:$E$45,$D$33:$E$33,R33)</f>
        <v>19.176975116999529</v>
      </c>
      <c r="S45" s="115" cm="1">
        <f t="array" ref="S45">TREND($E$45:$F$45,$E$33:$F$33,S33)</f>
        <v>19.029396501799965</v>
      </c>
      <c r="T45" s="115" cm="1">
        <f t="array" ref="T45">TREND($E$45:$F$45,$E$33:$F$33,T33)</f>
        <v>18.881817886599947</v>
      </c>
      <c r="U45" s="115" cm="1">
        <f t="array" ref="U45">TREND($E$45:$F$45,$E$33:$F$33,U33)</f>
        <v>18.734239271399986</v>
      </c>
      <c r="V45" s="115" cm="1">
        <f t="array" ref="V45">TREND($E$45:$F$45,$E$33:$F$33,V33)</f>
        <v>18.586660656199967</v>
      </c>
      <c r="W45" s="115" cm="1">
        <f t="array" ref="W45">TREND($E$45:$F$45,$E$33:$F$33,W33)</f>
        <v>18.439082040999949</v>
      </c>
      <c r="X45" s="115" cm="1">
        <f t="array" ref="X45">TREND($F$45:$G$45,$F$33:$G$33,X33)</f>
        <v>14.899667184999998</v>
      </c>
      <c r="Y45" s="115" cm="1">
        <f t="array" ref="Y45">TREND($F$45:$G$45,$F$33:$G$33,Y33)</f>
        <v>11.360252329000105</v>
      </c>
      <c r="Z45" s="115" cm="1">
        <f t="array" ref="Z45">TREND($F$45:$G$45,$F$33:$G$33,Z33)</f>
        <v>7.8208374730002106</v>
      </c>
      <c r="AA45" s="115" cm="1">
        <f t="array" ref="AA45">TREND($F$45:$G$45,$F$33:$G$33,AA33)</f>
        <v>4.2814226169994072</v>
      </c>
      <c r="AB45" s="115" cm="1">
        <f t="array" ref="AB45">TREND($F$45:$G$45,$F$33:$G$33,AB33)</f>
        <v>0.74200776099951327</v>
      </c>
      <c r="AC45" s="115" cm="1">
        <f t="array" ref="AC45">TREND($G$45:$H$45,$G$33:$H$33,AC33)</f>
        <v>0.7420077610000001</v>
      </c>
      <c r="AD45" s="115" cm="1">
        <f t="array" ref="AD45">TREND($G$45:$H$45,$G$33:$H$33,AD33)</f>
        <v>0.7420077610000001</v>
      </c>
      <c r="AE45" s="115" cm="1">
        <f t="array" ref="AE45">TREND($G$45:$H$45,$G$33:$H$33,AE33)</f>
        <v>0.7420077610000001</v>
      </c>
      <c r="AF45" s="115" cm="1">
        <f t="array" ref="AF45">TREND($G$45:$H$45,$G$33:$H$33,AF33)</f>
        <v>0.7420077610000001</v>
      </c>
      <c r="AG45" s="115" cm="1">
        <f t="array" ref="AG45">TREND($G$45:$H$45,$G$33:$H$33,AG33)</f>
        <v>0.7420077610000001</v>
      </c>
    </row>
    <row r="46" spans="1:33" x14ac:dyDescent="0.4">
      <c r="A46" s="62" t="s">
        <v>235</v>
      </c>
      <c r="C46" s="108">
        <v>46.640658471000002</v>
      </c>
      <c r="D46" s="108">
        <v>55.413888983</v>
      </c>
      <c r="E46" s="108">
        <v>122.60925304099999</v>
      </c>
      <c r="F46" s="108">
        <v>142.806186594</v>
      </c>
      <c r="G46" s="108">
        <v>181.98062442299999</v>
      </c>
      <c r="H46" s="108">
        <v>184.92925485599997</v>
      </c>
      <c r="I46" s="109">
        <v>186.09178854799998</v>
      </c>
      <c r="J46" s="110"/>
    </row>
    <row r="47" spans="1:33" x14ac:dyDescent="0.4">
      <c r="A47" s="69" t="s">
        <v>12</v>
      </c>
      <c r="B47" s="102"/>
      <c r="C47" s="111">
        <v>93.569600000000008</v>
      </c>
      <c r="D47" s="111">
        <v>90.882000000000005</v>
      </c>
      <c r="E47" s="111">
        <v>83.694500000000005</v>
      </c>
      <c r="F47" s="111">
        <v>79.061899999999994</v>
      </c>
      <c r="G47" s="111">
        <v>64.843999999999994</v>
      </c>
      <c r="H47" s="111">
        <v>45.617486192000001</v>
      </c>
      <c r="I47" s="112">
        <v>28.784686191999999</v>
      </c>
      <c r="J47" s="110"/>
    </row>
    <row r="48" spans="1:33" x14ac:dyDescent="0.4">
      <c r="A48" s="62" t="s">
        <v>236</v>
      </c>
      <c r="C48" s="108">
        <v>473.69091579600001</v>
      </c>
      <c r="D48" s="108">
        <v>481.12423987500006</v>
      </c>
      <c r="E48" s="108">
        <v>486.19439530767852</v>
      </c>
      <c r="F48" s="108">
        <v>540.41077860867858</v>
      </c>
      <c r="G48" s="108">
        <v>604.18425695967858</v>
      </c>
      <c r="H48" s="108">
        <v>713.90102734067864</v>
      </c>
      <c r="I48" s="109">
        <v>796.5102401676786</v>
      </c>
      <c r="J48" s="110"/>
    </row>
    <row r="49" spans="1:10" s="115" customFormat="1" ht="13.8" x14ac:dyDescent="0.25">
      <c r="A49" s="101" t="s">
        <v>237</v>
      </c>
      <c r="B49" s="102"/>
      <c r="C49" s="111">
        <v>315.52063007100003</v>
      </c>
      <c r="D49" s="111">
        <v>316.57323280400004</v>
      </c>
      <c r="E49" s="111">
        <v>314.22690650667852</v>
      </c>
      <c r="F49" s="111">
        <v>314.24785835967856</v>
      </c>
      <c r="G49" s="111">
        <v>308.28215835967853</v>
      </c>
      <c r="H49" s="111">
        <v>325.23399788767858</v>
      </c>
      <c r="I49" s="112">
        <v>357.05457125667857</v>
      </c>
      <c r="J49" s="110"/>
    </row>
    <row r="50" spans="1:10" s="115" customFormat="1" ht="13.8" x14ac:dyDescent="0.25">
      <c r="A50" s="99" t="s">
        <v>238</v>
      </c>
      <c r="B50" s="100"/>
      <c r="C50" s="108">
        <v>0</v>
      </c>
      <c r="D50" s="108">
        <v>0</v>
      </c>
      <c r="E50" s="108">
        <v>0.90324353000000013</v>
      </c>
      <c r="F50" s="108">
        <v>0.90324353000000013</v>
      </c>
      <c r="G50" s="108">
        <v>0.90324353000000013</v>
      </c>
      <c r="H50" s="108">
        <v>0.90324353000000013</v>
      </c>
      <c r="I50" s="109">
        <v>0.90324353000000013</v>
      </c>
      <c r="J50" s="110"/>
    </row>
    <row r="51" spans="1:10" x14ac:dyDescent="0.4">
      <c r="A51" s="101" t="s">
        <v>239</v>
      </c>
      <c r="B51" s="102"/>
      <c r="C51" s="111">
        <v>158.17028572499999</v>
      </c>
      <c r="D51" s="111">
        <v>164.55100707099999</v>
      </c>
      <c r="E51" s="111">
        <v>171.06424527100003</v>
      </c>
      <c r="F51" s="111">
        <v>225.259676719</v>
      </c>
      <c r="G51" s="111">
        <v>294.99885506999999</v>
      </c>
      <c r="H51" s="111">
        <v>387.763785923</v>
      </c>
      <c r="I51" s="112">
        <v>438.55242538100003</v>
      </c>
      <c r="J51" s="110"/>
    </row>
    <row r="52" spans="1:10" x14ac:dyDescent="0.4">
      <c r="A52" s="62" t="s">
        <v>240</v>
      </c>
      <c r="C52" s="108">
        <v>64.828125279000005</v>
      </c>
      <c r="D52" s="108">
        <v>73.7073028983352</v>
      </c>
      <c r="E52" s="108">
        <v>69.896216854335208</v>
      </c>
      <c r="F52" s="108">
        <v>68.8262168543352</v>
      </c>
      <c r="G52" s="108">
        <v>68.8262168543352</v>
      </c>
      <c r="H52" s="108">
        <v>66.360616854335191</v>
      </c>
      <c r="I52" s="109">
        <v>66.160348294335193</v>
      </c>
      <c r="J52" s="110"/>
    </row>
    <row r="53" spans="1:10" x14ac:dyDescent="0.4">
      <c r="A53" s="69" t="s">
        <v>241</v>
      </c>
      <c r="B53" s="102"/>
      <c r="C53" s="111">
        <v>6.5003000000000002</v>
      </c>
      <c r="D53" s="111">
        <v>6.5003000000000002</v>
      </c>
      <c r="E53" s="111">
        <v>6.5003000000000002</v>
      </c>
      <c r="F53" s="111">
        <v>6.5003000000000002</v>
      </c>
      <c r="G53" s="111">
        <v>6.5003000000000002</v>
      </c>
      <c r="H53" s="111">
        <v>6.5003000000000002</v>
      </c>
      <c r="I53" s="112">
        <v>6.5003000000000002</v>
      </c>
      <c r="J53" s="110"/>
    </row>
    <row r="54" spans="1:10" ht="18" thickBot="1" x14ac:dyDescent="0.45">
      <c r="A54" s="118" t="s">
        <v>186</v>
      </c>
      <c r="B54" s="119"/>
      <c r="C54" s="120">
        <v>1308.699238659</v>
      </c>
      <c r="D54" s="120">
        <v>1353.1023513457155</v>
      </c>
      <c r="E54" s="120">
        <v>1635.1363855447378</v>
      </c>
      <c r="F54" s="120">
        <v>2000.4036134337377</v>
      </c>
      <c r="G54" s="120">
        <v>2405.7680965777386</v>
      </c>
      <c r="H54" s="120">
        <v>2531.0243646217377</v>
      </c>
      <c r="I54" s="121">
        <v>2690.033199731738</v>
      </c>
      <c r="J54" s="110"/>
    </row>
    <row r="55" spans="1:10" ht="18.600000000000001" thickTop="1" thickBot="1" x14ac:dyDescent="0.45">
      <c r="A55" s="63"/>
      <c r="B55" s="63"/>
      <c r="C55" s="108"/>
      <c r="D55" s="108"/>
      <c r="E55" s="108"/>
      <c r="F55" s="108"/>
      <c r="G55" s="108"/>
      <c r="H55" s="108"/>
    </row>
    <row r="56" spans="1:10" ht="19.2" thickBot="1" x14ac:dyDescent="0.45">
      <c r="A56" s="57" t="s">
        <v>242</v>
      </c>
      <c r="B56" s="58"/>
      <c r="C56" s="59">
        <v>2028</v>
      </c>
      <c r="D56" s="59">
        <v>2030</v>
      </c>
      <c r="E56" s="59">
        <v>2035</v>
      </c>
      <c r="F56" s="59">
        <v>2040</v>
      </c>
      <c r="G56" s="59">
        <v>2045</v>
      </c>
      <c r="H56" s="59">
        <v>2050</v>
      </c>
      <c r="I56" s="60">
        <v>2055</v>
      </c>
      <c r="J56" s="61"/>
    </row>
    <row r="57" spans="1:10" x14ac:dyDescent="0.4">
      <c r="A57" s="62" t="s">
        <v>223</v>
      </c>
      <c r="B57" s="63"/>
      <c r="C57" s="93">
        <v>0</v>
      </c>
      <c r="D57" s="93">
        <v>2.1012934380000003</v>
      </c>
      <c r="E57" s="93">
        <v>5.7384559369999995</v>
      </c>
      <c r="F57" s="93">
        <v>9.4195091890000011</v>
      </c>
      <c r="G57" s="93">
        <v>9.8537435210000002</v>
      </c>
      <c r="H57" s="93">
        <v>9.8537435210000002</v>
      </c>
      <c r="I57" s="122">
        <v>9.8538336019999999</v>
      </c>
      <c r="J57" s="79"/>
    </row>
    <row r="58" spans="1:10" x14ac:dyDescent="0.4">
      <c r="A58" s="69" t="s">
        <v>224</v>
      </c>
      <c r="B58" s="70"/>
      <c r="C58" s="111">
        <v>79.215822153000005</v>
      </c>
      <c r="D58" s="111">
        <v>128.29377899600001</v>
      </c>
      <c r="E58" s="111">
        <v>388.89580351000001</v>
      </c>
      <c r="F58" s="111">
        <v>683.21914013699995</v>
      </c>
      <c r="G58" s="111">
        <v>1017.1187470489999</v>
      </c>
      <c r="H58" s="111">
        <v>1051.4487280870001</v>
      </c>
      <c r="I58" s="112">
        <v>1143.7187951569999</v>
      </c>
      <c r="J58" s="123"/>
    </row>
    <row r="59" spans="1:10" x14ac:dyDescent="0.4">
      <c r="A59" s="99" t="s">
        <v>225</v>
      </c>
      <c r="B59" s="63"/>
      <c r="C59" s="108">
        <v>0</v>
      </c>
      <c r="D59" s="108">
        <v>0</v>
      </c>
      <c r="E59" s="108">
        <v>0</v>
      </c>
      <c r="F59" s="108">
        <v>0</v>
      </c>
      <c r="G59" s="108">
        <v>0</v>
      </c>
      <c r="H59" s="108">
        <v>0</v>
      </c>
      <c r="I59" s="109">
        <v>0</v>
      </c>
      <c r="J59" s="123"/>
    </row>
    <row r="60" spans="1:10" x14ac:dyDescent="0.4">
      <c r="A60" s="101" t="s">
        <v>226</v>
      </c>
      <c r="B60" s="70"/>
      <c r="C60" s="111">
        <v>0.60183000000000009</v>
      </c>
      <c r="D60" s="111">
        <v>0.60183000000000009</v>
      </c>
      <c r="E60" s="111">
        <v>0.60183000000000009</v>
      </c>
      <c r="F60" s="111">
        <v>0.60183000000000009</v>
      </c>
      <c r="G60" s="111">
        <v>0.67588000000000004</v>
      </c>
      <c r="H60" s="111">
        <v>0.67588000000000004</v>
      </c>
      <c r="I60" s="112">
        <v>0.67588000000000004</v>
      </c>
      <c r="J60" s="123"/>
    </row>
    <row r="61" spans="1:10" s="115" customFormat="1" ht="13.8" x14ac:dyDescent="0.25">
      <c r="A61" s="99" t="s">
        <v>227</v>
      </c>
      <c r="B61" s="100"/>
      <c r="C61" s="108">
        <v>1.5419999980000001</v>
      </c>
      <c r="D61" s="108">
        <v>1.5419999980000001</v>
      </c>
      <c r="E61" s="108">
        <v>1.5419999980000001</v>
      </c>
      <c r="F61" s="108">
        <v>1.5419999980000001</v>
      </c>
      <c r="G61" s="108">
        <v>1.5419999980000001</v>
      </c>
      <c r="H61" s="108">
        <v>3.0766925890000003</v>
      </c>
      <c r="I61" s="109">
        <v>4.0215313699999999</v>
      </c>
      <c r="J61" s="123"/>
    </row>
    <row r="62" spans="1:10" s="115" customFormat="1" ht="13.8" x14ac:dyDescent="0.25">
      <c r="A62" s="101" t="s">
        <v>228</v>
      </c>
      <c r="B62" s="102"/>
      <c r="C62" s="111">
        <v>13.431965616000003</v>
      </c>
      <c r="D62" s="111">
        <v>16.583650693000006</v>
      </c>
      <c r="E62" s="111">
        <v>132.994413194</v>
      </c>
      <c r="F62" s="111">
        <v>196.15213864699999</v>
      </c>
      <c r="G62" s="111">
        <v>369.49635254100002</v>
      </c>
      <c r="H62" s="111">
        <v>395.18243180300004</v>
      </c>
      <c r="I62" s="112">
        <v>433.73871935599999</v>
      </c>
      <c r="J62" s="123"/>
    </row>
    <row r="63" spans="1:10" s="115" customFormat="1" ht="13.8" x14ac:dyDescent="0.25">
      <c r="A63" s="99" t="s">
        <v>229</v>
      </c>
      <c r="B63" s="100"/>
      <c r="C63" s="108">
        <v>63.640026538999997</v>
      </c>
      <c r="D63" s="108">
        <v>109.56629830499999</v>
      </c>
      <c r="E63" s="108">
        <v>253.757560318</v>
      </c>
      <c r="F63" s="108">
        <v>484.92317149199999</v>
      </c>
      <c r="G63" s="108">
        <v>645.40451451000001</v>
      </c>
      <c r="H63" s="108">
        <v>652.51372369499995</v>
      </c>
      <c r="I63" s="109">
        <v>705.28266443099994</v>
      </c>
      <c r="J63" s="123"/>
    </row>
    <row r="64" spans="1:10" x14ac:dyDescent="0.4">
      <c r="A64" s="69" t="s">
        <v>231</v>
      </c>
      <c r="B64" s="70"/>
      <c r="C64" s="111">
        <v>0</v>
      </c>
      <c r="D64" s="111">
        <v>0</v>
      </c>
      <c r="E64" s="111">
        <v>0</v>
      </c>
      <c r="F64" s="111">
        <v>0</v>
      </c>
      <c r="G64" s="111">
        <v>0</v>
      </c>
      <c r="H64" s="111">
        <v>0</v>
      </c>
      <c r="I64" s="112">
        <v>0</v>
      </c>
      <c r="J64" s="123"/>
    </row>
    <row r="65" spans="1:10" s="115" customFormat="1" ht="13.8" x14ac:dyDescent="0.25">
      <c r="A65" s="99" t="s">
        <v>232</v>
      </c>
      <c r="B65" s="100"/>
      <c r="C65" s="108">
        <v>0</v>
      </c>
      <c r="D65" s="108">
        <v>0</v>
      </c>
      <c r="E65" s="108">
        <v>0</v>
      </c>
      <c r="F65" s="108">
        <v>0</v>
      </c>
      <c r="G65" s="108">
        <v>0</v>
      </c>
      <c r="H65" s="108">
        <v>0</v>
      </c>
      <c r="I65" s="109">
        <v>0</v>
      </c>
      <c r="J65" s="123"/>
    </row>
    <row r="66" spans="1:10" s="115" customFormat="1" ht="13.8" x14ac:dyDescent="0.25">
      <c r="A66" s="124" t="s">
        <v>233</v>
      </c>
      <c r="B66" s="102"/>
      <c r="C66" s="111">
        <v>0</v>
      </c>
      <c r="D66" s="111">
        <v>0</v>
      </c>
      <c r="E66" s="111">
        <v>0</v>
      </c>
      <c r="F66" s="111">
        <v>0</v>
      </c>
      <c r="G66" s="111">
        <v>0</v>
      </c>
      <c r="H66" s="111">
        <v>0</v>
      </c>
      <c r="I66" s="112">
        <v>0</v>
      </c>
      <c r="J66" s="123"/>
    </row>
    <row r="67" spans="1:10" s="115" customFormat="1" ht="13.8" x14ac:dyDescent="0.25">
      <c r="A67" s="99" t="s">
        <v>234</v>
      </c>
      <c r="B67" s="100"/>
      <c r="C67" s="108">
        <v>0</v>
      </c>
      <c r="D67" s="108">
        <v>0</v>
      </c>
      <c r="E67" s="108">
        <v>0</v>
      </c>
      <c r="F67" s="108">
        <v>0</v>
      </c>
      <c r="G67" s="108">
        <v>0</v>
      </c>
      <c r="H67" s="108">
        <v>0</v>
      </c>
      <c r="I67" s="109">
        <v>0</v>
      </c>
      <c r="J67" s="123"/>
    </row>
    <row r="68" spans="1:10" x14ac:dyDescent="0.4">
      <c r="A68" s="69" t="s">
        <v>235</v>
      </c>
      <c r="B68" s="70"/>
      <c r="C68" s="111">
        <v>3.2073584710000045</v>
      </c>
      <c r="D68" s="111">
        <v>11.980588983000002</v>
      </c>
      <c r="E68" s="111">
        <v>79.175953041</v>
      </c>
      <c r="F68" s="111">
        <v>99.372886594000008</v>
      </c>
      <c r="G68" s="111">
        <v>138.54732442300002</v>
      </c>
      <c r="H68" s="111">
        <v>141.495954856</v>
      </c>
      <c r="I68" s="112">
        <v>142.65848854800001</v>
      </c>
      <c r="J68" s="123"/>
    </row>
    <row r="69" spans="1:10" x14ac:dyDescent="0.4">
      <c r="A69" s="62" t="s">
        <v>12</v>
      </c>
      <c r="B69" s="63"/>
      <c r="C69" s="108">
        <v>0</v>
      </c>
      <c r="D69" s="108">
        <v>0</v>
      </c>
      <c r="E69" s="108">
        <v>0</v>
      </c>
      <c r="F69" s="108">
        <v>0</v>
      </c>
      <c r="G69" s="108">
        <v>0</v>
      </c>
      <c r="H69" s="113">
        <v>0.25308619199999999</v>
      </c>
      <c r="I69" s="114">
        <v>0.25308619199999999</v>
      </c>
      <c r="J69" s="123"/>
    </row>
    <row r="70" spans="1:10" x14ac:dyDescent="0.4">
      <c r="A70" s="69" t="s">
        <v>236</v>
      </c>
      <c r="B70" s="70"/>
      <c r="C70" s="111">
        <v>29.361669660000004</v>
      </c>
      <c r="D70" s="111">
        <v>37.263493739000005</v>
      </c>
      <c r="E70" s="111">
        <v>44.885378494885508</v>
      </c>
      <c r="F70" s="111">
        <v>99.729761795885494</v>
      </c>
      <c r="G70" s="111">
        <v>179.89854014688549</v>
      </c>
      <c r="H70" s="111">
        <v>301.58241052788549</v>
      </c>
      <c r="I70" s="112">
        <v>384.84462335488553</v>
      </c>
      <c r="J70" s="123"/>
    </row>
    <row r="71" spans="1:10" s="115" customFormat="1" ht="13.8" x14ac:dyDescent="0.25">
      <c r="A71" s="99" t="s">
        <v>237</v>
      </c>
      <c r="B71" s="100"/>
      <c r="C71" s="108">
        <v>22.260557637000002</v>
      </c>
      <c r="D71" s="108">
        <v>23.313160370000002</v>
      </c>
      <c r="E71" s="108">
        <v>22.357293137885502</v>
      </c>
      <c r="F71" s="108">
        <v>22.842244990885501</v>
      </c>
      <c r="G71" s="108">
        <v>22.842244990885501</v>
      </c>
      <c r="H71" s="108">
        <v>47.293684518885499</v>
      </c>
      <c r="I71" s="109">
        <v>79.767257887885506</v>
      </c>
      <c r="J71" s="123"/>
    </row>
    <row r="72" spans="1:10" s="115" customFormat="1" ht="13.8" x14ac:dyDescent="0.25">
      <c r="A72" s="125" t="s">
        <v>238</v>
      </c>
      <c r="B72" s="102"/>
      <c r="C72" s="111">
        <v>0</v>
      </c>
      <c r="D72" s="111">
        <v>0</v>
      </c>
      <c r="E72" s="111">
        <v>0.82331378799999999</v>
      </c>
      <c r="F72" s="111">
        <v>0.82331378799999999</v>
      </c>
      <c r="G72" s="111">
        <v>0.82331378799999999</v>
      </c>
      <c r="H72" s="111">
        <v>0.82331378799999999</v>
      </c>
      <c r="I72" s="112">
        <v>0.82331378799999999</v>
      </c>
      <c r="J72" s="123"/>
    </row>
    <row r="73" spans="1:10" x14ac:dyDescent="0.4">
      <c r="A73" s="99" t="s">
        <v>239</v>
      </c>
      <c r="B73" s="63"/>
      <c r="C73" s="108">
        <v>7.1011120230000007</v>
      </c>
      <c r="D73" s="108">
        <v>13.950333369000001</v>
      </c>
      <c r="E73" s="108">
        <v>21.704771568999998</v>
      </c>
      <c r="F73" s="108">
        <v>76.064203016999997</v>
      </c>
      <c r="G73" s="108">
        <v>156.232981368</v>
      </c>
      <c r="H73" s="108">
        <v>253.46541222100001</v>
      </c>
      <c r="I73" s="109">
        <v>304.25405167900004</v>
      </c>
      <c r="J73" s="123"/>
    </row>
    <row r="74" spans="1:10" x14ac:dyDescent="0.4">
      <c r="A74" s="69" t="s">
        <v>241</v>
      </c>
      <c r="B74" s="70"/>
      <c r="C74" s="111">
        <v>0</v>
      </c>
      <c r="D74" s="111">
        <v>0</v>
      </c>
      <c r="E74" s="111">
        <v>0</v>
      </c>
      <c r="F74" s="111">
        <v>0</v>
      </c>
      <c r="G74" s="111">
        <v>0</v>
      </c>
      <c r="H74" s="111">
        <v>0</v>
      </c>
      <c r="I74" s="112">
        <v>0</v>
      </c>
      <c r="J74" s="123"/>
    </row>
    <row r="75" spans="1:10" ht="18" thickBot="1" x14ac:dyDescent="0.45">
      <c r="A75" s="126" t="s">
        <v>186</v>
      </c>
      <c r="B75" s="127"/>
      <c r="C75" s="128">
        <v>111.78485028400002</v>
      </c>
      <c r="D75" s="128">
        <v>179.63915515600002</v>
      </c>
      <c r="E75" s="128">
        <v>518.69559098288551</v>
      </c>
      <c r="F75" s="128">
        <v>891.74129771588537</v>
      </c>
      <c r="G75" s="128">
        <v>1345.4183551398855</v>
      </c>
      <c r="H75" s="128">
        <v>1504.6339231838856</v>
      </c>
      <c r="I75" s="129">
        <v>1681.3288268538854</v>
      </c>
      <c r="J75" s="123"/>
    </row>
    <row r="76" spans="1:10" ht="18" thickBot="1" x14ac:dyDescent="0.45">
      <c r="A76" s="80"/>
      <c r="B76" s="81"/>
      <c r="C76" s="130"/>
      <c r="D76" s="130"/>
      <c r="E76" s="130"/>
      <c r="F76" s="130"/>
      <c r="G76" s="130"/>
      <c r="H76" s="130"/>
      <c r="I76" s="130"/>
      <c r="J76" s="123"/>
    </row>
    <row r="77" spans="1:10" ht="19.2" thickBot="1" x14ac:dyDescent="0.45">
      <c r="A77" s="57" t="s">
        <v>243</v>
      </c>
      <c r="B77" s="58"/>
      <c r="C77" s="59">
        <v>2028</v>
      </c>
      <c r="D77" s="59">
        <v>2030</v>
      </c>
      <c r="E77" s="59">
        <v>2035</v>
      </c>
      <c r="F77" s="59">
        <v>2040</v>
      </c>
      <c r="G77" s="59">
        <v>2045</v>
      </c>
      <c r="H77" s="59">
        <v>2050</v>
      </c>
      <c r="I77" s="60">
        <v>2055</v>
      </c>
      <c r="J77" s="61"/>
    </row>
    <row r="78" spans="1:10" x14ac:dyDescent="0.4">
      <c r="A78" s="62" t="s">
        <v>223</v>
      </c>
      <c r="B78" s="63"/>
      <c r="C78" s="93">
        <v>0</v>
      </c>
      <c r="D78" s="93">
        <v>0</v>
      </c>
      <c r="E78" s="93">
        <v>0</v>
      </c>
      <c r="F78" s="93">
        <v>0</v>
      </c>
      <c r="G78" s="93">
        <v>0</v>
      </c>
      <c r="H78" s="93">
        <v>0</v>
      </c>
      <c r="I78" s="131">
        <v>0</v>
      </c>
      <c r="J78" s="79"/>
    </row>
    <row r="79" spans="1:10" x14ac:dyDescent="0.4">
      <c r="A79" s="69" t="s">
        <v>224</v>
      </c>
      <c r="B79" s="70"/>
      <c r="C79" s="111">
        <v>34.129499999999993</v>
      </c>
      <c r="D79" s="111">
        <v>34.129499999999993</v>
      </c>
      <c r="E79" s="111">
        <v>34.129499999999993</v>
      </c>
      <c r="F79" s="111">
        <v>34.129499999999993</v>
      </c>
      <c r="G79" s="111">
        <v>34.129499999999993</v>
      </c>
      <c r="H79" s="111">
        <v>34.129499999999993</v>
      </c>
      <c r="I79" s="112">
        <v>34.129499999999993</v>
      </c>
      <c r="J79" s="123"/>
    </row>
    <row r="80" spans="1:10" x14ac:dyDescent="0.4">
      <c r="A80" s="99" t="s">
        <v>225</v>
      </c>
      <c r="B80" s="63"/>
      <c r="C80" s="108">
        <v>0</v>
      </c>
      <c r="D80" s="108">
        <v>0</v>
      </c>
      <c r="E80" s="108">
        <v>0</v>
      </c>
      <c r="F80" s="108">
        <v>0</v>
      </c>
      <c r="G80" s="108">
        <v>0</v>
      </c>
      <c r="H80" s="108">
        <v>0</v>
      </c>
      <c r="I80" s="109">
        <v>0</v>
      </c>
      <c r="J80" s="123"/>
    </row>
    <row r="81" spans="1:10" x14ac:dyDescent="0.4">
      <c r="A81" s="101" t="s">
        <v>226</v>
      </c>
      <c r="B81" s="70"/>
      <c r="C81" s="111">
        <v>0</v>
      </c>
      <c r="D81" s="111">
        <v>0</v>
      </c>
      <c r="E81" s="111">
        <v>0</v>
      </c>
      <c r="F81" s="111">
        <v>0</v>
      </c>
      <c r="G81" s="111">
        <v>0</v>
      </c>
      <c r="H81" s="111">
        <v>0</v>
      </c>
      <c r="I81" s="112">
        <v>0</v>
      </c>
      <c r="J81" s="123"/>
    </row>
    <row r="82" spans="1:10" s="115" customFormat="1" ht="13.8" x14ac:dyDescent="0.25">
      <c r="A82" s="99" t="s">
        <v>227</v>
      </c>
      <c r="B82" s="100"/>
      <c r="C82" s="108">
        <v>0</v>
      </c>
      <c r="D82" s="108">
        <v>0</v>
      </c>
      <c r="E82" s="108">
        <v>0</v>
      </c>
      <c r="F82" s="108">
        <v>0</v>
      </c>
      <c r="G82" s="108">
        <v>0</v>
      </c>
      <c r="H82" s="108">
        <v>0</v>
      </c>
      <c r="I82" s="109">
        <v>0</v>
      </c>
      <c r="J82" s="123"/>
    </row>
    <row r="83" spans="1:10" s="115" customFormat="1" ht="13.8" x14ac:dyDescent="0.25">
      <c r="A83" s="101" t="s">
        <v>228</v>
      </c>
      <c r="B83" s="102"/>
      <c r="C83" s="111">
        <v>27.498199999999994</v>
      </c>
      <c r="D83" s="111">
        <v>27.498199999999994</v>
      </c>
      <c r="E83" s="111">
        <v>27.498199999999994</v>
      </c>
      <c r="F83" s="111">
        <v>27.498199999999994</v>
      </c>
      <c r="G83" s="111">
        <v>27.498199999999994</v>
      </c>
      <c r="H83" s="111">
        <v>27.498199999999994</v>
      </c>
      <c r="I83" s="112">
        <v>27.498199999999994</v>
      </c>
      <c r="J83" s="123"/>
    </row>
    <row r="84" spans="1:10" s="115" customFormat="1" ht="13.8" x14ac:dyDescent="0.25">
      <c r="A84" s="99" t="s">
        <v>229</v>
      </c>
      <c r="B84" s="100"/>
      <c r="C84" s="108">
        <v>6.6313000000000004</v>
      </c>
      <c r="D84" s="108">
        <v>6.6313000000000004</v>
      </c>
      <c r="E84" s="108">
        <v>6.6313000000000004</v>
      </c>
      <c r="F84" s="108">
        <v>6.6313000000000004</v>
      </c>
      <c r="G84" s="108">
        <v>6.6313000000000004</v>
      </c>
      <c r="H84" s="108">
        <v>6.6313000000000004</v>
      </c>
      <c r="I84" s="109">
        <v>6.6313000000000004</v>
      </c>
      <c r="J84" s="123"/>
    </row>
    <row r="85" spans="1:10" x14ac:dyDescent="0.4">
      <c r="A85" s="69" t="s">
        <v>231</v>
      </c>
      <c r="B85" s="70"/>
      <c r="C85" s="111">
        <v>0</v>
      </c>
      <c r="D85" s="111">
        <v>0</v>
      </c>
      <c r="E85" s="111">
        <v>0</v>
      </c>
      <c r="F85" s="111">
        <v>0</v>
      </c>
      <c r="G85" s="111">
        <v>0</v>
      </c>
      <c r="H85" s="111">
        <v>0</v>
      </c>
      <c r="I85" s="112">
        <v>0</v>
      </c>
      <c r="J85" s="123"/>
    </row>
    <row r="86" spans="1:10" s="115" customFormat="1" ht="13.8" x14ac:dyDescent="0.25">
      <c r="A86" s="99" t="s">
        <v>232</v>
      </c>
      <c r="B86" s="100"/>
      <c r="C86" s="108">
        <v>0</v>
      </c>
      <c r="D86" s="108">
        <v>0</v>
      </c>
      <c r="E86" s="108">
        <v>0</v>
      </c>
      <c r="F86" s="108">
        <v>0</v>
      </c>
      <c r="G86" s="108">
        <v>0</v>
      </c>
      <c r="H86" s="108">
        <v>0</v>
      </c>
      <c r="I86" s="109">
        <v>0</v>
      </c>
      <c r="J86" s="123"/>
    </row>
    <row r="87" spans="1:10" s="115" customFormat="1" ht="13.8" x14ac:dyDescent="0.25">
      <c r="A87" s="124" t="s">
        <v>233</v>
      </c>
      <c r="B87" s="102"/>
      <c r="C87" s="111">
        <v>0</v>
      </c>
      <c r="D87" s="111">
        <v>0</v>
      </c>
      <c r="E87" s="111">
        <v>0</v>
      </c>
      <c r="F87" s="111">
        <v>0</v>
      </c>
      <c r="G87" s="111">
        <v>0</v>
      </c>
      <c r="H87" s="111">
        <v>0</v>
      </c>
      <c r="I87" s="112">
        <v>0</v>
      </c>
      <c r="J87" s="123"/>
    </row>
    <row r="88" spans="1:10" s="115" customFormat="1" ht="13.8" x14ac:dyDescent="0.25">
      <c r="A88" s="99" t="s">
        <v>234</v>
      </c>
      <c r="B88" s="100"/>
      <c r="C88" s="108">
        <v>0</v>
      </c>
      <c r="D88" s="108">
        <v>0</v>
      </c>
      <c r="E88" s="108">
        <v>0</v>
      </c>
      <c r="F88" s="108">
        <v>0</v>
      </c>
      <c r="G88" s="108">
        <v>0</v>
      </c>
      <c r="H88" s="108">
        <v>0</v>
      </c>
      <c r="I88" s="109">
        <v>0</v>
      </c>
      <c r="J88" s="123"/>
    </row>
    <row r="89" spans="1:10" x14ac:dyDescent="0.4">
      <c r="A89" s="69" t="s">
        <v>235</v>
      </c>
      <c r="B89" s="70"/>
      <c r="C89" s="111">
        <v>13.384899999999996</v>
      </c>
      <c r="D89" s="111">
        <v>13.384899999999996</v>
      </c>
      <c r="E89" s="111">
        <v>13.384899999999996</v>
      </c>
      <c r="F89" s="111">
        <v>13.384899999999996</v>
      </c>
      <c r="G89" s="111">
        <v>13.384899999999996</v>
      </c>
      <c r="H89" s="111">
        <v>13.384899999999996</v>
      </c>
      <c r="I89" s="112">
        <v>13.384899999999996</v>
      </c>
      <c r="J89" s="123"/>
    </row>
    <row r="90" spans="1:10" x14ac:dyDescent="0.4">
      <c r="A90" s="62" t="s">
        <v>12</v>
      </c>
      <c r="B90" s="63"/>
      <c r="C90" s="108">
        <v>0</v>
      </c>
      <c r="D90" s="108">
        <v>0</v>
      </c>
      <c r="E90" s="108">
        <v>0</v>
      </c>
      <c r="F90" s="108">
        <v>0</v>
      </c>
      <c r="G90" s="108">
        <v>0</v>
      </c>
      <c r="H90" s="108">
        <v>0</v>
      </c>
      <c r="I90" s="109">
        <v>0</v>
      </c>
      <c r="J90" s="123"/>
    </row>
    <row r="91" spans="1:10" x14ac:dyDescent="0.4">
      <c r="A91" s="69" t="s">
        <v>236</v>
      </c>
      <c r="B91" s="70"/>
      <c r="C91" s="111">
        <v>7.5347999999999988</v>
      </c>
      <c r="D91" s="111">
        <v>7.5347999999999988</v>
      </c>
      <c r="E91" s="111">
        <v>7.5347999999999988</v>
      </c>
      <c r="F91" s="111">
        <v>7.5347999999999988</v>
      </c>
      <c r="G91" s="111">
        <v>7.5347999999999988</v>
      </c>
      <c r="H91" s="111">
        <v>7.5347999999999988</v>
      </c>
      <c r="I91" s="112">
        <v>7.5347999999999988</v>
      </c>
      <c r="J91" s="123"/>
    </row>
    <row r="92" spans="1:10" s="115" customFormat="1" ht="13.8" x14ac:dyDescent="0.25">
      <c r="A92" s="99" t="s">
        <v>237</v>
      </c>
      <c r="B92" s="100"/>
      <c r="C92" s="108">
        <v>5.7410999999999994</v>
      </c>
      <c r="D92" s="108">
        <v>5.7410999999999994</v>
      </c>
      <c r="E92" s="108">
        <v>5.7410999999999994</v>
      </c>
      <c r="F92" s="108">
        <v>5.7410999999999994</v>
      </c>
      <c r="G92" s="108">
        <v>5.7410999999999994</v>
      </c>
      <c r="H92" s="108">
        <v>5.7410999999999994</v>
      </c>
      <c r="I92" s="109">
        <v>5.7410999999999994</v>
      </c>
      <c r="J92" s="123"/>
    </row>
    <row r="93" spans="1:10" s="115" customFormat="1" ht="13.8" x14ac:dyDescent="0.25">
      <c r="A93" s="125" t="s">
        <v>238</v>
      </c>
      <c r="B93" s="102"/>
      <c r="C93" s="111">
        <v>0</v>
      </c>
      <c r="D93" s="111">
        <v>0</v>
      </c>
      <c r="E93" s="111">
        <v>0</v>
      </c>
      <c r="F93" s="111">
        <v>0</v>
      </c>
      <c r="G93" s="111">
        <v>0</v>
      </c>
      <c r="H93" s="111">
        <v>0</v>
      </c>
      <c r="I93" s="112">
        <v>0</v>
      </c>
      <c r="J93" s="123"/>
    </row>
    <row r="94" spans="1:10" x14ac:dyDescent="0.4">
      <c r="A94" s="99" t="s">
        <v>239</v>
      </c>
      <c r="B94" s="63"/>
      <c r="C94" s="108">
        <v>1.7936999999999999</v>
      </c>
      <c r="D94" s="108">
        <v>1.7936999999999999</v>
      </c>
      <c r="E94" s="108">
        <v>1.7936999999999999</v>
      </c>
      <c r="F94" s="108">
        <v>1.7936999999999999</v>
      </c>
      <c r="G94" s="108">
        <v>1.7936999999999999</v>
      </c>
      <c r="H94" s="108">
        <v>1.7936999999999999</v>
      </c>
      <c r="I94" s="109">
        <v>1.7936999999999999</v>
      </c>
      <c r="J94" s="123"/>
    </row>
    <row r="95" spans="1:10" x14ac:dyDescent="0.4">
      <c r="A95" s="69" t="s">
        <v>241</v>
      </c>
      <c r="B95" s="70"/>
      <c r="C95" s="111">
        <v>0</v>
      </c>
      <c r="D95" s="111">
        <v>0</v>
      </c>
      <c r="E95" s="111">
        <v>0</v>
      </c>
      <c r="F95" s="111">
        <v>0</v>
      </c>
      <c r="G95" s="111">
        <v>0</v>
      </c>
      <c r="H95" s="111">
        <v>0</v>
      </c>
      <c r="I95" s="112">
        <v>0</v>
      </c>
      <c r="J95" s="123"/>
    </row>
    <row r="96" spans="1:10" ht="18" thickBot="1" x14ac:dyDescent="0.45">
      <c r="A96" s="126" t="s">
        <v>186</v>
      </c>
      <c r="B96" s="127"/>
      <c r="C96" s="128">
        <v>55.049199999999985</v>
      </c>
      <c r="D96" s="128">
        <v>55.049199999999985</v>
      </c>
      <c r="E96" s="128">
        <v>55.049199999999985</v>
      </c>
      <c r="F96" s="128">
        <v>55.049199999999985</v>
      </c>
      <c r="G96" s="128">
        <v>55.049199999999985</v>
      </c>
      <c r="H96" s="128">
        <v>55.049199999999985</v>
      </c>
      <c r="I96" s="129">
        <v>55.049199999999985</v>
      </c>
      <c r="J96" s="123"/>
    </row>
    <row r="97" spans="1:10" ht="18" thickBot="1" x14ac:dyDescent="0.45">
      <c r="A97" s="63"/>
      <c r="B97" s="63"/>
      <c r="C97" s="108"/>
      <c r="D97" s="108"/>
      <c r="E97" s="108"/>
      <c r="F97" s="108"/>
      <c r="G97" s="108"/>
      <c r="H97" s="108"/>
    </row>
    <row r="98" spans="1:10" ht="19.2" thickBot="1" x14ac:dyDescent="0.45">
      <c r="A98" s="57" t="s">
        <v>244</v>
      </c>
      <c r="B98" s="58"/>
      <c r="C98" s="59">
        <v>2028</v>
      </c>
      <c r="D98" s="59">
        <v>2030</v>
      </c>
      <c r="E98" s="59">
        <v>2035</v>
      </c>
      <c r="F98" s="59">
        <v>2040</v>
      </c>
      <c r="G98" s="59">
        <v>2045</v>
      </c>
      <c r="H98" s="59">
        <v>2050</v>
      </c>
      <c r="I98" s="60">
        <v>2055</v>
      </c>
      <c r="J98" s="61"/>
    </row>
    <row r="99" spans="1:10" x14ac:dyDescent="0.4">
      <c r="A99" s="99" t="s">
        <v>245</v>
      </c>
      <c r="C99" s="108">
        <v>1.209527566</v>
      </c>
      <c r="D99" s="108">
        <v>1.209527566</v>
      </c>
      <c r="E99" s="108">
        <v>2.5068275660000001</v>
      </c>
      <c r="F99" s="108">
        <v>2.9708275660000001</v>
      </c>
      <c r="G99" s="108">
        <v>8.9365275660000005</v>
      </c>
      <c r="H99" s="108">
        <v>16.436127566</v>
      </c>
      <c r="I99" s="109">
        <v>17.089127565999998</v>
      </c>
      <c r="J99" s="123"/>
    </row>
    <row r="100" spans="1:10" x14ac:dyDescent="0.4">
      <c r="A100" s="101" t="s">
        <v>246</v>
      </c>
      <c r="B100" s="102"/>
      <c r="C100" s="111">
        <v>50.050596336000005</v>
      </c>
      <c r="D100" s="111">
        <v>69.181564836000007</v>
      </c>
      <c r="E100" s="111">
        <v>103.72184704599999</v>
      </c>
      <c r="F100" s="111">
        <v>105.12322589</v>
      </c>
      <c r="G100" s="111">
        <v>122.82260017</v>
      </c>
      <c r="H100" s="111">
        <v>122.86960017</v>
      </c>
      <c r="I100" s="112">
        <v>122.86960017</v>
      </c>
      <c r="J100" s="123"/>
    </row>
    <row r="101" spans="1:10" x14ac:dyDescent="0.4">
      <c r="A101" s="99" t="s">
        <v>247</v>
      </c>
      <c r="C101" s="108">
        <v>0.52172629800000003</v>
      </c>
      <c r="D101" s="108">
        <v>0.99022629800000006</v>
      </c>
      <c r="E101" s="108">
        <v>2.2314262979999997</v>
      </c>
      <c r="F101" s="108">
        <v>2.3954262979999998</v>
      </c>
      <c r="G101" s="108">
        <v>12.825026298000001</v>
      </c>
      <c r="H101" s="108">
        <v>17.292526298000002</v>
      </c>
      <c r="I101" s="109">
        <v>17.292526298000002</v>
      </c>
      <c r="J101" s="123"/>
    </row>
    <row r="102" spans="1:10" x14ac:dyDescent="0.4">
      <c r="A102" s="101" t="s">
        <v>248</v>
      </c>
      <c r="B102" s="102"/>
      <c r="C102" s="111">
        <v>0</v>
      </c>
      <c r="D102" s="111">
        <v>2.6875999999999998</v>
      </c>
      <c r="E102" s="111">
        <v>9.8750999999999998</v>
      </c>
      <c r="F102" s="111">
        <v>14.507700000000002</v>
      </c>
      <c r="G102" s="111">
        <v>28.7256</v>
      </c>
      <c r="H102" s="111">
        <v>48.205199999999998</v>
      </c>
      <c r="I102" s="112">
        <v>65.037999999999997</v>
      </c>
      <c r="J102" s="123"/>
    </row>
    <row r="103" spans="1:10" x14ac:dyDescent="0.4">
      <c r="A103" s="99" t="s">
        <v>249</v>
      </c>
      <c r="C103" s="108">
        <v>10.404089239000001</v>
      </c>
      <c r="D103" s="108">
        <v>11.078312765</v>
      </c>
      <c r="E103" s="108">
        <v>14.889398809000001</v>
      </c>
      <c r="F103" s="108">
        <v>15.959398809</v>
      </c>
      <c r="G103" s="108">
        <v>15.959398809</v>
      </c>
      <c r="H103" s="108">
        <v>18.424998809000002</v>
      </c>
      <c r="I103" s="109">
        <v>18.625267368999999</v>
      </c>
      <c r="J103" s="123"/>
    </row>
    <row r="104" spans="1:10" x14ac:dyDescent="0.4">
      <c r="A104" s="101" t="s">
        <v>250</v>
      </c>
      <c r="B104" s="102"/>
      <c r="C104" s="111">
        <v>0.74535218599999997</v>
      </c>
      <c r="D104" s="111">
        <v>0.74535218599999997</v>
      </c>
      <c r="E104" s="111">
        <v>0.81499999999999995</v>
      </c>
      <c r="F104" s="111">
        <v>0.81499999999999995</v>
      </c>
      <c r="G104" s="111">
        <v>0.81499999999999995</v>
      </c>
      <c r="H104" s="111">
        <v>0.81499999999999995</v>
      </c>
      <c r="I104" s="112">
        <v>0.81499999999999995</v>
      </c>
      <c r="J104" s="123"/>
    </row>
    <row r="105" spans="1:10" x14ac:dyDescent="0.4">
      <c r="A105" s="99" t="s">
        <v>251</v>
      </c>
      <c r="C105" s="108">
        <v>2.9400999999999997</v>
      </c>
      <c r="D105" s="108">
        <v>2.9400999999999997</v>
      </c>
      <c r="E105" s="108">
        <v>2.9520999999999997</v>
      </c>
      <c r="F105" s="108">
        <v>2.9985999999999997</v>
      </c>
      <c r="G105" s="108">
        <v>2.9985999999999997</v>
      </c>
      <c r="H105" s="108">
        <v>2.9985999999999997</v>
      </c>
      <c r="I105" s="109">
        <v>2.9985999999999997</v>
      </c>
      <c r="J105" s="123"/>
    </row>
    <row r="106" spans="1:10" x14ac:dyDescent="0.4">
      <c r="A106" s="102" t="s">
        <v>252</v>
      </c>
      <c r="B106" s="102"/>
      <c r="C106" s="111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2">
        <v>0</v>
      </c>
      <c r="J106" s="123"/>
    </row>
    <row r="107" spans="1:10" x14ac:dyDescent="0.4">
      <c r="A107" s="100" t="s">
        <v>253</v>
      </c>
      <c r="C107" s="108">
        <v>0</v>
      </c>
      <c r="D107" s="108">
        <v>0</v>
      </c>
      <c r="E107" s="108">
        <v>0</v>
      </c>
      <c r="F107" s="108">
        <v>0</v>
      </c>
      <c r="G107" s="108">
        <v>0</v>
      </c>
      <c r="H107" s="108">
        <v>0</v>
      </c>
      <c r="I107" s="109">
        <v>0</v>
      </c>
      <c r="J107" s="110"/>
    </row>
    <row r="108" spans="1:10" x14ac:dyDescent="0.4">
      <c r="A108" s="102" t="s">
        <v>254</v>
      </c>
      <c r="B108" s="102"/>
      <c r="C108" s="111">
        <v>0</v>
      </c>
      <c r="D108" s="111">
        <v>0</v>
      </c>
      <c r="E108" s="111">
        <v>0</v>
      </c>
      <c r="F108" s="111">
        <v>0</v>
      </c>
      <c r="G108" s="111">
        <v>0</v>
      </c>
      <c r="H108" s="111">
        <v>0</v>
      </c>
      <c r="I108" s="112">
        <v>0</v>
      </c>
    </row>
    <row r="109" spans="1:10" x14ac:dyDescent="0.4">
      <c r="A109" s="100" t="s">
        <v>255</v>
      </c>
      <c r="C109" s="113">
        <v>5.5E-2</v>
      </c>
      <c r="D109" s="113">
        <v>5.5E-2</v>
      </c>
      <c r="E109" s="113">
        <v>5.5E-2</v>
      </c>
      <c r="F109" s="113">
        <v>5.5E-2</v>
      </c>
      <c r="G109" s="113">
        <v>5.5E-2</v>
      </c>
      <c r="H109" s="113">
        <v>5.5E-2</v>
      </c>
      <c r="I109" s="114">
        <v>5.5E-2</v>
      </c>
      <c r="J109" s="61"/>
    </row>
    <row r="110" spans="1:10" x14ac:dyDescent="0.4">
      <c r="A110" s="102" t="s">
        <v>256</v>
      </c>
      <c r="B110" s="102"/>
      <c r="C110" s="116">
        <v>6.4000000000000003E-3</v>
      </c>
      <c r="D110" s="116">
        <v>6.4000000000000003E-3</v>
      </c>
      <c r="E110" s="116">
        <v>0.126</v>
      </c>
      <c r="F110" s="116">
        <v>0.126</v>
      </c>
      <c r="G110" s="116">
        <v>0.126</v>
      </c>
      <c r="H110" s="116">
        <v>0.126</v>
      </c>
      <c r="I110" s="117">
        <v>0.126</v>
      </c>
      <c r="J110" s="110"/>
    </row>
    <row r="111" spans="1:10" s="115" customFormat="1" ht="13.8" x14ac:dyDescent="0.25">
      <c r="A111" s="100" t="s">
        <v>257</v>
      </c>
      <c r="B111" s="100"/>
      <c r="C111" s="108">
        <v>0</v>
      </c>
      <c r="D111" s="108">
        <v>0</v>
      </c>
      <c r="E111" s="108">
        <v>0</v>
      </c>
      <c r="F111" s="108">
        <v>0</v>
      </c>
      <c r="G111" s="108">
        <v>0</v>
      </c>
      <c r="H111" s="108">
        <v>0</v>
      </c>
      <c r="I111" s="109">
        <v>0</v>
      </c>
      <c r="J111" s="110"/>
    </row>
    <row r="112" spans="1:10" s="115" customFormat="1" ht="13.8" x14ac:dyDescent="0.25">
      <c r="A112" s="102" t="s">
        <v>258</v>
      </c>
      <c r="B112" s="102"/>
      <c r="C112" s="111">
        <v>0</v>
      </c>
      <c r="D112" s="111">
        <v>0</v>
      </c>
      <c r="E112" s="111">
        <v>0</v>
      </c>
      <c r="F112" s="111">
        <v>0</v>
      </c>
      <c r="G112" s="111">
        <v>0</v>
      </c>
      <c r="H112" s="111">
        <v>0</v>
      </c>
      <c r="I112" s="112">
        <v>0</v>
      </c>
      <c r="J112" s="110"/>
    </row>
    <row r="113" spans="1:10" s="115" customFormat="1" ht="14.4" thickBot="1" x14ac:dyDescent="0.3">
      <c r="A113" s="126" t="s">
        <v>186</v>
      </c>
      <c r="B113" s="127"/>
      <c r="C113" s="132">
        <v>65.932791624999993</v>
      </c>
      <c r="D113" s="132">
        <v>88.894083651000003</v>
      </c>
      <c r="E113" s="132">
        <v>137.17269971900004</v>
      </c>
      <c r="F113" s="132">
        <v>144.95117856299998</v>
      </c>
      <c r="G113" s="132">
        <v>193.26375284300002</v>
      </c>
      <c r="H113" s="132">
        <v>227.223052843</v>
      </c>
      <c r="I113" s="133">
        <v>244.90912140300003</v>
      </c>
      <c r="J113" s="110"/>
    </row>
    <row r="114" spans="1:10" s="115" customFormat="1" ht="18" thickBot="1" x14ac:dyDescent="0.45">
      <c r="A114" s="100"/>
      <c r="B114" s="100"/>
      <c r="C114" s="108"/>
      <c r="D114" s="108"/>
      <c r="E114" s="108"/>
      <c r="F114" s="108"/>
      <c r="G114" s="108"/>
      <c r="H114" s="108"/>
      <c r="I114"/>
      <c r="J114" s="110"/>
    </row>
    <row r="115" spans="1:10" s="115" customFormat="1" ht="18" thickBot="1" x14ac:dyDescent="0.35">
      <c r="A115" s="57" t="s">
        <v>259</v>
      </c>
      <c r="B115" s="58"/>
      <c r="C115" s="59">
        <v>2028</v>
      </c>
      <c r="D115" s="59">
        <v>2030</v>
      </c>
      <c r="E115" s="59">
        <v>2035</v>
      </c>
      <c r="F115" s="59">
        <v>2040</v>
      </c>
      <c r="G115" s="59">
        <v>2045</v>
      </c>
      <c r="H115" s="59">
        <v>2050</v>
      </c>
      <c r="I115" s="60">
        <v>2055</v>
      </c>
      <c r="J115" s="110"/>
    </row>
    <row r="116" spans="1:10" s="115" customFormat="1" ht="13.8" x14ac:dyDescent="0.25">
      <c r="A116" s="62" t="s">
        <v>223</v>
      </c>
      <c r="B116" s="63"/>
      <c r="C116" s="108">
        <v>291.67333946133999</v>
      </c>
      <c r="D116" s="108">
        <v>302.31586745850899</v>
      </c>
      <c r="E116" s="108">
        <v>319.01222201548205</v>
      </c>
      <c r="F116" s="108">
        <v>335.17311011111104</v>
      </c>
      <c r="G116" s="108">
        <v>343.66407909050201</v>
      </c>
      <c r="H116" s="108">
        <v>345.37198050002405</v>
      </c>
      <c r="I116" s="109">
        <v>347.07255238075601</v>
      </c>
      <c r="J116" s="110"/>
    </row>
    <row r="117" spans="1:10" x14ac:dyDescent="0.4">
      <c r="A117" s="69" t="s">
        <v>224</v>
      </c>
      <c r="B117" s="70"/>
      <c r="C117" s="111">
        <v>1271.8986613841384</v>
      </c>
      <c r="D117" s="111">
        <v>1468.7326886515175</v>
      </c>
      <c r="E117" s="111">
        <v>2375.2537077871584</v>
      </c>
      <c r="F117" s="111">
        <v>3403.828461451194</v>
      </c>
      <c r="G117" s="111">
        <v>4492.3579592101478</v>
      </c>
      <c r="H117" s="111">
        <v>4581.9191984315221</v>
      </c>
      <c r="I117" s="112">
        <v>4863.0363164004821</v>
      </c>
      <c r="J117" s="134"/>
    </row>
    <row r="118" spans="1:10" s="115" customFormat="1" ht="13.8" x14ac:dyDescent="0.25">
      <c r="A118" s="99" t="s">
        <v>225</v>
      </c>
      <c r="B118" s="63"/>
      <c r="C118" s="113">
        <v>0.28739272899999996</v>
      </c>
      <c r="D118" s="108">
        <v>0.53014457200000009</v>
      </c>
      <c r="E118" s="108">
        <v>0.53768437499999999</v>
      </c>
      <c r="F118" s="113">
        <v>3.9375863999999997E-2</v>
      </c>
      <c r="G118" s="113">
        <v>2.3502777999999998E-2</v>
      </c>
      <c r="H118" s="113">
        <v>0.25564614200000002</v>
      </c>
      <c r="I118" s="114">
        <v>0.475215006</v>
      </c>
      <c r="J118" s="110"/>
    </row>
    <row r="119" spans="1:10" s="115" customFormat="1" ht="13.8" x14ac:dyDescent="0.25">
      <c r="A119" s="101" t="s">
        <v>260</v>
      </c>
      <c r="B119" s="70"/>
      <c r="C119" s="111">
        <v>0</v>
      </c>
      <c r="D119" s="111">
        <v>0</v>
      </c>
      <c r="E119" s="111">
        <v>0</v>
      </c>
      <c r="F119" s="111">
        <v>0</v>
      </c>
      <c r="G119" s="111">
        <v>0</v>
      </c>
      <c r="H119" s="111">
        <v>0</v>
      </c>
      <c r="I119" s="112">
        <v>0</v>
      </c>
      <c r="J119" s="110"/>
    </row>
    <row r="120" spans="1:10" s="115" customFormat="1" ht="13.8" x14ac:dyDescent="0.25">
      <c r="A120" s="99" t="s">
        <v>226</v>
      </c>
      <c r="B120" s="100"/>
      <c r="C120" s="108">
        <v>21.270248706395002</v>
      </c>
      <c r="D120" s="108">
        <v>21.270248708202001</v>
      </c>
      <c r="E120" s="108">
        <v>21.270248708419</v>
      </c>
      <c r="F120" s="108">
        <v>21.270248704061</v>
      </c>
      <c r="G120" s="108">
        <v>21.798873821319003</v>
      </c>
      <c r="H120" s="108">
        <v>21.798353205931999</v>
      </c>
      <c r="I120" s="109">
        <v>21.798092897330999</v>
      </c>
      <c r="J120" s="110"/>
    </row>
    <row r="121" spans="1:10" x14ac:dyDescent="0.4">
      <c r="A121" s="101" t="s">
        <v>227</v>
      </c>
      <c r="B121" s="102"/>
      <c r="C121" s="111">
        <v>21.327046258504883</v>
      </c>
      <c r="D121" s="111">
        <v>21.383507349262999</v>
      </c>
      <c r="E121" s="111">
        <v>20.343612209911001</v>
      </c>
      <c r="F121" s="111">
        <v>19.193195760666001</v>
      </c>
      <c r="G121" s="111">
        <v>17.903499468094001</v>
      </c>
      <c r="H121" s="111">
        <v>28.914379823682999</v>
      </c>
      <c r="I121" s="112">
        <v>34.698936355409003</v>
      </c>
      <c r="J121" s="110"/>
    </row>
    <row r="122" spans="1:10" x14ac:dyDescent="0.4">
      <c r="A122" s="99" t="s">
        <v>228</v>
      </c>
      <c r="C122" s="108">
        <v>408.36598957995676</v>
      </c>
      <c r="D122" s="108">
        <v>415.44961452687278</v>
      </c>
      <c r="E122" s="108">
        <v>720.13663913089374</v>
      </c>
      <c r="F122" s="108">
        <v>875.91450676531781</v>
      </c>
      <c r="G122" s="108">
        <v>1312.5386034896985</v>
      </c>
      <c r="H122" s="108">
        <v>1368.6734482915715</v>
      </c>
      <c r="I122" s="109">
        <v>1458.4232032122857</v>
      </c>
      <c r="J122" s="110"/>
    </row>
    <row r="123" spans="1:10" x14ac:dyDescent="0.4">
      <c r="A123" s="101" t="s">
        <v>229</v>
      </c>
      <c r="B123" s="102"/>
      <c r="C123" s="111">
        <v>820.64798411028175</v>
      </c>
      <c r="D123" s="111">
        <v>1010.0991734951797</v>
      </c>
      <c r="E123" s="111">
        <v>1612.9655233629344</v>
      </c>
      <c r="F123" s="111">
        <v>2487.411134357149</v>
      </c>
      <c r="G123" s="111">
        <v>3140.0934796530364</v>
      </c>
      <c r="H123" s="111">
        <v>3162.2773709683361</v>
      </c>
      <c r="I123" s="112">
        <v>3347.6408689294562</v>
      </c>
      <c r="J123" s="110"/>
    </row>
    <row r="124" spans="1:10" x14ac:dyDescent="0.4">
      <c r="A124" s="99" t="s">
        <v>230</v>
      </c>
      <c r="C124" s="108">
        <v>120.99026258056699</v>
      </c>
      <c r="D124" s="108">
        <v>137.51392995872101</v>
      </c>
      <c r="E124" s="108">
        <v>180.13509480935801</v>
      </c>
      <c r="F124" s="108">
        <v>226.38997297282901</v>
      </c>
      <c r="G124" s="108">
        <v>277.27756392128401</v>
      </c>
      <c r="H124" s="108">
        <v>334.73756764006998</v>
      </c>
      <c r="I124" s="109">
        <v>409.667215775378</v>
      </c>
      <c r="J124" s="110"/>
    </row>
    <row r="125" spans="1:10" s="115" customFormat="1" ht="13.8" x14ac:dyDescent="0.25">
      <c r="A125" s="69" t="s">
        <v>231</v>
      </c>
      <c r="B125" s="102"/>
      <c r="C125" s="111">
        <v>399.51193267227791</v>
      </c>
      <c r="D125" s="111">
        <v>323.55535531107</v>
      </c>
      <c r="E125" s="111">
        <v>137.11815597321402</v>
      </c>
      <c r="F125" s="111">
        <v>127.75358727706802</v>
      </c>
      <c r="G125" s="111">
        <v>4.1951256060990003</v>
      </c>
      <c r="H125" s="111">
        <v>5.1043248669930001</v>
      </c>
      <c r="I125" s="112">
        <v>5.1610272245309998</v>
      </c>
      <c r="J125" s="110"/>
    </row>
    <row r="126" spans="1:10" s="115" customFormat="1" ht="13.8" x14ac:dyDescent="0.25">
      <c r="A126" s="99" t="s">
        <v>261</v>
      </c>
      <c r="B126" s="100"/>
      <c r="C126" s="108">
        <v>399.09985524013592</v>
      </c>
      <c r="D126" s="108">
        <v>316.44100972059005</v>
      </c>
      <c r="E126" s="108">
        <v>4.5582211337739995</v>
      </c>
      <c r="F126" s="113">
        <v>0.214402394844</v>
      </c>
      <c r="G126" s="113">
        <v>0.170105172931</v>
      </c>
      <c r="H126" s="113">
        <v>0.41740152300900002</v>
      </c>
      <c r="I126" s="114">
        <v>0.47410388054700003</v>
      </c>
      <c r="J126" s="110"/>
    </row>
    <row r="127" spans="1:10" x14ac:dyDescent="0.4">
      <c r="A127" s="101" t="s">
        <v>233</v>
      </c>
      <c r="B127" s="102"/>
      <c r="C127" s="116">
        <v>0.41207743214200004</v>
      </c>
      <c r="D127" s="116">
        <v>0.46532696097600001</v>
      </c>
      <c r="E127" s="111">
        <v>0</v>
      </c>
      <c r="F127" s="111">
        <v>0</v>
      </c>
      <c r="G127" s="111">
        <v>0</v>
      </c>
      <c r="H127" s="111">
        <v>0</v>
      </c>
      <c r="I127" s="112">
        <v>0</v>
      </c>
      <c r="J127" s="110"/>
    </row>
    <row r="128" spans="1:10" x14ac:dyDescent="0.4">
      <c r="A128" s="99" t="s">
        <v>234</v>
      </c>
      <c r="C128" s="108">
        <v>0</v>
      </c>
      <c r="D128" s="108">
        <v>6.649018629503999</v>
      </c>
      <c r="E128" s="108">
        <v>132.55993483944002</v>
      </c>
      <c r="F128" s="108">
        <v>127.53918488222402</v>
      </c>
      <c r="G128" s="108">
        <v>4.0250204331680006</v>
      </c>
      <c r="H128" s="108">
        <v>4.6869233439839997</v>
      </c>
      <c r="I128" s="109">
        <v>4.6869233439839997</v>
      </c>
      <c r="J128" s="110"/>
    </row>
    <row r="129" spans="1:10" x14ac:dyDescent="0.4">
      <c r="A129" s="69" t="s">
        <v>235</v>
      </c>
      <c r="B129" s="102"/>
      <c r="C129" s="111">
        <v>50.203349708674999</v>
      </c>
      <c r="D129" s="111">
        <v>62.744056198719996</v>
      </c>
      <c r="E129" s="111">
        <v>155.41133844405397</v>
      </c>
      <c r="F129" s="111">
        <v>194.20591584810802</v>
      </c>
      <c r="G129" s="111">
        <v>300.49364329747294</v>
      </c>
      <c r="H129" s="111">
        <v>306.82151024175596</v>
      </c>
      <c r="I129" s="112">
        <v>311.35265124965503</v>
      </c>
      <c r="J129" s="110"/>
    </row>
    <row r="130" spans="1:10" x14ac:dyDescent="0.4">
      <c r="A130" s="62" t="s">
        <v>12</v>
      </c>
      <c r="C130" s="108">
        <v>751.09526320442399</v>
      </c>
      <c r="D130" s="108">
        <v>729.11164985160008</v>
      </c>
      <c r="E130" s="108">
        <v>668.39798148190494</v>
      </c>
      <c r="F130" s="108">
        <v>616.04710359672401</v>
      </c>
      <c r="G130" s="108">
        <v>471.23690202376702</v>
      </c>
      <c r="H130" s="108">
        <v>354.983111805889</v>
      </c>
      <c r="I130" s="109">
        <v>219.25433755821999</v>
      </c>
      <c r="J130" s="110"/>
    </row>
    <row r="131" spans="1:10" x14ac:dyDescent="0.4">
      <c r="A131" s="69" t="s">
        <v>236</v>
      </c>
      <c r="B131" s="102"/>
      <c r="C131" s="111">
        <v>1627.590648011841</v>
      </c>
      <c r="D131" s="111">
        <v>1668.911707544501</v>
      </c>
      <c r="E131" s="111">
        <v>1510.8538041252218</v>
      </c>
      <c r="F131" s="111">
        <v>1012.580562219221</v>
      </c>
      <c r="G131" s="111">
        <v>681.79632823737086</v>
      </c>
      <c r="H131" s="111">
        <v>985.39413674079287</v>
      </c>
      <c r="I131" s="112">
        <v>1142.4145580949159</v>
      </c>
      <c r="J131" s="110"/>
    </row>
    <row r="132" spans="1:10" x14ac:dyDescent="0.4">
      <c r="A132" s="99" t="s">
        <v>237</v>
      </c>
      <c r="C132" s="108">
        <v>1589.14493803562</v>
      </c>
      <c r="D132" s="108">
        <v>1633.1518017723151</v>
      </c>
      <c r="E132" s="108">
        <v>1452.6196858528338</v>
      </c>
      <c r="F132" s="108">
        <v>969.33752326568197</v>
      </c>
      <c r="G132" s="108">
        <v>645.12692988158483</v>
      </c>
      <c r="H132" s="108">
        <v>926.36564786264796</v>
      </c>
      <c r="I132" s="109">
        <v>1060.4055484272631</v>
      </c>
    </row>
    <row r="133" spans="1:10" x14ac:dyDescent="0.4">
      <c r="A133" s="101" t="s">
        <v>238</v>
      </c>
      <c r="B133" s="102"/>
      <c r="C133" s="111">
        <v>0</v>
      </c>
      <c r="D133" s="111">
        <v>0</v>
      </c>
      <c r="E133" s="111">
        <v>6.865664816112</v>
      </c>
      <c r="F133" s="111">
        <v>6.865664816112</v>
      </c>
      <c r="G133" s="111">
        <v>5.1658821597699998</v>
      </c>
      <c r="H133" s="111">
        <v>5.8468533701859995</v>
      </c>
      <c r="I133" s="112">
        <v>5.902084321217</v>
      </c>
      <c r="J133" s="61"/>
    </row>
    <row r="134" spans="1:10" x14ac:dyDescent="0.4">
      <c r="A134" s="99" t="s">
        <v>239</v>
      </c>
      <c r="C134" s="108">
        <v>38.445709976220996</v>
      </c>
      <c r="D134" s="108">
        <v>35.759905772186002</v>
      </c>
      <c r="E134" s="108">
        <v>51.368453456276001</v>
      </c>
      <c r="F134" s="108">
        <v>36.377374137427005</v>
      </c>
      <c r="G134" s="108">
        <v>31.503516196015998</v>
      </c>
      <c r="H134" s="108">
        <v>53.181635507958994</v>
      </c>
      <c r="I134" s="109">
        <v>76.106925346436</v>
      </c>
      <c r="J134" s="110"/>
    </row>
    <row r="135" spans="1:10" x14ac:dyDescent="0.4">
      <c r="A135" s="69" t="s">
        <v>240</v>
      </c>
      <c r="B135" s="102"/>
      <c r="C135" s="111">
        <v>27.116287371903997</v>
      </c>
      <c r="D135" s="111">
        <v>25.766633653712201</v>
      </c>
      <c r="E135" s="111">
        <v>11.163161989344001</v>
      </c>
      <c r="F135" s="111">
        <v>6.9011837723519998</v>
      </c>
      <c r="G135" s="111">
        <v>6.1003081773500005</v>
      </c>
      <c r="H135" s="111">
        <v>6.0679660475010007</v>
      </c>
      <c r="I135" s="112">
        <v>6.0955980221239994</v>
      </c>
      <c r="J135" s="110"/>
    </row>
    <row r="136" spans="1:10" x14ac:dyDescent="0.4">
      <c r="A136" s="62" t="s">
        <v>241</v>
      </c>
      <c r="C136" s="108">
        <v>30.927832450214201</v>
      </c>
      <c r="D136" s="108">
        <v>30.824313137773899</v>
      </c>
      <c r="E136" s="108">
        <v>30.718740420106002</v>
      </c>
      <c r="F136" s="108">
        <v>28.844884721614999</v>
      </c>
      <c r="G136" s="108">
        <v>27.757567377906998</v>
      </c>
      <c r="H136" s="108">
        <v>27.88471016766</v>
      </c>
      <c r="I136" s="109">
        <v>28.188635185612998</v>
      </c>
      <c r="J136" s="110"/>
    </row>
    <row r="137" spans="1:10" ht="18" thickBot="1" x14ac:dyDescent="0.45">
      <c r="A137" s="135" t="s">
        <v>186</v>
      </c>
      <c r="B137" s="136"/>
      <c r="C137" s="137">
        <v>4450.0173142648146</v>
      </c>
      <c r="D137" s="137">
        <v>4611.9622718074033</v>
      </c>
      <c r="E137" s="137">
        <v>5207.9291122364848</v>
      </c>
      <c r="F137" s="137">
        <v>5725.3348089973933</v>
      </c>
      <c r="G137" s="137">
        <v>6327.6019130206168</v>
      </c>
      <c r="H137" s="137">
        <v>6613.5469388021384</v>
      </c>
      <c r="I137" s="138">
        <v>6922.5756761162966</v>
      </c>
      <c r="J137" s="110"/>
    </row>
    <row r="138" spans="1:10" ht="18.600000000000001" thickTop="1" thickBot="1" x14ac:dyDescent="0.45">
      <c r="A138" s="63"/>
      <c r="B138" s="63"/>
      <c r="C138" s="108"/>
      <c r="D138" s="108"/>
      <c r="E138" s="108"/>
      <c r="F138" s="108"/>
      <c r="G138" s="108"/>
      <c r="H138" s="108"/>
      <c r="J138" s="110"/>
    </row>
    <row r="139" spans="1:10" ht="19.2" thickBot="1" x14ac:dyDescent="0.45">
      <c r="A139" s="57" t="s">
        <v>262</v>
      </c>
      <c r="B139" s="58"/>
      <c r="C139" s="59">
        <v>2028</v>
      </c>
      <c r="D139" s="59">
        <v>2030</v>
      </c>
      <c r="E139" s="59">
        <v>2035</v>
      </c>
      <c r="F139" s="59">
        <v>2040</v>
      </c>
      <c r="G139" s="59">
        <v>2045</v>
      </c>
      <c r="H139" s="59">
        <v>2050</v>
      </c>
      <c r="I139" s="60">
        <v>2055</v>
      </c>
      <c r="J139" s="110"/>
    </row>
    <row r="140" spans="1:10" x14ac:dyDescent="0.4">
      <c r="A140" s="62" t="s">
        <v>263</v>
      </c>
      <c r="B140" s="63"/>
      <c r="C140" s="108">
        <v>76.999999911378211</v>
      </c>
      <c r="D140" s="108">
        <v>69.320000028645808</v>
      </c>
      <c r="E140" s="108">
        <v>66.229999941885339</v>
      </c>
      <c r="F140" s="108">
        <v>72.330000030404136</v>
      </c>
      <c r="G140" s="108">
        <v>69.829999951448883</v>
      </c>
      <c r="H140" s="108">
        <v>71.350000057705586</v>
      </c>
      <c r="I140" s="109">
        <v>70.780000008797117</v>
      </c>
      <c r="J140" s="110"/>
    </row>
    <row r="141" spans="1:10" x14ac:dyDescent="0.4">
      <c r="A141" s="101" t="s">
        <v>264</v>
      </c>
      <c r="B141" s="102"/>
      <c r="C141" s="111"/>
      <c r="D141" s="111"/>
      <c r="E141" s="111"/>
      <c r="F141" s="111"/>
      <c r="G141" s="111"/>
      <c r="H141" s="111"/>
      <c r="I141" s="112"/>
      <c r="J141" s="110"/>
    </row>
    <row r="142" spans="1:10" x14ac:dyDescent="0.4">
      <c r="A142" s="99" t="s">
        <v>265</v>
      </c>
      <c r="C142" s="108">
        <v>29.145251707615333</v>
      </c>
      <c r="D142" s="108">
        <v>31.767572196926764</v>
      </c>
      <c r="E142" s="108">
        <v>18.949827893187592</v>
      </c>
      <c r="F142" s="108">
        <v>18.88265690426935</v>
      </c>
      <c r="G142" s="108"/>
      <c r="H142" s="108"/>
      <c r="I142" s="109"/>
      <c r="J142" s="110"/>
    </row>
    <row r="143" spans="1:10" x14ac:dyDescent="0.4">
      <c r="A143" s="101" t="s">
        <v>266</v>
      </c>
      <c r="B143" s="102"/>
      <c r="C143" s="116">
        <v>0.169931388621022</v>
      </c>
      <c r="D143" s="116">
        <v>0.28574276759884298</v>
      </c>
      <c r="E143" s="116">
        <v>2.5662487945998101E-3</v>
      </c>
      <c r="F143" s="111"/>
      <c r="G143" s="111"/>
      <c r="H143" s="111"/>
      <c r="I143" s="112"/>
      <c r="J143" s="110"/>
    </row>
    <row r="144" spans="1:10" x14ac:dyDescent="0.4">
      <c r="A144" s="99" t="s">
        <v>267</v>
      </c>
      <c r="C144" s="108">
        <v>32.529949299780881</v>
      </c>
      <c r="D144" s="108">
        <v>32.335263046613214</v>
      </c>
      <c r="E144" s="108">
        <v>25.094811231531203</v>
      </c>
      <c r="F144" s="108">
        <v>25.052311330253879</v>
      </c>
      <c r="G144" s="108">
        <v>0.68421883523183102</v>
      </c>
      <c r="H144" s="108">
        <v>1.3092278998876901</v>
      </c>
      <c r="I144" s="109">
        <v>1.3092278998876901</v>
      </c>
      <c r="J144" s="110"/>
    </row>
    <row r="145" spans="1:10" x14ac:dyDescent="0.4">
      <c r="A145" s="101" t="s">
        <v>268</v>
      </c>
      <c r="B145" s="102"/>
      <c r="C145" s="111">
        <v>7.270194104477615</v>
      </c>
      <c r="D145" s="111">
        <v>7.145738059701495</v>
      </c>
      <c r="E145" s="111">
        <v>3.173180746268657</v>
      </c>
      <c r="F145" s="111">
        <v>3.173180746268657</v>
      </c>
      <c r="G145" s="111"/>
      <c r="H145" s="111"/>
      <c r="I145" s="112"/>
      <c r="J145" s="110"/>
    </row>
    <row r="146" spans="1:10" x14ac:dyDescent="0.4">
      <c r="A146" s="99" t="s">
        <v>269</v>
      </c>
      <c r="C146" s="108">
        <v>144.02363344409468</v>
      </c>
      <c r="D146" s="108">
        <v>104.27844262885182</v>
      </c>
      <c r="E146" s="108">
        <v>63.729267082869832</v>
      </c>
      <c r="F146" s="108">
        <v>56.2509306047561</v>
      </c>
      <c r="G146" s="108">
        <v>2.9731878805961354</v>
      </c>
      <c r="H146" s="108">
        <v>3.1986121043168865</v>
      </c>
      <c r="I146" s="109">
        <v>3.2371733388603703</v>
      </c>
      <c r="J146" s="110"/>
    </row>
    <row r="147" spans="1:10" x14ac:dyDescent="0.4">
      <c r="A147" s="101" t="s">
        <v>270</v>
      </c>
      <c r="B147" s="102"/>
      <c r="C147" s="111">
        <v>76.999999911378211</v>
      </c>
      <c r="D147" s="111">
        <v>69.320000028645808</v>
      </c>
      <c r="E147" s="111">
        <v>66.229999941885339</v>
      </c>
      <c r="F147" s="111">
        <v>72.330000030404136</v>
      </c>
      <c r="G147" s="111">
        <v>69.829999951448883</v>
      </c>
      <c r="H147" s="111">
        <v>71.350000057705586</v>
      </c>
      <c r="I147" s="112">
        <v>70.780000008797117</v>
      </c>
      <c r="J147" s="110"/>
    </row>
    <row r="148" spans="1:10" x14ac:dyDescent="0.4">
      <c r="A148" s="99" t="s">
        <v>265</v>
      </c>
      <c r="C148" s="108">
        <v>5.2599999715558328</v>
      </c>
      <c r="D148" s="108">
        <v>5.1099999898507473</v>
      </c>
      <c r="E148" s="108">
        <v>4.6899999400649612</v>
      </c>
      <c r="F148" s="108">
        <v>4.1299999970690191</v>
      </c>
      <c r="G148" s="108">
        <v>3.6299999850726783</v>
      </c>
      <c r="H148" s="108">
        <v>3.3700000473159437</v>
      </c>
      <c r="I148" s="109">
        <v>3.3700000300816031</v>
      </c>
      <c r="J148" s="110"/>
    </row>
    <row r="149" spans="1:10" x14ac:dyDescent="0.4">
      <c r="A149" s="101" t="s">
        <v>267</v>
      </c>
      <c r="B149" s="102"/>
      <c r="C149" s="111">
        <v>21.04999999191336</v>
      </c>
      <c r="D149" s="111">
        <v>17.290000007645869</v>
      </c>
      <c r="E149" s="111">
        <v>14.95000000171521</v>
      </c>
      <c r="F149" s="111">
        <v>28.210000001558704</v>
      </c>
      <c r="G149" s="111">
        <v>29.469999981028806</v>
      </c>
      <c r="H149" s="111">
        <v>28.96999998818827</v>
      </c>
      <c r="I149" s="112">
        <v>28.399999969480923</v>
      </c>
      <c r="J149" s="76"/>
    </row>
    <row r="150" spans="1:10" x14ac:dyDescent="0.4">
      <c r="A150" s="99" t="s">
        <v>269</v>
      </c>
      <c r="C150" s="108">
        <v>50.689999947909016</v>
      </c>
      <c r="D150" s="108">
        <v>46.920000031149186</v>
      </c>
      <c r="E150" s="108">
        <v>46.590000000105164</v>
      </c>
      <c r="F150" s="108">
        <v>39.990000031776418</v>
      </c>
      <c r="G150" s="108">
        <v>36.729999985347391</v>
      </c>
      <c r="H150" s="108">
        <v>39.010000022201382</v>
      </c>
      <c r="I150" s="109">
        <v>39.010000009234588</v>
      </c>
    </row>
    <row r="151" spans="1:10" x14ac:dyDescent="0.4">
      <c r="A151" s="69" t="s">
        <v>271</v>
      </c>
      <c r="B151" s="70"/>
      <c r="C151" s="111">
        <v>211.50577837857361</v>
      </c>
      <c r="D151" s="111">
        <v>170.91494425537525</v>
      </c>
      <c r="E151" s="111">
        <v>108.44167430253707</v>
      </c>
      <c r="F151" s="111">
        <v>100.85110068543318</v>
      </c>
      <c r="G151" s="111">
        <v>4.3217482542895045</v>
      </c>
      <c r="H151" s="111">
        <v>5.1730418503584232</v>
      </c>
      <c r="I151" s="112">
        <v>5.2116030849019062</v>
      </c>
    </row>
    <row r="152" spans="1:10" x14ac:dyDescent="0.4">
      <c r="A152" s="99" t="s">
        <v>272</v>
      </c>
      <c r="C152" s="108">
        <v>56.895655492358586</v>
      </c>
      <c r="D152" s="108">
        <v>53.373882635398758</v>
      </c>
      <c r="E152" s="108">
        <v>30.766368355108355</v>
      </c>
      <c r="F152" s="108">
        <v>30.663889075728541</v>
      </c>
      <c r="G152" s="108"/>
      <c r="H152" s="108"/>
      <c r="I152" s="109"/>
    </row>
    <row r="153" spans="1:10" x14ac:dyDescent="0.4">
      <c r="A153" s="101" t="s">
        <v>273</v>
      </c>
      <c r="B153" s="102"/>
      <c r="C153" s="111">
        <v>125.42056257323391</v>
      </c>
      <c r="D153" s="111">
        <v>88.735757673737069</v>
      </c>
      <c r="E153" s="111">
        <v>47.897913412172599</v>
      </c>
      <c r="F153" s="111">
        <v>40.420048325363219</v>
      </c>
      <c r="G153" s="111">
        <v>2.2800658398660874</v>
      </c>
      <c r="H153" s="111">
        <v>2.4819959010191366</v>
      </c>
      <c r="I153" s="112">
        <v>2.5205571355626204</v>
      </c>
    </row>
    <row r="154" spans="1:10" x14ac:dyDescent="0.4">
      <c r="A154" s="99" t="s">
        <v>274</v>
      </c>
      <c r="C154" s="108">
        <v>29.189560312981119</v>
      </c>
      <c r="D154" s="108">
        <v>28.805303946239416</v>
      </c>
      <c r="E154" s="108">
        <v>29.777392535256116</v>
      </c>
      <c r="F154" s="108">
        <v>29.767163284341429</v>
      </c>
      <c r="G154" s="108">
        <v>2.0416824144234171</v>
      </c>
      <c r="H154" s="108">
        <v>2.6910459493392862</v>
      </c>
      <c r="I154" s="109">
        <v>2.6910459493392862</v>
      </c>
    </row>
    <row r="155" spans="1:10" x14ac:dyDescent="0.4">
      <c r="A155" s="101"/>
      <c r="B155" s="102"/>
      <c r="C155" s="111"/>
      <c r="D155" s="111"/>
      <c r="E155" s="111"/>
      <c r="F155" s="111"/>
      <c r="G155" s="111"/>
      <c r="H155" s="111"/>
      <c r="I155" s="112"/>
    </row>
    <row r="156" spans="1:10" ht="18" thickBot="1" x14ac:dyDescent="0.45">
      <c r="A156" s="80" t="s">
        <v>275</v>
      </c>
      <c r="B156" s="81"/>
      <c r="C156" s="139">
        <v>11.440511629588492</v>
      </c>
      <c r="D156" s="139">
        <v>11.705009046595659</v>
      </c>
      <c r="E156" s="139">
        <v>10.577682743720969</v>
      </c>
      <c r="F156" s="139">
        <v>7.04401741974924</v>
      </c>
      <c r="G156" s="139">
        <v>4.7326067684398936</v>
      </c>
      <c r="H156" s="139">
        <v>6.7884203039815123</v>
      </c>
      <c r="I156" s="140">
        <v>7.8382324901165461</v>
      </c>
    </row>
    <row r="157" spans="1:10" x14ac:dyDescent="0.4">
      <c r="C157" s="74"/>
      <c r="D157" s="74"/>
      <c r="E157" s="74"/>
      <c r="F157" s="74"/>
      <c r="G157" s="74"/>
      <c r="H157" s="74"/>
      <c r="I157" s="74"/>
    </row>
    <row r="158" spans="1:10" x14ac:dyDescent="0.4">
      <c r="A158" s="100" t="s">
        <v>276</v>
      </c>
    </row>
  </sheetData>
  <mergeCells count="5">
    <mergeCell ref="A2:G2"/>
    <mergeCell ref="K3:N3"/>
    <mergeCell ref="A4:G4"/>
    <mergeCell ref="B5:E5"/>
    <mergeCell ref="A7:G7"/>
  </mergeCells>
  <phoneticPr fontId="35" type="noConversion"/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F25"/>
  <sheetViews>
    <sheetView tabSelected="1" workbookViewId="0">
      <selection activeCell="U18" sqref="U18"/>
    </sheetView>
  </sheetViews>
  <sheetFormatPr defaultRowHeight="17.399999999999999" x14ac:dyDescent="0.4"/>
  <cols>
    <col min="1" max="1" width="29.296875" customWidth="1"/>
    <col min="7" max="7" width="9.59765625" bestFit="1" customWidth="1"/>
    <col min="10" max="10" width="9.296875" bestFit="1" customWidth="1"/>
    <col min="11" max="12" width="12.59765625" bestFit="1" customWidth="1"/>
    <col min="13" max="17" width="13.69921875" bestFit="1" customWidth="1"/>
    <col min="18" max="27" width="10.59765625" bestFit="1" customWidth="1"/>
    <col min="28" max="28" width="12.59765625" bestFit="1" customWidth="1"/>
    <col min="29" max="32" width="10.59765625" bestFit="1" customWidth="1"/>
  </cols>
  <sheetData>
    <row r="1" spans="1:32" x14ac:dyDescent="0.4">
      <c r="A1" t="s">
        <v>194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">
      <c r="A2" s="47" t="s">
        <v>26</v>
      </c>
      <c r="B2" s="47">
        <v>0</v>
      </c>
      <c r="C2" s="47">
        <v>0</v>
      </c>
      <c r="D2" s="47">
        <v>0</v>
      </c>
      <c r="E2" s="47">
        <v>0</v>
      </c>
      <c r="F2" s="47">
        <v>0</v>
      </c>
      <c r="G2" s="47">
        <v>0</v>
      </c>
      <c r="H2" s="47">
        <v>0</v>
      </c>
      <c r="I2" s="47">
        <v>0</v>
      </c>
      <c r="J2" s="47">
        <v>0</v>
      </c>
      <c r="K2" s="47">
        <v>0</v>
      </c>
      <c r="L2" s="47">
        <v>0</v>
      </c>
      <c r="M2" s="47">
        <v>0</v>
      </c>
      <c r="N2" s="47">
        <v>0</v>
      </c>
      <c r="O2" s="47">
        <v>0</v>
      </c>
      <c r="P2" s="47">
        <v>0</v>
      </c>
      <c r="Q2" s="47">
        <v>0</v>
      </c>
      <c r="R2" s="47">
        <v>0</v>
      </c>
      <c r="S2" s="47">
        <v>0</v>
      </c>
      <c r="T2" s="47">
        <v>0</v>
      </c>
      <c r="U2" s="47">
        <v>0</v>
      </c>
      <c r="V2" s="47">
        <v>0</v>
      </c>
      <c r="W2" s="47">
        <v>0</v>
      </c>
      <c r="X2" s="47">
        <v>0</v>
      </c>
      <c r="Y2" s="47">
        <v>0</v>
      </c>
      <c r="Z2" s="47">
        <v>0</v>
      </c>
      <c r="AA2" s="47">
        <v>0</v>
      </c>
      <c r="AB2" s="47">
        <v>0</v>
      </c>
      <c r="AC2" s="47">
        <v>0</v>
      </c>
      <c r="AD2" s="47">
        <v>0</v>
      </c>
      <c r="AE2" s="47">
        <v>0</v>
      </c>
      <c r="AF2" s="47">
        <v>0</v>
      </c>
    </row>
    <row r="3" spans="1:32" x14ac:dyDescent="0.4">
      <c r="A3" s="47" t="s">
        <v>31</v>
      </c>
      <c r="B3" s="47">
        <v>0</v>
      </c>
      <c r="C3" s="47">
        <v>0</v>
      </c>
      <c r="D3" s="47">
        <v>0</v>
      </c>
      <c r="E3" s="47">
        <v>0</v>
      </c>
      <c r="F3" s="47">
        <v>0</v>
      </c>
      <c r="G3" s="47">
        <v>0</v>
      </c>
      <c r="H3" s="47">
        <v>0</v>
      </c>
      <c r="I3" s="47">
        <v>0</v>
      </c>
      <c r="J3" s="47">
        <v>0</v>
      </c>
      <c r="K3" s="47">
        <v>0</v>
      </c>
      <c r="L3" s="47">
        <v>0</v>
      </c>
      <c r="M3" s="47">
        <v>0</v>
      </c>
      <c r="N3" s="47">
        <v>0</v>
      </c>
      <c r="O3" s="47">
        <v>0</v>
      </c>
      <c r="P3" s="47">
        <v>0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47">
        <v>0</v>
      </c>
      <c r="Z3" s="47">
        <v>0</v>
      </c>
      <c r="AA3" s="47">
        <v>0</v>
      </c>
      <c r="AB3" s="47">
        <v>0</v>
      </c>
      <c r="AC3" s="47">
        <v>0</v>
      </c>
      <c r="AD3" s="47">
        <v>0</v>
      </c>
      <c r="AE3" s="47">
        <v>0</v>
      </c>
      <c r="AF3" s="47">
        <v>0</v>
      </c>
    </row>
    <row r="4" spans="1:32" x14ac:dyDescent="0.4">
      <c r="A4" s="47" t="s">
        <v>25</v>
      </c>
      <c r="B4" s="47">
        <v>0</v>
      </c>
      <c r="C4" s="47">
        <v>0</v>
      </c>
      <c r="D4" s="47">
        <v>0</v>
      </c>
      <c r="E4" s="47">
        <v>0</v>
      </c>
      <c r="F4" s="47">
        <v>0</v>
      </c>
      <c r="G4" s="47">
        <v>0</v>
      </c>
      <c r="H4" s="47">
        <v>0</v>
      </c>
      <c r="I4" s="47">
        <v>0</v>
      </c>
      <c r="J4" s="47">
        <v>0</v>
      </c>
      <c r="K4" s="47">
        <v>0</v>
      </c>
      <c r="L4" s="47">
        <v>0</v>
      </c>
      <c r="M4" s="47">
        <v>0</v>
      </c>
      <c r="N4" s="47">
        <v>0</v>
      </c>
      <c r="O4" s="47">
        <v>0</v>
      </c>
      <c r="P4" s="47">
        <v>0</v>
      </c>
      <c r="Q4" s="47">
        <v>0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</row>
    <row r="5" spans="1:32" x14ac:dyDescent="0.4">
      <c r="A5" s="47" t="s">
        <v>38</v>
      </c>
      <c r="B5" s="47">
        <v>0</v>
      </c>
      <c r="C5" s="47">
        <v>0</v>
      </c>
      <c r="D5" s="47">
        <v>0</v>
      </c>
      <c r="E5" s="47">
        <v>0</v>
      </c>
      <c r="F5" s="47">
        <v>0</v>
      </c>
      <c r="G5" s="47">
        <v>0</v>
      </c>
      <c r="H5" s="47">
        <v>0</v>
      </c>
      <c r="I5" s="47">
        <v>0</v>
      </c>
      <c r="J5" s="47">
        <v>0</v>
      </c>
      <c r="K5" s="47">
        <v>0</v>
      </c>
      <c r="L5" s="47">
        <v>0</v>
      </c>
      <c r="M5" s="47">
        <v>0</v>
      </c>
      <c r="N5" s="47">
        <v>0</v>
      </c>
      <c r="O5" s="47"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</row>
    <row r="6" spans="1:32" x14ac:dyDescent="0.4">
      <c r="A6" s="47" t="s">
        <v>27</v>
      </c>
      <c r="B6" s="47">
        <v>0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</row>
    <row r="7" spans="1:32" x14ac:dyDescent="0.4">
      <c r="A7" s="47" t="s">
        <v>35</v>
      </c>
      <c r="B7" s="47">
        <v>0</v>
      </c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</row>
    <row r="8" spans="1:32" x14ac:dyDescent="0.4">
      <c r="A8" s="47" t="s">
        <v>39</v>
      </c>
      <c r="B8" s="47">
        <v>0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</row>
    <row r="9" spans="1:32" x14ac:dyDescent="0.4">
      <c r="A9" s="47" t="s">
        <v>34</v>
      </c>
      <c r="B9" s="47">
        <v>0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</row>
    <row r="10" spans="1:32" x14ac:dyDescent="0.4">
      <c r="A10" s="47" t="s">
        <v>24</v>
      </c>
      <c r="B10" s="47">
        <v>0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</row>
    <row r="11" spans="1:32" x14ac:dyDescent="0.4">
      <c r="A11" s="47" t="s">
        <v>30</v>
      </c>
      <c r="B11" s="47">
        <v>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</row>
    <row r="12" spans="1:32" x14ac:dyDescent="0.4">
      <c r="A12" s="47" t="s">
        <v>28</v>
      </c>
      <c r="B12" s="47">
        <v>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</row>
    <row r="13" spans="1:32" x14ac:dyDescent="0.4">
      <c r="A13" s="47" t="s">
        <v>29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</row>
    <row r="14" spans="1:32" x14ac:dyDescent="0.4">
      <c r="A14" s="47" t="s">
        <v>32</v>
      </c>
      <c r="B14" s="47">
        <v>0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</row>
    <row r="15" spans="1:32" x14ac:dyDescent="0.4">
      <c r="A15" s="47" t="s">
        <v>36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</row>
    <row r="16" spans="1:32" x14ac:dyDescent="0.4">
      <c r="A16" s="47" t="s">
        <v>40</v>
      </c>
      <c r="B16" s="47">
        <v>0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</row>
    <row r="17" spans="1:32" x14ac:dyDescent="0.4">
      <c r="A17" s="47" t="s">
        <v>41</v>
      </c>
      <c r="B17" s="47">
        <v>0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</row>
    <row r="18" spans="1:32" x14ac:dyDescent="0.4">
      <c r="A18" s="47" t="s">
        <v>33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</row>
    <row r="19" spans="1:32" x14ac:dyDescent="0.4">
      <c r="A19" t="s">
        <v>187</v>
      </c>
      <c r="B19">
        <v>0</v>
      </c>
      <c r="C19" s="49">
        <v>0</v>
      </c>
      <c r="D19" s="49">
        <v>0</v>
      </c>
      <c r="E19" s="49">
        <v>0</v>
      </c>
      <c r="F19" s="49">
        <v>0</v>
      </c>
      <c r="G19" s="49">
        <v>0</v>
      </c>
      <c r="H19" s="49">
        <v>0</v>
      </c>
      <c r="I19" s="49">
        <v>0</v>
      </c>
      <c r="J19" s="49">
        <v>0</v>
      </c>
      <c r="K19" s="49">
        <v>0</v>
      </c>
      <c r="L19" s="49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9">
        <v>0</v>
      </c>
      <c r="X19" s="49">
        <v>0</v>
      </c>
      <c r="Y19" s="49">
        <v>0</v>
      </c>
      <c r="Z19" s="49">
        <v>0</v>
      </c>
      <c r="AA19" s="49">
        <v>0</v>
      </c>
      <c r="AB19" s="49">
        <v>0</v>
      </c>
      <c r="AC19" s="49">
        <v>0</v>
      </c>
      <c r="AD19" s="49">
        <v>0</v>
      </c>
      <c r="AE19" s="49">
        <v>0</v>
      </c>
      <c r="AF19" s="49">
        <v>0</v>
      </c>
    </row>
    <row r="20" spans="1:32" x14ac:dyDescent="0.4">
      <c r="A20" t="s">
        <v>188</v>
      </c>
      <c r="B20">
        <v>0</v>
      </c>
      <c r="C20" s="49">
        <v>0</v>
      </c>
      <c r="D20" s="49">
        <v>0</v>
      </c>
      <c r="E20" s="49">
        <v>0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9">
        <v>0</v>
      </c>
      <c r="X20" s="49">
        <v>0</v>
      </c>
      <c r="Y20" s="49">
        <v>0</v>
      </c>
      <c r="Z20" s="49">
        <v>0</v>
      </c>
      <c r="AA20" s="49">
        <v>0</v>
      </c>
      <c r="AB20" s="49">
        <v>0</v>
      </c>
      <c r="AC20" s="49">
        <v>0</v>
      </c>
      <c r="AD20" s="49">
        <v>0</v>
      </c>
      <c r="AE20" s="49">
        <v>0</v>
      </c>
      <c r="AF20" s="49">
        <v>0</v>
      </c>
    </row>
    <row r="21" spans="1:32" x14ac:dyDescent="0.4">
      <c r="A21" t="s">
        <v>189</v>
      </c>
      <c r="B21">
        <v>0</v>
      </c>
      <c r="C21" s="49">
        <v>0</v>
      </c>
      <c r="D21" s="49">
        <v>0</v>
      </c>
      <c r="E21" s="49">
        <v>0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49">
        <v>0</v>
      </c>
      <c r="X21" s="49">
        <v>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  <c r="AD21" s="49">
        <v>0</v>
      </c>
      <c r="AE21" s="49">
        <v>0</v>
      </c>
      <c r="AF21" s="49">
        <v>0</v>
      </c>
    </row>
    <row r="22" spans="1:32" x14ac:dyDescent="0.4">
      <c r="A22" t="s">
        <v>190</v>
      </c>
      <c r="B22">
        <v>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49">
        <v>0</v>
      </c>
      <c r="AB22" s="49">
        <v>0</v>
      </c>
      <c r="AC22" s="49">
        <v>0</v>
      </c>
      <c r="AD22" s="49">
        <v>0</v>
      </c>
      <c r="AE22" s="49">
        <v>0</v>
      </c>
      <c r="AF22" s="49">
        <v>0</v>
      </c>
    </row>
    <row r="23" spans="1:32" x14ac:dyDescent="0.4">
      <c r="A23" s="47" t="s">
        <v>191</v>
      </c>
      <c r="B23" s="47">
        <v>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</row>
    <row r="24" spans="1:32" x14ac:dyDescent="0.4">
      <c r="A24" s="48" t="s">
        <v>192</v>
      </c>
      <c r="B24" s="47">
        <v>0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</row>
    <row r="25" spans="1:32" x14ac:dyDescent="0.4">
      <c r="A25" s="48" t="s">
        <v>193</v>
      </c>
      <c r="B25" s="47">
        <v>0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</row>
  </sheetData>
  <phoneticPr fontId="3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EEA67B-BDF2-40BF-AC4B-9774532828D3}"/>
</file>

<file path=customXml/itemProps2.xml><?xml version="1.0" encoding="utf-8"?>
<ds:datastoreItem xmlns:ds="http://schemas.openxmlformats.org/officeDocument/2006/customXml" ds:itemID="{96A42734-A761-46E1-B8D7-89C41E42693D}"/>
</file>

<file path=customXml/itemProps3.xml><?xml version="1.0" encoding="utf-8"?>
<ds:datastoreItem xmlns:ds="http://schemas.openxmlformats.org/officeDocument/2006/customXml" ds:itemID="{8F105C35-01E5-4175-B469-E2410DB40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About</vt:lpstr>
      <vt:lpstr>AEO Table 9</vt:lpstr>
      <vt:lpstr>AEO_coal discrepency</vt:lpstr>
      <vt:lpstr>Calculations</vt:lpstr>
      <vt:lpstr>Summary</vt:lpstr>
      <vt:lpstr>BPMCRS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jwlee</cp:lastModifiedBy>
  <dcterms:created xsi:type="dcterms:W3CDTF">2015-06-10T01:27:30Z</dcterms:created>
  <dcterms:modified xsi:type="dcterms:W3CDTF">2025-02-27T09:18:01Z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