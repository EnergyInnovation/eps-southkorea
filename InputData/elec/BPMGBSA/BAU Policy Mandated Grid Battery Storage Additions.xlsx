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southkorea\InputData\elec\BPMGBSA\"/>
    </mc:Choice>
  </mc:AlternateContent>
  <xr:revisionPtr revIDLastSave="0" documentId="13_ncr:1_{FF39E1D0-C783-4E54-A2CF-81EECC2272D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About" sheetId="1" r:id="rId1"/>
    <sheet name="11차 전기본" sheetId="6" r:id="rId2"/>
    <sheet name="BPMGBS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</calcChain>
</file>

<file path=xl/sharedStrings.xml><?xml version="1.0" encoding="utf-8"?>
<sst xmlns="http://schemas.openxmlformats.org/spreadsheetml/2006/main" count="24" uniqueCount="17">
  <si>
    <t>Source:</t>
  </si>
  <si>
    <t>BPMGBSA BAU Policy Mandated Grid Battery Storage Additions</t>
  </si>
  <si>
    <t>(MWh)</t>
  </si>
  <si>
    <t>Capacity Additions</t>
  </si>
  <si>
    <t>합계</t>
  </si>
  <si>
    <t>https://www.motir.go.kr/kor/article/ATCLc01b2801b/70152/view</t>
  </si>
  <si>
    <t>연도</t>
    <phoneticPr fontId="3" type="noConversion"/>
  </si>
  <si>
    <t>필요물량(누적)</t>
    <phoneticPr fontId="3" type="noConversion"/>
  </si>
  <si>
    <t>신규설비(연도별)</t>
    <phoneticPr fontId="3" type="noConversion"/>
  </si>
  <si>
    <t>설비용량(누적)</t>
    <phoneticPr fontId="3" type="noConversion"/>
  </si>
  <si>
    <t>전국 (MW)</t>
  </si>
  <si>
    <t>제주 (MW)</t>
  </si>
  <si>
    <t>양수 (MW)</t>
  </si>
  <si>
    <t>기타저장장치 (MW)</t>
  </si>
  <si>
    <t>Ministry of Trade, Industry and Energy (MOTIE)</t>
  </si>
  <si>
    <t>11th Basic Plan for Electricity Supply and Demand</t>
  </si>
  <si>
    <t>10. Current Status and Plan for Energy Storage Systems (ESS)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</si>
</sst>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6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17" fontId="0" fillId="0" borderId="0" xfId="0" applyNumberFormat="1" applyAlignment="1">
      <alignment horizontal="left"/>
    </xf>
    <xf numFmtId="0" fontId="2" fillId="0" borderId="0" xfId="1"/>
    <xf numFmtId="49" fontId="0" fillId="0" borderId="0" xfId="0" applyNumberFormat="1"/>
    <xf numFmtId="3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4</xdr:col>
      <xdr:colOff>962744</xdr:colOff>
      <xdr:row>56</xdr:row>
      <xdr:rowOff>124780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EEAFA73-BEC0-2623-C436-DE79A97F1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48250"/>
          <a:ext cx="5153744" cy="6839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49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53C666-0ACB-4684-868E-8C90DFEFCD71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5" sqref="A5"/>
    </sheetView>
  </sheetViews>
  <sheetFormatPr defaultRowHeight="14.5"/>
  <sheetData>
    <row r="1" spans="1:2">
      <c r="A1" s="1" t="s">
        <v>1</v>
      </c>
    </row>
    <row r="3" spans="1:2">
      <c r="A3" s="1" t="s">
        <v>0</v>
      </c>
      <c r="B3" t="s">
        <v>14</v>
      </c>
    </row>
    <row r="4" spans="1:2">
      <c r="B4" t="s">
        <v>15</v>
      </c>
    </row>
    <row r="5" spans="1:2">
      <c r="B5" s="2" t="s">
        <v>16</v>
      </c>
    </row>
    <row r="6" spans="1:2">
      <c r="B6" s="3" t="s">
        <v>5</v>
      </c>
    </row>
    <row r="10" spans="1:2">
      <c r="B10" s="4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8A14-1A32-45AA-8A39-6995E772EF90}">
  <dimension ref="A1:G28"/>
  <sheetViews>
    <sheetView workbookViewId="0">
      <selection activeCell="D2" sqref="D2"/>
    </sheetView>
  </sheetViews>
  <sheetFormatPr defaultRowHeight="14.5"/>
  <cols>
    <col min="2" max="3" width="14.6328125" bestFit="1" customWidth="1"/>
    <col min="4" max="5" width="16.7265625" bestFit="1" customWidth="1"/>
    <col min="6" max="6" width="14.6328125" bestFit="1" customWidth="1"/>
    <col min="7" max="7" width="19.36328125" bestFit="1" customWidth="1"/>
  </cols>
  <sheetData>
    <row r="1" spans="1:7">
      <c r="A1" t="s">
        <v>15</v>
      </c>
    </row>
    <row r="2" spans="1:7">
      <c r="A2" s="2" t="s">
        <v>16</v>
      </c>
    </row>
    <row r="3" spans="1:7" ht="17.25" customHeight="1">
      <c r="A3" s="7" t="s">
        <v>6</v>
      </c>
      <c r="B3" s="6" t="s">
        <v>7</v>
      </c>
      <c r="C3" s="6" t="s">
        <v>7</v>
      </c>
      <c r="D3" s="6" t="s">
        <v>8</v>
      </c>
      <c r="E3" s="6" t="s">
        <v>8</v>
      </c>
      <c r="F3" s="6" t="s">
        <v>9</v>
      </c>
      <c r="G3" s="6" t="s">
        <v>9</v>
      </c>
    </row>
    <row r="4" spans="1:7">
      <c r="A4" s="7"/>
      <c r="B4" s="7" t="s">
        <v>10</v>
      </c>
      <c r="C4" s="7" t="s">
        <v>11</v>
      </c>
      <c r="D4" s="7" t="s">
        <v>10</v>
      </c>
      <c r="E4" s="7" t="s">
        <v>11</v>
      </c>
      <c r="F4" s="7" t="s">
        <v>12</v>
      </c>
      <c r="G4" s="7" t="s">
        <v>13</v>
      </c>
    </row>
    <row r="5" spans="1:7">
      <c r="A5" s="8">
        <v>2023</v>
      </c>
      <c r="B5" s="8"/>
      <c r="C5" s="8"/>
      <c r="D5" s="8"/>
      <c r="E5" s="9">
        <v>68</v>
      </c>
      <c r="F5" s="9">
        <v>4700</v>
      </c>
      <c r="G5" s="8"/>
    </row>
    <row r="6" spans="1:7">
      <c r="A6" s="8">
        <v>2024</v>
      </c>
      <c r="B6" s="8"/>
      <c r="C6" s="8"/>
      <c r="D6" s="8"/>
      <c r="E6" s="8"/>
      <c r="F6" s="9">
        <v>4700</v>
      </c>
      <c r="G6" s="8"/>
    </row>
    <row r="7" spans="1:7">
      <c r="A7" s="8">
        <v>2025</v>
      </c>
      <c r="B7" s="8"/>
      <c r="C7" s="8"/>
      <c r="D7" s="8"/>
      <c r="E7" s="9">
        <v>68</v>
      </c>
      <c r="F7" s="9">
        <v>4700</v>
      </c>
      <c r="G7" s="8"/>
    </row>
    <row r="8" spans="1:7">
      <c r="A8" s="8">
        <v>2026</v>
      </c>
      <c r="B8" s="8"/>
      <c r="C8" s="9">
        <v>39</v>
      </c>
      <c r="D8" s="9">
        <v>500</v>
      </c>
      <c r="E8" s="9">
        <v>40</v>
      </c>
      <c r="F8" s="9">
        <v>4700</v>
      </c>
      <c r="G8" s="9">
        <v>608</v>
      </c>
    </row>
    <row r="9" spans="1:7">
      <c r="A9" s="8">
        <v>2027</v>
      </c>
      <c r="B9" s="8"/>
      <c r="C9" s="9">
        <v>78</v>
      </c>
      <c r="D9" s="9">
        <v>500</v>
      </c>
      <c r="E9" s="9">
        <v>40</v>
      </c>
      <c r="F9" s="9">
        <v>4700</v>
      </c>
      <c r="G9" s="9">
        <v>1148</v>
      </c>
    </row>
    <row r="10" spans="1:7">
      <c r="A10" s="8">
        <v>2028</v>
      </c>
      <c r="B10" s="9">
        <v>1000</v>
      </c>
      <c r="C10" s="9">
        <v>117</v>
      </c>
      <c r="D10" s="9">
        <v>500</v>
      </c>
      <c r="E10" s="9">
        <v>40</v>
      </c>
      <c r="F10" s="9">
        <v>4700</v>
      </c>
      <c r="G10" s="9">
        <v>1688</v>
      </c>
    </row>
    <row r="11" spans="1:7">
      <c r="A11" s="8">
        <v>2029</v>
      </c>
      <c r="B11" s="9">
        <v>2100</v>
      </c>
      <c r="C11" s="9">
        <v>155</v>
      </c>
      <c r="D11" s="9">
        <v>600</v>
      </c>
      <c r="E11" s="8"/>
      <c r="F11" s="9">
        <v>4700</v>
      </c>
      <c r="G11" s="9">
        <v>2288</v>
      </c>
    </row>
    <row r="12" spans="1:7">
      <c r="A12" s="8">
        <v>2030</v>
      </c>
      <c r="B12" s="9">
        <v>4000</v>
      </c>
      <c r="C12" s="9">
        <v>194</v>
      </c>
      <c r="D12" s="9">
        <v>500</v>
      </c>
      <c r="E12" s="8"/>
      <c r="F12" s="9">
        <v>5200</v>
      </c>
      <c r="G12" s="8"/>
    </row>
    <row r="13" spans="1:7">
      <c r="A13" s="8">
        <v>2031</v>
      </c>
      <c r="B13" s="9">
        <v>7600</v>
      </c>
      <c r="C13" s="9">
        <v>233</v>
      </c>
      <c r="D13" s="8"/>
      <c r="E13" s="8"/>
      <c r="F13" s="9">
        <v>5200</v>
      </c>
      <c r="G13" s="8"/>
    </row>
    <row r="14" spans="1:7">
      <c r="A14" s="8">
        <v>2032</v>
      </c>
      <c r="B14" s="9">
        <v>10000</v>
      </c>
      <c r="C14" s="9">
        <v>272</v>
      </c>
      <c r="D14" s="9">
        <v>600</v>
      </c>
      <c r="E14" s="8"/>
      <c r="F14" s="9">
        <v>5800</v>
      </c>
      <c r="G14" s="8"/>
    </row>
    <row r="15" spans="1:7">
      <c r="A15" s="8">
        <v>2033</v>
      </c>
      <c r="B15" s="9">
        <v>12500</v>
      </c>
      <c r="C15" s="9">
        <v>311</v>
      </c>
      <c r="D15" s="9">
        <v>700</v>
      </c>
      <c r="E15" s="8"/>
      <c r="F15" s="9">
        <v>6500</v>
      </c>
      <c r="G15" s="8"/>
    </row>
    <row r="16" spans="1:7">
      <c r="A16" s="8">
        <v>2034</v>
      </c>
      <c r="B16" s="9">
        <v>17500</v>
      </c>
      <c r="C16" s="9">
        <v>350</v>
      </c>
      <c r="D16" s="9">
        <v>1400</v>
      </c>
      <c r="E16" s="8"/>
      <c r="F16" s="9">
        <v>7900</v>
      </c>
      <c r="G16" s="8"/>
    </row>
    <row r="17" spans="1:7">
      <c r="A17" s="8">
        <v>2035</v>
      </c>
      <c r="B17" s="9">
        <v>17500</v>
      </c>
      <c r="C17" s="9">
        <v>388</v>
      </c>
      <c r="D17" s="8"/>
      <c r="E17" s="8"/>
      <c r="F17" s="9">
        <v>7900</v>
      </c>
      <c r="G17" s="8"/>
    </row>
    <row r="18" spans="1:7">
      <c r="A18" s="8">
        <v>2036</v>
      </c>
      <c r="B18" s="9">
        <v>20000</v>
      </c>
      <c r="C18" s="9">
        <v>427</v>
      </c>
      <c r="D18" s="9">
        <v>1500</v>
      </c>
      <c r="E18" s="8"/>
      <c r="F18" s="9">
        <v>9400</v>
      </c>
      <c r="G18" s="8"/>
    </row>
    <row r="19" spans="1:7">
      <c r="A19" s="8">
        <v>2037</v>
      </c>
      <c r="B19" s="9">
        <v>21000</v>
      </c>
      <c r="C19" s="9">
        <v>466</v>
      </c>
      <c r="D19" s="9">
        <v>1000</v>
      </c>
      <c r="E19" s="8"/>
      <c r="F19" s="9">
        <v>10400</v>
      </c>
      <c r="G19" s="8"/>
    </row>
    <row r="20" spans="1:7">
      <c r="A20" s="8">
        <v>2038</v>
      </c>
      <c r="B20" s="9">
        <v>22500</v>
      </c>
      <c r="C20" s="9">
        <v>505</v>
      </c>
      <c r="D20" s="9">
        <v>1250</v>
      </c>
      <c r="E20" s="8"/>
      <c r="F20" s="9">
        <v>11650</v>
      </c>
      <c r="G20" s="8"/>
    </row>
    <row r="21" spans="1:7">
      <c r="A21" s="10" t="s">
        <v>4</v>
      </c>
      <c r="B21" s="10"/>
      <c r="C21" s="10"/>
      <c r="D21" s="11">
        <v>9050</v>
      </c>
      <c r="E21" s="11">
        <v>188</v>
      </c>
      <c r="F21" s="11">
        <v>11650</v>
      </c>
      <c r="G21" s="11">
        <v>2288</v>
      </c>
    </row>
    <row r="28" spans="1:7" ht="17.25" customHeight="1"/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F2"/>
  <sheetViews>
    <sheetView tabSelected="1" workbookViewId="0">
      <selection sqref="A1:XFD1048576"/>
    </sheetView>
  </sheetViews>
  <sheetFormatPr defaultRowHeight="14.5"/>
  <cols>
    <col min="1" max="1" width="18" customWidth="1"/>
    <col min="2" max="2" width="11.36328125" customWidth="1"/>
    <col min="3" max="5" width="9.7265625" customWidth="1"/>
  </cols>
  <sheetData>
    <row r="1" spans="1:32">
      <c r="A1" t="s">
        <v>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3</v>
      </c>
      <c r="B2">
        <v>0</v>
      </c>
      <c r="C2">
        <v>0</v>
      </c>
      <c r="D2">
        <v>0</v>
      </c>
      <c r="E2">
        <v>0</v>
      </c>
      <c r="F2" s="5">
        <f>'11차 전기본'!$F$6</f>
        <v>4700</v>
      </c>
      <c r="G2" s="5">
        <f>SUMIFS('11차 전기본'!$D$5:$D$20,'11차 전기본'!$A$5:$A$20,G$1)+SUMIFS('11차 전기본'!$E$5:$E$20,'11차 전기본'!$A$5:$A$20,G$1)</f>
        <v>68</v>
      </c>
      <c r="H2" s="5">
        <f>SUMIFS('11차 전기본'!$D$5:$D$20,'11차 전기본'!$A$5:$A$20,H$1)+SUMIFS('11차 전기본'!$E$5:$E$20,'11차 전기본'!$A$5:$A$20,H$1)</f>
        <v>540</v>
      </c>
      <c r="I2" s="5">
        <f>SUMIFS('11차 전기본'!$D$5:$D$20,'11차 전기본'!$A$5:$A$20,I$1)+SUMIFS('11차 전기본'!$E$5:$E$20,'11차 전기본'!$A$5:$A$20,I$1)</f>
        <v>540</v>
      </c>
      <c r="J2" s="5">
        <f>SUMIFS('11차 전기본'!$D$5:$D$20,'11차 전기본'!$A$5:$A$20,J$1)+SUMIFS('11차 전기본'!$E$5:$E$20,'11차 전기본'!$A$5:$A$20,J$1)</f>
        <v>540</v>
      </c>
      <c r="K2" s="5">
        <f>SUMIFS('11차 전기본'!$D$5:$D$20,'11차 전기본'!$A$5:$A$20,K$1)+SUMIFS('11차 전기본'!$E$5:$E$20,'11차 전기본'!$A$5:$A$20,K$1)</f>
        <v>600</v>
      </c>
      <c r="L2" s="5">
        <f>SUMIFS('11차 전기본'!$D$5:$D$20,'11차 전기본'!$A$5:$A$20,L$1)+SUMIFS('11차 전기본'!$E$5:$E$20,'11차 전기본'!$A$5:$A$20,L$1)</f>
        <v>500</v>
      </c>
      <c r="M2" s="5">
        <f>SUMIFS('11차 전기본'!$D$5:$D$20,'11차 전기본'!$A$5:$A$20,M$1)+SUMIFS('11차 전기본'!$E$5:$E$20,'11차 전기본'!$A$5:$A$20,M$1)</f>
        <v>0</v>
      </c>
      <c r="N2" s="5">
        <f>SUMIFS('11차 전기본'!$D$5:$D$20,'11차 전기본'!$A$5:$A$20,N$1)+SUMIFS('11차 전기본'!$E$5:$E$20,'11차 전기본'!$A$5:$A$20,N$1)</f>
        <v>600</v>
      </c>
      <c r="O2" s="5">
        <f>SUMIFS('11차 전기본'!$D$5:$D$20,'11차 전기본'!$A$5:$A$20,O$1)+SUMIFS('11차 전기본'!$E$5:$E$20,'11차 전기본'!$A$5:$A$20,O$1)</f>
        <v>700</v>
      </c>
      <c r="P2" s="5">
        <f>SUMIFS('11차 전기본'!$D$5:$D$20,'11차 전기본'!$A$5:$A$20,P$1)+SUMIFS('11차 전기본'!$E$5:$E$20,'11차 전기본'!$A$5:$A$20,P$1)</f>
        <v>1400</v>
      </c>
      <c r="Q2" s="5">
        <f>SUMIFS('11차 전기본'!$D$5:$D$20,'11차 전기본'!$A$5:$A$20,Q$1)+SUMIFS('11차 전기본'!$E$5:$E$20,'11차 전기본'!$A$5:$A$20,Q$1)</f>
        <v>0</v>
      </c>
      <c r="R2" s="5">
        <f>SUMIFS('11차 전기본'!$D$5:$D$20,'11차 전기본'!$A$5:$A$20,R$1)+SUMIFS('11차 전기본'!$E$5:$E$20,'11차 전기본'!$A$5:$A$20,R$1)</f>
        <v>1500</v>
      </c>
      <c r="S2" s="5">
        <f>SUMIFS('11차 전기본'!$D$5:$D$20,'11차 전기본'!$A$5:$A$20,S$1)+SUMIFS('11차 전기본'!$E$5:$E$20,'11차 전기본'!$A$5:$A$20,S$1)</f>
        <v>1000</v>
      </c>
      <c r="T2" s="5">
        <f>SUMIFS('11차 전기본'!$D$5:$D$20,'11차 전기본'!$A$5:$A$20,T$1)+SUMIFS('11차 전기본'!$E$5:$E$20,'11차 전기본'!$A$5:$A$20,T$1)</f>
        <v>1250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350D42B0D95040ACC873ED5DCB146E" ma:contentTypeVersion="10" ma:contentTypeDescription="Create a new document." ma:contentTypeScope="" ma:versionID="07e9ea90ad522b71e445466745b665d9">
  <xsd:schema xmlns:xsd="http://www.w3.org/2001/XMLSchema" xmlns:xs="http://www.w3.org/2001/XMLSchema" xmlns:p="http://schemas.microsoft.com/office/2006/metadata/properties" xmlns:ns2="688c5d3b-a76a-458b-b159-91c2a1154680" targetNamespace="http://schemas.microsoft.com/office/2006/metadata/properties" ma:root="true" ma:fieldsID="2528a4ec313a4f0a1f4e92f7a0496c8f" ns2:_="">
    <xsd:import namespace="688c5d3b-a76a-458b-b159-91c2a11546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c5d3b-a76a-458b-b159-91c2a1154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ca5b831-c3dc-41cf-bd85-218b82ce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8c5d3b-a76a-458b-b159-91c2a11546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C54D5F-086A-4288-81B3-8CB9AD2A09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8c5d3b-a76a-458b-b159-91c2a11546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496D2A-9A21-49CF-AC7C-EF74302CDB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D2770E-9D51-43CB-AB57-4FB6607AE034}">
  <ds:schemaRefs>
    <ds:schemaRef ds:uri="http://schemas.microsoft.com/office/2006/metadata/properties"/>
    <ds:schemaRef ds:uri="http://schemas.microsoft.com/office/infopath/2007/PartnerControls"/>
    <ds:schemaRef ds:uri="688c5d3b-a76a-458b-b159-91c2a11546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11차 전기본</vt:lpstr>
      <vt:lpstr>BPMGBSA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2016-03-08T00:16:42Z</dcterms:created>
  <dcterms:modified xsi:type="dcterms:W3CDTF">2026-07-29T15:13:37Z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0x01010027350D42B0D95040ACC873ED5DCB146E</vt:lpwstr>
  </property>
</Properties>
</file>