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PPEOUP\"/>
    </mc:Choice>
  </mc:AlternateContent>
  <xr:revisionPtr revIDLastSave="0" documentId="13_ncr:1_{91A2D9EB-7950-4498-B936-CB52FF182616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Data" sheetId="3" r:id="rId2"/>
    <sheet name="BPPEOU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2" l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F2" i="2"/>
  <c r="E2" i="2"/>
  <c r="C2" i="2"/>
  <c r="D2" i="2"/>
  <c r="B2" i="2"/>
</calcChain>
</file>

<file path=xl/sharedStrings.xml><?xml version="1.0" encoding="utf-8"?>
<sst xmlns="http://schemas.openxmlformats.org/spreadsheetml/2006/main" count="101" uniqueCount="79">
  <si>
    <t>Source:</t>
  </si>
  <si>
    <t>Notes:</t>
  </si>
  <si>
    <t>Dmnl</t>
  </si>
  <si>
    <t>BPPEOUP BAU Power Plant Electricity Own Use Percentage</t>
  </si>
  <si>
    <t>This file estimates the percentage of electricity output that is used for own use</t>
  </si>
  <si>
    <t>onsite at power plants. Some datasets account for this own use through lower heat</t>
  </si>
  <si>
    <t>rates (i.e. lower MWh per BTU), but others explicitly model this. If data for heat rates</t>
  </si>
  <si>
    <t>in the EPS accounts for own use, set the value in this file to zero.</t>
  </si>
  <si>
    <t>For regions that explicitly calculate own use, the calculated percentage here is relative to total</t>
  </si>
  <si>
    <t>final consumption.</t>
  </si>
  <si>
    <t>Percent of Total Final Consumption</t>
  </si>
  <si>
    <t>In the U.S. model, these losses are accounted for in the heat rates so this value is set to zero</t>
  </si>
  <si>
    <t>KESIS</t>
  </si>
  <si>
    <t>Yearbook of Energy Statistics (2024)</t>
  </si>
  <si>
    <t>https://kesis.keei.re.kr/board.es?mid=a20301020000&amp;bid=0047</t>
  </si>
  <si>
    <t>V-1</t>
  </si>
  <si>
    <t>1. 주요 전력 지표 Major Electricity Indicators</t>
    <phoneticPr fontId="3" type="noConversion"/>
  </si>
  <si>
    <t>단 위</t>
    <phoneticPr fontId="3" type="noConversion"/>
  </si>
  <si>
    <t>Unit</t>
    <phoneticPr fontId="3" type="noConversion"/>
  </si>
  <si>
    <t>발전설비</t>
    <phoneticPr fontId="3" type="noConversion"/>
  </si>
  <si>
    <t>kW</t>
    <phoneticPr fontId="3" type="noConversion"/>
  </si>
  <si>
    <t>150,037,431p</t>
    <phoneticPr fontId="3" type="noConversion"/>
  </si>
  <si>
    <t>Generating Facilities</t>
    <phoneticPr fontId="3" type="noConversion"/>
  </si>
  <si>
    <t>한전, 자회사</t>
    <phoneticPr fontId="3" type="noConversion"/>
  </si>
  <si>
    <t>KEPCO &amp; Subsidiaries</t>
    <phoneticPr fontId="3" type="noConversion"/>
  </si>
  <si>
    <t>타사</t>
    <phoneticPr fontId="3" type="noConversion"/>
  </si>
  <si>
    <t>Other Co.</t>
    <phoneticPr fontId="3" type="noConversion"/>
  </si>
  <si>
    <t>상용자가</t>
    <phoneticPr fontId="3" type="noConversion"/>
  </si>
  <si>
    <t>5,616,523p</t>
    <phoneticPr fontId="3" type="noConversion"/>
  </si>
  <si>
    <t>Non-Utility for Common Use</t>
    <phoneticPr fontId="3" type="noConversion"/>
  </si>
  <si>
    <t>총발전량</t>
    <phoneticPr fontId="3" type="noConversion"/>
  </si>
  <si>
    <t>MWh</t>
    <phoneticPr fontId="3" type="noConversion"/>
  </si>
  <si>
    <t>Gross Generation</t>
    <phoneticPr fontId="3" type="noConversion"/>
  </si>
  <si>
    <r>
      <t>상용자가</t>
    </r>
    <r>
      <rPr>
        <vertAlign val="superscript"/>
        <sz val="9"/>
        <rFont val="Calibri"/>
        <family val="3"/>
        <charset val="129"/>
        <scheme val="minor"/>
      </rPr>
      <t>1</t>
    </r>
  </si>
  <si>
    <r>
      <t>Non-Utility Generation for Common Use</t>
    </r>
    <r>
      <rPr>
        <vertAlign val="superscript"/>
        <sz val="9"/>
        <rFont val="Calibri"/>
        <family val="3"/>
        <charset val="129"/>
        <scheme val="minor"/>
      </rPr>
      <t>1</t>
    </r>
  </si>
  <si>
    <t>소내 전력량</t>
    <phoneticPr fontId="3" type="noConversion"/>
  </si>
  <si>
    <t>Auxiliary Use</t>
    <phoneticPr fontId="3" type="noConversion"/>
  </si>
  <si>
    <t>소내 전력률</t>
    <phoneticPr fontId="3" type="noConversion"/>
  </si>
  <si>
    <t>%</t>
    <phoneticPr fontId="3" type="noConversion"/>
  </si>
  <si>
    <t>Aux. Use Factor</t>
    <phoneticPr fontId="3" type="noConversion"/>
  </si>
  <si>
    <t>양수용 전력량</t>
    <phoneticPr fontId="3" type="noConversion"/>
  </si>
  <si>
    <t>Pumping Storage</t>
    <phoneticPr fontId="3" type="noConversion"/>
  </si>
  <si>
    <t>송전단 전력량(양수제외)</t>
    <phoneticPr fontId="3" type="noConversion"/>
  </si>
  <si>
    <t>Net Generation</t>
    <phoneticPr fontId="3" type="noConversion"/>
  </si>
  <si>
    <t>송배전 손실량</t>
    <phoneticPr fontId="3" type="noConversion"/>
  </si>
  <si>
    <t>T &amp; D Losses</t>
    <phoneticPr fontId="3" type="noConversion"/>
  </si>
  <si>
    <t>송배전 손실율</t>
    <phoneticPr fontId="3" type="noConversion"/>
  </si>
  <si>
    <t>Loss Factor(T &amp; D)</t>
    <phoneticPr fontId="3" type="noConversion"/>
  </si>
  <si>
    <t>판매 전력량</t>
    <phoneticPr fontId="3" type="noConversion"/>
  </si>
  <si>
    <t>Power Sold</t>
    <phoneticPr fontId="3" type="noConversion"/>
  </si>
  <si>
    <t>수요 성장율</t>
    <phoneticPr fontId="3" type="noConversion"/>
  </si>
  <si>
    <t>Growth Rate</t>
    <phoneticPr fontId="3" type="noConversion"/>
  </si>
  <si>
    <t>최대전력</t>
    <phoneticPr fontId="3" type="noConversion"/>
  </si>
  <si>
    <t>Peak Load</t>
    <phoneticPr fontId="3" type="noConversion"/>
  </si>
  <si>
    <t>평균전력</t>
    <phoneticPr fontId="3" type="noConversion"/>
  </si>
  <si>
    <t>Average Load</t>
    <phoneticPr fontId="3" type="noConversion"/>
  </si>
  <si>
    <r>
      <t>부하율</t>
    </r>
    <r>
      <rPr>
        <vertAlign val="superscript"/>
        <sz val="9"/>
        <rFont val="Calibri"/>
        <family val="3"/>
        <charset val="129"/>
        <scheme val="minor"/>
      </rPr>
      <t>2</t>
    </r>
  </si>
  <si>
    <r>
      <t>Load Factor</t>
    </r>
    <r>
      <rPr>
        <vertAlign val="superscript"/>
        <sz val="9"/>
        <rFont val="Calibri"/>
        <family val="3"/>
        <charset val="129"/>
        <scheme val="minor"/>
      </rPr>
      <t>2</t>
    </r>
  </si>
  <si>
    <t xml:space="preserve">이용율 </t>
    <phoneticPr fontId="3" type="noConversion"/>
  </si>
  <si>
    <t xml:space="preserve">Utilization Plant Factor </t>
    <phoneticPr fontId="3" type="noConversion"/>
  </si>
  <si>
    <t>판매단가</t>
    <phoneticPr fontId="3" type="noConversion"/>
  </si>
  <si>
    <t>원/kWh</t>
    <phoneticPr fontId="3" type="noConversion"/>
  </si>
  <si>
    <t xml:space="preserve">Average Revenues per kWh Sold </t>
    <phoneticPr fontId="3" type="noConversion"/>
  </si>
  <si>
    <t>수용가수</t>
    <phoneticPr fontId="3" type="noConversion"/>
  </si>
  <si>
    <t>호 수</t>
    <phoneticPr fontId="3" type="noConversion"/>
  </si>
  <si>
    <t xml:space="preserve">Customers </t>
    <phoneticPr fontId="3" type="noConversion"/>
  </si>
  <si>
    <r>
      <t>인구1인당 전력생산량</t>
    </r>
    <r>
      <rPr>
        <vertAlign val="superscript"/>
        <sz val="9"/>
        <rFont val="Calibri"/>
        <family val="3"/>
        <charset val="129"/>
        <scheme val="minor"/>
      </rPr>
      <t>3</t>
    </r>
  </si>
  <si>
    <t>kWh/명</t>
    <phoneticPr fontId="3" type="noConversion"/>
  </si>
  <si>
    <r>
      <t>Generation per Capita</t>
    </r>
    <r>
      <rPr>
        <vertAlign val="superscript"/>
        <sz val="9"/>
        <rFont val="Calibri"/>
        <family val="3"/>
        <charset val="129"/>
        <scheme val="minor"/>
      </rPr>
      <t>3</t>
    </r>
  </si>
  <si>
    <t>인구1인당 전력소비량</t>
    <phoneticPr fontId="3" type="noConversion"/>
  </si>
  <si>
    <t xml:space="preserve">Consumption per Capita </t>
    <phoneticPr fontId="3" type="noConversion"/>
  </si>
  <si>
    <t>1. (   ) 내는 상용자가 발전량 중 한전의 구입 전력량</t>
    <phoneticPr fontId="3" type="noConversion"/>
  </si>
  <si>
    <t>1. Parentheses are power sales to KEPCO in non-utility generation.</t>
    <phoneticPr fontId="3" type="noConversion"/>
  </si>
  <si>
    <t>2. 최대전력에 대한 평균전력의 비를 백분율로 나타낸 것</t>
    <phoneticPr fontId="3" type="noConversion"/>
  </si>
  <si>
    <t>2. The percentage ratio of average load over peak load.</t>
    <phoneticPr fontId="3" type="noConversion"/>
  </si>
  <si>
    <t>3. (   ) 내는 상용발전 자체 소비량 포함분임</t>
    <phoneticPr fontId="3" type="noConversion"/>
  </si>
  <si>
    <t>3. Paraentheses include own use of non-utility generation.</t>
    <phoneticPr fontId="3" type="noConversion"/>
  </si>
  <si>
    <t>자료：한국전력공사</t>
    <phoneticPr fontId="3" type="noConversion"/>
  </si>
  <si>
    <t>Source : Korea Electric Power Corporation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</si>
</sst>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4" formatCode="_(&quot;$&quot;* #,##0.00_);_(&quot;$&quot;* \(#,##0.00\);_(&quot;$&quot;* &quot;-&quot;??_);_(@_)"/>
    <numFmt numFmtId="164" formatCode="0_);\(0\)"/>
    <numFmt numFmtId="165" formatCode="#,##0_ "/>
    <numFmt numFmtId="166" formatCode="\(#,##0\)"/>
    <numFmt numFmtId="167" formatCode="_-* #,##0.00_-;\-* #,##0.00_-;_-* &quot;-&quot;_-;_-@_-"/>
    <numFmt numFmtId="168" formatCode="#,##0.00_ "/>
    <numFmt numFmtId="169" formatCode="#,##0.0_);\(#,##0.0\)"/>
    <numFmt numFmtId="170" formatCode="#,##0.0_ "/>
    <numFmt numFmtId="171" formatCode="_-* #,##0.0_-;\-* #,##0.0_-;_-* &quot;-&quot;_-;_-@_-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5"/>
      <name val="Calibri"/>
      <family val="3"/>
      <charset val="129"/>
      <scheme val="minor"/>
    </font>
    <font>
      <sz val="15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9"/>
      <name val="Calibri"/>
      <family val="3"/>
      <charset val="129"/>
      <scheme val="minor"/>
    </font>
    <font>
      <vertAlign val="superscript"/>
      <sz val="9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0" fontId="2" fillId="0" borderId="0"/>
    <xf numFmtId="0" fontId="3" fillId="0" borderId="0"/>
    <xf numFmtId="0" fontId="5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1" fontId="4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0" borderId="0" xfId="0" applyAlignment="1">
      <alignment horizontal="right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37" fontId="6" fillId="2" borderId="0" xfId="0" applyNumberFormat="1" applyFont="1" applyFill="1" applyAlignment="1">
      <alignment horizontal="left" vertical="center"/>
    </xf>
    <xf numFmtId="37" fontId="7" fillId="2" borderId="0" xfId="0" applyNumberFormat="1" applyFont="1" applyFill="1" applyAlignment="1">
      <alignment vertical="center"/>
    </xf>
    <xf numFmtId="0" fontId="6" fillId="2" borderId="0" xfId="0" applyFont="1" applyFill="1" applyAlignment="1">
      <alignment horizontal="left" vertical="center"/>
    </xf>
    <xf numFmtId="37" fontId="7" fillId="2" borderId="0" xfId="0" applyNumberFormat="1" applyFont="1" applyFill="1" applyAlignment="1">
      <alignment vertical="center" wrapText="1"/>
    </xf>
    <xf numFmtId="37" fontId="8" fillId="2" borderId="0" xfId="0" applyNumberFormat="1" applyFont="1" applyFill="1" applyAlignment="1">
      <alignment vertical="center"/>
    </xf>
    <xf numFmtId="37" fontId="8" fillId="2" borderId="0" xfId="0" applyNumberFormat="1" applyFont="1" applyFill="1" applyAlignment="1">
      <alignment vertical="center" wrapText="1"/>
    </xf>
    <xf numFmtId="37" fontId="9" fillId="2" borderId="1" xfId="0" applyNumberFormat="1" applyFont="1" applyFill="1" applyBorder="1" applyAlignment="1">
      <alignment vertical="center" wrapText="1"/>
    </xf>
    <xf numFmtId="37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64" fontId="9" fillId="2" borderId="2" xfId="0" applyNumberFormat="1" applyFont="1" applyFill="1" applyBorder="1" applyAlignment="1">
      <alignment horizontal="center" vertical="center" wrapText="1"/>
    </xf>
    <xf numFmtId="37" fontId="9" fillId="2" borderId="1" xfId="0" applyNumberFormat="1" applyFont="1" applyFill="1" applyBorder="1" applyAlignment="1">
      <alignment horizontal="center" vertical="center" wrapText="1"/>
    </xf>
    <xf numFmtId="37" fontId="9" fillId="2" borderId="3" xfId="0" applyNumberFormat="1" applyFont="1" applyFill="1" applyBorder="1" applyAlignment="1">
      <alignment vertical="center" wrapText="1"/>
    </xf>
    <xf numFmtId="37" fontId="9" fillId="2" borderId="3" xfId="0" applyNumberFormat="1" applyFont="1" applyFill="1" applyBorder="1" applyAlignment="1">
      <alignment horizontal="center" vertical="center" wrapText="1"/>
    </xf>
    <xf numFmtId="164" fontId="9" fillId="2" borderId="3" xfId="0" applyNumberFormat="1" applyFont="1" applyFill="1" applyBorder="1" applyAlignment="1">
      <alignment horizontal="center" vertical="center" wrapText="1"/>
    </xf>
    <xf numFmtId="164" fontId="9" fillId="2" borderId="3" xfId="0" applyNumberFormat="1" applyFont="1" applyFill="1" applyBorder="1" applyAlignment="1">
      <alignment vertical="center" wrapText="1"/>
    </xf>
    <xf numFmtId="164" fontId="9" fillId="2" borderId="4" xfId="0" applyNumberFormat="1" applyFont="1" applyFill="1" applyBorder="1" applyAlignment="1">
      <alignment vertical="center" wrapText="1"/>
    </xf>
    <xf numFmtId="37" fontId="9" fillId="2" borderId="3" xfId="0" applyNumberFormat="1" applyFont="1" applyFill="1" applyBorder="1" applyAlignment="1">
      <alignment horizontal="center" vertical="center" wrapText="1"/>
    </xf>
    <xf numFmtId="37" fontId="9" fillId="2" borderId="5" xfId="0" applyNumberFormat="1" applyFont="1" applyFill="1" applyBorder="1" applyAlignment="1">
      <alignment horizontal="justify" vertical="center" wrapText="1"/>
    </xf>
    <xf numFmtId="37" fontId="9" fillId="2" borderId="5" xfId="0" applyNumberFormat="1" applyFont="1" applyFill="1" applyBorder="1" applyAlignment="1">
      <alignment horizontal="center" vertical="center" wrapText="1"/>
    </xf>
    <xf numFmtId="41" fontId="9" fillId="2" borderId="0" xfId="6" applyFont="1" applyFill="1" applyBorder="1" applyAlignment="1">
      <alignment horizontal="center" vertical="center" wrapText="1"/>
    </xf>
    <xf numFmtId="165" fontId="9" fillId="2" borderId="0" xfId="0" applyNumberFormat="1" applyFont="1" applyFill="1" applyAlignment="1">
      <alignment horizontal="right" vertical="center" wrapText="1"/>
    </xf>
    <xf numFmtId="37" fontId="9" fillId="2" borderId="5" xfId="0" applyNumberFormat="1" applyFont="1" applyFill="1" applyBorder="1" applyAlignment="1">
      <alignment horizontal="justify" vertical="center"/>
    </xf>
    <xf numFmtId="37" fontId="9" fillId="2" borderId="5" xfId="0" applyNumberFormat="1" applyFont="1" applyFill="1" applyBorder="1" applyAlignment="1">
      <alignment horizontal="left" vertical="center" wrapText="1" indent="1"/>
    </xf>
    <xf numFmtId="37" fontId="9" fillId="2" borderId="5" xfId="0" applyNumberFormat="1" applyFont="1" applyFill="1" applyBorder="1" applyAlignment="1">
      <alignment horizontal="left" vertical="center" indent="1"/>
    </xf>
    <xf numFmtId="41" fontId="9" fillId="2" borderId="0" xfId="6" applyFont="1" applyFill="1" applyBorder="1" applyAlignment="1">
      <alignment vertical="center"/>
    </xf>
    <xf numFmtId="166" fontId="9" fillId="2" borderId="0" xfId="0" applyNumberFormat="1" applyFont="1" applyFill="1" applyAlignment="1">
      <alignment horizontal="right" vertical="center" wrapText="1"/>
    </xf>
    <xf numFmtId="39" fontId="9" fillId="2" borderId="5" xfId="0" applyNumberFormat="1" applyFont="1" applyFill="1" applyBorder="1" applyAlignment="1">
      <alignment horizontal="left" vertical="center" wrapText="1" indent="1"/>
    </xf>
    <xf numFmtId="39" fontId="9" fillId="2" borderId="5" xfId="0" applyNumberFormat="1" applyFont="1" applyFill="1" applyBorder="1" applyAlignment="1">
      <alignment horizontal="center" vertical="center" wrapText="1"/>
    </xf>
    <xf numFmtId="167" fontId="9" fillId="2" borderId="0" xfId="6" applyNumberFormat="1" applyFont="1" applyFill="1" applyBorder="1" applyAlignment="1">
      <alignment horizontal="center" vertical="center" wrapText="1"/>
    </xf>
    <xf numFmtId="168" fontId="9" fillId="2" borderId="0" xfId="0" applyNumberFormat="1" applyFont="1" applyFill="1" applyAlignment="1">
      <alignment horizontal="right" vertical="center" wrapText="1"/>
    </xf>
    <xf numFmtId="39" fontId="9" fillId="2" borderId="5" xfId="0" applyNumberFormat="1" applyFont="1" applyFill="1" applyBorder="1" applyAlignment="1">
      <alignment horizontal="left" vertical="center" indent="1"/>
    </xf>
    <xf numFmtId="169" fontId="9" fillId="2" borderId="5" xfId="0" applyNumberFormat="1" applyFont="1" applyFill="1" applyBorder="1" applyAlignment="1">
      <alignment horizontal="left" vertical="center" wrapText="1" indent="1"/>
    </xf>
    <xf numFmtId="169" fontId="9" fillId="2" borderId="5" xfId="0" applyNumberFormat="1" applyFont="1" applyFill="1" applyBorder="1" applyAlignment="1">
      <alignment horizontal="center" vertical="center" wrapText="1"/>
    </xf>
    <xf numFmtId="170" fontId="9" fillId="2" borderId="0" xfId="0" applyNumberFormat="1" applyFont="1" applyFill="1" applyAlignment="1">
      <alignment horizontal="right" vertical="center" wrapText="1"/>
    </xf>
    <xf numFmtId="169" fontId="9" fillId="2" borderId="5" xfId="0" applyNumberFormat="1" applyFont="1" applyFill="1" applyBorder="1" applyAlignment="1">
      <alignment horizontal="left" vertical="center" indent="1"/>
    </xf>
    <xf numFmtId="37" fontId="9" fillId="2" borderId="5" xfId="0" applyNumberFormat="1" applyFont="1" applyFill="1" applyBorder="1" applyAlignment="1">
      <alignment horizontal="left" vertical="center"/>
    </xf>
    <xf numFmtId="171" fontId="9" fillId="2" borderId="0" xfId="6" applyNumberFormat="1" applyFont="1" applyFill="1" applyBorder="1" applyAlignment="1">
      <alignment horizontal="center" vertical="center" wrapText="1"/>
    </xf>
    <xf numFmtId="39" fontId="9" fillId="2" borderId="5" xfId="0" applyNumberFormat="1" applyFont="1" applyFill="1" applyBorder="1" applyAlignment="1">
      <alignment horizontal="justify" vertical="center" wrapText="1"/>
    </xf>
    <xf numFmtId="39" fontId="9" fillId="2" borderId="5" xfId="0" applyNumberFormat="1" applyFont="1" applyFill="1" applyBorder="1" applyAlignment="1">
      <alignment horizontal="left" vertical="center"/>
    </xf>
    <xf numFmtId="37" fontId="9" fillId="2" borderId="6" xfId="0" applyNumberFormat="1" applyFont="1" applyFill="1" applyBorder="1" applyAlignment="1">
      <alignment horizontal="justify" vertical="center" wrapText="1"/>
    </xf>
    <xf numFmtId="37" fontId="9" fillId="2" borderId="6" xfId="0" applyNumberFormat="1" applyFont="1" applyFill="1" applyBorder="1" applyAlignment="1">
      <alignment horizontal="center" vertical="center" wrapText="1"/>
    </xf>
    <xf numFmtId="41" fontId="9" fillId="2" borderId="7" xfId="6" applyFont="1" applyFill="1" applyBorder="1" applyAlignment="1">
      <alignment horizontal="center" vertical="center" wrapText="1"/>
    </xf>
    <xf numFmtId="165" fontId="9" fillId="2" borderId="7" xfId="0" applyNumberFormat="1" applyFont="1" applyFill="1" applyBorder="1" applyAlignment="1">
      <alignment horizontal="right" vertical="center" wrapText="1"/>
    </xf>
    <xf numFmtId="37" fontId="9" fillId="2" borderId="8" xfId="0" applyNumberFormat="1" applyFont="1" applyFill="1" applyBorder="1" applyAlignment="1">
      <alignment horizontal="justify" vertical="center"/>
    </xf>
    <xf numFmtId="37" fontId="9" fillId="2" borderId="0" xfId="0" applyNumberFormat="1" applyFont="1" applyFill="1" applyAlignment="1">
      <alignment vertical="center"/>
    </xf>
    <xf numFmtId="37" fontId="9" fillId="2" borderId="0" xfId="0" applyNumberFormat="1" applyFont="1" applyFill="1" applyAlignment="1">
      <alignment horizontal="center" vertical="center" wrapText="1"/>
    </xf>
    <xf numFmtId="37" fontId="9" fillId="2" borderId="0" xfId="0" applyNumberFormat="1" applyFont="1" applyFill="1" applyAlignment="1">
      <alignment horizontal="justify" vertical="center" wrapText="1"/>
    </xf>
    <xf numFmtId="0" fontId="0" fillId="0" borderId="9" xfId="0" applyBorder="1"/>
  </cellXfs>
  <cellStyles count="7">
    <cellStyle name="Comma [0]" xfId="6" builtinId="6"/>
    <cellStyle name="Currency 2" xfId="5" xr:uid="{81BD210F-5FF0-4880-8028-0DC76957F95F}"/>
    <cellStyle name="Normal" xfId="0" builtinId="0"/>
    <cellStyle name="Normal 2" xfId="1" xr:uid="{00000000-0005-0000-0000-000002000000}"/>
    <cellStyle name="Normal 3" xfId="2" xr:uid="{A0D66D47-893E-4339-ABA2-2AA2E8FD27AB}"/>
    <cellStyle name="Normal 3 2" xfId="3" xr:uid="{6280AA9E-3B50-418D-82DE-98EB684B0878}"/>
    <cellStyle name="Percent 2" xfId="4" xr:uid="{2FFD538B-3558-46F7-AC70-5718F1F5302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tabSelected="1" workbookViewId="0">
      <selection activeCell="B8" sqref="B8"/>
    </sheetView>
  </sheetViews>
  <sheetFormatPr defaultRowHeight="15"/>
  <cols>
    <col min="2" max="2" width="66.85546875" customWidth="1"/>
  </cols>
  <sheetData>
    <row r="1" spans="1:2">
      <c r="A1" s="1" t="s">
        <v>3</v>
      </c>
    </row>
    <row r="3" spans="1:2">
      <c r="A3" s="1" t="s">
        <v>0</v>
      </c>
      <c r="B3" t="s">
        <v>12</v>
      </c>
    </row>
    <row r="4" spans="1:2">
      <c r="B4" s="3">
        <v>2025</v>
      </c>
    </row>
    <row r="5" spans="1:2">
      <c r="B5" t="s">
        <v>13</v>
      </c>
    </row>
    <row r="6" spans="1:2">
      <c r="B6" s="4" t="s">
        <v>14</v>
      </c>
    </row>
    <row r="7" spans="1:2">
      <c r="B7" t="s">
        <v>15</v>
      </c>
    </row>
    <row r="9" spans="1:2">
      <c r="A9" s="1" t="s">
        <v>1</v>
      </c>
    </row>
    <row r="10" spans="1:2">
      <c r="A10" t="s">
        <v>4</v>
      </c>
    </row>
    <row r="11" spans="1:2">
      <c r="A11" t="s">
        <v>5</v>
      </c>
    </row>
    <row r="12" spans="1:2">
      <c r="A12" t="s">
        <v>6</v>
      </c>
    </row>
    <row r="13" spans="1:2">
      <c r="A13" t="s">
        <v>7</v>
      </c>
    </row>
    <row r="15" spans="1:2">
      <c r="A15" t="s">
        <v>8</v>
      </c>
    </row>
    <row r="16" spans="1:2">
      <c r="A16" t="s">
        <v>9</v>
      </c>
    </row>
    <row r="18" spans="1:1">
      <c r="A18" t="s">
        <v>11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F31DD-999A-4C90-BAA6-72037888F865}">
  <dimension ref="A1:X34"/>
  <sheetViews>
    <sheetView workbookViewId="0">
      <selection activeCell="W15" sqref="T15:W15"/>
    </sheetView>
  </sheetViews>
  <sheetFormatPr defaultRowHeight="15"/>
  <cols>
    <col min="24" max="24" width="34.5703125" bestFit="1" customWidth="1"/>
  </cols>
  <sheetData>
    <row r="1" spans="1:24" ht="19.5">
      <c r="A1" s="5" t="s">
        <v>16</v>
      </c>
      <c r="B1" s="6"/>
      <c r="C1" s="6"/>
      <c r="D1" s="6"/>
      <c r="E1" s="6"/>
      <c r="F1" s="6"/>
      <c r="G1" s="6"/>
      <c r="H1" s="6"/>
      <c r="I1" s="6"/>
      <c r="J1" s="7"/>
      <c r="K1" s="7"/>
      <c r="L1" s="7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8"/>
    </row>
    <row r="2" spans="1:24" ht="15.75" thickBo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10"/>
    </row>
    <row r="3" spans="1:24">
      <c r="A3" s="11"/>
      <c r="B3" s="12" t="s">
        <v>17</v>
      </c>
      <c r="C3" s="13">
        <v>1961</v>
      </c>
      <c r="D3" s="13">
        <v>1981</v>
      </c>
      <c r="E3" s="13">
        <v>1985</v>
      </c>
      <c r="F3" s="13">
        <v>1990</v>
      </c>
      <c r="G3" s="13">
        <v>1995</v>
      </c>
      <c r="H3" s="13">
        <v>2000</v>
      </c>
      <c r="I3" s="14">
        <v>2005</v>
      </c>
      <c r="J3" s="13">
        <v>2010</v>
      </c>
      <c r="K3" s="13">
        <v>2011</v>
      </c>
      <c r="L3" s="13">
        <v>2012</v>
      </c>
      <c r="M3" s="13">
        <v>2013</v>
      </c>
      <c r="N3" s="13">
        <v>2014</v>
      </c>
      <c r="O3" s="13">
        <v>2015</v>
      </c>
      <c r="P3" s="13">
        <v>2016</v>
      </c>
      <c r="Q3" s="13">
        <v>2017</v>
      </c>
      <c r="R3" s="13">
        <v>2018</v>
      </c>
      <c r="S3" s="13">
        <v>2019</v>
      </c>
      <c r="T3" s="13">
        <v>2020</v>
      </c>
      <c r="U3" s="13">
        <v>2021</v>
      </c>
      <c r="V3" s="13">
        <v>2022</v>
      </c>
      <c r="W3" s="13">
        <v>2023</v>
      </c>
      <c r="X3" s="15"/>
    </row>
    <row r="4" spans="1:24" ht="15.75" thickBot="1">
      <c r="A4" s="16"/>
      <c r="B4" s="17" t="s">
        <v>18</v>
      </c>
      <c r="C4" s="17"/>
      <c r="D4" s="18"/>
      <c r="E4" s="18"/>
      <c r="F4" s="18"/>
      <c r="G4" s="18"/>
      <c r="H4" s="19"/>
      <c r="I4" s="20"/>
      <c r="J4" s="19"/>
      <c r="K4" s="19"/>
      <c r="L4" s="19"/>
      <c r="M4" s="19"/>
      <c r="N4" s="18"/>
      <c r="O4" s="18"/>
      <c r="P4" s="18"/>
      <c r="Q4" s="18"/>
      <c r="R4" s="18"/>
      <c r="S4" s="18"/>
      <c r="T4" s="18"/>
      <c r="U4" s="18"/>
      <c r="V4" s="18"/>
      <c r="W4" s="18"/>
      <c r="X4" s="21"/>
    </row>
    <row r="5" spans="1:24" ht="36.75" thickTop="1">
      <c r="A5" s="22" t="s">
        <v>19</v>
      </c>
      <c r="B5" s="23" t="s">
        <v>20</v>
      </c>
      <c r="C5" s="24">
        <v>426287</v>
      </c>
      <c r="D5" s="25">
        <v>11029344</v>
      </c>
      <c r="E5" s="25">
        <v>17639982</v>
      </c>
      <c r="F5" s="25">
        <v>24055893</v>
      </c>
      <c r="G5" s="25">
        <v>35355785</v>
      </c>
      <c r="H5" s="25">
        <v>53684913</v>
      </c>
      <c r="I5" s="25">
        <v>67075240</v>
      </c>
      <c r="J5" s="25">
        <v>79983793</v>
      </c>
      <c r="K5" s="25">
        <v>83263146</v>
      </c>
      <c r="L5" s="25">
        <v>85849093</v>
      </c>
      <c r="M5" s="25">
        <v>91077485</v>
      </c>
      <c r="N5" s="25">
        <v>96925225</v>
      </c>
      <c r="O5" s="25">
        <v>101590229.43000001</v>
      </c>
      <c r="P5" s="25">
        <v>109789291.095</v>
      </c>
      <c r="Q5" s="25">
        <v>120848466</v>
      </c>
      <c r="R5" s="25">
        <v>122912874.508</v>
      </c>
      <c r="S5" s="25">
        <v>129747830</v>
      </c>
      <c r="T5" s="25">
        <v>133655412</v>
      </c>
      <c r="U5" s="25">
        <v>139443392</v>
      </c>
      <c r="V5" s="25">
        <v>143842137.61000001</v>
      </c>
      <c r="W5" s="25" t="s">
        <v>21</v>
      </c>
      <c r="X5" s="26" t="s">
        <v>22</v>
      </c>
    </row>
    <row r="6" spans="1:24" ht="24">
      <c r="A6" s="27" t="s">
        <v>23</v>
      </c>
      <c r="B6" s="23" t="s">
        <v>20</v>
      </c>
      <c r="C6" s="24">
        <v>367254</v>
      </c>
      <c r="D6" s="25">
        <v>9130580</v>
      </c>
      <c r="E6" s="25">
        <v>15013903</v>
      </c>
      <c r="F6" s="25">
        <v>19782833</v>
      </c>
      <c r="G6" s="25">
        <v>30561633</v>
      </c>
      <c r="H6" s="25">
        <v>44566083</v>
      </c>
      <c r="I6" s="25">
        <v>55956412</v>
      </c>
      <c r="J6" s="25">
        <v>65559674</v>
      </c>
      <c r="K6" s="25">
        <v>67005570</v>
      </c>
      <c r="L6" s="25">
        <v>68848108</v>
      </c>
      <c r="M6" s="25">
        <v>70845294</v>
      </c>
      <c r="N6" s="25">
        <v>72305204</v>
      </c>
      <c r="O6" s="25">
        <v>73282111.430000007</v>
      </c>
      <c r="P6" s="25">
        <v>79216544.129999995</v>
      </c>
      <c r="Q6" s="25">
        <v>82132490</v>
      </c>
      <c r="R6" s="25">
        <v>81362425.444999993</v>
      </c>
      <c r="S6" s="25">
        <v>83672341.084999993</v>
      </c>
      <c r="T6" s="25">
        <v>83853695.765000001</v>
      </c>
      <c r="U6" s="25">
        <v>82459277.480000004</v>
      </c>
      <c r="V6" s="25">
        <v>82723284.564999998</v>
      </c>
      <c r="W6" s="25">
        <v>83235047.739999995</v>
      </c>
      <c r="X6" s="28" t="s">
        <v>24</v>
      </c>
    </row>
    <row r="7" spans="1:24">
      <c r="A7" s="27" t="s">
        <v>25</v>
      </c>
      <c r="B7" s="23" t="s">
        <v>20</v>
      </c>
      <c r="C7" s="24">
        <v>0</v>
      </c>
      <c r="D7" s="25">
        <v>704800</v>
      </c>
      <c r="E7" s="25">
        <v>1122800</v>
      </c>
      <c r="F7" s="25">
        <v>1238290</v>
      </c>
      <c r="G7" s="25">
        <v>1622240</v>
      </c>
      <c r="H7" s="25">
        <v>3884634</v>
      </c>
      <c r="I7" s="25">
        <v>6301785</v>
      </c>
      <c r="J7" s="25">
        <v>10518514</v>
      </c>
      <c r="K7" s="25">
        <v>12336297</v>
      </c>
      <c r="L7" s="25">
        <v>12957468</v>
      </c>
      <c r="M7" s="25">
        <v>16123643</v>
      </c>
      <c r="N7" s="25">
        <v>20910550</v>
      </c>
      <c r="O7" s="25">
        <v>24366649</v>
      </c>
      <c r="P7" s="25">
        <v>26649012.965</v>
      </c>
      <c r="Q7" s="25">
        <v>34775150</v>
      </c>
      <c r="R7" s="25">
        <v>37729234.063000001</v>
      </c>
      <c r="S7" s="25">
        <v>41665327.450999998</v>
      </c>
      <c r="T7" s="25">
        <v>45337577.704999998</v>
      </c>
      <c r="U7" s="25">
        <v>51560497.943000004</v>
      </c>
      <c r="V7" s="25">
        <v>55471470.045000002</v>
      </c>
      <c r="W7" s="25">
        <v>61185860.266999997</v>
      </c>
      <c r="X7" s="28" t="s">
        <v>26</v>
      </c>
    </row>
    <row r="8" spans="1:24">
      <c r="A8" s="27" t="s">
        <v>27</v>
      </c>
      <c r="B8" s="23" t="s">
        <v>20</v>
      </c>
      <c r="C8" s="24">
        <v>59033</v>
      </c>
      <c r="D8" s="25">
        <v>1193964</v>
      </c>
      <c r="E8" s="25">
        <v>1503279</v>
      </c>
      <c r="F8" s="25">
        <v>3034770</v>
      </c>
      <c r="G8" s="25">
        <v>3171912</v>
      </c>
      <c r="H8" s="25">
        <v>5234196</v>
      </c>
      <c r="I8" s="25">
        <v>4817043</v>
      </c>
      <c r="J8" s="25">
        <v>3905605</v>
      </c>
      <c r="K8" s="25">
        <v>3921279</v>
      </c>
      <c r="L8" s="25">
        <v>4043517</v>
      </c>
      <c r="M8" s="25">
        <v>4108548</v>
      </c>
      <c r="N8" s="25">
        <v>3709470</v>
      </c>
      <c r="O8" s="25">
        <v>3941468</v>
      </c>
      <c r="P8" s="25">
        <v>3923734</v>
      </c>
      <c r="Q8" s="25">
        <v>3940825</v>
      </c>
      <c r="R8" s="25">
        <v>3821215</v>
      </c>
      <c r="S8" s="25">
        <v>4410161</v>
      </c>
      <c r="T8" s="25">
        <v>4464139</v>
      </c>
      <c r="U8" s="25">
        <v>5423617</v>
      </c>
      <c r="V8" s="25">
        <v>5647383</v>
      </c>
      <c r="W8" s="25" t="s">
        <v>28</v>
      </c>
      <c r="X8" s="28" t="s">
        <v>29</v>
      </c>
    </row>
    <row r="9" spans="1:24" ht="36">
      <c r="A9" s="22" t="s">
        <v>30</v>
      </c>
      <c r="B9" s="23" t="s">
        <v>31</v>
      </c>
      <c r="C9" s="24">
        <v>1936418</v>
      </c>
      <c r="D9" s="25">
        <v>44088303</v>
      </c>
      <c r="E9" s="25">
        <v>62667201</v>
      </c>
      <c r="F9" s="25">
        <v>118460795</v>
      </c>
      <c r="G9" s="25">
        <v>203546465</v>
      </c>
      <c r="H9" s="25">
        <v>290442948</v>
      </c>
      <c r="I9" s="25">
        <v>389479511.51599997</v>
      </c>
      <c r="J9" s="25">
        <v>495028363</v>
      </c>
      <c r="K9" s="25">
        <v>518167815.75800002</v>
      </c>
      <c r="L9" s="25">
        <v>531201866</v>
      </c>
      <c r="M9" s="25">
        <v>537169276</v>
      </c>
      <c r="N9" s="25">
        <v>540378798.71700001</v>
      </c>
      <c r="O9" s="25">
        <v>547801802.67299998</v>
      </c>
      <c r="P9" s="25">
        <v>560984590.09099996</v>
      </c>
      <c r="Q9" s="25">
        <v>576412126.70000005</v>
      </c>
      <c r="R9" s="25">
        <v>592904628.60399997</v>
      </c>
      <c r="S9" s="25">
        <v>586806003.80599999</v>
      </c>
      <c r="T9" s="25">
        <v>577111901.16199994</v>
      </c>
      <c r="U9" s="25">
        <v>607767902.72300005</v>
      </c>
      <c r="V9" s="25">
        <v>622585129.796</v>
      </c>
      <c r="W9" s="25">
        <v>617490665.92200005</v>
      </c>
      <c r="X9" s="26" t="s">
        <v>32</v>
      </c>
    </row>
    <row r="10" spans="1:24" ht="24">
      <c r="A10" s="27" t="s">
        <v>23</v>
      </c>
      <c r="B10" s="23" t="s">
        <v>31</v>
      </c>
      <c r="C10" s="24">
        <v>1772921</v>
      </c>
      <c r="D10" s="25">
        <v>37428005</v>
      </c>
      <c r="E10" s="25">
        <v>56179998</v>
      </c>
      <c r="F10" s="25">
        <v>103184998</v>
      </c>
      <c r="G10" s="25">
        <v>179073203</v>
      </c>
      <c r="H10" s="25">
        <v>256841584</v>
      </c>
      <c r="I10" s="25">
        <v>349758383.41000003</v>
      </c>
      <c r="J10" s="25">
        <v>435384165.73199999</v>
      </c>
      <c r="K10" s="25">
        <v>443409223.454</v>
      </c>
      <c r="L10" s="25">
        <v>448516180</v>
      </c>
      <c r="M10" s="25">
        <v>448756663</v>
      </c>
      <c r="N10" s="25">
        <v>442914458</v>
      </c>
      <c r="O10" s="25">
        <v>432758183.17199999</v>
      </c>
      <c r="P10" s="25">
        <v>436314042.42500001</v>
      </c>
      <c r="Q10" s="25">
        <v>426484068.25099999</v>
      </c>
      <c r="R10" s="25">
        <v>418327450.66799998</v>
      </c>
      <c r="S10" s="25">
        <v>409069939.167</v>
      </c>
      <c r="T10" s="25">
        <v>394522245.04000002</v>
      </c>
      <c r="U10" s="25">
        <v>400373182.48000002</v>
      </c>
      <c r="V10" s="25">
        <v>408441460.92000002</v>
      </c>
      <c r="W10" s="25">
        <v>391570543.29000002</v>
      </c>
      <c r="X10" s="28" t="s">
        <v>24</v>
      </c>
    </row>
    <row r="11" spans="1:24">
      <c r="A11" s="27" t="s">
        <v>25</v>
      </c>
      <c r="B11" s="23" t="s">
        <v>31</v>
      </c>
      <c r="C11" s="24">
        <v>0</v>
      </c>
      <c r="D11" s="25">
        <v>2778660</v>
      </c>
      <c r="E11" s="25">
        <v>1754007</v>
      </c>
      <c r="F11" s="25">
        <v>4206029</v>
      </c>
      <c r="G11" s="25">
        <v>4032626</v>
      </c>
      <c r="H11" s="25">
        <v>4836511</v>
      </c>
      <c r="I11" s="25">
        <v>14611607.41</v>
      </c>
      <c r="J11" s="25">
        <v>38433843.506999999</v>
      </c>
      <c r="K11" s="25">
        <v>52670708.723999999</v>
      </c>
      <c r="L11" s="25">
        <v>58964028</v>
      </c>
      <c r="M11" s="25">
        <v>66710267</v>
      </c>
      <c r="N11" s="25">
        <v>78494632</v>
      </c>
      <c r="O11" s="25">
        <v>94756654.181999996</v>
      </c>
      <c r="P11" s="25">
        <v>103906393.123</v>
      </c>
      <c r="Q11" s="25">
        <v>126741533.544</v>
      </c>
      <c r="R11" s="25">
        <v>151520205.79800001</v>
      </c>
      <c r="S11" s="25">
        <v>152823960.20199999</v>
      </c>
      <c r="T11" s="25">
        <v>155963474.68099999</v>
      </c>
      <c r="U11" s="25">
        <v>175412367.243</v>
      </c>
      <c r="V11" s="25">
        <v>185507860.96200001</v>
      </c>
      <c r="W11" s="25">
        <v>195345010.632</v>
      </c>
      <c r="X11" s="28" t="s">
        <v>26</v>
      </c>
    </row>
    <row r="12" spans="1:24" ht="26.25">
      <c r="A12" s="27" t="s">
        <v>33</v>
      </c>
      <c r="B12" s="23" t="s">
        <v>31</v>
      </c>
      <c r="C12" s="24">
        <v>163497</v>
      </c>
      <c r="D12" s="25">
        <v>3881638</v>
      </c>
      <c r="E12" s="25">
        <v>4733196</v>
      </c>
      <c r="F12" s="25">
        <v>11067768</v>
      </c>
      <c r="G12" s="25">
        <v>20440636</v>
      </c>
      <c r="H12" s="25">
        <v>28764853</v>
      </c>
      <c r="I12" s="25">
        <v>25109521.695999999</v>
      </c>
      <c r="J12" s="25">
        <v>21210354</v>
      </c>
      <c r="K12" s="25">
        <v>22087883.581</v>
      </c>
      <c r="L12" s="25">
        <v>23721658</v>
      </c>
      <c r="M12" s="25">
        <v>21702345</v>
      </c>
      <c r="N12" s="25">
        <v>18969708.747000001</v>
      </c>
      <c r="O12" s="25">
        <v>20286965.318999998</v>
      </c>
      <c r="P12" s="25">
        <v>20764154.543000001</v>
      </c>
      <c r="Q12" s="25">
        <v>23186524.905000001</v>
      </c>
      <c r="R12" s="25">
        <v>23056972.138</v>
      </c>
      <c r="S12" s="25">
        <v>24912104.436999999</v>
      </c>
      <c r="T12" s="25">
        <v>26626181.441</v>
      </c>
      <c r="U12" s="25">
        <v>31982353</v>
      </c>
      <c r="V12" s="25">
        <v>28635807.912999999</v>
      </c>
      <c r="W12" s="25">
        <v>30575112</v>
      </c>
      <c r="X12" s="28" t="s">
        <v>34</v>
      </c>
    </row>
    <row r="13" spans="1:24">
      <c r="A13" s="22"/>
      <c r="B13" s="23"/>
      <c r="C13" s="24">
        <v>0</v>
      </c>
      <c r="D13" s="29">
        <v>0</v>
      </c>
      <c r="E13" s="29">
        <v>0</v>
      </c>
      <c r="F13" s="29">
        <v>0</v>
      </c>
      <c r="G13" s="30">
        <v>1554996</v>
      </c>
      <c r="H13" s="30">
        <v>4721413</v>
      </c>
      <c r="I13" s="30">
        <v>269341</v>
      </c>
      <c r="J13" s="30">
        <v>842196</v>
      </c>
      <c r="K13" s="30">
        <v>813434</v>
      </c>
      <c r="L13" s="30">
        <v>2094121</v>
      </c>
      <c r="M13" s="30">
        <v>1680942</v>
      </c>
      <c r="N13" s="30">
        <v>561813</v>
      </c>
      <c r="O13" s="30">
        <v>576355</v>
      </c>
      <c r="P13" s="30">
        <v>220419</v>
      </c>
      <c r="Q13" s="30">
        <v>304506</v>
      </c>
      <c r="R13" s="30">
        <v>798850</v>
      </c>
      <c r="S13" s="30">
        <v>1146405</v>
      </c>
      <c r="T13" s="30">
        <v>1676440</v>
      </c>
      <c r="U13" s="30">
        <v>1023939</v>
      </c>
      <c r="V13" s="30">
        <v>451043</v>
      </c>
      <c r="W13" s="30">
        <v>1130949</v>
      </c>
      <c r="X13" s="26"/>
    </row>
    <row r="14" spans="1:24" ht="24">
      <c r="A14" s="22" t="s">
        <v>35</v>
      </c>
      <c r="B14" s="23" t="s">
        <v>31</v>
      </c>
      <c r="C14" s="24">
        <v>89337</v>
      </c>
      <c r="D14" s="25">
        <v>2102514</v>
      </c>
      <c r="E14" s="25">
        <v>3422742</v>
      </c>
      <c r="F14" s="25">
        <v>5394570</v>
      </c>
      <c r="G14" s="25">
        <v>8298749</v>
      </c>
      <c r="H14" s="25">
        <v>12328447</v>
      </c>
      <c r="I14" s="25">
        <v>16451550.813999999</v>
      </c>
      <c r="J14" s="25">
        <v>19371716.664999999</v>
      </c>
      <c r="K14" s="25">
        <v>19689177.796999998</v>
      </c>
      <c r="L14" s="25">
        <v>20154366</v>
      </c>
      <c r="M14" s="25">
        <v>20463269</v>
      </c>
      <c r="N14" s="25">
        <v>20257068</v>
      </c>
      <c r="O14" s="25">
        <v>23782283.037999999</v>
      </c>
      <c r="P14" s="25">
        <v>21504883.971000001</v>
      </c>
      <c r="Q14" s="25">
        <v>21707139.392999999</v>
      </c>
      <c r="R14" s="25">
        <v>21371528</v>
      </c>
      <c r="S14" s="25">
        <v>21572766.443999998</v>
      </c>
      <c r="T14" s="25">
        <v>21135359.713</v>
      </c>
      <c r="U14" s="25">
        <v>21254112.548999999</v>
      </c>
      <c r="V14" s="25">
        <v>22081218.451000001</v>
      </c>
      <c r="W14" s="25">
        <v>20976474.778999999</v>
      </c>
      <c r="X14" s="26" t="s">
        <v>36</v>
      </c>
    </row>
    <row r="15" spans="1:24" ht="24">
      <c r="A15" s="31" t="s">
        <v>37</v>
      </c>
      <c r="B15" s="32" t="s">
        <v>38</v>
      </c>
      <c r="C15" s="33">
        <v>5.04</v>
      </c>
      <c r="D15" s="34">
        <v>5.23</v>
      </c>
      <c r="E15" s="34">
        <v>5.91</v>
      </c>
      <c r="F15" s="34">
        <v>5.0199999999999996</v>
      </c>
      <c r="G15" s="34">
        <v>4.53</v>
      </c>
      <c r="H15" s="34">
        <v>4.71</v>
      </c>
      <c r="I15" s="34">
        <v>4.5599999999999996</v>
      </c>
      <c r="J15" s="34">
        <v>4.08</v>
      </c>
      <c r="K15" s="34">
        <v>3.96</v>
      </c>
      <c r="L15" s="34">
        <v>3.96</v>
      </c>
      <c r="M15" s="34">
        <v>3.96</v>
      </c>
      <c r="N15" s="34">
        <v>3.88</v>
      </c>
      <c r="O15" s="34">
        <v>4.5030000000000001</v>
      </c>
      <c r="P15" s="34">
        <v>3.9790000000000001</v>
      </c>
      <c r="Q15" s="34">
        <v>3.9220000000000002</v>
      </c>
      <c r="R15" s="34">
        <v>3.7480000000000002</v>
      </c>
      <c r="S15" s="34">
        <v>3.831</v>
      </c>
      <c r="T15" s="34">
        <v>3.8279999999999998</v>
      </c>
      <c r="U15" s="34">
        <v>3.6850000000000001</v>
      </c>
      <c r="V15" s="34">
        <v>3.7149999999999999</v>
      </c>
      <c r="W15" s="34">
        <v>3.5670000000000002</v>
      </c>
      <c r="X15" s="35" t="s">
        <v>39</v>
      </c>
    </row>
    <row r="16" spans="1:24" ht="24">
      <c r="A16" s="22" t="s">
        <v>40</v>
      </c>
      <c r="B16" s="23" t="s">
        <v>31</v>
      </c>
      <c r="C16" s="24">
        <v>0</v>
      </c>
      <c r="D16" s="25">
        <v>153950</v>
      </c>
      <c r="E16" s="25">
        <v>676358</v>
      </c>
      <c r="F16" s="25">
        <v>2272202</v>
      </c>
      <c r="G16" s="25">
        <v>3668783</v>
      </c>
      <c r="H16" s="25">
        <v>2117789</v>
      </c>
      <c r="I16" s="25">
        <v>1980382.7609999999</v>
      </c>
      <c r="J16" s="25">
        <v>3662630</v>
      </c>
      <c r="K16" s="25">
        <v>4256763.0329999998</v>
      </c>
      <c r="L16" s="25">
        <v>4789137</v>
      </c>
      <c r="M16" s="25">
        <v>5408107</v>
      </c>
      <c r="N16" s="25">
        <v>6644037</v>
      </c>
      <c r="O16" s="25">
        <v>4823506.7439999999</v>
      </c>
      <c r="P16" s="25">
        <v>4716402.8130000001</v>
      </c>
      <c r="Q16" s="25">
        <v>5476612</v>
      </c>
      <c r="R16" s="25">
        <v>5105659.3269999996</v>
      </c>
      <c r="S16" s="25">
        <v>4587618.6619999995</v>
      </c>
      <c r="T16" s="25">
        <v>4351009.6069999998</v>
      </c>
      <c r="U16" s="25">
        <v>4855815.3449999997</v>
      </c>
      <c r="V16" s="25">
        <v>4911837.4809999997</v>
      </c>
      <c r="W16" s="25">
        <v>4924789.534</v>
      </c>
      <c r="X16" s="26" t="s">
        <v>41</v>
      </c>
    </row>
    <row r="17" spans="1:24" ht="36">
      <c r="A17" s="22" t="s">
        <v>42</v>
      </c>
      <c r="B17" s="23" t="s">
        <v>31</v>
      </c>
      <c r="C17" s="24">
        <v>1683584</v>
      </c>
      <c r="D17" s="25">
        <v>37950201</v>
      </c>
      <c r="E17" s="25">
        <v>53908278</v>
      </c>
      <c r="F17" s="25">
        <v>100002741</v>
      </c>
      <c r="G17" s="25">
        <v>172693293</v>
      </c>
      <c r="H17" s="25">
        <v>251953275</v>
      </c>
      <c r="I17" s="25">
        <v>346207396.94099998</v>
      </c>
      <c r="J17" s="25">
        <v>451432992.11799997</v>
      </c>
      <c r="K17" s="25">
        <v>472650335.63</v>
      </c>
      <c r="L17" s="25">
        <v>484334191</v>
      </c>
      <c r="M17" s="25">
        <v>491002570</v>
      </c>
      <c r="N17" s="25">
        <v>494716613</v>
      </c>
      <c r="O17" s="25">
        <v>499239420.89399999</v>
      </c>
      <c r="P17" s="25">
        <v>514118988.39999998</v>
      </c>
      <c r="Q17" s="25">
        <v>525710752</v>
      </c>
      <c r="R17" s="25">
        <v>543231595.73500001</v>
      </c>
      <c r="S17" s="25">
        <v>536197809.48699999</v>
      </c>
      <c r="T17" s="25">
        <v>525850761.727</v>
      </c>
      <c r="U17" s="25">
        <v>549623783.30499995</v>
      </c>
      <c r="V17" s="25">
        <v>566864975.71599996</v>
      </c>
      <c r="W17" s="25">
        <v>561446575.06099999</v>
      </c>
      <c r="X17" s="26" t="s">
        <v>43</v>
      </c>
    </row>
    <row r="18" spans="1:24" ht="24">
      <c r="A18" s="22" t="s">
        <v>44</v>
      </c>
      <c r="B18" s="23" t="s">
        <v>31</v>
      </c>
      <c r="C18" s="24">
        <v>494198</v>
      </c>
      <c r="D18" s="25">
        <v>2252746</v>
      </c>
      <c r="E18" s="25">
        <v>3176183</v>
      </c>
      <c r="F18" s="25">
        <v>5619450</v>
      </c>
      <c r="G18" s="25">
        <v>9422999</v>
      </c>
      <c r="H18" s="25">
        <v>11871191</v>
      </c>
      <c r="I18" s="25">
        <v>15614768.342</v>
      </c>
      <c r="J18" s="25">
        <v>18034237</v>
      </c>
      <c r="K18" s="25">
        <v>17430382.611000001</v>
      </c>
      <c r="L18" s="25">
        <v>17291504</v>
      </c>
      <c r="M18" s="25">
        <v>18311111</v>
      </c>
      <c r="N18" s="25">
        <v>18270412</v>
      </c>
      <c r="O18" s="25">
        <v>17979209.894000001</v>
      </c>
      <c r="P18" s="25">
        <v>18474842.399999999</v>
      </c>
      <c r="Q18" s="25">
        <v>18790097</v>
      </c>
      <c r="R18" s="25">
        <v>19359354.973999999</v>
      </c>
      <c r="S18" s="25">
        <v>19000474.771000002</v>
      </c>
      <c r="T18" s="25">
        <v>18609970.524999999</v>
      </c>
      <c r="U18" s="25">
        <v>19424217.846000001</v>
      </c>
      <c r="V18" s="25">
        <v>20019815.370000001</v>
      </c>
      <c r="W18" s="25">
        <v>19813450.449000001</v>
      </c>
      <c r="X18" s="26" t="s">
        <v>45</v>
      </c>
    </row>
    <row r="19" spans="1:24" ht="24">
      <c r="A19" s="31" t="s">
        <v>46</v>
      </c>
      <c r="B19" s="32" t="s">
        <v>38</v>
      </c>
      <c r="C19" s="33">
        <v>29.35</v>
      </c>
      <c r="D19" s="34">
        <v>6.66</v>
      </c>
      <c r="E19" s="34">
        <v>5.89</v>
      </c>
      <c r="F19" s="34">
        <v>5.62</v>
      </c>
      <c r="G19" s="34">
        <v>5.46</v>
      </c>
      <c r="H19" s="34">
        <v>4.71</v>
      </c>
      <c r="I19" s="34">
        <v>4.51</v>
      </c>
      <c r="J19" s="34">
        <v>3.99</v>
      </c>
      <c r="K19" s="34">
        <v>3.69</v>
      </c>
      <c r="L19" s="34">
        <v>3.57</v>
      </c>
      <c r="M19" s="34">
        <v>3.73</v>
      </c>
      <c r="N19" s="34">
        <v>3.69</v>
      </c>
      <c r="O19" s="34">
        <v>3.601</v>
      </c>
      <c r="P19" s="34">
        <v>3.593</v>
      </c>
      <c r="Q19" s="34">
        <v>3.57</v>
      </c>
      <c r="R19" s="34">
        <v>3.5640000000000001</v>
      </c>
      <c r="S19" s="34">
        <v>3.544</v>
      </c>
      <c r="T19" s="34">
        <v>3.5390000000000001</v>
      </c>
      <c r="U19" s="34">
        <v>3.5339999999999998</v>
      </c>
      <c r="V19" s="34">
        <v>3.532</v>
      </c>
      <c r="W19" s="34">
        <v>3.5289999999999999</v>
      </c>
      <c r="X19" s="35" t="s">
        <v>47</v>
      </c>
    </row>
    <row r="20" spans="1:24" ht="24">
      <c r="A20" s="22" t="s">
        <v>48</v>
      </c>
      <c r="B20" s="23" t="s">
        <v>31</v>
      </c>
      <c r="C20" s="24">
        <v>1189386</v>
      </c>
      <c r="D20" s="25">
        <v>35424455</v>
      </c>
      <c r="E20" s="25">
        <v>50732095</v>
      </c>
      <c r="F20" s="25">
        <v>94383292</v>
      </c>
      <c r="G20" s="25">
        <v>163270294</v>
      </c>
      <c r="H20" s="25">
        <v>239535486</v>
      </c>
      <c r="I20" s="25">
        <v>332412828</v>
      </c>
      <c r="J20" s="25">
        <v>434160228</v>
      </c>
      <c r="K20" s="25">
        <v>455070260.5</v>
      </c>
      <c r="L20" s="25">
        <v>466592949</v>
      </c>
      <c r="M20" s="25">
        <v>474848580</v>
      </c>
      <c r="N20" s="25">
        <v>477591701</v>
      </c>
      <c r="O20" s="25">
        <v>483654815.68800002</v>
      </c>
      <c r="P20" s="25">
        <v>497038904</v>
      </c>
      <c r="Q20" s="25">
        <v>507746386</v>
      </c>
      <c r="R20" s="25">
        <v>526149162</v>
      </c>
      <c r="S20" s="25">
        <v>520498737.72600001</v>
      </c>
      <c r="T20" s="25">
        <v>509269715.19700003</v>
      </c>
      <c r="U20" s="25">
        <v>533430810.85799998</v>
      </c>
      <c r="V20" s="25">
        <v>547932742.21500003</v>
      </c>
      <c r="W20" s="25">
        <v>545965955.35000002</v>
      </c>
      <c r="X20" s="26" t="s">
        <v>49</v>
      </c>
    </row>
    <row r="21" spans="1:24" ht="24">
      <c r="A21" s="36" t="s">
        <v>50</v>
      </c>
      <c r="B21" s="37" t="s">
        <v>38</v>
      </c>
      <c r="C21" s="24">
        <v>0</v>
      </c>
      <c r="D21" s="38">
        <v>8.2200000000000006</v>
      </c>
      <c r="E21" s="38">
        <v>7.82</v>
      </c>
      <c r="F21" s="38">
        <v>14.8</v>
      </c>
      <c r="G21" s="38">
        <v>11.4</v>
      </c>
      <c r="H21" s="38">
        <v>11.8</v>
      </c>
      <c r="I21" s="38">
        <v>6.51</v>
      </c>
      <c r="J21" s="38">
        <v>10.06</v>
      </c>
      <c r="K21" s="38">
        <v>4.8159999999999998</v>
      </c>
      <c r="L21" s="38">
        <v>2.532</v>
      </c>
      <c r="M21" s="38">
        <v>1.7689999999999999</v>
      </c>
      <c r="N21" s="38">
        <v>0.57799999999999996</v>
      </c>
      <c r="O21" s="38">
        <v>1.27</v>
      </c>
      <c r="P21" s="38">
        <v>2.7669999999999999</v>
      </c>
      <c r="Q21" s="38">
        <v>2.1539999999999999</v>
      </c>
      <c r="R21" s="38">
        <v>3.6240000000000001</v>
      </c>
      <c r="S21" s="38">
        <v>-1.0740000000000001</v>
      </c>
      <c r="T21" s="38">
        <v>-2.157</v>
      </c>
      <c r="U21" s="38">
        <v>4.7439999999999998</v>
      </c>
      <c r="V21" s="38">
        <v>2.7189999999999999</v>
      </c>
      <c r="W21" s="38">
        <v>-0.35899999999999999</v>
      </c>
      <c r="X21" s="39" t="s">
        <v>51</v>
      </c>
    </row>
    <row r="22" spans="1:24">
      <c r="A22" s="22" t="s">
        <v>52</v>
      </c>
      <c r="B22" s="23" t="s">
        <v>20</v>
      </c>
      <c r="C22" s="24">
        <v>305686</v>
      </c>
      <c r="D22" s="25">
        <v>6144194</v>
      </c>
      <c r="E22" s="25">
        <v>9348942</v>
      </c>
      <c r="F22" s="25">
        <v>17251683</v>
      </c>
      <c r="G22" s="25">
        <v>29878000</v>
      </c>
      <c r="H22" s="25">
        <v>41007164</v>
      </c>
      <c r="I22" s="25">
        <v>54631000</v>
      </c>
      <c r="J22" s="25">
        <v>71308000</v>
      </c>
      <c r="K22" s="25">
        <v>73137000</v>
      </c>
      <c r="L22" s="25">
        <v>75987000</v>
      </c>
      <c r="M22" s="25">
        <v>76522000</v>
      </c>
      <c r="N22" s="25">
        <v>80154000</v>
      </c>
      <c r="O22" s="25">
        <v>78790000</v>
      </c>
      <c r="P22" s="25">
        <v>85183000</v>
      </c>
      <c r="Q22" s="25">
        <v>85133000</v>
      </c>
      <c r="R22" s="25">
        <v>92478000</v>
      </c>
      <c r="S22" s="25">
        <v>90314000</v>
      </c>
      <c r="T22" s="25">
        <v>89091000</v>
      </c>
      <c r="U22" s="25">
        <v>91141000</v>
      </c>
      <c r="V22" s="25">
        <v>94509000</v>
      </c>
      <c r="W22" s="25">
        <v>93615000</v>
      </c>
      <c r="X22" s="40" t="s">
        <v>53</v>
      </c>
    </row>
    <row r="23" spans="1:24">
      <c r="A23" s="22" t="s">
        <v>54</v>
      </c>
      <c r="B23" s="23" t="s">
        <v>20</v>
      </c>
      <c r="C23" s="24">
        <v>202388</v>
      </c>
      <c r="D23" s="25">
        <v>48589802</v>
      </c>
      <c r="E23" s="25">
        <v>6621847</v>
      </c>
      <c r="F23" s="25">
        <v>12291040</v>
      </c>
      <c r="G23" s="25">
        <v>21080003</v>
      </c>
      <c r="H23" s="25">
        <v>30327813</v>
      </c>
      <c r="I23" s="25">
        <v>41625494</v>
      </c>
      <c r="J23" s="25">
        <v>54184955</v>
      </c>
      <c r="K23" s="25">
        <v>56722986.958999999</v>
      </c>
      <c r="L23" s="25">
        <v>58011649</v>
      </c>
      <c r="M23" s="25">
        <v>59035145</v>
      </c>
      <c r="N23" s="25">
        <v>59585720</v>
      </c>
      <c r="O23" s="25">
        <v>60284382.725000001</v>
      </c>
      <c r="P23" s="25">
        <v>61694161.425999999</v>
      </c>
      <c r="Q23" s="25">
        <v>63188368.423</v>
      </c>
      <c r="R23" s="25">
        <v>65142295.270999998</v>
      </c>
      <c r="S23" s="25">
        <v>64274007.397</v>
      </c>
      <c r="T23" s="25">
        <v>62859990.910999998</v>
      </c>
      <c r="U23" s="25">
        <v>65845832.005000003</v>
      </c>
      <c r="V23" s="25">
        <v>67853922.922000006</v>
      </c>
      <c r="W23" s="25">
        <v>67128596.270999998</v>
      </c>
      <c r="X23" s="40" t="s">
        <v>55</v>
      </c>
    </row>
    <row r="24" spans="1:24">
      <c r="A24" s="36" t="s">
        <v>56</v>
      </c>
      <c r="B24" s="37" t="s">
        <v>38</v>
      </c>
      <c r="C24" s="41">
        <v>66.2</v>
      </c>
      <c r="D24" s="38">
        <v>74.7</v>
      </c>
      <c r="E24" s="38">
        <v>70.8</v>
      </c>
      <c r="F24" s="38">
        <v>71.2</v>
      </c>
      <c r="G24" s="38">
        <v>70.599999999999994</v>
      </c>
      <c r="H24" s="38">
        <v>74</v>
      </c>
      <c r="I24" s="38">
        <v>76.2</v>
      </c>
      <c r="J24" s="38">
        <v>75.986999999999995</v>
      </c>
      <c r="K24" s="38">
        <v>77.557000000000002</v>
      </c>
      <c r="L24" s="38">
        <v>76.3</v>
      </c>
      <c r="M24" s="38">
        <v>77.099999999999994</v>
      </c>
      <c r="N24" s="38">
        <v>74.3</v>
      </c>
      <c r="O24" s="38">
        <v>76.513000000000005</v>
      </c>
      <c r="P24" s="38">
        <v>72.424999999999997</v>
      </c>
      <c r="Q24" s="38">
        <v>74.222999999999999</v>
      </c>
      <c r="R24" s="38">
        <v>70.441000000000003</v>
      </c>
      <c r="S24" s="38">
        <v>71.167000000000002</v>
      </c>
      <c r="T24" s="38">
        <v>70.557000000000002</v>
      </c>
      <c r="U24" s="38">
        <v>72.245999999999995</v>
      </c>
      <c r="V24" s="38">
        <v>71.796000000000006</v>
      </c>
      <c r="W24" s="38">
        <v>71.706999999999994</v>
      </c>
      <c r="X24" s="39" t="s">
        <v>57</v>
      </c>
    </row>
    <row r="25" spans="1:24">
      <c r="A25" s="36" t="s">
        <v>58</v>
      </c>
      <c r="B25" s="37" t="s">
        <v>38</v>
      </c>
      <c r="C25" s="41">
        <v>55.1</v>
      </c>
      <c r="D25" s="38">
        <v>46.7</v>
      </c>
      <c r="E25" s="38">
        <v>43.5</v>
      </c>
      <c r="F25" s="38">
        <v>58.4</v>
      </c>
      <c r="G25" s="38">
        <v>66.3</v>
      </c>
      <c r="H25" s="38">
        <v>62.2</v>
      </c>
      <c r="I25" s="38">
        <v>67.5</v>
      </c>
      <c r="J25" s="38">
        <v>73.3</v>
      </c>
      <c r="K25" s="38">
        <v>73.915000000000006</v>
      </c>
      <c r="L25" s="38">
        <v>70.2</v>
      </c>
      <c r="M25" s="38">
        <v>68</v>
      </c>
      <c r="N25" s="38">
        <v>63.9</v>
      </c>
      <c r="O25" s="38">
        <v>61.7</v>
      </c>
      <c r="P25" s="38">
        <v>58.276000000000003</v>
      </c>
      <c r="Q25" s="38">
        <v>54.05</v>
      </c>
      <c r="R25" s="38">
        <v>54.698999999999998</v>
      </c>
      <c r="S25" s="38">
        <v>51.280999999999999</v>
      </c>
      <c r="T25" s="38">
        <v>48.656999999999996</v>
      </c>
      <c r="U25" s="38">
        <v>49.131</v>
      </c>
      <c r="V25" s="38">
        <v>49.1</v>
      </c>
      <c r="W25" s="38">
        <v>46.481000000000002</v>
      </c>
      <c r="X25" s="39" t="s">
        <v>59</v>
      </c>
    </row>
    <row r="26" spans="1:24">
      <c r="A26" s="42" t="s">
        <v>60</v>
      </c>
      <c r="B26" s="32" t="s">
        <v>61</v>
      </c>
      <c r="C26" s="33">
        <v>3.22</v>
      </c>
      <c r="D26" s="34">
        <v>64.31</v>
      </c>
      <c r="E26" s="34">
        <v>67.92</v>
      </c>
      <c r="F26" s="34">
        <v>52.94</v>
      </c>
      <c r="G26" s="34">
        <v>61.28</v>
      </c>
      <c r="H26" s="34">
        <v>74.650000000000006</v>
      </c>
      <c r="I26" s="34">
        <v>74.459999999999994</v>
      </c>
      <c r="J26" s="34">
        <v>86.12</v>
      </c>
      <c r="K26" s="34">
        <v>89.32</v>
      </c>
      <c r="L26" s="34">
        <v>99.1</v>
      </c>
      <c r="M26" s="34">
        <v>106.33</v>
      </c>
      <c r="N26" s="34">
        <v>111.28</v>
      </c>
      <c r="O26" s="34">
        <v>111.575</v>
      </c>
      <c r="P26" s="34">
        <v>111.23399999999999</v>
      </c>
      <c r="Q26" s="34">
        <v>109.53100000000001</v>
      </c>
      <c r="R26" s="34">
        <v>108.748</v>
      </c>
      <c r="S26" s="34">
        <v>108.658</v>
      </c>
      <c r="T26" s="34">
        <v>109.801</v>
      </c>
      <c r="U26" s="34">
        <v>108.11</v>
      </c>
      <c r="V26" s="34">
        <v>120.508</v>
      </c>
      <c r="W26" s="34">
        <v>152.80000000000001</v>
      </c>
      <c r="X26" s="43" t="s">
        <v>62</v>
      </c>
    </row>
    <row r="27" spans="1:24">
      <c r="A27" s="22" t="s">
        <v>63</v>
      </c>
      <c r="B27" s="23" t="s">
        <v>64</v>
      </c>
      <c r="C27" s="24">
        <v>797252</v>
      </c>
      <c r="D27" s="25">
        <v>5682341</v>
      </c>
      <c r="E27" s="25">
        <v>6931167</v>
      </c>
      <c r="F27" s="25">
        <v>9315211</v>
      </c>
      <c r="G27" s="25">
        <v>12771338</v>
      </c>
      <c r="H27" s="25">
        <v>14975793</v>
      </c>
      <c r="I27" s="25">
        <v>17329494</v>
      </c>
      <c r="J27" s="25">
        <v>19229450</v>
      </c>
      <c r="K27" s="25">
        <v>19814866</v>
      </c>
      <c r="L27" s="25">
        <v>20475899</v>
      </c>
      <c r="M27" s="25">
        <v>21017693</v>
      </c>
      <c r="N27" s="25">
        <v>21532269</v>
      </c>
      <c r="O27" s="25">
        <v>22030215</v>
      </c>
      <c r="P27" s="25">
        <v>22552719</v>
      </c>
      <c r="Q27" s="25">
        <v>23077023</v>
      </c>
      <c r="R27" s="25">
        <v>23501542</v>
      </c>
      <c r="S27" s="25">
        <v>23860032</v>
      </c>
      <c r="T27" s="25">
        <v>24198304</v>
      </c>
      <c r="U27" s="25">
        <v>24523304</v>
      </c>
      <c r="V27" s="25">
        <v>24866375</v>
      </c>
      <c r="W27" s="25">
        <v>25128874</v>
      </c>
      <c r="X27" s="26" t="s">
        <v>65</v>
      </c>
    </row>
    <row r="28" spans="1:24" ht="38.25">
      <c r="A28" s="22" t="s">
        <v>66</v>
      </c>
      <c r="B28" s="23" t="s">
        <v>67</v>
      </c>
      <c r="C28" s="24">
        <v>69</v>
      </c>
      <c r="D28" s="25">
        <v>1038</v>
      </c>
      <c r="E28" s="25">
        <v>1422</v>
      </c>
      <c r="F28" s="25">
        <v>2516</v>
      </c>
      <c r="G28" s="25">
        <v>4117</v>
      </c>
      <c r="H28" s="25">
        <v>5635</v>
      </c>
      <c r="I28" s="25">
        <v>7550.384</v>
      </c>
      <c r="J28" s="25">
        <v>9711.8089999999993</v>
      </c>
      <c r="K28" s="25">
        <v>9981.8989999999994</v>
      </c>
      <c r="L28" s="25">
        <v>10190.581</v>
      </c>
      <c r="M28" s="25">
        <v>10112.106</v>
      </c>
      <c r="N28" s="25">
        <v>10169.338</v>
      </c>
      <c r="O28" s="25">
        <v>10433.07</v>
      </c>
      <c r="P28" s="25">
        <v>10546.071</v>
      </c>
      <c r="Q28" s="25">
        <v>10759.397000000001</v>
      </c>
      <c r="R28" s="25">
        <v>11057.619000000001</v>
      </c>
      <c r="S28" s="25">
        <v>10859.050999999999</v>
      </c>
      <c r="T28" s="25">
        <v>10653.531999999999</v>
      </c>
      <c r="U28" s="25">
        <v>11170.076999999999</v>
      </c>
      <c r="V28" s="25">
        <v>11555.433000000001</v>
      </c>
      <c r="W28" s="25">
        <v>11457.237999999999</v>
      </c>
      <c r="X28" s="26" t="s">
        <v>68</v>
      </c>
    </row>
    <row r="29" spans="1:24">
      <c r="A29" s="22"/>
      <c r="B29" s="23"/>
      <c r="C29" s="24">
        <v>0</v>
      </c>
      <c r="D29" s="29">
        <v>0</v>
      </c>
      <c r="E29" s="29">
        <v>0</v>
      </c>
      <c r="F29" s="29">
        <v>0</v>
      </c>
      <c r="G29" s="30">
        <v>4538</v>
      </c>
      <c r="H29" s="30">
        <v>6144</v>
      </c>
      <c r="I29" s="30">
        <v>8064.7359999999999</v>
      </c>
      <c r="J29" s="30">
        <v>10128.553</v>
      </c>
      <c r="K29" s="30">
        <v>10397.259</v>
      </c>
      <c r="L29" s="30">
        <v>10623.093999999999</v>
      </c>
      <c r="M29" s="30">
        <v>10503.596</v>
      </c>
      <c r="N29" s="30">
        <v>10573.325000000001</v>
      </c>
      <c r="O29" s="30">
        <v>10777.58</v>
      </c>
      <c r="P29" s="30">
        <v>10946.958000000001</v>
      </c>
      <c r="Q29" s="30">
        <v>11204.173000000001</v>
      </c>
      <c r="R29" s="30">
        <v>11488.923000000001</v>
      </c>
      <c r="S29" s="30">
        <v>11317.406999999999</v>
      </c>
      <c r="T29" s="30">
        <v>11134.918</v>
      </c>
      <c r="U29" s="30">
        <v>11769.596</v>
      </c>
      <c r="V29" s="30">
        <v>12142.531000000001</v>
      </c>
      <c r="W29" s="30">
        <v>12030.915000000001</v>
      </c>
      <c r="X29" s="26"/>
    </row>
    <row r="30" spans="1:24" ht="36.75" thickBot="1">
      <c r="A30" s="44" t="s">
        <v>69</v>
      </c>
      <c r="B30" s="45" t="s">
        <v>67</v>
      </c>
      <c r="C30" s="46">
        <v>46</v>
      </c>
      <c r="D30" s="47">
        <v>915</v>
      </c>
      <c r="E30" s="47">
        <v>1243</v>
      </c>
      <c r="F30" s="47">
        <v>2202</v>
      </c>
      <c r="G30" s="47">
        <v>3640</v>
      </c>
      <c r="H30" s="47">
        <v>5067</v>
      </c>
      <c r="I30" s="47">
        <v>6883</v>
      </c>
      <c r="J30" s="47">
        <v>8883.1579999999994</v>
      </c>
      <c r="K30" s="47">
        <v>9141.7309999999998</v>
      </c>
      <c r="L30" s="47">
        <v>9331.0300000000007</v>
      </c>
      <c r="M30" s="47">
        <v>9285.0020000000004</v>
      </c>
      <c r="N30" s="47">
        <v>9304.7160000000003</v>
      </c>
      <c r="O30" s="47">
        <v>9555.1769999999997</v>
      </c>
      <c r="P30" s="47">
        <v>9699.1329999999998</v>
      </c>
      <c r="Q30" s="47">
        <v>9869.4629999999997</v>
      </c>
      <c r="R30" s="47">
        <v>10195.379000000001</v>
      </c>
      <c r="S30" s="47">
        <v>10038.575000000001</v>
      </c>
      <c r="T30" s="47">
        <v>9825.9560000000001</v>
      </c>
      <c r="U30" s="47">
        <v>10330.037</v>
      </c>
      <c r="V30" s="47">
        <v>10652.08</v>
      </c>
      <c r="W30" s="47">
        <v>10637.359</v>
      </c>
      <c r="X30" s="48" t="s">
        <v>70</v>
      </c>
    </row>
    <row r="31" spans="1:24">
      <c r="A31" s="49" t="s">
        <v>71</v>
      </c>
      <c r="B31" s="50"/>
      <c r="C31" s="50"/>
      <c r="D31" s="25"/>
      <c r="E31" s="25"/>
      <c r="F31" s="25"/>
      <c r="G31" s="25"/>
      <c r="H31" s="25"/>
      <c r="I31" s="9"/>
      <c r="J31" s="49"/>
      <c r="K31" s="49"/>
      <c r="L31" s="49" t="s">
        <v>72</v>
      </c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51"/>
    </row>
    <row r="32" spans="1:24">
      <c r="A32" s="49" t="s">
        <v>73</v>
      </c>
      <c r="B32" s="50"/>
      <c r="C32" s="50"/>
      <c r="D32" s="25"/>
      <c r="E32" s="25"/>
      <c r="F32" s="25"/>
      <c r="G32" s="25"/>
      <c r="H32" s="25"/>
      <c r="I32" s="9"/>
      <c r="J32" s="49"/>
      <c r="K32" s="49"/>
      <c r="L32" s="49" t="s">
        <v>74</v>
      </c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51"/>
    </row>
    <row r="33" spans="1:24">
      <c r="A33" s="49" t="s">
        <v>75</v>
      </c>
      <c r="B33" s="50"/>
      <c r="C33" s="50"/>
      <c r="D33" s="25"/>
      <c r="E33" s="25"/>
      <c r="F33" s="25"/>
      <c r="G33" s="25"/>
      <c r="H33" s="25"/>
      <c r="I33" s="9"/>
      <c r="J33" s="49"/>
      <c r="K33" s="49"/>
      <c r="L33" s="49" t="s">
        <v>76</v>
      </c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51"/>
    </row>
    <row r="34" spans="1:24">
      <c r="A34" s="49" t="s">
        <v>77</v>
      </c>
      <c r="B34" s="49"/>
      <c r="C34" s="49"/>
      <c r="D34" s="49"/>
      <c r="E34" s="49"/>
      <c r="F34" s="49"/>
      <c r="G34" s="49"/>
      <c r="H34" s="49"/>
      <c r="I34" s="9"/>
      <c r="J34" s="49"/>
      <c r="K34" s="49"/>
      <c r="L34" s="49" t="s">
        <v>78</v>
      </c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10"/>
    </row>
  </sheetData>
  <mergeCells count="1">
    <mergeCell ref="X3:X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C2"/>
  <sheetViews>
    <sheetView workbookViewId="0">
      <selection activeCell="J16" sqref="J16"/>
    </sheetView>
  </sheetViews>
  <sheetFormatPr defaultRowHeight="15"/>
  <cols>
    <col min="1" max="1" width="20.42578125" customWidth="1"/>
  </cols>
  <sheetData>
    <row r="1" spans="1:81">
      <c r="A1" t="s">
        <v>2</v>
      </c>
      <c r="B1">
        <v>2021</v>
      </c>
      <c r="C1">
        <v>2022</v>
      </c>
      <c r="D1">
        <v>2023</v>
      </c>
      <c r="E1" s="52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  <c r="BA1">
        <v>2072</v>
      </c>
      <c r="BB1">
        <v>2073</v>
      </c>
      <c r="BC1">
        <v>2074</v>
      </c>
      <c r="BD1">
        <v>2075</v>
      </c>
      <c r="BE1">
        <v>2076</v>
      </c>
      <c r="BF1">
        <v>2077</v>
      </c>
      <c r="BG1">
        <v>2078</v>
      </c>
      <c r="BH1">
        <v>2079</v>
      </c>
      <c r="BI1">
        <v>2080</v>
      </c>
      <c r="BJ1">
        <v>2081</v>
      </c>
      <c r="BK1">
        <v>2082</v>
      </c>
      <c r="BL1">
        <v>2083</v>
      </c>
      <c r="BM1">
        <v>2084</v>
      </c>
      <c r="BN1">
        <v>2085</v>
      </c>
      <c r="BO1">
        <v>2086</v>
      </c>
      <c r="BP1">
        <v>2087</v>
      </c>
      <c r="BQ1">
        <v>2088</v>
      </c>
      <c r="BR1">
        <v>2089</v>
      </c>
      <c r="BS1">
        <v>2090</v>
      </c>
      <c r="BT1">
        <v>2091</v>
      </c>
      <c r="BU1">
        <v>2092</v>
      </c>
      <c r="BV1">
        <v>2093</v>
      </c>
      <c r="BW1">
        <v>2094</v>
      </c>
      <c r="BX1">
        <v>2095</v>
      </c>
      <c r="BY1">
        <v>2096</v>
      </c>
      <c r="BZ1">
        <v>2097</v>
      </c>
      <c r="CA1">
        <v>2098</v>
      </c>
      <c r="CB1">
        <v>2099</v>
      </c>
      <c r="CC1">
        <v>2100</v>
      </c>
    </row>
    <row r="2" spans="1:81" ht="30">
      <c r="A2" s="2" t="s">
        <v>10</v>
      </c>
      <c r="B2">
        <f>Data!U15/100</f>
        <v>3.6850000000000001E-2</v>
      </c>
      <c r="C2">
        <f>Data!V15/100</f>
        <v>3.7149999999999996E-2</v>
      </c>
      <c r="D2">
        <f>Data!W15/100</f>
        <v>3.567E-2</v>
      </c>
      <c r="E2" s="52">
        <f>AVERAGE(B2:D2)</f>
        <v>3.6556666666666661E-2</v>
      </c>
      <c r="F2">
        <f>E2</f>
        <v>3.6556666666666661E-2</v>
      </c>
      <c r="G2">
        <f t="shared" ref="G2:BR2" si="0">F2</f>
        <v>3.6556666666666661E-2</v>
      </c>
      <c r="H2">
        <f t="shared" si="0"/>
        <v>3.6556666666666661E-2</v>
      </c>
      <c r="I2">
        <f t="shared" si="0"/>
        <v>3.6556666666666661E-2</v>
      </c>
      <c r="J2">
        <f t="shared" si="0"/>
        <v>3.6556666666666661E-2</v>
      </c>
      <c r="K2">
        <f t="shared" si="0"/>
        <v>3.6556666666666661E-2</v>
      </c>
      <c r="L2">
        <f t="shared" si="0"/>
        <v>3.6556666666666661E-2</v>
      </c>
      <c r="M2">
        <f t="shared" si="0"/>
        <v>3.6556666666666661E-2</v>
      </c>
      <c r="N2">
        <f t="shared" si="0"/>
        <v>3.6556666666666661E-2</v>
      </c>
      <c r="O2">
        <f t="shared" si="0"/>
        <v>3.6556666666666661E-2</v>
      </c>
      <c r="P2">
        <f t="shared" si="0"/>
        <v>3.6556666666666661E-2</v>
      </c>
      <c r="Q2">
        <f t="shared" si="0"/>
        <v>3.6556666666666661E-2</v>
      </c>
      <c r="R2">
        <f t="shared" si="0"/>
        <v>3.6556666666666661E-2</v>
      </c>
      <c r="S2">
        <f t="shared" si="0"/>
        <v>3.6556666666666661E-2</v>
      </c>
      <c r="T2">
        <f t="shared" si="0"/>
        <v>3.6556666666666661E-2</v>
      </c>
      <c r="U2">
        <f t="shared" si="0"/>
        <v>3.6556666666666661E-2</v>
      </c>
      <c r="V2">
        <f t="shared" si="0"/>
        <v>3.6556666666666661E-2</v>
      </c>
      <c r="W2">
        <f t="shared" si="0"/>
        <v>3.6556666666666661E-2</v>
      </c>
      <c r="X2">
        <f t="shared" si="0"/>
        <v>3.6556666666666661E-2</v>
      </c>
      <c r="Y2">
        <f t="shared" si="0"/>
        <v>3.6556666666666661E-2</v>
      </c>
      <c r="Z2">
        <f t="shared" si="0"/>
        <v>3.6556666666666661E-2</v>
      </c>
      <c r="AA2">
        <f t="shared" si="0"/>
        <v>3.6556666666666661E-2</v>
      </c>
      <c r="AB2">
        <f t="shared" si="0"/>
        <v>3.6556666666666661E-2</v>
      </c>
      <c r="AC2">
        <f t="shared" si="0"/>
        <v>3.6556666666666661E-2</v>
      </c>
      <c r="AD2">
        <f t="shared" si="0"/>
        <v>3.6556666666666661E-2</v>
      </c>
      <c r="AE2">
        <f t="shared" si="0"/>
        <v>3.6556666666666661E-2</v>
      </c>
      <c r="AF2">
        <f t="shared" si="0"/>
        <v>3.6556666666666661E-2</v>
      </c>
      <c r="AG2">
        <f t="shared" si="0"/>
        <v>3.6556666666666661E-2</v>
      </c>
      <c r="AH2">
        <f t="shared" si="0"/>
        <v>3.6556666666666661E-2</v>
      </c>
      <c r="AI2">
        <f t="shared" si="0"/>
        <v>3.6556666666666661E-2</v>
      </c>
      <c r="AJ2">
        <f t="shared" si="0"/>
        <v>3.6556666666666661E-2</v>
      </c>
      <c r="AK2">
        <f t="shared" si="0"/>
        <v>3.6556666666666661E-2</v>
      </c>
      <c r="AL2">
        <f t="shared" si="0"/>
        <v>3.6556666666666661E-2</v>
      </c>
      <c r="AM2">
        <f t="shared" si="0"/>
        <v>3.6556666666666661E-2</v>
      </c>
      <c r="AN2">
        <f t="shared" si="0"/>
        <v>3.6556666666666661E-2</v>
      </c>
      <c r="AO2">
        <f t="shared" si="0"/>
        <v>3.6556666666666661E-2</v>
      </c>
      <c r="AP2">
        <f t="shared" si="0"/>
        <v>3.6556666666666661E-2</v>
      </c>
      <c r="AQ2">
        <f t="shared" si="0"/>
        <v>3.6556666666666661E-2</v>
      </c>
      <c r="AR2">
        <f t="shared" si="0"/>
        <v>3.6556666666666661E-2</v>
      </c>
      <c r="AS2">
        <f t="shared" si="0"/>
        <v>3.6556666666666661E-2</v>
      </c>
      <c r="AT2">
        <f t="shared" si="0"/>
        <v>3.6556666666666661E-2</v>
      </c>
      <c r="AU2">
        <f t="shared" si="0"/>
        <v>3.6556666666666661E-2</v>
      </c>
      <c r="AV2">
        <f t="shared" si="0"/>
        <v>3.6556666666666661E-2</v>
      </c>
      <c r="AW2">
        <f t="shared" si="0"/>
        <v>3.6556666666666661E-2</v>
      </c>
      <c r="AX2">
        <f t="shared" si="0"/>
        <v>3.6556666666666661E-2</v>
      </c>
      <c r="AY2">
        <f t="shared" si="0"/>
        <v>3.6556666666666661E-2</v>
      </c>
      <c r="AZ2">
        <f t="shared" si="0"/>
        <v>3.6556666666666661E-2</v>
      </c>
      <c r="BA2">
        <f t="shared" si="0"/>
        <v>3.6556666666666661E-2</v>
      </c>
      <c r="BB2">
        <f t="shared" si="0"/>
        <v>3.6556666666666661E-2</v>
      </c>
      <c r="BC2">
        <f t="shared" si="0"/>
        <v>3.6556666666666661E-2</v>
      </c>
      <c r="BD2">
        <f t="shared" si="0"/>
        <v>3.6556666666666661E-2</v>
      </c>
      <c r="BE2">
        <f t="shared" si="0"/>
        <v>3.6556666666666661E-2</v>
      </c>
      <c r="BF2">
        <f t="shared" si="0"/>
        <v>3.6556666666666661E-2</v>
      </c>
      <c r="BG2">
        <f t="shared" si="0"/>
        <v>3.6556666666666661E-2</v>
      </c>
      <c r="BH2">
        <f t="shared" si="0"/>
        <v>3.6556666666666661E-2</v>
      </c>
      <c r="BI2">
        <f t="shared" si="0"/>
        <v>3.6556666666666661E-2</v>
      </c>
      <c r="BJ2">
        <f t="shared" si="0"/>
        <v>3.6556666666666661E-2</v>
      </c>
      <c r="BK2">
        <f t="shared" si="0"/>
        <v>3.6556666666666661E-2</v>
      </c>
      <c r="BL2">
        <f t="shared" si="0"/>
        <v>3.6556666666666661E-2</v>
      </c>
      <c r="BM2">
        <f t="shared" si="0"/>
        <v>3.6556666666666661E-2</v>
      </c>
      <c r="BN2">
        <f t="shared" si="0"/>
        <v>3.6556666666666661E-2</v>
      </c>
      <c r="BO2">
        <f t="shared" si="0"/>
        <v>3.6556666666666661E-2</v>
      </c>
      <c r="BP2">
        <f t="shared" si="0"/>
        <v>3.6556666666666661E-2</v>
      </c>
      <c r="BQ2">
        <f t="shared" si="0"/>
        <v>3.6556666666666661E-2</v>
      </c>
      <c r="BR2">
        <f t="shared" si="0"/>
        <v>3.6556666666666661E-2</v>
      </c>
      <c r="BS2">
        <f t="shared" ref="BS2:CC2" si="1">BR2</f>
        <v>3.6556666666666661E-2</v>
      </c>
      <c r="BT2">
        <f t="shared" si="1"/>
        <v>3.6556666666666661E-2</v>
      </c>
      <c r="BU2">
        <f t="shared" si="1"/>
        <v>3.6556666666666661E-2</v>
      </c>
      <c r="BV2">
        <f t="shared" si="1"/>
        <v>3.6556666666666661E-2</v>
      </c>
      <c r="BW2">
        <f t="shared" si="1"/>
        <v>3.6556666666666661E-2</v>
      </c>
      <c r="BX2">
        <f t="shared" si="1"/>
        <v>3.6556666666666661E-2</v>
      </c>
      <c r="BY2">
        <f t="shared" si="1"/>
        <v>3.6556666666666661E-2</v>
      </c>
      <c r="BZ2">
        <f t="shared" si="1"/>
        <v>3.6556666666666661E-2</v>
      </c>
      <c r="CA2">
        <f t="shared" si="1"/>
        <v>3.6556666666666661E-2</v>
      </c>
      <c r="CB2">
        <f t="shared" si="1"/>
        <v>3.6556666666666661E-2</v>
      </c>
      <c r="CC2">
        <f t="shared" si="1"/>
        <v>3.6556666666666661E-2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273A8E7-B666-4EF7-A908-A886032B687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A90555-F62F-4A06-8C66-F2178CBB69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3B310A-22E0-407E-A5DF-DDEE4F7FEFF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BPPEOUP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2015-06-09T20:22:53Z</dcterms:created>
  <dcterms:modified xsi:type="dcterms:W3CDTF">2026-03-04T16:44:35Z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