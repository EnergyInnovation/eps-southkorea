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RPSDbS\"/>
    </mc:Choice>
  </mc:AlternateContent>
  <xr:revisionPtr revIDLastSave="0" documentId="13_ncr:1_{113077ED-697D-472C-AA3F-905C68BFBCBA}" xr6:coauthVersionLast="47" xr6:coauthVersionMax="47" xr10:uidLastSave="{00000000-0000-0000-0000-000000000000}"/>
  <bookViews>
    <workbookView xWindow="768" yWindow="768" windowWidth="17280" windowHeight="10008" tabRatio="787" activeTab="4" xr2:uid="{00000000-000D-0000-FFFF-FFFF00000000}"/>
  </bookViews>
  <sheets>
    <sheet name="About" sheetId="1" r:id="rId1"/>
    <sheet name="New n Renewable" sheetId="32" r:id="rId2"/>
    <sheet name="Power Generation by ES" sheetId="34" r:id="rId3"/>
    <sheet name="CES_kor" sheetId="30" r:id="rId4"/>
    <sheet name="RPS_basis" sheetId="35" r:id="rId5"/>
    <sheet name="RPS_kor" sheetId="29" r:id="rId6"/>
    <sheet name="BRPSDbS-CES-percentages" sheetId="31" r:id="rId7"/>
    <sheet name="BRPSDbS-RPS-percentages" sheetId="24" r:id="rId8"/>
    <sheet name="BRPSDbS-electricity-shares" sheetId="25" r:id="rId9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Net_Generation_by_State__Type_1">#REF!</definedName>
    <definedName name="Net_Generation_by_State__Type_of_Producer__Energy_Sour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2" i="24" l="1"/>
  <c r="CB2" i="24"/>
  <c r="CA2" i="24"/>
  <c r="BZ2" i="24"/>
  <c r="BY2" i="24"/>
  <c r="BX2" i="24"/>
  <c r="BW2" i="24"/>
  <c r="BV2" i="24"/>
  <c r="BU2" i="24"/>
  <c r="BT2" i="24"/>
  <c r="BS2" i="24"/>
  <c r="BR2" i="24"/>
  <c r="BQ2" i="24"/>
  <c r="BP2" i="24"/>
  <c r="BO2" i="24"/>
  <c r="BN2" i="24"/>
  <c r="BM2" i="24"/>
  <c r="BL2" i="24"/>
  <c r="BK2" i="24"/>
  <c r="BJ2" i="24"/>
  <c r="BI2" i="24"/>
  <c r="BH2" i="24"/>
  <c r="BG2" i="24"/>
  <c r="BF2" i="24"/>
  <c r="BE2" i="24"/>
  <c r="BD2" i="24"/>
  <c r="BC2" i="24"/>
  <c r="BB2" i="24"/>
  <c r="BA2" i="24"/>
  <c r="AZ2" i="24"/>
  <c r="AY2" i="24"/>
  <c r="AX2" i="24"/>
  <c r="AW2" i="24"/>
  <c r="AV2" i="24"/>
  <c r="AU2" i="24"/>
  <c r="AT2" i="24"/>
  <c r="AS2" i="24"/>
  <c r="AR2" i="24"/>
  <c r="AQ2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E2" i="24"/>
  <c r="D2" i="24"/>
  <c r="C2" i="24"/>
  <c r="B2" i="24"/>
  <c r="CC15" i="35"/>
  <c r="CB15" i="35"/>
  <c r="CA15" i="35"/>
  <c r="BZ15" i="35"/>
  <c r="BY15" i="35"/>
  <c r="BX15" i="35"/>
  <c r="BW15" i="35"/>
  <c r="BV15" i="35"/>
  <c r="BU15" i="35"/>
  <c r="BT15" i="35"/>
  <c r="BS15" i="35"/>
  <c r="BR15" i="35"/>
  <c r="BQ15" i="35"/>
  <c r="BP15" i="35"/>
  <c r="BO15" i="35"/>
  <c r="BN15" i="35"/>
  <c r="BM15" i="35"/>
  <c r="BL15" i="35"/>
  <c r="BK15" i="35"/>
  <c r="BJ15" i="35"/>
  <c r="BI15" i="35"/>
  <c r="BH15" i="35"/>
  <c r="BG15" i="35"/>
  <c r="BF15" i="35"/>
  <c r="BE15" i="35"/>
  <c r="BD15" i="35"/>
  <c r="BC15" i="35"/>
  <c r="BB15" i="35"/>
  <c r="BA15" i="35"/>
  <c r="AZ15" i="35"/>
  <c r="AY15" i="35"/>
  <c r="AX15" i="35"/>
  <c r="AW15" i="35"/>
  <c r="AV15" i="35"/>
  <c r="AU15" i="35"/>
  <c r="AT15" i="35"/>
  <c r="AS15" i="35"/>
  <c r="AR15" i="35"/>
  <c r="AQ15" i="35"/>
  <c r="AP15" i="35"/>
  <c r="AO15" i="35"/>
  <c r="AN15" i="35"/>
  <c r="AM15" i="35"/>
  <c r="AL15" i="35"/>
  <c r="AK15" i="35"/>
  <c r="AJ15" i="35"/>
  <c r="AI15" i="35"/>
  <c r="AH15" i="35"/>
  <c r="AG15" i="35"/>
  <c r="AF15" i="35"/>
  <c r="AE15" i="35"/>
  <c r="AD15" i="35"/>
  <c r="AC15" i="35"/>
  <c r="AB15" i="35"/>
  <c r="AA15" i="35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H15" i="35"/>
  <c r="G15" i="35"/>
  <c r="F15" i="35"/>
  <c r="E15" i="35"/>
  <c r="D15" i="35"/>
  <c r="C15" i="35"/>
  <c r="B15" i="35"/>
  <c r="B10" i="35"/>
  <c r="B8" i="35"/>
  <c r="B7" i="35"/>
  <c r="B6" i="35"/>
  <c r="F5" i="30"/>
  <c r="F4" i="30"/>
  <c r="C5" i="30"/>
  <c r="D5" i="30"/>
  <c r="B5" i="30"/>
  <c r="C4" i="30"/>
  <c r="D4" i="30"/>
  <c r="B4" i="30"/>
  <c r="F3" i="30"/>
  <c r="C3" i="30"/>
  <c r="D3" i="30"/>
  <c r="B3" i="30"/>
  <c r="F6" i="30"/>
  <c r="C6" i="30"/>
  <c r="D6" i="30"/>
  <c r="E18" i="34"/>
  <c r="F18" i="34"/>
  <c r="G18" i="34"/>
  <c r="H18" i="34"/>
  <c r="E19" i="34"/>
  <c r="F19" i="34"/>
  <c r="G19" i="34"/>
  <c r="H19" i="34"/>
  <c r="E20" i="34"/>
  <c r="F20" i="34"/>
  <c r="G20" i="34"/>
  <c r="H20" i="34"/>
  <c r="E21" i="34"/>
  <c r="F21" i="34"/>
  <c r="G21" i="34"/>
  <c r="H21" i="34"/>
  <c r="E22" i="34"/>
  <c r="F22" i="34"/>
  <c r="G22" i="34"/>
  <c r="H22" i="34"/>
  <c r="E23" i="34"/>
  <c r="F23" i="34"/>
  <c r="G23" i="34"/>
  <c r="H23" i="34"/>
  <c r="E24" i="34"/>
  <c r="F24" i="34"/>
  <c r="G24" i="34"/>
  <c r="H24" i="34"/>
  <c r="E25" i="34"/>
  <c r="F25" i="34"/>
  <c r="G25" i="34"/>
  <c r="H25" i="34"/>
  <c r="E26" i="34"/>
  <c r="F26" i="34"/>
  <c r="G26" i="34"/>
  <c r="H26" i="34"/>
  <c r="E27" i="34"/>
  <c r="F27" i="34"/>
  <c r="G27" i="34"/>
  <c r="H27" i="34"/>
  <c r="D19" i="34"/>
  <c r="D20" i="34"/>
  <c r="D21" i="34"/>
  <c r="D22" i="34"/>
  <c r="D23" i="34"/>
  <c r="D24" i="34"/>
  <c r="D25" i="34"/>
  <c r="D26" i="34"/>
  <c r="D27" i="34"/>
  <c r="D18" i="34"/>
  <c r="B6" i="30"/>
  <c r="T8" i="30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Q8" i="30"/>
  <c r="P2" i="31" s="1"/>
  <c r="L8" i="30"/>
  <c r="K2" i="31" s="1"/>
  <c r="E8" i="30"/>
  <c r="D2" i="31" s="1"/>
  <c r="T7" i="30"/>
  <c r="Q7" i="30"/>
  <c r="L7" i="30"/>
  <c r="M7" i="30" s="1" a="1"/>
  <c r="M7" i="30" s="1"/>
  <c r="E7" i="30"/>
  <c r="J7" i="30" s="1" a="1"/>
  <c r="J7" i="30" s="1"/>
  <c r="E6" i="30"/>
  <c r="T6" i="30"/>
  <c r="Q6" i="30"/>
  <c r="S6" i="30" s="1" a="1"/>
  <c r="S6" i="30" s="1"/>
  <c r="L6" i="30"/>
  <c r="O6" i="30" s="1" a="1"/>
  <c r="O6" i="30" s="1"/>
  <c r="T5" i="30"/>
  <c r="S5" i="30"/>
  <c r="R5" i="30"/>
  <c r="Q5" i="30"/>
  <c r="P5" i="30"/>
  <c r="O5" i="30"/>
  <c r="N5" i="30"/>
  <c r="M5" i="30"/>
  <c r="L5" i="30"/>
  <c r="K5" i="30"/>
  <c r="J5" i="30"/>
  <c r="I5" i="30"/>
  <c r="T4" i="30"/>
  <c r="S4" i="30"/>
  <c r="R4" i="30"/>
  <c r="Q4" i="30"/>
  <c r="P4" i="30"/>
  <c r="O4" i="30"/>
  <c r="N4" i="30"/>
  <c r="M4" i="30"/>
  <c r="L4" i="30"/>
  <c r="K4" i="30"/>
  <c r="J4" i="30"/>
  <c r="I4" i="30"/>
  <c r="H5" i="30"/>
  <c r="H4" i="30"/>
  <c r="G5" i="30"/>
  <c r="G4" i="30"/>
  <c r="G3" i="30" s="1"/>
  <c r="E5" i="30"/>
  <c r="E4" i="30"/>
  <c r="R7" i="30" l="1" a="1"/>
  <c r="R7" i="30" s="1"/>
  <c r="B8" i="30"/>
  <c r="C8" i="30"/>
  <c r="B2" i="31" s="1"/>
  <c r="G6" i="30" a="1"/>
  <c r="G6" i="30" s="1"/>
  <c r="M6" i="30" a="1"/>
  <c r="M6" i="30" s="1"/>
  <c r="M8" i="30" s="1"/>
  <c r="L2" i="31" s="1"/>
  <c r="N6" i="30" a="1"/>
  <c r="N6" i="30" s="1"/>
  <c r="R6" i="30" a="1"/>
  <c r="R6" i="30" s="1"/>
  <c r="R8" i="30" s="1"/>
  <c r="Q2" i="31" s="1"/>
  <c r="O3" i="30"/>
  <c r="D8" i="30"/>
  <c r="C2" i="31" s="1"/>
  <c r="I3" i="30"/>
  <c r="Q3" i="30"/>
  <c r="I7" i="30" a="1"/>
  <c r="I7" i="30" s="1"/>
  <c r="H7" i="30" a="1"/>
  <c r="H7" i="30" s="1"/>
  <c r="G7" i="30" a="1"/>
  <c r="G7" i="30" s="1"/>
  <c r="P6" i="30" a="1"/>
  <c r="P6" i="30" s="1"/>
  <c r="P7" i="30" a="1"/>
  <c r="P7" i="30" s="1"/>
  <c r="K6" i="30" a="1"/>
  <c r="K6" i="30" s="1"/>
  <c r="J6" i="30" a="1"/>
  <c r="J6" i="30" s="1"/>
  <c r="J8" i="30" s="1"/>
  <c r="I2" i="31" s="1"/>
  <c r="O7" i="30" a="1"/>
  <c r="O7" i="30" s="1"/>
  <c r="O8" i="30" s="1"/>
  <c r="N2" i="31" s="1"/>
  <c r="I6" i="30" a="1"/>
  <c r="I6" i="30" s="1"/>
  <c r="N7" i="30" a="1"/>
  <c r="N7" i="30" s="1"/>
  <c r="H6" i="30" a="1"/>
  <c r="H6" i="30" s="1"/>
  <c r="F7" i="30" a="1"/>
  <c r="F7" i="30" s="1"/>
  <c r="F8" i="30" s="1"/>
  <c r="E2" i="31" s="1"/>
  <c r="K7" i="30" a="1"/>
  <c r="K7" i="30" s="1"/>
  <c r="S7" i="30" a="1"/>
  <c r="S7" i="30" s="1"/>
  <c r="S8" i="30" s="1"/>
  <c r="R2" i="31" s="1"/>
  <c r="P3" i="30"/>
  <c r="M3" i="30"/>
  <c r="S3" i="30"/>
  <c r="L3" i="30"/>
  <c r="R3" i="30"/>
  <c r="N3" i="30"/>
  <c r="T3" i="30"/>
  <c r="H3" i="30"/>
  <c r="J3" i="30"/>
  <c r="K3" i="30"/>
  <c r="E3" i="30"/>
  <c r="K2" i="29"/>
  <c r="J2" i="29"/>
  <c r="I2" i="29"/>
  <c r="H2" i="29"/>
  <c r="G2" i="29"/>
  <c r="F2" i="29"/>
  <c r="E2" i="29"/>
  <c r="D2" i="29"/>
  <c r="C2" i="29"/>
  <c r="B2" i="29"/>
  <c r="H8" i="30" l="1"/>
  <c r="G2" i="31" s="1"/>
  <c r="I8" i="30"/>
  <c r="H2" i="31" s="1"/>
  <c r="N8" i="30"/>
  <c r="M2" i="31" s="1"/>
  <c r="G8" i="30"/>
  <c r="F2" i="31" s="1"/>
  <c r="K8" i="30"/>
  <c r="J2" i="31" s="1"/>
  <c r="P8" i="30"/>
  <c r="O2" i="3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<sst xmlns="http://schemas.openxmlformats.org/spreadsheetml/2006/main" count="1303" uniqueCount="449">
  <si>
    <t>Note:</t>
  </si>
  <si>
    <t>via a policy lever, affecting the policy case).</t>
  </si>
  <si>
    <t>Sources:</t>
  </si>
  <si>
    <t>Year2021</t>
  </si>
  <si>
    <t>Year2022</t>
  </si>
  <si>
    <t>Year2023</t>
  </si>
  <si>
    <t>Year2024</t>
  </si>
  <si>
    <t>Year2025</t>
  </si>
  <si>
    <t>Year2026</t>
  </si>
  <si>
    <t>Year2027</t>
  </si>
  <si>
    <t>Year2028</t>
  </si>
  <si>
    <t>Year2029</t>
  </si>
  <si>
    <t>Year2030</t>
  </si>
  <si>
    <t>Year2031</t>
  </si>
  <si>
    <t>Year2032</t>
  </si>
  <si>
    <t>Year2033</t>
  </si>
  <si>
    <t>Year2034</t>
  </si>
  <si>
    <t>Year2035</t>
  </si>
  <si>
    <t>Year2036</t>
  </si>
  <si>
    <t>Year2037</t>
  </si>
  <si>
    <t>Year2038</t>
  </si>
  <si>
    <t>Year2039</t>
  </si>
  <si>
    <t>Year2040</t>
  </si>
  <si>
    <t>Year2041</t>
  </si>
  <si>
    <t>Year2042</t>
  </si>
  <si>
    <t>Year2043</t>
  </si>
  <si>
    <t>Year2044</t>
  </si>
  <si>
    <t>Year2045</t>
  </si>
  <si>
    <t>Year2046</t>
  </si>
  <si>
    <t>Year2047</t>
  </si>
  <si>
    <t>Year2048</t>
  </si>
  <si>
    <t>Year2049</t>
  </si>
  <si>
    <t>Year2050</t>
  </si>
  <si>
    <t>Year2051</t>
  </si>
  <si>
    <t>Year2052</t>
  </si>
  <si>
    <t>Year2053</t>
  </si>
  <si>
    <t>Year2054</t>
  </si>
  <si>
    <t>Year2055</t>
  </si>
  <si>
    <t>Year2056</t>
  </si>
  <si>
    <t>Year2057</t>
  </si>
  <si>
    <t>Year2058</t>
  </si>
  <si>
    <t>Year2059</t>
  </si>
  <si>
    <t>Year2060</t>
  </si>
  <si>
    <t>Year2061</t>
  </si>
  <si>
    <t>Year2062</t>
  </si>
  <si>
    <t>Year2063</t>
  </si>
  <si>
    <t>Year2064</t>
  </si>
  <si>
    <t>Year2065</t>
  </si>
  <si>
    <t>Year2066</t>
  </si>
  <si>
    <t>Year2067</t>
  </si>
  <si>
    <t>Year2068</t>
  </si>
  <si>
    <t>Year2069</t>
  </si>
  <si>
    <t>Year2070</t>
  </si>
  <si>
    <t>Year2071</t>
  </si>
  <si>
    <t>Year2072</t>
  </si>
  <si>
    <t>Year2073</t>
  </si>
  <si>
    <t>Year2074</t>
  </si>
  <si>
    <t>Year2075</t>
  </si>
  <si>
    <t>Year2076</t>
  </si>
  <si>
    <t>Year2077</t>
  </si>
  <si>
    <t>Year2078</t>
  </si>
  <si>
    <t>Year2079</t>
  </si>
  <si>
    <t>Year2080</t>
  </si>
  <si>
    <t>Year2081</t>
  </si>
  <si>
    <t>Year2082</t>
  </si>
  <si>
    <t>Year2083</t>
  </si>
  <si>
    <t>Year2084</t>
  </si>
  <si>
    <t>Year2085</t>
  </si>
  <si>
    <t>Year2086</t>
  </si>
  <si>
    <t>Year2087</t>
  </si>
  <si>
    <t>Year2088</t>
  </si>
  <si>
    <t>Year2089</t>
  </si>
  <si>
    <t>Year2090</t>
  </si>
  <si>
    <t>Year2091</t>
  </si>
  <si>
    <t>Year2092</t>
  </si>
  <si>
    <t>Year2093</t>
  </si>
  <si>
    <t>Year2094</t>
  </si>
  <si>
    <t>Year2095</t>
  </si>
  <si>
    <t>Year2096</t>
  </si>
  <si>
    <t>Year2097</t>
  </si>
  <si>
    <t>Year2098</t>
  </si>
  <si>
    <t>Year2099</t>
  </si>
  <si>
    <t>Year2100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</si>
  <si>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</si>
  <si>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</si>
  <si>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</si>
  <si>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</si>
  <si>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</si>
  <si>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</si>
  <si>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</si>
  <si>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</si>
  <si>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</si>
  <si>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Therefore, it must include a value for every year that exists in the Future Year subscript (and no other years should be present).</t>
  </si>
  <si>
    <t>It is designed this way for compatibility with the RPS foresight option (enabled via a control setting).</t>
  </si>
  <si>
    <t>BRPSDbS BAU Renewable Portfolio Std Percentage by Subregion</t>
  </si>
  <si>
    <t>Unit: dimensionless (share of RPS-qualifying electricity)</t>
  </si>
  <si>
    <t>Note that the blue output tab "BRPSDbS-RPS-percentages" is populating the "Future Year" subscript.  It is not a normal time-series variable.</t>
  </si>
  <si>
    <t>The purpose of this variable is to specify the renewable portfolio standard requirement that must be met in the BAU case (which the user may increase</t>
  </si>
  <si>
    <t>Notes on Output Data Formatting</t>
  </si>
  <si>
    <t>The data in this tab must sum to 1.</t>
  </si>
  <si>
    <t>Notes on Nuclear and Hydro Adjustment</t>
  </si>
  <si>
    <t>Some subregions may include nuclear and hydro electricity output in their definition of RPS-qualifying output.</t>
  </si>
  <si>
    <t>Some subregions may exclude these types.</t>
  </si>
  <si>
    <t>At the national scale, the EPS can simulate any combination of resources as RPS-qualifying, defined in elec/RQSD.</t>
  </si>
  <si>
    <t>In the U.S. model, nationally, nuclear and hydro are specified as qualifying in elec/RQSD.</t>
  </si>
  <si>
    <t>To harmonize state-level definitions with this national policy definition, we adjust states' targets (even states with no RPS targets)</t>
  </si>
  <si>
    <t>based on their start-year share of nuclear and hydro capacity if they don't include these sources in the state-level RPS policy definition.</t>
  </si>
  <si>
    <t>If you are adapting the model to a different region where the subregional targets define "RPS-qualifying sources" uniformly, and you</t>
  </si>
  <si>
    <t>use the same definitions in elec/RQSD, you can zero out the nuclear + hydro adjustment.</t>
  </si>
  <si>
    <t>BRPSDbS BAU Electricity Shares by Subregion</t>
  </si>
  <si>
    <t>Share of electricity</t>
  </si>
  <si>
    <t>The blue output tab "BRPSDbS-electricity-shares" contains the share of electricity sales in each subregion.</t>
  </si>
  <si>
    <t>South Korea</t>
    <phoneticPr fontId="26" type="noConversion"/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</si>
  <si>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</si>
  <si>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</si>
  <si>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</si>
  <si>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</si>
  <si>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</si>
  <si>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</si>
  <si>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</si>
  <si>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</si>
  <si>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</si>
  <si>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</si>
  <si>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</si>
  <si>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</si>
  <si>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</si>
  <si>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</si>
  <si>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</si>
  <si>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</si>
  <si>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</si>
  <si>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</si>
  <si>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</si>
  <si>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</si>
  <si>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</si>
  <si>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</si>
  <si>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</si>
  <si>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</si>
  <si>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</si>
  <si>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</si>
  <si>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</si>
  <si>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</si>
  <si>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</si>
  <si>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</si>
  <si>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</si>
  <si>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</si>
  <si>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</si>
  <si>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</si>
  <si>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</si>
  <si>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</si>
  <si>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</si>
  <si>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</si>
  <si>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</si>
  <si>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</si>
  <si>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</si>
  <si>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</si>
  <si>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</si>
  <si>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</si>
  <si>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</si>
  <si>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</si>
  <si>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</si>
  <si>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</si>
  <si>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</si>
  <si>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</si>
  <si>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Unit: dimensionless (share of RPS-qualifying electricity)</t>
    <phoneticPr fontId="26" type="noConversion"/>
  </si>
  <si>
    <t>Year2015</t>
  </si>
  <si>
    <t>Year2016</t>
  </si>
  <si>
    <t>Year2017</t>
  </si>
  <si>
    <t>Year2018</t>
  </si>
  <si>
    <t>Year2019</t>
  </si>
  <si>
    <t>Year2020</t>
  </si>
  <si>
    <t/>
  </si>
  <si>
    <t>원자력</t>
  </si>
  <si>
    <t>석탄</t>
  </si>
  <si>
    <t>LNG</t>
  </si>
  <si>
    <t>유류</t>
  </si>
  <si>
    <t>양수</t>
  </si>
  <si>
    <t>2015</t>
  </si>
  <si>
    <t>528,091</t>
  </si>
  <si>
    <t>164,762</t>
  </si>
  <si>
    <t>207,334</t>
  </si>
  <si>
    <t>100,749</t>
  </si>
  <si>
    <t>19,464</t>
  </si>
  <si>
    <t>9,537</t>
  </si>
  <si>
    <t>3,650</t>
  </si>
  <si>
    <t>22,595</t>
  </si>
  <si>
    <t>100.0</t>
  </si>
  <si>
    <t>31.2</t>
  </si>
  <si>
    <t>39.3</t>
  </si>
  <si>
    <t>19.1</t>
  </si>
  <si>
    <t>3.7</t>
  </si>
  <si>
    <t>1.8</t>
  </si>
  <si>
    <t>0.7</t>
  </si>
  <si>
    <t>4.3</t>
  </si>
  <si>
    <t>2016</t>
  </si>
  <si>
    <t>540,441</t>
  </si>
  <si>
    <t>161,995</t>
  </si>
  <si>
    <t>213,803</t>
  </si>
  <si>
    <t>121,018</t>
  </si>
  <si>
    <t>25,836</t>
  </si>
  <si>
    <t>14,001</t>
  </si>
  <si>
    <t>3,787</t>
  </si>
  <si>
    <t>-</t>
  </si>
  <si>
    <t>30.0</t>
  </si>
  <si>
    <t>39.6</t>
  </si>
  <si>
    <t>22.4</t>
  </si>
  <si>
    <t>4.8</t>
  </si>
  <si>
    <t>2.6</t>
  </si>
  <si>
    <t>2017</t>
  </si>
  <si>
    <t>553,530</t>
  </si>
  <si>
    <t>148,427</t>
  </si>
  <si>
    <t>238,799</t>
  </si>
  <si>
    <t>126,039</t>
  </si>
  <si>
    <t>30,817</t>
  </si>
  <si>
    <t>5,263</t>
  </si>
  <si>
    <t>4,186</t>
  </si>
  <si>
    <t>26.8</t>
  </si>
  <si>
    <t>43.1</t>
  </si>
  <si>
    <t>22.8</t>
  </si>
  <si>
    <t>5.6</t>
  </si>
  <si>
    <t>1.0</t>
  </si>
  <si>
    <t>0.8</t>
  </si>
  <si>
    <t>2018</t>
  </si>
  <si>
    <t>570,647</t>
  </si>
  <si>
    <t>133,505</t>
  </si>
  <si>
    <t>238,967</t>
  </si>
  <si>
    <t>152,925</t>
  </si>
  <si>
    <t>35,598</t>
  </si>
  <si>
    <t>5,740</t>
  </si>
  <si>
    <t>3,911</t>
  </si>
  <si>
    <t>0</t>
  </si>
  <si>
    <t>23.4</t>
  </si>
  <si>
    <t>41.9</t>
  </si>
  <si>
    <t>6.2</t>
  </si>
  <si>
    <t>0.0</t>
  </si>
  <si>
    <t>2019</t>
  </si>
  <si>
    <t>563,040</t>
  </si>
  <si>
    <t>145,910</t>
  </si>
  <si>
    <t>227,384</t>
  </si>
  <si>
    <t>144,355</t>
  </si>
  <si>
    <t>36,392</t>
  </si>
  <si>
    <t>3,292</t>
  </si>
  <si>
    <t>3,458</t>
  </si>
  <si>
    <t>2,249</t>
  </si>
  <si>
    <t>25.9</t>
  </si>
  <si>
    <t>40.4</t>
  </si>
  <si>
    <t>25.6</t>
  </si>
  <si>
    <t>6.5</t>
  </si>
  <si>
    <t>0.6</t>
  </si>
  <si>
    <t>0.4</t>
  </si>
  <si>
    <t>2020</t>
  </si>
  <si>
    <t>552,162</t>
  </si>
  <si>
    <t>160,184</t>
  </si>
  <si>
    <t>196,333</t>
  </si>
  <si>
    <t>145,911</t>
  </si>
  <si>
    <t>36,527</t>
  </si>
  <si>
    <t>2,255</t>
  </si>
  <si>
    <t>3,271</t>
  </si>
  <si>
    <t>7,681</t>
  </si>
  <si>
    <t>29.0</t>
  </si>
  <si>
    <t>35.6</t>
  </si>
  <si>
    <t>26.4</t>
  </si>
  <si>
    <t>6.6</t>
  </si>
  <si>
    <t>1.4</t>
  </si>
  <si>
    <t>2021</t>
  </si>
  <si>
    <t>576,810</t>
  </si>
  <si>
    <t>158,015</t>
  </si>
  <si>
    <t>197,966</t>
  </si>
  <si>
    <t>168,378</t>
  </si>
  <si>
    <t>43,096</t>
  </si>
  <si>
    <t>2,355</t>
  </si>
  <si>
    <t>3,683</t>
  </si>
  <si>
    <t>3,316</t>
  </si>
  <si>
    <t>27.4</t>
  </si>
  <si>
    <t>34.3</t>
  </si>
  <si>
    <t>29.2</t>
  </si>
  <si>
    <t>7.5</t>
  </si>
  <si>
    <t>2022</t>
  </si>
  <si>
    <t>594,400</t>
  </si>
  <si>
    <t>176,054</t>
  </si>
  <si>
    <t>193,231</t>
  </si>
  <si>
    <t>163,575</t>
  </si>
  <si>
    <t>53,182</t>
  </si>
  <si>
    <t>1,966</t>
  </si>
  <si>
    <t>3,715</t>
  </si>
  <si>
    <t>2,678</t>
  </si>
  <si>
    <t>29.6</t>
  </si>
  <si>
    <t>32.5</t>
  </si>
  <si>
    <t>27.5</t>
  </si>
  <si>
    <t>8.9</t>
  </si>
  <si>
    <t>0.3</t>
  </si>
  <si>
    <t>0.5</t>
  </si>
  <si>
    <t>2023</t>
  </si>
  <si>
    <t>588,047</t>
  </si>
  <si>
    <t>180,494</t>
  </si>
  <si>
    <t>184,927</t>
  </si>
  <si>
    <t>157,749</t>
  </si>
  <si>
    <t>56,562</t>
  </si>
  <si>
    <t>1,487</t>
  </si>
  <si>
    <t>3,784</t>
  </si>
  <si>
    <t>3,044</t>
  </si>
  <si>
    <t>30.7</t>
  </si>
  <si>
    <t>31.4</t>
  </si>
  <si>
    <t>9.6</t>
  </si>
  <si>
    <t>2024</t>
  </si>
  <si>
    <t>595,568</t>
  </si>
  <si>
    <t>188,754</t>
  </si>
  <si>
    <t>167,160</t>
  </si>
  <si>
    <t>167,205</t>
  </si>
  <si>
    <t>63,155</t>
  </si>
  <si>
    <t>1,204</t>
  </si>
  <si>
    <t>4,677</t>
  </si>
  <si>
    <t>3,413</t>
  </si>
  <si>
    <t>31.7</t>
  </si>
  <si>
    <t>28.1</t>
  </si>
  <si>
    <t>10.5</t>
  </si>
  <si>
    <t>0.2</t>
  </si>
  <si>
    <t>합계</t>
  </si>
  <si>
    <t>BRPSDbS BAU CES Percentage by Subregion</t>
    <phoneticPr fontId="26" type="noConversion"/>
  </si>
  <si>
    <t>CES &amp; RPS Target</t>
    <phoneticPr fontId="26" type="noConversion"/>
  </si>
  <si>
    <t>신에너지</t>
  </si>
  <si>
    <t xml:space="preserve">[년] 2020~2024  </t>
  </si>
  <si>
    <t>에너지원별(1)</t>
  </si>
  <si>
    <t>에너지원별(2)</t>
  </si>
  <si>
    <t>에너지원별(3)</t>
  </si>
  <si>
    <t>에너지원별(4)</t>
  </si>
  <si>
    <t>총발전량 (MWh)</t>
  </si>
  <si>
    <t>소계</t>
  </si>
  <si>
    <t>양수발전</t>
  </si>
  <si>
    <t>신재생에너지 공급비중 (%)</t>
  </si>
  <si>
    <t>재생에너지</t>
  </si>
  <si>
    <t>신재생에너지 총발전량①+② (MWh)</t>
  </si>
  <si>
    <t>사업용</t>
  </si>
  <si>
    <t>자가용</t>
  </si>
  <si>
    <t>① 재생에너지 합</t>
  </si>
  <si>
    <t>② 신에너지 합</t>
  </si>
  <si>
    <t>① 재생에너지</t>
  </si>
  <si>
    <t>태양광 (MWh)</t>
  </si>
  <si>
    <t>풍력 (MWh)</t>
  </si>
  <si>
    <t>수력 (MWh)</t>
  </si>
  <si>
    <t>해양 (MWh)</t>
  </si>
  <si>
    <t>바이오 (MWh)</t>
  </si>
  <si>
    <t>바이오가스</t>
  </si>
  <si>
    <t>매립지가스</t>
  </si>
  <si>
    <t>목재칩</t>
  </si>
  <si>
    <t>목재펠릿</t>
  </si>
  <si>
    <t>폐목재</t>
  </si>
  <si>
    <t>흑액</t>
  </si>
  <si>
    <t>하수슬러지고형연료</t>
  </si>
  <si>
    <t>Bio-SRF</t>
  </si>
  <si>
    <t>바이오중유</t>
  </si>
  <si>
    <t>폐기물 (MWh)</t>
  </si>
  <si>
    <t>폐가스</t>
  </si>
  <si>
    <t>사업장폐기물</t>
  </si>
  <si>
    <t>생활폐기물</t>
  </si>
  <si>
    <t>대형도시쓰레기</t>
  </si>
  <si>
    <t>RDF/RPF/TDF</t>
  </si>
  <si>
    <t>SRF</t>
  </si>
  <si>
    <t>시멘트소성로 보조연료</t>
  </si>
  <si>
    <t>정제연료유</t>
  </si>
  <si>
    <t>② 신에너지</t>
  </si>
  <si>
    <t>연료전지 (MWh)</t>
  </si>
  <si>
    <t>IGCC (MWh)</t>
  </si>
  <si>
    <t>IGCC</t>
  </si>
  <si>
    <t>https://kosis.kr/statHtml/statHtml.do?orgId=337&amp;tblId=DT_337N_A002&amp;conn_path=I3</t>
    <phoneticPr fontId="26" type="noConversion"/>
  </si>
  <si>
    <t>화력</t>
  </si>
  <si>
    <t>유연탄</t>
  </si>
  <si>
    <t>무연탄</t>
  </si>
  <si>
    <t>신재생 및 기타</t>
  </si>
  <si>
    <t>(Reference)</t>
    <phoneticPr fontId="26" type="noConversion"/>
  </si>
  <si>
    <t>https://kosis.kr/statHtml/statHtml.do?orgId=388&amp;tblId=TX_38803_A016A&amp;conn_path=I3</t>
    <phoneticPr fontId="26" type="noConversion"/>
  </si>
  <si>
    <t>Total</t>
  </si>
  <si>
    <t>Nuclear</t>
  </si>
  <si>
    <t>Coal</t>
  </si>
  <si>
    <t>Renewable</t>
  </si>
  <si>
    <t>Oil</t>
  </si>
  <si>
    <t>Pumped Storage</t>
  </si>
  <si>
    <t>Other</t>
  </si>
  <si>
    <t>Generation (GWh)</t>
  </si>
  <si>
    <t>Share (%)</t>
  </si>
  <si>
    <t>Year</t>
  </si>
  <si>
    <t>Category</t>
  </si>
  <si>
    <t>New Energy</t>
  </si>
  <si>
    <t>Clean H₂/Ammonia</t>
  </si>
  <si>
    <t>Carbon</t>
  </si>
  <si>
    <t>Carbon-Free*</t>
  </si>
  <si>
    <t>Generation (TWh)</t>
  </si>
  <si>
    <t>(Actual)</t>
  </si>
  <si>
    <t>8. Renewable Energy Capacity and Generation Outlook</t>
  </si>
  <si>
    <t>B. Annual Renewable Energy Generation Outlook (2024–2038)</t>
  </si>
  <si>
    <t>Commercial</t>
  </si>
  <si>
    <t>Self-Use</t>
  </si>
  <si>
    <t>Renewable Energy</t>
  </si>
  <si>
    <t>(Share, %)</t>
  </si>
  <si>
    <t>Solar PV</t>
  </si>
  <si>
    <t>Wind</t>
  </si>
  <si>
    <t>Hydro</t>
  </si>
  <si>
    <t>Marine</t>
  </si>
  <si>
    <t>Bio</t>
  </si>
  <si>
    <t>Subtotal</t>
  </si>
  <si>
    <t>Fuel Cell</t>
  </si>
  <si>
    <t>KOSIS Generation by Energy Source</t>
  </si>
  <si>
    <t>Path: Energy / Power Facility Status / Generation Results / Generation by Energy Source</t>
  </si>
  <si>
    <t>Energy Source (1)</t>
  </si>
  <si>
    <t>Energy Source (2)</t>
  </si>
  <si>
    <t>Energy Source (3)</t>
  </si>
  <si>
    <t>Thermal</t>
  </si>
  <si>
    <t>Bituminous</t>
  </si>
  <si>
    <t>Anthracite</t>
  </si>
  <si>
    <t>Renewables &amp; Other</t>
  </si>
  <si>
    <t>23</t>
  </si>
  <si>
    <t>30</t>
  </si>
  <si>
    <t>35</t>
  </si>
  <si>
    <t>38</t>
  </si>
  <si>
    <t>11th Basic Plan for Electricity Supply and Demand (제11차 전력수급기본계획)</t>
  </si>
  <si>
    <t>Power Generation Status by Energy Source — Nuclear (에너지원별 발전량 현황(원전))</t>
  </si>
  <si>
    <t>「Power Facility Status」, Korea Power Exchange (「발전설비현황」, 한국전력거래소)</t>
  </si>
  <si>
    <t>「Survey on Renewable Energy Dissemination Results」, Korea Energy Agency (「신재생에너지보급실적조사」, 한국에너지공단)</t>
  </si>
  <si>
    <t>Annual Mandatory Supply Ratio (연도별 의무공급량의 비율)</t>
  </si>
  <si>
    <t>Enforcement Decree of the Act on the Promotion of the Development, Use and Diffusion of New and Renewable Energy (신에너지 및 재생에너지 개발이용보급 촉진법 시행령)</t>
  </si>
  <si>
    <t>New &amp; Renewable Energy Generation (excl. non-renewable waste, from Q4 2019) (신·재생에너지 발전량(비재생폐기물 제외, 2019년 4/4분기~))</t>
    <phoneticPr fontId="26" type="noConversion"/>
  </si>
  <si>
    <t>New &amp; Renewable Energy</t>
  </si>
  <si>
    <t>New &amp; Renewable Energy Generation</t>
    <phoneticPr fontId="26" type="noConversion"/>
  </si>
  <si>
    <t xml:space="preserve">11th Basic Plan for Electricity Supply and Demand </t>
    <phoneticPr fontId="26" type="noConversion"/>
  </si>
  <si>
    <t>11th Basic Plan for Electricity Supply and Demand</t>
    <phoneticPr fontId="26" type="noConversion"/>
  </si>
  <si>
    <t xml:space="preserve"> 6. Generation Outlook</t>
    <phoneticPr fontId="26" type="noConversion"/>
  </si>
  <si>
    <t>Carbon-Free*</t>
    <phoneticPr fontId="26" type="noConversion"/>
  </si>
  <si>
    <t>Clean Hydrogen &amp; Ammonia</t>
    <phoneticPr fontId="26" type="noConversion"/>
  </si>
  <si>
    <t>* Carbon-Free = Renewable Energy + Nuclear + Clean Hydrogen &amp; Ammonia</t>
    <phoneticPr fontId="26" type="noConversion"/>
  </si>
  <si>
    <t>https://www.law.go.kr/lsSc.do?menuId=1&amp;subMenuId=15&amp;query=%EC%8B%A0%EC%9E%AC%EC%83%9D%EC%97%90%EB%84%88%EC%A7%80%EB%B2%95&amp;dt=20201211#undefined</t>
    <phoneticPr fontId="26" type="noConversion"/>
  </si>
  <si>
    <t>https://www.motir.go.kr/kor/article/ATCLc01b2801b/70152/view</t>
    <phoneticPr fontId="26" type="noConversion"/>
  </si>
  <si>
    <t>에너지워별 발전량 현황(e-나라지표)</t>
    <phoneticPr fontId="26" type="noConversion"/>
  </si>
  <si>
    <t>https://www.index.go.kr/unity/potal/main/EachDtlPageDetail.do?idx_cd=1339</t>
  </si>
  <si>
    <t>Power Generation Status by Energy Source — Renewable(에너지원별 발전량 현황(재생에너지))</t>
    <phoneticPr fontId="26" type="noConversion"/>
  </si>
  <si>
    <t>Power Generation Status by Energy Source  - New &amp; Renewable(에너지원별 발전량 현황)</t>
    <phoneticPr fontId="26" type="noConversion"/>
  </si>
  <si>
    <t>Power Generation Status by Energy Source (에너지원별 발전량 현황, 지표누리 E-나라지표)</t>
    <phoneticPr fontId="26" type="noConversion"/>
  </si>
  <si>
    <t>KOREA RPS REQUIREMENT ON THE MODEL'S BASIS (2026-09-08). The legal mandatory supply ratio applies to obligated suppliers' non-renewable generation and is met in weighted RECs; the EPS applies its RPS percentage to ALL generation in physical MWh of qualifying sources. Rebased requirement = legal ratio x (obligated base / national generation) / REC-per-MWh conversion.</t>
  </si>
  <si>
    <t>Inputs</t>
  </si>
  <si>
    <t>2024 obligation quantity, MWh basis (MOTIE announcement of 2024 obligations; reported by Solarconnect 2024-01 and EPJ 2025-01)</t>
  </si>
  <si>
    <t>2024 legal mandatory supply ratio</t>
  </si>
  <si>
    <t>Implied obligated-supplier base, MWh (= B4 / B5)</t>
  </si>
  <si>
    <t>National generation 2024, MWh (KPX via 'Power Generation by ES' tab, GWh x 1000)</t>
  </si>
  <si>
    <t>Obligated share of national generation (= B6 / B7)</t>
  </si>
  <si>
    <t>REC-per-MWh conversion (MOTIE 환산비율 used for the 2025 obligation; 2024 REC/MWh obligation ratio = 1.35)</t>
  </si>
  <si>
    <t>REBASE FACTOR applied to the legal ratio (= B8 / B9)</t>
  </si>
  <si>
    <t>Legal mandatory supply ratio by year (Enforcement Decree, Annex 3, as amended 2023; 25% from 2030 onward)</t>
  </si>
  <si>
    <t>Legal ratio</t>
  </si>
  <si>
    <t>REBASED RPS REQUIREMENT USED IN THE OUTPUT FILE (= legal x $B$10)</t>
  </si>
  <si>
    <t>Check: model-qualifying share (hydro+wind+solar+geothermal+biomass+H2) in 2024 is ~8.6% of national generation (KEA/KESIS), i.e. compliant against the rebased 8.0%, consistent with Korea's ~100% RPS fulfilment incl. deferrals. Sources: Electimes 2023-01 (ratio path), law.go.kr 시행령 별표3, Solarconnect/EPJ (obligation quantities), KNREC (penalty 1.5x REC price).</t>
  </si>
  <si>
    <t>2026-09-08 partner round 1: RPS percentages for South Korea now come from the new RPS_basis tab: legal ratio (9% 2021 -&gt; 25% 2030+) x rebase factor (~0.59 = obligated share 0.79 / REC conversion 1.34). Before, 2021-24 used actual renewable shares and 2025+ the nominal legal ratio, which the model (physical share of all generation, biomass excluded) could not meet: RPS credit price sat at the compliance cap 2021-28 and drove ~8 GW of economic wind in 2026-30. CES percentages unchanged.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</si>
</sst>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_-;\-* #,##0_-;_-* &quot;-&quot;_-;_-@_-"/>
    <numFmt numFmtId="165" formatCode="0.000000000"/>
    <numFmt numFmtId="166" formatCode="0.000000"/>
    <numFmt numFmtId="167" formatCode="#,##0.000"/>
    <numFmt numFmtId="168" formatCode="_-* #,##0.0_-;\-* #,##0.0_-;_-* &quot;-&quot;_-;_-@_-"/>
    <numFmt numFmtId="169" formatCode="_-* #,##0.000_-;\-* #,##0.000_-;_-* &quot;-&quot;_-;_-@_-"/>
  </numFmts>
  <fonts count="4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name val="MS Sans Serif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8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2"/>
      <color rgb="FF000000"/>
      <name val="Calibri"/>
      <family val="3"/>
      <charset val="129"/>
      <scheme val="minor"/>
    </font>
    <font>
      <b/>
      <sz val="1"/>
      <color rgb="FF000000"/>
      <name val="Calibri"/>
      <family val="3"/>
      <charset val="129"/>
      <scheme val="minor"/>
    </font>
    <font>
      <b/>
      <vertAlign val="superscript"/>
      <sz val="12"/>
      <color rgb="FF000000"/>
      <name val="Calibri"/>
      <family val="3"/>
      <charset val="129"/>
      <scheme val="minor"/>
    </font>
    <font>
      <sz val="11"/>
      <color rgb="FF000000"/>
      <name val="Calibri"/>
      <family val="3"/>
      <charset val="129"/>
      <scheme val="minor"/>
    </font>
    <font>
      <sz val="12"/>
      <color rgb="FF000000"/>
      <name val="Calibri"/>
      <family val="3"/>
      <charset val="129"/>
      <scheme val="minor"/>
    </font>
    <font>
      <sz val="10"/>
      <color rgb="FF00000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12"/>
      <color rgb="FFFF0000"/>
      <name val="Calibri"/>
      <family val="3"/>
      <charset val="129"/>
      <scheme val="minor"/>
    </font>
    <font>
      <sz val="12"/>
      <color rgb="FFFF0000"/>
      <name val="Calibri"/>
      <family val="3"/>
      <charset val="129"/>
      <scheme val="minor"/>
    </font>
    <font>
      <b/>
      <i/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indexed="8"/>
      <name val="Calibri"/>
      <family val="3"/>
      <charset val="129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rgb="FFDFE6F7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56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17" fillId="34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11" applyNumberFormat="0" applyProtection="0">
      <alignment wrapText="1"/>
    </xf>
    <xf numFmtId="0" fontId="20" fillId="0" borderId="0" applyNumberFormat="0" applyProtection="0">
      <alignment horizontal="left"/>
    </xf>
    <xf numFmtId="0" fontId="19" fillId="0" borderId="12" applyNumberFormat="0" applyProtection="0">
      <alignment wrapText="1"/>
    </xf>
    <xf numFmtId="0" fontId="18" fillId="0" borderId="13" applyNumberFormat="0" applyFont="0" applyProtection="0">
      <alignment wrapText="1"/>
    </xf>
    <xf numFmtId="0" fontId="18" fillId="0" borderId="0"/>
    <xf numFmtId="0" fontId="18" fillId="0" borderId="14" applyNumberFormat="0" applyProtection="0">
      <alignment wrapText="1"/>
    </xf>
    <xf numFmtId="0" fontId="21" fillId="0" borderId="0"/>
    <xf numFmtId="0" fontId="23" fillId="0" borderId="0" applyNumberFormat="0" applyFill="0" applyBorder="0" applyAlignment="0" applyProtection="0"/>
    <xf numFmtId="0" fontId="22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27" fillId="0" borderId="0">
      <alignment vertical="center"/>
    </xf>
    <xf numFmtId="164" fontId="2" fillId="0" borderId="0" applyFont="0" applyFill="0" applyBorder="0" applyAlignment="0" applyProtection="0">
      <alignment vertical="center"/>
    </xf>
  </cellStyleXfs>
  <cellXfs count="13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3" borderId="0" xfId="0" applyFill="1"/>
    <xf numFmtId="0" fontId="0" fillId="0" borderId="0" xfId="0" applyAlignment="1">
      <alignment horizontal="right"/>
    </xf>
    <xf numFmtId="0" fontId="0" fillId="0" borderId="0" xfId="1" applyNumberFormat="1" applyFont="1"/>
    <xf numFmtId="0" fontId="24" fillId="0" borderId="0" xfId="0" applyFont="1"/>
    <xf numFmtId="0" fontId="1" fillId="3" borderId="0" xfId="0" applyFont="1" applyFill="1"/>
    <xf numFmtId="165" fontId="0" fillId="0" borderId="0" xfId="0" applyNumberFormat="1" applyAlignment="1">
      <alignment horizontal="left"/>
    </xf>
    <xf numFmtId="165" fontId="0" fillId="0" borderId="0" xfId="1" applyNumberFormat="1" applyFont="1"/>
    <xf numFmtId="165" fontId="0" fillId="0" borderId="0" xfId="0" applyNumberFormat="1"/>
    <xf numFmtId="166" fontId="0" fillId="0" borderId="0" xfId="1" applyNumberFormat="1" applyFont="1"/>
    <xf numFmtId="0" fontId="27" fillId="0" borderId="0" xfId="54">
      <alignment vertical="center"/>
    </xf>
    <xf numFmtId="0" fontId="28" fillId="35" borderId="1" xfId="54" applyFont="1" applyFill="1" applyBorder="1" applyAlignment="1">
      <alignment horizontal="center" vertical="center"/>
    </xf>
    <xf numFmtId="0" fontId="27" fillId="0" borderId="1" xfId="54" applyBorder="1" applyAlignment="1">
      <alignment horizontal="right" vertical="center"/>
    </xf>
    <xf numFmtId="0" fontId="2" fillId="0" borderId="0" xfId="1" applyNumberFormat="1" applyFont="1"/>
    <xf numFmtId="0" fontId="30" fillId="36" borderId="26" xfId="0" applyFont="1" applyFill="1" applyBorder="1" applyAlignment="1">
      <alignment horizontal="center" vertical="center" wrapText="1"/>
    </xf>
    <xf numFmtId="0" fontId="31" fillId="36" borderId="23" xfId="0" applyFont="1" applyFill="1" applyBorder="1" applyAlignment="1">
      <alignment horizontal="center" vertical="center" wrapText="1"/>
    </xf>
    <xf numFmtId="0" fontId="32" fillId="0" borderId="20" xfId="0" applyFont="1" applyBorder="1" applyAlignment="1">
      <alignment horizontal="center" vertical="center" wrapText="1"/>
    </xf>
    <xf numFmtId="0" fontId="32" fillId="0" borderId="27" xfId="0" applyFont="1" applyBorder="1" applyAlignment="1">
      <alignment horizontal="center" vertical="center" wrapText="1"/>
    </xf>
    <xf numFmtId="0" fontId="33" fillId="0" borderId="27" xfId="0" applyFont="1" applyBorder="1" applyAlignment="1">
      <alignment horizontal="center" vertical="center" wrapText="1"/>
    </xf>
    <xf numFmtId="0" fontId="33" fillId="0" borderId="28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33" fillId="0" borderId="30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27" fillId="37" borderId="1" xfId="54" applyFill="1" applyBorder="1">
      <alignment vertical="center"/>
    </xf>
    <xf numFmtId="0" fontId="27" fillId="38" borderId="1" xfId="54" applyFill="1" applyBorder="1" applyAlignment="1"/>
    <xf numFmtId="0" fontId="27" fillId="39" borderId="16" xfId="54" applyFill="1" applyBorder="1" applyAlignment="1"/>
    <xf numFmtId="3" fontId="27" fillId="0" borderId="1" xfId="54" applyNumberFormat="1" applyBorder="1" applyAlignment="1">
      <alignment horizontal="right"/>
    </xf>
    <xf numFmtId="0" fontId="27" fillId="39" borderId="17" xfId="54" applyFill="1" applyBorder="1" applyAlignment="1"/>
    <xf numFmtId="4" fontId="27" fillId="0" borderId="1" xfId="54" applyNumberFormat="1" applyBorder="1" applyAlignment="1">
      <alignment horizontal="right"/>
    </xf>
    <xf numFmtId="0" fontId="27" fillId="39" borderId="15" xfId="54" applyFill="1" applyBorder="1" applyAlignment="1"/>
    <xf numFmtId="0" fontId="27" fillId="39" borderId="1" xfId="54" applyFill="1" applyBorder="1" applyAlignment="1"/>
    <xf numFmtId="4" fontId="0" fillId="0" borderId="0" xfId="0" applyNumberFormat="1"/>
    <xf numFmtId="0" fontId="32" fillId="36" borderId="21" xfId="0" applyFont="1" applyFill="1" applyBorder="1" applyAlignment="1">
      <alignment horizontal="center" vertical="center" wrapText="1"/>
    </xf>
    <xf numFmtId="0" fontId="32" fillId="36" borderId="24" xfId="0" applyFont="1" applyFill="1" applyBorder="1" applyAlignment="1">
      <alignment horizontal="center" vertical="center" wrapText="1"/>
    </xf>
    <xf numFmtId="0" fontId="34" fillId="36" borderId="35" xfId="0" applyFont="1" applyFill="1" applyBorder="1" applyAlignment="1">
      <alignment horizontal="center" vertical="center" wrapText="1"/>
    </xf>
    <xf numFmtId="0" fontId="0" fillId="36" borderId="35" xfId="0" applyFill="1" applyBorder="1" applyAlignment="1">
      <alignment vertical="center" wrapText="1"/>
    </xf>
    <xf numFmtId="0" fontId="0" fillId="36" borderId="25" xfId="0" applyFill="1" applyBorder="1" applyAlignment="1">
      <alignment vertical="center" wrapText="1"/>
    </xf>
    <xf numFmtId="0" fontId="34" fillId="36" borderId="34" xfId="0" applyFont="1" applyFill="1" applyBorder="1" applyAlignment="1">
      <alignment horizontal="center" vertical="center" wrapText="1"/>
    </xf>
    <xf numFmtId="0" fontId="0" fillId="36" borderId="22" xfId="0" applyFill="1" applyBorder="1" applyAlignment="1">
      <alignment vertical="center" wrapText="1"/>
    </xf>
    <xf numFmtId="0" fontId="34" fillId="36" borderId="22" xfId="0" applyFont="1" applyFill="1" applyBorder="1" applyAlignment="1">
      <alignment horizontal="center" vertical="center" wrapText="1"/>
    </xf>
    <xf numFmtId="0" fontId="32" fillId="36" borderId="22" xfId="0" applyFont="1" applyFill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3" fontId="34" fillId="0" borderId="21" xfId="0" applyNumberFormat="1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3" fontId="34" fillId="0" borderId="24" xfId="0" applyNumberFormat="1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3" fontId="34" fillId="0" borderId="22" xfId="0" applyNumberFormat="1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center" vertical="center" wrapText="1"/>
    </xf>
    <xf numFmtId="0" fontId="23" fillId="0" borderId="0" xfId="51" applyAlignment="1">
      <alignment horizontal="left"/>
    </xf>
    <xf numFmtId="167" fontId="27" fillId="0" borderId="1" xfId="54" applyNumberFormat="1" applyBorder="1" applyAlignment="1">
      <alignment horizontal="right"/>
    </xf>
    <xf numFmtId="0" fontId="15" fillId="39" borderId="16" xfId="54" applyFont="1" applyFill="1" applyBorder="1" applyAlignment="1"/>
    <xf numFmtId="0" fontId="35" fillId="39" borderId="16" xfId="54" applyFont="1" applyFill="1" applyBorder="1" applyAlignment="1"/>
    <xf numFmtId="167" fontId="35" fillId="0" borderId="1" xfId="54" applyNumberFormat="1" applyFont="1" applyBorder="1" applyAlignment="1">
      <alignment horizontal="right"/>
    </xf>
    <xf numFmtId="0" fontId="36" fillId="41" borderId="0" xfId="54" applyFont="1" applyFill="1">
      <alignment vertical="center"/>
    </xf>
    <xf numFmtId="0" fontId="27" fillId="42" borderId="0" xfId="54" applyFill="1">
      <alignment vertical="center"/>
    </xf>
    <xf numFmtId="4" fontId="0" fillId="42" borderId="0" xfId="0" applyNumberFormat="1" applyFill="1"/>
    <xf numFmtId="0" fontId="0" fillId="0" borderId="1" xfId="0" applyBorder="1"/>
    <xf numFmtId="168" fontId="0" fillId="0" borderId="1" xfId="55" applyNumberFormat="1" applyFont="1" applyBorder="1" applyAlignment="1"/>
    <xf numFmtId="168" fontId="27" fillId="0" borderId="1" xfId="55" applyNumberFormat="1" applyFont="1" applyBorder="1">
      <alignment vertical="center"/>
    </xf>
    <xf numFmtId="0" fontId="27" fillId="0" borderId="1" xfId="54" applyBorder="1" applyAlignment="1">
      <alignment horizontal="left" vertical="center" indent="1"/>
    </xf>
    <xf numFmtId="0" fontId="36" fillId="41" borderId="1" xfId="54" applyFont="1" applyFill="1" applyBorder="1">
      <alignment vertical="center"/>
    </xf>
    <xf numFmtId="168" fontId="36" fillId="41" borderId="1" xfId="55" applyNumberFormat="1" applyFont="1" applyFill="1" applyBorder="1" applyAlignment="1"/>
    <xf numFmtId="0" fontId="27" fillId="44" borderId="0" xfId="54" quotePrefix="1" applyFill="1">
      <alignment vertical="center"/>
    </xf>
    <xf numFmtId="0" fontId="27" fillId="44" borderId="0" xfId="54" applyFill="1">
      <alignment vertical="center"/>
    </xf>
    <xf numFmtId="4" fontId="27" fillId="3" borderId="1" xfId="54" applyNumberFormat="1" applyFill="1" applyBorder="1" applyAlignment="1">
      <alignment horizontal="right"/>
    </xf>
    <xf numFmtId="167" fontId="27" fillId="3" borderId="1" xfId="54" applyNumberFormat="1" applyFill="1" applyBorder="1" applyAlignment="1">
      <alignment horizontal="right"/>
    </xf>
    <xf numFmtId="169" fontId="2" fillId="0" borderId="0" xfId="55" applyNumberFormat="1" applyFont="1" applyAlignment="1"/>
    <xf numFmtId="0" fontId="29" fillId="0" borderId="19" xfId="0" quotePrefix="1" applyFont="1" applyBorder="1" applyAlignment="1">
      <alignment horizontal="center" vertical="center" wrapText="1"/>
    </xf>
    <xf numFmtId="0" fontId="39" fillId="0" borderId="27" xfId="0" applyFont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 wrapText="1"/>
    </xf>
    <xf numFmtId="0" fontId="37" fillId="43" borderId="0" xfId="0" applyFont="1" applyFill="1"/>
    <xf numFmtId="0" fontId="27" fillId="43" borderId="0" xfId="54" applyFill="1">
      <alignment vertical="center"/>
    </xf>
    <xf numFmtId="4" fontId="0" fillId="44" borderId="0" xfId="0" applyNumberFormat="1" applyFill="1"/>
    <xf numFmtId="0" fontId="27" fillId="45" borderId="0" xfId="54" applyFill="1">
      <alignment vertical="center"/>
    </xf>
    <xf numFmtId="168" fontId="0" fillId="44" borderId="1" xfId="55" applyNumberFormat="1" applyFont="1" applyFill="1" applyBorder="1" applyAlignment="1"/>
    <xf numFmtId="168" fontId="27" fillId="44" borderId="1" xfId="55" applyNumberFormat="1" applyFont="1" applyFill="1" applyBorder="1">
      <alignment vertical="center"/>
    </xf>
    <xf numFmtId="0" fontId="42" fillId="0" borderId="0" xfId="54" applyFont="1">
      <alignment vertical="center"/>
    </xf>
    <xf numFmtId="0" fontId="42" fillId="40" borderId="1" xfId="54" applyFont="1" applyFill="1" applyBorder="1" applyAlignment="1">
      <alignment horizontal="left" vertical="center" indent="1"/>
    </xf>
    <xf numFmtId="168" fontId="41" fillId="0" borderId="1" xfId="55" applyNumberFormat="1" applyFont="1" applyBorder="1" applyAlignment="1"/>
    <xf numFmtId="168" fontId="41" fillId="44" borderId="1" xfId="55" applyNumberFormat="1" applyFont="1" applyFill="1" applyBorder="1" applyAlignment="1"/>
    <xf numFmtId="168" fontId="42" fillId="0" borderId="1" xfId="55" applyNumberFormat="1" applyFont="1" applyBorder="1">
      <alignment vertical="center"/>
    </xf>
    <xf numFmtId="168" fontId="42" fillId="44" borderId="1" xfId="55" applyNumberFormat="1" applyFont="1" applyFill="1" applyBorder="1">
      <alignment vertical="center"/>
    </xf>
    <xf numFmtId="0" fontId="42" fillId="45" borderId="1" xfId="54" applyFont="1" applyFill="1" applyBorder="1">
      <alignment vertical="center"/>
    </xf>
    <xf numFmtId="168" fontId="41" fillId="45" borderId="1" xfId="55" applyNumberFormat="1" applyFont="1" applyFill="1" applyBorder="1" applyAlignment="1"/>
    <xf numFmtId="168" fontId="42" fillId="45" borderId="1" xfId="55" applyNumberFormat="1" applyFont="1" applyFill="1" applyBorder="1">
      <alignment vertical="center"/>
    </xf>
    <xf numFmtId="0" fontId="42" fillId="40" borderId="1" xfId="54" applyFont="1" applyFill="1" applyBorder="1">
      <alignment vertical="center"/>
    </xf>
    <xf numFmtId="0" fontId="15" fillId="0" borderId="0" xfId="54" applyFont="1">
      <alignment vertical="center"/>
    </xf>
    <xf numFmtId="168" fontId="41" fillId="43" borderId="1" xfId="55" applyNumberFormat="1" applyFont="1" applyFill="1" applyBorder="1" applyAlignment="1"/>
    <xf numFmtId="168" fontId="0" fillId="43" borderId="1" xfId="55" applyNumberFormat="1" applyFont="1" applyFill="1" applyBorder="1" applyAlignment="1"/>
    <xf numFmtId="0" fontId="40" fillId="42" borderId="1" xfId="0" applyFont="1" applyFill="1" applyBorder="1"/>
    <xf numFmtId="0" fontId="41" fillId="42" borderId="1" xfId="0" applyFont="1" applyFill="1" applyBorder="1" applyAlignment="1">
      <alignment horizontal="right"/>
    </xf>
    <xf numFmtId="0" fontId="23" fillId="0" borderId="0" xfId="51"/>
    <xf numFmtId="0" fontId="27" fillId="43" borderId="36" xfId="54" applyFill="1" applyBorder="1" applyAlignment="1">
      <alignment horizontal="center" vertical="center"/>
    </xf>
    <xf numFmtId="0" fontId="29" fillId="36" borderId="19" xfId="0" applyFont="1" applyFill="1" applyBorder="1" applyAlignment="1">
      <alignment horizontal="center" vertical="center" wrapText="1"/>
    </xf>
    <xf numFmtId="0" fontId="29" fillId="36" borderId="20" xfId="0" applyFont="1" applyFill="1" applyBorder="1" applyAlignment="1">
      <alignment horizontal="center" vertical="center" wrapText="1"/>
    </xf>
    <xf numFmtId="0" fontId="33" fillId="0" borderId="28" xfId="0" applyFont="1" applyBorder="1" applyAlignment="1">
      <alignment horizontal="center" vertical="center" wrapText="1"/>
    </xf>
    <xf numFmtId="0" fontId="33" fillId="0" borderId="29" xfId="0" applyFont="1" applyBorder="1" applyAlignment="1">
      <alignment horizontal="center" vertical="center" wrapText="1"/>
    </xf>
    <xf numFmtId="0" fontId="29" fillId="36" borderId="21" xfId="0" applyFont="1" applyFill="1" applyBorder="1" applyAlignment="1">
      <alignment horizontal="center" vertical="center" wrapText="1"/>
    </xf>
    <xf numFmtId="0" fontId="29" fillId="36" borderId="22" xfId="0" applyFont="1" applyFill="1" applyBorder="1" applyAlignment="1">
      <alignment horizontal="center" vertical="center" wrapText="1"/>
    </xf>
    <xf numFmtId="0" fontId="38" fillId="36" borderId="21" xfId="0" applyFont="1" applyFill="1" applyBorder="1" applyAlignment="1">
      <alignment horizontal="center" vertical="center" wrapText="1"/>
    </xf>
    <xf numFmtId="0" fontId="38" fillId="36" borderId="22" xfId="0" applyFont="1" applyFill="1" applyBorder="1" applyAlignment="1">
      <alignment horizontal="center" vertical="center" wrapText="1"/>
    </xf>
    <xf numFmtId="0" fontId="29" fillId="36" borderId="24" xfId="0" applyFont="1" applyFill="1" applyBorder="1" applyAlignment="1">
      <alignment horizontal="center" vertical="center" wrapText="1"/>
    </xf>
    <xf numFmtId="0" fontId="29" fillId="36" borderId="25" xfId="0" applyFont="1" applyFill="1" applyBorder="1" applyAlignment="1">
      <alignment horizontal="center" vertical="center" wrapText="1"/>
    </xf>
    <xf numFmtId="0" fontId="30" fillId="36" borderId="26" xfId="0" applyFont="1" applyFill="1" applyBorder="1" applyAlignment="1">
      <alignment horizontal="center" vertical="center" wrapText="1"/>
    </xf>
    <xf numFmtId="0" fontId="29" fillId="36" borderId="23" xfId="0" applyFont="1" applyFill="1" applyBorder="1" applyAlignment="1">
      <alignment horizontal="center" vertical="center" wrapText="1"/>
    </xf>
    <xf numFmtId="0" fontId="29" fillId="36" borderId="18" xfId="0" applyFont="1" applyFill="1" applyBorder="1" applyAlignment="1">
      <alignment horizontal="center" vertical="center" wrapText="1"/>
    </xf>
    <xf numFmtId="0" fontId="29" fillId="0" borderId="19" xfId="0" quotePrefix="1" applyFont="1" applyBorder="1" applyAlignment="1">
      <alignment horizontal="center" vertical="center" wrapText="1"/>
    </xf>
    <xf numFmtId="0" fontId="29" fillId="0" borderId="20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2" fillId="36" borderId="19" xfId="0" applyFont="1" applyFill="1" applyBorder="1" applyAlignment="1">
      <alignment horizontal="center" vertical="center" wrapText="1"/>
    </xf>
    <xf numFmtId="0" fontId="32" fillId="36" borderId="33" xfId="0" applyFont="1" applyFill="1" applyBorder="1" applyAlignment="1">
      <alignment horizontal="center" vertical="center" wrapText="1"/>
    </xf>
    <xf numFmtId="0" fontId="32" fillId="36" borderId="20" xfId="0" applyFont="1" applyFill="1" applyBorder="1" applyAlignment="1">
      <alignment horizontal="center" vertical="center" wrapText="1"/>
    </xf>
    <xf numFmtId="0" fontId="32" fillId="36" borderId="23" xfId="0" applyFont="1" applyFill="1" applyBorder="1" applyAlignment="1">
      <alignment horizontal="center" vertical="center" wrapText="1"/>
    </xf>
    <xf numFmtId="0" fontId="32" fillId="36" borderId="26" xfId="0" applyFont="1" applyFill="1" applyBorder="1" applyAlignment="1">
      <alignment horizontal="center" vertical="center" wrapText="1"/>
    </xf>
    <xf numFmtId="0" fontId="32" fillId="36" borderId="18" xfId="0" applyFont="1" applyFill="1" applyBorder="1" applyAlignment="1">
      <alignment horizontal="center" vertical="center" wrapText="1"/>
    </xf>
    <xf numFmtId="0" fontId="32" fillId="36" borderId="21" xfId="0" applyFont="1" applyFill="1" applyBorder="1" applyAlignment="1">
      <alignment horizontal="center" vertical="center" wrapText="1"/>
    </xf>
    <xf numFmtId="0" fontId="32" fillId="36" borderId="34" xfId="0" applyFont="1" applyFill="1" applyBorder="1" applyAlignment="1">
      <alignment horizontal="center" vertical="center" wrapText="1"/>
    </xf>
    <xf numFmtId="0" fontId="32" fillId="36" borderId="22" xfId="0" applyFont="1" applyFill="1" applyBorder="1" applyAlignment="1">
      <alignment horizontal="center" vertical="center" wrapText="1"/>
    </xf>
    <xf numFmtId="3" fontId="34" fillId="0" borderId="21" xfId="0" applyNumberFormat="1" applyFont="1" applyBorder="1" applyAlignment="1">
      <alignment horizontal="center" vertical="center" wrapText="1"/>
    </xf>
    <xf numFmtId="3" fontId="34" fillId="0" borderId="22" xfId="0" applyNumberFormat="1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28" fillId="35" borderId="1" xfId="54" applyFont="1" applyFill="1" applyBorder="1" applyAlignment="1">
      <alignment horizontal="center" vertical="center"/>
    </xf>
  </cellXfs>
  <cellStyles count="56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Body: normal cell" xfId="47" xr:uid="{00000000-0005-0000-0000-000019000000}"/>
    <cellStyle name="Calculation" xfId="12" builtinId="22" customBuiltin="1"/>
    <cellStyle name="Check Cell" xfId="14" builtinId="23" customBuiltin="1"/>
    <cellStyle name="Comma [0]" xfId="55" builtinId="6"/>
    <cellStyle name="Explanatory Text" xfId="17" builtinId="53" customBuiltin="1"/>
    <cellStyle name="Font: Calibri, 9pt regular" xfId="43" xr:uid="{00000000-0005-0000-0000-00001D000000}"/>
    <cellStyle name="Footnotes: top row" xfId="49" xr:uid="{00000000-0005-0000-0000-00001E000000}"/>
    <cellStyle name="Good" xfId="7" builtinId="26" customBuiltin="1"/>
    <cellStyle name="Header: bottom row" xfId="44" xr:uid="{00000000-0005-0000-0000-000020000000}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51" builtinId="8"/>
    <cellStyle name="Hyperlink 2" xfId="53" xr:uid="{3E570BD1-2286-4F24-98B4-EC5A36EE9CD9}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8" xr:uid="{00000000-0005-0000-0000-00002A000000}"/>
    <cellStyle name="Normal 3" xfId="50" xr:uid="{00000000-0005-0000-0000-00002B000000}"/>
    <cellStyle name="Normal 4" xfId="52" xr:uid="{2C2F2FB6-4991-4D89-A670-0BB8E1A8AD64}"/>
    <cellStyle name="Note" xfId="16" builtinId="10" customBuiltin="1"/>
    <cellStyle name="Output" xfId="11" builtinId="21" customBuiltin="1"/>
    <cellStyle name="Parent row" xfId="46" xr:uid="{00000000-0005-0000-0000-00002E000000}"/>
    <cellStyle name="Percent" xfId="1" builtinId="5"/>
    <cellStyle name="Table title" xfId="45" xr:uid="{00000000-0005-0000-0000-000030000000}"/>
    <cellStyle name="Title" xfId="2" builtinId="15" customBuiltin="1"/>
    <cellStyle name="Total" xfId="18" builtinId="25" customBuiltin="1"/>
    <cellStyle name="Warning Text" xfId="15" builtinId="11" customBuiltin="1"/>
    <cellStyle name="표준 2" xfId="54" xr:uid="{34B8AD03-98A7-4074-B5AE-46C09C9A6F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436096</xdr:colOff>
      <xdr:row>19</xdr:row>
      <xdr:rowOff>106269</xdr:rowOff>
    </xdr:from>
    <xdr:to>
      <xdr:col>20</xdr:col>
      <xdr:colOff>588862</xdr:colOff>
      <xdr:row>32</xdr:row>
      <xdr:rowOff>9249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3E748C1-6187-ED66-A615-62241FAE9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5203" y="4678269"/>
          <a:ext cx="5037730" cy="3005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111125</xdr:colOff>
      <xdr:row>4</xdr:row>
      <xdr:rowOff>120650</xdr:rowOff>
    </xdr:from>
    <xdr:to>
      <xdr:col>20</xdr:col>
      <xdr:colOff>543815</xdr:colOff>
      <xdr:row>40</xdr:row>
      <xdr:rowOff>45523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38BE268-ED2A-B19E-4358-935BF223A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69200" y="1654175"/>
          <a:ext cx="6347714" cy="78115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1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D17304B-F423-4A85-BB5C-CA01DAA62AD2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aw.go.kr/lsSc.do?menuId=1&amp;subMenuId=15&amp;query=%EC%8B%A0%EC%9E%AC%EC%83%9D%EC%97%90%EB%84%88%EC%A7%80%EB%B2%95&amp;dt=20201211" TargetMode="External"/><Relationship Id="rId2" Type="http://schemas.openxmlformats.org/officeDocument/2006/relationships/hyperlink" Target="https://kosis.kr/statHtml/statHtml.do?orgId=388&amp;tblId=TX_38803_A016A&amp;conn_path=I3" TargetMode="External"/><Relationship Id="rId1" Type="http://schemas.openxmlformats.org/officeDocument/2006/relationships/hyperlink" Target="https://kosis.kr/statHtml/statHtml.do?orgId=337&amp;tblId=DT_337N_A002&amp;conn_path=I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motir.go.kr/kor/article/ATCLc01b2801b/70152/view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8"/>
  <sheetViews>
    <sheetView workbookViewId="0">
      <selection activeCell="B19" sqref="B19"/>
    </sheetView>
  </sheetViews>
  <sheetFormatPr defaultRowHeight="14.4"/>
  <cols>
    <col min="1" max="1" width="16" customWidth="1"/>
    <col min="2" max="2" width="122.77734375" customWidth="1"/>
  </cols>
  <sheetData>
    <row r="1" spans="1:2">
      <c r="A1" s="1" t="s">
        <v>94</v>
      </c>
    </row>
    <row r="2" spans="1:2">
      <c r="A2" s="1" t="s">
        <v>109</v>
      </c>
    </row>
    <row r="3" spans="1:2" ht="17.100000000000001" customHeight="1">
      <c r="A3" s="1" t="s">
        <v>317</v>
      </c>
    </row>
    <row r="5" spans="1:2">
      <c r="A5" s="1" t="s">
        <v>2</v>
      </c>
      <c r="B5" s="3" t="s">
        <v>318</v>
      </c>
    </row>
    <row r="6" spans="1:2">
      <c r="B6" t="s">
        <v>413</v>
      </c>
    </row>
    <row r="7" spans="1:2">
      <c r="B7" s="2">
        <v>2025</v>
      </c>
    </row>
    <row r="8" spans="1:2">
      <c r="B8" s="52" t="s">
        <v>429</v>
      </c>
    </row>
    <row r="9" spans="1:2">
      <c r="B9" s="2"/>
    </row>
    <row r="11" spans="1:2">
      <c r="B11" s="3" t="s">
        <v>414</v>
      </c>
    </row>
    <row r="12" spans="1:2">
      <c r="B12" s="2" t="s">
        <v>415</v>
      </c>
    </row>
    <row r="13" spans="1:2">
      <c r="B13" s="2">
        <v>2025</v>
      </c>
    </row>
    <row r="14" spans="1:2">
      <c r="B14" s="52" t="s">
        <v>369</v>
      </c>
    </row>
    <row r="17" spans="2:2">
      <c r="B17" s="3" t="s">
        <v>432</v>
      </c>
    </row>
    <row r="18" spans="2:2">
      <c r="B18" t="s">
        <v>434</v>
      </c>
    </row>
    <row r="19" spans="2:2">
      <c r="B19" s="2">
        <v>2025</v>
      </c>
    </row>
    <row r="20" spans="2:2">
      <c r="B20" t="s">
        <v>431</v>
      </c>
    </row>
    <row r="23" spans="2:2">
      <c r="B23" s="3" t="s">
        <v>433</v>
      </c>
    </row>
    <row r="24" spans="2:2">
      <c r="B24" s="1" t="s">
        <v>419</v>
      </c>
    </row>
    <row r="25" spans="2:2">
      <c r="B25" s="2" t="s">
        <v>416</v>
      </c>
    </row>
    <row r="26" spans="2:2">
      <c r="B26" s="2" t="s">
        <v>320</v>
      </c>
    </row>
    <row r="27" spans="2:2">
      <c r="B27" s="52" t="s">
        <v>363</v>
      </c>
    </row>
    <row r="30" spans="2:2">
      <c r="B30" s="3" t="s">
        <v>417</v>
      </c>
    </row>
    <row r="31" spans="2:2">
      <c r="B31" t="s">
        <v>418</v>
      </c>
    </row>
    <row r="32" spans="2:2">
      <c r="B32" s="2">
        <v>2025</v>
      </c>
    </row>
    <row r="33" spans="1:2">
      <c r="B33" s="95" t="s">
        <v>428</v>
      </c>
    </row>
    <row r="36" spans="1:2">
      <c r="A36" s="1" t="s">
        <v>0</v>
      </c>
    </row>
    <row r="37" spans="1:2">
      <c r="A37" t="s">
        <v>97</v>
      </c>
    </row>
    <row r="38" spans="1:2">
      <c r="A38" t="s">
        <v>1</v>
      </c>
    </row>
    <row r="40" spans="1:2">
      <c r="A40" s="8" t="s">
        <v>100</v>
      </c>
      <c r="B40" s="4"/>
    </row>
    <row r="41" spans="1:2">
      <c r="A41" t="s">
        <v>101</v>
      </c>
    </row>
    <row r="42" spans="1:2">
      <c r="A42" t="s">
        <v>102</v>
      </c>
    </row>
    <row r="43" spans="1:2">
      <c r="A43" t="s">
        <v>103</v>
      </c>
    </row>
    <row r="44" spans="1:2">
      <c r="A44" t="s">
        <v>104</v>
      </c>
    </row>
    <row r="45" spans="1:2">
      <c r="A45" t="s">
        <v>105</v>
      </c>
    </row>
    <row r="46" spans="1:2">
      <c r="A46" t="s">
        <v>106</v>
      </c>
    </row>
    <row r="47" spans="1:2">
      <c r="A47" t="s">
        <v>107</v>
      </c>
    </row>
    <row r="48" spans="1:2">
      <c r="A48" t="s">
        <v>108</v>
      </c>
    </row>
    <row r="50" spans="1:2">
      <c r="A50" s="8" t="s">
        <v>98</v>
      </c>
      <c r="B50" s="8"/>
    </row>
    <row r="51" spans="1:2">
      <c r="A51" s="1" t="s">
        <v>96</v>
      </c>
    </row>
    <row r="52" spans="1:2">
      <c r="A52" s="1" t="s">
        <v>92</v>
      </c>
    </row>
    <row r="53" spans="1:2">
      <c r="A53" t="s">
        <v>93</v>
      </c>
    </row>
    <row r="55" spans="1:2">
      <c r="A55" t="s">
        <v>111</v>
      </c>
    </row>
    <row r="56" spans="1:2">
      <c r="A56" s="1" t="s">
        <v>99</v>
      </c>
    </row>
    <row r="58" spans="1:2">
      <c r="A58" t="s">
        <v>448</v>
      </c>
    </row>
  </sheetData>
  <phoneticPr fontId="26" type="noConversion"/>
  <hyperlinks>
    <hyperlink ref="B27" r:id="rId1" xr:uid="{1AB29CEA-7EC4-4E4D-B9B4-019F5F0FF819}"/>
    <hyperlink ref="B14" r:id="rId2" xr:uid="{353AD36F-5BDA-4D1E-80EE-DCB2AB2BDE4B}"/>
    <hyperlink ref="B33" r:id="rId3" location="undefined" xr:uid="{1FD1EC85-2343-4F93-815B-8DFC9B4DFE45}"/>
    <hyperlink ref="B8" r:id="rId4" xr:uid="{930A7987-4386-494C-B967-718D98C224A5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CBCD-AD0F-4CC9-AC7B-9D4067D1C400}">
  <dimension ref="A1:I82"/>
  <sheetViews>
    <sheetView workbookViewId="0">
      <selection activeCell="B28" sqref="B28"/>
    </sheetView>
  </sheetViews>
  <sheetFormatPr defaultColWidth="20.5546875" defaultRowHeight="14.4"/>
  <cols>
    <col min="1" max="1" width="33.77734375" style="13" customWidth="1"/>
    <col min="2" max="2" width="13.109375" style="13" customWidth="1"/>
    <col min="3" max="3" width="8.77734375" style="13" customWidth="1"/>
    <col min="4" max="4" width="8" style="13" customWidth="1"/>
    <col min="5" max="16384" width="20.5546875" style="13"/>
  </cols>
  <sheetData>
    <row r="1" spans="1:9" ht="20.100000000000001" customHeight="1">
      <c r="A1" s="26" t="s">
        <v>321</v>
      </c>
      <c r="B1" s="26" t="s">
        <v>322</v>
      </c>
      <c r="C1" s="26" t="s">
        <v>323</v>
      </c>
      <c r="D1" s="26" t="s">
        <v>324</v>
      </c>
      <c r="E1" s="27" t="s">
        <v>249</v>
      </c>
      <c r="F1" s="27" t="s">
        <v>263</v>
      </c>
      <c r="G1" s="27" t="s">
        <v>276</v>
      </c>
      <c r="H1" s="27" t="s">
        <v>291</v>
      </c>
      <c r="I1" s="27" t="s">
        <v>303</v>
      </c>
    </row>
    <row r="2" spans="1:9" ht="20.100000000000001" customHeight="1">
      <c r="A2" s="28" t="s">
        <v>325</v>
      </c>
      <c r="B2" s="28" t="s">
        <v>326</v>
      </c>
      <c r="C2" s="28" t="s">
        <v>326</v>
      </c>
      <c r="D2" s="28" t="s">
        <v>326</v>
      </c>
      <c r="E2" s="29">
        <v>579999196</v>
      </c>
      <c r="F2" s="29">
        <v>611015325</v>
      </c>
      <c r="G2" s="29">
        <v>626448138</v>
      </c>
      <c r="H2" s="29">
        <v>624883407</v>
      </c>
      <c r="I2" s="29">
        <v>637103809</v>
      </c>
    </row>
    <row r="3" spans="1:9" ht="20.100000000000001" customHeight="1">
      <c r="A3" s="30" t="s">
        <v>170</v>
      </c>
      <c r="B3" s="28" t="s">
        <v>327</v>
      </c>
      <c r="C3" s="28" t="s">
        <v>326</v>
      </c>
      <c r="D3" s="28" t="s">
        <v>326</v>
      </c>
      <c r="E3" s="29">
        <v>3271019</v>
      </c>
      <c r="F3" s="29">
        <v>3682932</v>
      </c>
      <c r="G3" s="29">
        <v>3715049</v>
      </c>
      <c r="H3" s="29">
        <v>3783877</v>
      </c>
      <c r="I3" s="29">
        <v>4677237</v>
      </c>
    </row>
    <row r="4" spans="1:9" ht="20.100000000000001" customHeight="1">
      <c r="A4" s="28" t="s">
        <v>328</v>
      </c>
      <c r="B4" s="28" t="s">
        <v>326</v>
      </c>
      <c r="C4" s="28" t="s">
        <v>326</v>
      </c>
      <c r="D4" s="28" t="s">
        <v>326</v>
      </c>
      <c r="E4" s="68">
        <v>7.44</v>
      </c>
      <c r="F4" s="68">
        <v>8.2899999999999991</v>
      </c>
      <c r="G4" s="68">
        <v>9.2200000000000006</v>
      </c>
      <c r="H4" s="68">
        <v>9.67</v>
      </c>
      <c r="I4" s="68">
        <v>11</v>
      </c>
    </row>
    <row r="5" spans="1:9" ht="20.100000000000001" customHeight="1">
      <c r="A5" s="30" t="s">
        <v>170</v>
      </c>
      <c r="B5" s="28" t="s">
        <v>329</v>
      </c>
      <c r="C5" s="28" t="s">
        <v>326</v>
      </c>
      <c r="D5" s="28" t="s">
        <v>326</v>
      </c>
      <c r="E5" s="68">
        <v>6.41</v>
      </c>
      <c r="F5" s="68">
        <v>7.15</v>
      </c>
      <c r="G5" s="68">
        <v>8.0500000000000007</v>
      </c>
      <c r="H5" s="68">
        <v>8.5</v>
      </c>
      <c r="I5" s="68">
        <v>9</v>
      </c>
    </row>
    <row r="6" spans="1:9" ht="20.100000000000001" customHeight="1">
      <c r="A6" s="30" t="s">
        <v>170</v>
      </c>
      <c r="B6" s="28" t="s">
        <v>319</v>
      </c>
      <c r="C6" s="28" t="s">
        <v>326</v>
      </c>
      <c r="D6" s="28" t="s">
        <v>326</v>
      </c>
      <c r="E6" s="68">
        <v>1.02</v>
      </c>
      <c r="F6" s="68">
        <v>1.1399999999999999</v>
      </c>
      <c r="G6" s="68">
        <v>1.18</v>
      </c>
      <c r="H6" s="68">
        <v>1.1599999999999999</v>
      </c>
      <c r="I6" s="68">
        <v>2</v>
      </c>
    </row>
    <row r="7" spans="1:9" ht="20.100000000000001" customHeight="1">
      <c r="A7" s="28" t="s">
        <v>330</v>
      </c>
      <c r="B7" s="28" t="s">
        <v>326</v>
      </c>
      <c r="C7" s="28" t="s">
        <v>326</v>
      </c>
      <c r="D7" s="28" t="s">
        <v>326</v>
      </c>
      <c r="E7" s="29">
        <v>43123776</v>
      </c>
      <c r="F7" s="29">
        <v>50657393</v>
      </c>
      <c r="G7" s="29">
        <v>57779999</v>
      </c>
      <c r="H7" s="29">
        <v>60399865</v>
      </c>
      <c r="I7" s="29">
        <v>68115782</v>
      </c>
    </row>
    <row r="8" spans="1:9" ht="20.100000000000001" customHeight="1">
      <c r="A8" s="30" t="s">
        <v>170</v>
      </c>
      <c r="B8" s="28" t="s">
        <v>331</v>
      </c>
      <c r="C8" s="28" t="s">
        <v>326</v>
      </c>
      <c r="D8" s="28" t="s">
        <v>326</v>
      </c>
      <c r="E8" s="29">
        <v>39791354</v>
      </c>
      <c r="F8" s="29">
        <v>46856560</v>
      </c>
      <c r="G8" s="29">
        <v>53154366</v>
      </c>
      <c r="H8" s="29">
        <v>55593383</v>
      </c>
      <c r="I8" s="29">
        <v>62487770</v>
      </c>
    </row>
    <row r="9" spans="1:9" ht="20.100000000000001" customHeight="1">
      <c r="A9" s="30" t="s">
        <v>170</v>
      </c>
      <c r="B9" s="28" t="s">
        <v>332</v>
      </c>
      <c r="C9" s="28" t="s">
        <v>326</v>
      </c>
      <c r="D9" s="28" t="s">
        <v>326</v>
      </c>
      <c r="E9" s="29">
        <v>3332422</v>
      </c>
      <c r="F9" s="29">
        <v>3800833</v>
      </c>
      <c r="G9" s="29">
        <v>4625634</v>
      </c>
      <c r="H9" s="29">
        <v>4806483</v>
      </c>
      <c r="I9" s="29">
        <v>5628012</v>
      </c>
    </row>
    <row r="10" spans="1:9" ht="20.100000000000001" customHeight="1">
      <c r="A10" s="30" t="s">
        <v>170</v>
      </c>
      <c r="B10" s="28" t="s">
        <v>333</v>
      </c>
      <c r="C10" s="28" t="s">
        <v>326</v>
      </c>
      <c r="D10" s="28" t="s">
        <v>326</v>
      </c>
      <c r="E10" s="29">
        <v>37202048</v>
      </c>
      <c r="F10" s="29">
        <v>43668518</v>
      </c>
      <c r="G10" s="29">
        <v>50405547</v>
      </c>
      <c r="H10" s="29">
        <v>53146000</v>
      </c>
      <c r="I10" s="29">
        <v>58460649</v>
      </c>
    </row>
    <row r="11" spans="1:9" ht="20.100000000000001" customHeight="1">
      <c r="A11" s="30" t="s">
        <v>170</v>
      </c>
      <c r="B11" s="30" t="s">
        <v>170</v>
      </c>
      <c r="C11" s="28" t="s">
        <v>331</v>
      </c>
      <c r="D11" s="28" t="s">
        <v>326</v>
      </c>
      <c r="E11" s="29">
        <v>33928372</v>
      </c>
      <c r="F11" s="29">
        <v>39938435</v>
      </c>
      <c r="G11" s="29">
        <v>45859855</v>
      </c>
      <c r="H11" s="29">
        <v>48432407</v>
      </c>
      <c r="I11" s="29">
        <v>52953466</v>
      </c>
    </row>
    <row r="12" spans="1:9" ht="20.100000000000001" customHeight="1">
      <c r="A12" s="30" t="s">
        <v>170</v>
      </c>
      <c r="B12" s="30" t="s">
        <v>170</v>
      </c>
      <c r="C12" s="28" t="s">
        <v>332</v>
      </c>
      <c r="D12" s="28" t="s">
        <v>326</v>
      </c>
      <c r="E12" s="29">
        <v>3273676</v>
      </c>
      <c r="F12" s="29">
        <v>3730083</v>
      </c>
      <c r="G12" s="29">
        <v>4545692</v>
      </c>
      <c r="H12" s="29">
        <v>4713593</v>
      </c>
      <c r="I12" s="29">
        <v>5507183</v>
      </c>
    </row>
    <row r="13" spans="1:9" ht="20.100000000000001" customHeight="1">
      <c r="A13" s="30" t="s">
        <v>170</v>
      </c>
      <c r="B13" s="28" t="s">
        <v>334</v>
      </c>
      <c r="C13" s="28" t="s">
        <v>326</v>
      </c>
      <c r="D13" s="28" t="s">
        <v>326</v>
      </c>
      <c r="E13" s="29">
        <v>5921728</v>
      </c>
      <c r="F13" s="29">
        <v>6988875</v>
      </c>
      <c r="G13" s="29">
        <v>7374452</v>
      </c>
      <c r="H13" s="29">
        <v>7253865</v>
      </c>
      <c r="I13" s="29">
        <v>9655133</v>
      </c>
    </row>
    <row r="14" spans="1:9" ht="20.100000000000001" customHeight="1">
      <c r="A14" s="30" t="s">
        <v>170</v>
      </c>
      <c r="B14" s="30" t="s">
        <v>170</v>
      </c>
      <c r="C14" s="28" t="s">
        <v>331</v>
      </c>
      <c r="D14" s="28" t="s">
        <v>326</v>
      </c>
      <c r="E14" s="29">
        <v>5862982</v>
      </c>
      <c r="F14" s="29">
        <v>6918125</v>
      </c>
      <c r="G14" s="29">
        <v>7294511</v>
      </c>
      <c r="H14" s="29">
        <v>7160976</v>
      </c>
      <c r="I14" s="29">
        <v>9534304</v>
      </c>
    </row>
    <row r="15" spans="1:9" ht="20.100000000000001" customHeight="1">
      <c r="A15" s="30" t="s">
        <v>170</v>
      </c>
      <c r="B15" s="30" t="s">
        <v>170</v>
      </c>
      <c r="C15" s="28" t="s">
        <v>332</v>
      </c>
      <c r="D15" s="28" t="s">
        <v>326</v>
      </c>
      <c r="E15" s="29">
        <v>58746</v>
      </c>
      <c r="F15" s="29">
        <v>70750</v>
      </c>
      <c r="G15" s="29">
        <v>79942</v>
      </c>
      <c r="H15" s="29">
        <v>92889</v>
      </c>
      <c r="I15" s="29">
        <v>120828</v>
      </c>
    </row>
    <row r="16" spans="1:9" ht="20.100000000000001" customHeight="1">
      <c r="A16" s="28" t="s">
        <v>335</v>
      </c>
      <c r="B16" s="28" t="s">
        <v>336</v>
      </c>
      <c r="C16" s="28" t="s">
        <v>326</v>
      </c>
      <c r="D16" s="28" t="s">
        <v>326</v>
      </c>
      <c r="E16" s="29">
        <v>19337964</v>
      </c>
      <c r="F16" s="29">
        <v>24717623</v>
      </c>
      <c r="G16" s="29">
        <v>30726260</v>
      </c>
      <c r="H16" s="29">
        <v>33236447</v>
      </c>
      <c r="I16" s="29">
        <v>37449731</v>
      </c>
    </row>
    <row r="17" spans="1:9" ht="20.100000000000001" customHeight="1">
      <c r="A17" s="30" t="s">
        <v>170</v>
      </c>
      <c r="B17" s="30" t="s">
        <v>170</v>
      </c>
      <c r="C17" s="28" t="s">
        <v>331</v>
      </c>
      <c r="D17" s="28" t="s">
        <v>326</v>
      </c>
      <c r="E17" s="29">
        <v>16452484</v>
      </c>
      <c r="F17" s="29">
        <v>21444281</v>
      </c>
      <c r="G17" s="29">
        <v>26682924</v>
      </c>
      <c r="H17" s="29">
        <v>28912204</v>
      </c>
      <c r="I17" s="29">
        <v>32334925</v>
      </c>
    </row>
    <row r="18" spans="1:9" ht="20.100000000000001" customHeight="1">
      <c r="A18" s="30" t="s">
        <v>170</v>
      </c>
      <c r="B18" s="30" t="s">
        <v>170</v>
      </c>
      <c r="C18" s="28" t="s">
        <v>332</v>
      </c>
      <c r="D18" s="28" t="s">
        <v>326</v>
      </c>
      <c r="E18" s="29">
        <v>2885480</v>
      </c>
      <c r="F18" s="29">
        <v>3273342</v>
      </c>
      <c r="G18" s="29">
        <v>4043336</v>
      </c>
      <c r="H18" s="29">
        <v>4324243</v>
      </c>
      <c r="I18" s="29">
        <v>5114806</v>
      </c>
    </row>
    <row r="19" spans="1:9" ht="20.100000000000001" customHeight="1">
      <c r="A19" s="30" t="s">
        <v>170</v>
      </c>
      <c r="B19" s="28" t="s">
        <v>337</v>
      </c>
      <c r="C19" s="28" t="s">
        <v>326</v>
      </c>
      <c r="D19" s="28" t="s">
        <v>326</v>
      </c>
      <c r="E19" s="29">
        <v>3149948</v>
      </c>
      <c r="F19" s="29">
        <v>3180017</v>
      </c>
      <c r="G19" s="29">
        <v>3369458</v>
      </c>
      <c r="H19" s="29">
        <v>3392165</v>
      </c>
      <c r="I19" s="29">
        <v>3736569</v>
      </c>
    </row>
    <row r="20" spans="1:9" ht="20.100000000000001" customHeight="1">
      <c r="A20" s="30" t="s">
        <v>170</v>
      </c>
      <c r="B20" s="30" t="s">
        <v>170</v>
      </c>
      <c r="C20" s="28" t="s">
        <v>331</v>
      </c>
      <c r="D20" s="28" t="s">
        <v>326</v>
      </c>
      <c r="E20" s="29">
        <v>3139475</v>
      </c>
      <c r="F20" s="29">
        <v>3169833</v>
      </c>
      <c r="G20" s="29">
        <v>3358850</v>
      </c>
      <c r="H20" s="29">
        <v>3382397</v>
      </c>
      <c r="I20" s="29">
        <v>3723163</v>
      </c>
    </row>
    <row r="21" spans="1:9" ht="20.100000000000001" customHeight="1">
      <c r="A21" s="30" t="s">
        <v>170</v>
      </c>
      <c r="B21" s="30" t="s">
        <v>170</v>
      </c>
      <c r="C21" s="28" t="s">
        <v>332</v>
      </c>
      <c r="D21" s="28" t="s">
        <v>326</v>
      </c>
      <c r="E21" s="29">
        <v>10474</v>
      </c>
      <c r="F21" s="29">
        <v>10184</v>
      </c>
      <c r="G21" s="29">
        <v>10608</v>
      </c>
      <c r="H21" s="29">
        <v>9768</v>
      </c>
      <c r="I21" s="29">
        <v>13406</v>
      </c>
    </row>
    <row r="22" spans="1:9" ht="20.100000000000001" customHeight="1">
      <c r="A22" s="30" t="s">
        <v>170</v>
      </c>
      <c r="B22" s="28" t="s">
        <v>338</v>
      </c>
      <c r="C22" s="28" t="s">
        <v>326</v>
      </c>
      <c r="D22" s="28" t="s">
        <v>326</v>
      </c>
      <c r="E22" s="29">
        <v>3879383</v>
      </c>
      <c r="F22" s="29">
        <v>3057210</v>
      </c>
      <c r="G22" s="29">
        <v>3544866</v>
      </c>
      <c r="H22" s="29">
        <v>3718015</v>
      </c>
      <c r="I22" s="29">
        <v>4313488</v>
      </c>
    </row>
    <row r="23" spans="1:9" ht="20.100000000000001" customHeight="1">
      <c r="A23" s="30" t="s">
        <v>170</v>
      </c>
      <c r="B23" s="30" t="s">
        <v>170</v>
      </c>
      <c r="C23" s="28" t="s">
        <v>331</v>
      </c>
      <c r="D23" s="28" t="s">
        <v>326</v>
      </c>
      <c r="E23" s="29">
        <v>3877175</v>
      </c>
      <c r="F23" s="29">
        <v>3054616</v>
      </c>
      <c r="G23" s="29">
        <v>3541073</v>
      </c>
      <c r="H23" s="29">
        <v>3716390</v>
      </c>
      <c r="I23" s="29">
        <v>4311955</v>
      </c>
    </row>
    <row r="24" spans="1:9" ht="20.100000000000001" customHeight="1">
      <c r="A24" s="30" t="s">
        <v>170</v>
      </c>
      <c r="B24" s="30" t="s">
        <v>170</v>
      </c>
      <c r="C24" s="28" t="s">
        <v>332</v>
      </c>
      <c r="D24" s="28" t="s">
        <v>326</v>
      </c>
      <c r="E24" s="29">
        <v>2208</v>
      </c>
      <c r="F24" s="29">
        <v>2595</v>
      </c>
      <c r="G24" s="29">
        <v>3793</v>
      </c>
      <c r="H24" s="29">
        <v>1625</v>
      </c>
      <c r="I24" s="29">
        <v>1532</v>
      </c>
    </row>
    <row r="25" spans="1:9" ht="20.100000000000001" customHeight="1">
      <c r="A25" s="30" t="s">
        <v>170</v>
      </c>
      <c r="B25" s="28" t="s">
        <v>339</v>
      </c>
      <c r="C25" s="28" t="s">
        <v>326</v>
      </c>
      <c r="D25" s="28" t="s">
        <v>326</v>
      </c>
      <c r="E25" s="29">
        <v>457263</v>
      </c>
      <c r="F25" s="29">
        <v>454980</v>
      </c>
      <c r="G25" s="29">
        <v>423843</v>
      </c>
      <c r="H25" s="29">
        <v>437567</v>
      </c>
      <c r="I25" s="29">
        <v>418483</v>
      </c>
    </row>
    <row r="26" spans="1:9" ht="20.100000000000001" customHeight="1">
      <c r="A26" s="30" t="s">
        <v>170</v>
      </c>
      <c r="B26" s="30" t="s">
        <v>170</v>
      </c>
      <c r="C26" s="28" t="s">
        <v>331</v>
      </c>
      <c r="D26" s="28" t="s">
        <v>326</v>
      </c>
      <c r="E26" s="29">
        <v>457263</v>
      </c>
      <c r="F26" s="29">
        <v>454980</v>
      </c>
      <c r="G26" s="29">
        <v>423843</v>
      </c>
      <c r="H26" s="29">
        <v>437567</v>
      </c>
      <c r="I26" s="29">
        <v>418483</v>
      </c>
    </row>
    <row r="27" spans="1:9" ht="20.100000000000001" customHeight="1">
      <c r="A27" s="30" t="s">
        <v>170</v>
      </c>
      <c r="B27" s="28" t="s">
        <v>340</v>
      </c>
      <c r="C27" s="28" t="s">
        <v>326</v>
      </c>
      <c r="D27" s="28" t="s">
        <v>326</v>
      </c>
      <c r="E27" s="29">
        <v>9938354</v>
      </c>
      <c r="F27" s="29">
        <v>11788068</v>
      </c>
      <c r="G27" s="29">
        <v>11927592</v>
      </c>
      <c r="H27" s="29">
        <v>11918038</v>
      </c>
      <c r="I27" s="29">
        <v>12117654</v>
      </c>
    </row>
    <row r="28" spans="1:9" ht="20.100000000000001" customHeight="1">
      <c r="A28" s="30" t="s">
        <v>170</v>
      </c>
      <c r="B28" s="30" t="s">
        <v>170</v>
      </c>
      <c r="C28" s="28" t="s">
        <v>331</v>
      </c>
      <c r="D28" s="28" t="s">
        <v>326</v>
      </c>
      <c r="E28" s="29">
        <v>9664364</v>
      </c>
      <c r="F28" s="29">
        <v>11454757</v>
      </c>
      <c r="G28" s="29">
        <v>11503337</v>
      </c>
      <c r="H28" s="29">
        <v>11652459</v>
      </c>
      <c r="I28" s="29">
        <v>11823889</v>
      </c>
    </row>
    <row r="29" spans="1:9" ht="20.100000000000001" customHeight="1">
      <c r="A29" s="30" t="s">
        <v>170</v>
      </c>
      <c r="B29" s="30" t="s">
        <v>170</v>
      </c>
      <c r="C29" s="28" t="s">
        <v>332</v>
      </c>
      <c r="D29" s="28" t="s">
        <v>326</v>
      </c>
      <c r="E29" s="29">
        <v>273990</v>
      </c>
      <c r="F29" s="29">
        <v>333310</v>
      </c>
      <c r="G29" s="29">
        <v>424255</v>
      </c>
      <c r="H29" s="29">
        <v>265579</v>
      </c>
      <c r="I29" s="29">
        <v>293765</v>
      </c>
    </row>
    <row r="30" spans="1:9" ht="20.100000000000001" customHeight="1">
      <c r="A30" s="30" t="s">
        <v>170</v>
      </c>
      <c r="B30" s="30" t="s">
        <v>170</v>
      </c>
      <c r="C30" s="28" t="s">
        <v>341</v>
      </c>
      <c r="D30" s="28" t="s">
        <v>326</v>
      </c>
      <c r="E30" s="29">
        <v>179046</v>
      </c>
      <c r="F30" s="29">
        <v>191081</v>
      </c>
      <c r="G30" s="29">
        <v>152742</v>
      </c>
      <c r="H30" s="29">
        <v>160550</v>
      </c>
      <c r="I30" s="29">
        <v>194068</v>
      </c>
    </row>
    <row r="31" spans="1:9" ht="20.100000000000001" customHeight="1">
      <c r="A31" s="30" t="s">
        <v>170</v>
      </c>
      <c r="B31" s="30" t="s">
        <v>170</v>
      </c>
      <c r="C31" s="30" t="s">
        <v>170</v>
      </c>
      <c r="D31" s="28" t="s">
        <v>331</v>
      </c>
      <c r="E31" s="29">
        <v>149710</v>
      </c>
      <c r="F31" s="29">
        <v>174406</v>
      </c>
      <c r="G31" s="29">
        <v>135429</v>
      </c>
      <c r="H31" s="29">
        <v>126303</v>
      </c>
      <c r="I31" s="29">
        <v>152244</v>
      </c>
    </row>
    <row r="32" spans="1:9" ht="20.100000000000001" customHeight="1">
      <c r="A32" s="30" t="s">
        <v>170</v>
      </c>
      <c r="B32" s="30" t="s">
        <v>170</v>
      </c>
      <c r="C32" s="30" t="s">
        <v>170</v>
      </c>
      <c r="D32" s="28" t="s">
        <v>332</v>
      </c>
      <c r="E32" s="29">
        <v>29336</v>
      </c>
      <c r="F32" s="29">
        <v>16675</v>
      </c>
      <c r="G32" s="29">
        <v>17312</v>
      </c>
      <c r="H32" s="29">
        <v>34247</v>
      </c>
      <c r="I32" s="29">
        <v>41823</v>
      </c>
    </row>
    <row r="33" spans="1:9" ht="20.100000000000001" customHeight="1">
      <c r="A33" s="30" t="s">
        <v>170</v>
      </c>
      <c r="B33" s="30" t="s">
        <v>170</v>
      </c>
      <c r="C33" s="28" t="s">
        <v>342</v>
      </c>
      <c r="D33" s="28" t="s">
        <v>326</v>
      </c>
      <c r="E33" s="29">
        <v>180043</v>
      </c>
      <c r="F33" s="29">
        <v>187485</v>
      </c>
      <c r="G33" s="29">
        <v>206760</v>
      </c>
      <c r="H33" s="29">
        <v>218741</v>
      </c>
      <c r="I33" s="29">
        <v>179394</v>
      </c>
    </row>
    <row r="34" spans="1:9" ht="20.100000000000001" customHeight="1">
      <c r="A34" s="30" t="s">
        <v>170</v>
      </c>
      <c r="B34" s="30" t="s">
        <v>170</v>
      </c>
      <c r="C34" s="30" t="s">
        <v>170</v>
      </c>
      <c r="D34" s="28" t="s">
        <v>331</v>
      </c>
      <c r="E34" s="29">
        <v>180043</v>
      </c>
      <c r="F34" s="29">
        <v>187485</v>
      </c>
      <c r="G34" s="29">
        <v>206760</v>
      </c>
      <c r="H34" s="29">
        <v>218741</v>
      </c>
      <c r="I34" s="29">
        <v>179394</v>
      </c>
    </row>
    <row r="35" spans="1:9" ht="20.100000000000001" customHeight="1">
      <c r="A35" s="30" t="s">
        <v>170</v>
      </c>
      <c r="B35" s="30" t="s">
        <v>170</v>
      </c>
      <c r="C35" s="30" t="s">
        <v>170</v>
      </c>
      <c r="D35" s="28" t="s">
        <v>332</v>
      </c>
      <c r="E35" s="29" t="s">
        <v>201</v>
      </c>
      <c r="F35" s="29" t="s">
        <v>201</v>
      </c>
      <c r="G35" s="29" t="s">
        <v>201</v>
      </c>
      <c r="H35" s="29" t="s">
        <v>201</v>
      </c>
      <c r="I35" s="29" t="s">
        <v>201</v>
      </c>
    </row>
    <row r="36" spans="1:9" ht="20.100000000000001" customHeight="1">
      <c r="A36" s="30" t="s">
        <v>170</v>
      </c>
      <c r="B36" s="30" t="s">
        <v>170</v>
      </c>
      <c r="C36" s="28" t="s">
        <v>343</v>
      </c>
      <c r="D36" s="28" t="s">
        <v>326</v>
      </c>
      <c r="E36" s="29">
        <v>99242</v>
      </c>
      <c r="F36" s="29">
        <v>222248</v>
      </c>
      <c r="G36" s="29">
        <v>319428</v>
      </c>
      <c r="H36" s="29">
        <v>423195</v>
      </c>
      <c r="I36" s="29">
        <v>559688</v>
      </c>
    </row>
    <row r="37" spans="1:9" ht="20.100000000000001" customHeight="1">
      <c r="A37" s="30" t="s">
        <v>170</v>
      </c>
      <c r="B37" s="30" t="s">
        <v>170</v>
      </c>
      <c r="C37" s="30" t="s">
        <v>170</v>
      </c>
      <c r="D37" s="28" t="s">
        <v>331</v>
      </c>
      <c r="E37" s="29">
        <v>95538</v>
      </c>
      <c r="F37" s="29">
        <v>167583</v>
      </c>
      <c r="G37" s="29">
        <v>319428</v>
      </c>
      <c r="H37" s="29">
        <v>423195</v>
      </c>
      <c r="I37" s="29">
        <v>559688</v>
      </c>
    </row>
    <row r="38" spans="1:9" ht="20.100000000000001" customHeight="1">
      <c r="A38" s="30" t="s">
        <v>170</v>
      </c>
      <c r="B38" s="30" t="s">
        <v>170</v>
      </c>
      <c r="C38" s="30" t="s">
        <v>170</v>
      </c>
      <c r="D38" s="28" t="s">
        <v>332</v>
      </c>
      <c r="E38" s="29">
        <v>3704</v>
      </c>
      <c r="F38" s="29">
        <v>54665</v>
      </c>
      <c r="G38" s="29" t="s">
        <v>201</v>
      </c>
      <c r="H38" s="29" t="s">
        <v>201</v>
      </c>
      <c r="I38" s="29" t="s">
        <v>201</v>
      </c>
    </row>
    <row r="39" spans="1:9" ht="20.100000000000001" customHeight="1">
      <c r="A39" s="30" t="s">
        <v>170</v>
      </c>
      <c r="B39" s="30" t="s">
        <v>170</v>
      </c>
      <c r="C39" s="28" t="s">
        <v>344</v>
      </c>
      <c r="D39" s="28" t="s">
        <v>326</v>
      </c>
      <c r="E39" s="29">
        <v>4926845</v>
      </c>
      <c r="F39" s="29">
        <v>6794232</v>
      </c>
      <c r="G39" s="29">
        <v>7393419</v>
      </c>
      <c r="H39" s="29">
        <v>6597030</v>
      </c>
      <c r="I39" s="29">
        <v>7245849</v>
      </c>
    </row>
    <row r="40" spans="1:9" ht="20.100000000000001" customHeight="1">
      <c r="A40" s="30" t="s">
        <v>170</v>
      </c>
      <c r="B40" s="30" t="s">
        <v>170</v>
      </c>
      <c r="C40" s="30" t="s">
        <v>170</v>
      </c>
      <c r="D40" s="28" t="s">
        <v>331</v>
      </c>
      <c r="E40" s="29">
        <v>4926845</v>
      </c>
      <c r="F40" s="29">
        <v>6794232</v>
      </c>
      <c r="G40" s="29">
        <v>7393419</v>
      </c>
      <c r="H40" s="29">
        <v>6597030</v>
      </c>
      <c r="I40" s="29">
        <v>7245849</v>
      </c>
    </row>
    <row r="41" spans="1:9" ht="20.100000000000001" customHeight="1">
      <c r="A41" s="30" t="s">
        <v>170</v>
      </c>
      <c r="B41" s="30" t="s">
        <v>170</v>
      </c>
      <c r="C41" s="30" t="s">
        <v>170</v>
      </c>
      <c r="D41" s="28" t="s">
        <v>332</v>
      </c>
      <c r="E41" s="29" t="s">
        <v>201</v>
      </c>
      <c r="F41" s="29" t="s">
        <v>201</v>
      </c>
      <c r="G41" s="29" t="s">
        <v>201</v>
      </c>
      <c r="H41" s="29" t="s">
        <v>201</v>
      </c>
      <c r="I41" s="29" t="s">
        <v>201</v>
      </c>
    </row>
    <row r="42" spans="1:9" ht="20.100000000000001" customHeight="1">
      <c r="A42" s="30" t="s">
        <v>170</v>
      </c>
      <c r="B42" s="30" t="s">
        <v>170</v>
      </c>
      <c r="C42" s="28" t="s">
        <v>345</v>
      </c>
      <c r="D42" s="28" t="s">
        <v>326</v>
      </c>
      <c r="E42" s="29" t="s">
        <v>201</v>
      </c>
      <c r="F42" s="29" t="s">
        <v>201</v>
      </c>
      <c r="G42" s="29" t="s">
        <v>201</v>
      </c>
      <c r="H42" s="29" t="s">
        <v>201</v>
      </c>
      <c r="I42" s="29" t="s">
        <v>201</v>
      </c>
    </row>
    <row r="43" spans="1:9" ht="20.100000000000001" customHeight="1">
      <c r="A43" s="30" t="s">
        <v>170</v>
      </c>
      <c r="B43" s="30" t="s">
        <v>170</v>
      </c>
      <c r="C43" s="30" t="s">
        <v>170</v>
      </c>
      <c r="D43" s="28" t="s">
        <v>331</v>
      </c>
      <c r="E43" s="29" t="s">
        <v>201</v>
      </c>
      <c r="F43" s="29" t="s">
        <v>201</v>
      </c>
      <c r="G43" s="29" t="s">
        <v>201</v>
      </c>
      <c r="H43" s="29" t="s">
        <v>201</v>
      </c>
      <c r="I43" s="29" t="s">
        <v>201</v>
      </c>
    </row>
    <row r="44" spans="1:9" ht="20.100000000000001" customHeight="1">
      <c r="A44" s="30" t="s">
        <v>170</v>
      </c>
      <c r="B44" s="30" t="s">
        <v>170</v>
      </c>
      <c r="C44" s="30" t="s">
        <v>170</v>
      </c>
      <c r="D44" s="28" t="s">
        <v>332</v>
      </c>
      <c r="E44" s="29" t="s">
        <v>201</v>
      </c>
      <c r="F44" s="29" t="s">
        <v>201</v>
      </c>
      <c r="G44" s="29" t="s">
        <v>201</v>
      </c>
      <c r="H44" s="29" t="s">
        <v>201</v>
      </c>
      <c r="I44" s="29" t="s">
        <v>201</v>
      </c>
    </row>
    <row r="45" spans="1:9" ht="20.100000000000001" customHeight="1">
      <c r="A45" s="30" t="s">
        <v>170</v>
      </c>
      <c r="B45" s="30" t="s">
        <v>170</v>
      </c>
      <c r="C45" s="28" t="s">
        <v>346</v>
      </c>
      <c r="D45" s="28" t="s">
        <v>326</v>
      </c>
      <c r="E45" s="29">
        <v>240950</v>
      </c>
      <c r="F45" s="29">
        <v>261970</v>
      </c>
      <c r="G45" s="29">
        <v>234792</v>
      </c>
      <c r="H45" s="29">
        <v>231332</v>
      </c>
      <c r="I45" s="29">
        <v>251942</v>
      </c>
    </row>
    <row r="46" spans="1:9" ht="20.100000000000001" customHeight="1">
      <c r="A46" s="30" t="s">
        <v>170</v>
      </c>
      <c r="B46" s="30" t="s">
        <v>170</v>
      </c>
      <c r="C46" s="30" t="s">
        <v>170</v>
      </c>
      <c r="D46" s="28" t="s">
        <v>332</v>
      </c>
      <c r="E46" s="29">
        <v>240950</v>
      </c>
      <c r="F46" s="29">
        <v>261970</v>
      </c>
      <c r="G46" s="29">
        <v>234792</v>
      </c>
      <c r="H46" s="29">
        <v>231332</v>
      </c>
      <c r="I46" s="29">
        <v>251942</v>
      </c>
    </row>
    <row r="47" spans="1:9" ht="20.100000000000001" customHeight="1">
      <c r="A47" s="30" t="s">
        <v>170</v>
      </c>
      <c r="B47" s="30" t="s">
        <v>170</v>
      </c>
      <c r="C47" s="28" t="s">
        <v>347</v>
      </c>
      <c r="D47" s="28" t="s">
        <v>326</v>
      </c>
      <c r="E47" s="29">
        <v>410193</v>
      </c>
      <c r="F47" s="29">
        <v>406146</v>
      </c>
      <c r="G47" s="29">
        <v>73784</v>
      </c>
      <c r="H47" s="29">
        <v>94512</v>
      </c>
      <c r="I47" s="29">
        <v>159149</v>
      </c>
    </row>
    <row r="48" spans="1:9" ht="20.100000000000001" customHeight="1">
      <c r="A48" s="30" t="s">
        <v>170</v>
      </c>
      <c r="B48" s="30" t="s">
        <v>170</v>
      </c>
      <c r="C48" s="30" t="s">
        <v>170</v>
      </c>
      <c r="D48" s="28" t="s">
        <v>331</v>
      </c>
      <c r="E48" s="29">
        <v>410193</v>
      </c>
      <c r="F48" s="29">
        <v>406146</v>
      </c>
      <c r="G48" s="29">
        <v>73784</v>
      </c>
      <c r="H48" s="29">
        <v>94512</v>
      </c>
      <c r="I48" s="29">
        <v>159149</v>
      </c>
    </row>
    <row r="49" spans="1:9" ht="20.100000000000001" customHeight="1">
      <c r="A49" s="30" t="s">
        <v>170</v>
      </c>
      <c r="B49" s="30" t="s">
        <v>170</v>
      </c>
      <c r="C49" s="28" t="s">
        <v>348</v>
      </c>
      <c r="D49" s="28" t="s">
        <v>326</v>
      </c>
      <c r="E49" s="29">
        <v>1983916</v>
      </c>
      <c r="F49" s="29">
        <v>1892499</v>
      </c>
      <c r="G49" s="29">
        <v>1892487</v>
      </c>
      <c r="H49" s="29">
        <v>2515600</v>
      </c>
      <c r="I49" s="29">
        <v>2159997</v>
      </c>
    </row>
    <row r="50" spans="1:9" ht="20.100000000000001" customHeight="1">
      <c r="A50" s="30" t="s">
        <v>170</v>
      </c>
      <c r="B50" s="30" t="s">
        <v>170</v>
      </c>
      <c r="C50" s="30" t="s">
        <v>170</v>
      </c>
      <c r="D50" s="28" t="s">
        <v>331</v>
      </c>
      <c r="E50" s="29">
        <v>1983916</v>
      </c>
      <c r="F50" s="29">
        <v>1892499</v>
      </c>
      <c r="G50" s="29">
        <v>1720336</v>
      </c>
      <c r="H50" s="29">
        <v>2515600</v>
      </c>
      <c r="I50" s="29">
        <v>2159997</v>
      </c>
    </row>
    <row r="51" spans="1:9" ht="20.100000000000001" customHeight="1">
      <c r="A51" s="30" t="s">
        <v>170</v>
      </c>
      <c r="B51" s="30" t="s">
        <v>170</v>
      </c>
      <c r="C51" s="30" t="s">
        <v>170</v>
      </c>
      <c r="D51" s="28" t="s">
        <v>332</v>
      </c>
      <c r="E51" s="29" t="s">
        <v>201</v>
      </c>
      <c r="F51" s="29" t="s">
        <v>201</v>
      </c>
      <c r="G51" s="29">
        <v>172150</v>
      </c>
      <c r="H51" s="29" t="s">
        <v>201</v>
      </c>
      <c r="I51" s="29">
        <v>0</v>
      </c>
    </row>
    <row r="52" spans="1:9" ht="20.100000000000001" customHeight="1">
      <c r="A52" s="30" t="s">
        <v>170</v>
      </c>
      <c r="B52" s="30" t="s">
        <v>170</v>
      </c>
      <c r="C52" s="28" t="s">
        <v>349</v>
      </c>
      <c r="D52" s="28" t="s">
        <v>326</v>
      </c>
      <c r="E52" s="29">
        <v>1918119</v>
      </c>
      <c r="F52" s="29">
        <v>1832406</v>
      </c>
      <c r="G52" s="29">
        <v>1654179</v>
      </c>
      <c r="H52" s="29">
        <v>1677077</v>
      </c>
      <c r="I52" s="29">
        <v>1367568</v>
      </c>
    </row>
    <row r="53" spans="1:9" ht="20.100000000000001" customHeight="1">
      <c r="A53" s="30" t="s">
        <v>170</v>
      </c>
      <c r="B53" s="30" t="s">
        <v>170</v>
      </c>
      <c r="C53" s="30" t="s">
        <v>170</v>
      </c>
      <c r="D53" s="28" t="s">
        <v>331</v>
      </c>
      <c r="E53" s="29">
        <v>1918119</v>
      </c>
      <c r="F53" s="29">
        <v>1832406</v>
      </c>
      <c r="G53" s="29">
        <v>1654179</v>
      </c>
      <c r="H53" s="29">
        <v>1677077</v>
      </c>
      <c r="I53" s="29">
        <v>1367568</v>
      </c>
    </row>
    <row r="54" spans="1:9" ht="20.100000000000001" customHeight="1">
      <c r="A54" s="30" t="s">
        <v>170</v>
      </c>
      <c r="B54" s="28" t="s">
        <v>350</v>
      </c>
      <c r="C54" s="28" t="s">
        <v>326</v>
      </c>
      <c r="D54" s="28" t="s">
        <v>326</v>
      </c>
      <c r="E54" s="29">
        <v>439137</v>
      </c>
      <c r="F54" s="29">
        <v>470620</v>
      </c>
      <c r="G54" s="29">
        <v>413529</v>
      </c>
      <c r="H54" s="29">
        <v>443769</v>
      </c>
      <c r="I54" s="29">
        <v>424724</v>
      </c>
    </row>
    <row r="55" spans="1:9" ht="20.100000000000001" customHeight="1">
      <c r="A55" s="30" t="s">
        <v>170</v>
      </c>
      <c r="B55" s="30" t="s">
        <v>170</v>
      </c>
      <c r="C55" s="28" t="s">
        <v>331</v>
      </c>
      <c r="D55" s="28" t="s">
        <v>326</v>
      </c>
      <c r="E55" s="29">
        <v>337612</v>
      </c>
      <c r="F55" s="29">
        <v>359968</v>
      </c>
      <c r="G55" s="29">
        <v>349828</v>
      </c>
      <c r="H55" s="29">
        <v>331391</v>
      </c>
      <c r="I55" s="29">
        <v>341051</v>
      </c>
    </row>
    <row r="56" spans="1:9" ht="20.100000000000001" customHeight="1">
      <c r="A56" s="30" t="s">
        <v>170</v>
      </c>
      <c r="B56" s="30" t="s">
        <v>170</v>
      </c>
      <c r="C56" s="28" t="s">
        <v>332</v>
      </c>
      <c r="D56" s="28" t="s">
        <v>326</v>
      </c>
      <c r="E56" s="29">
        <v>101525</v>
      </c>
      <c r="F56" s="29">
        <v>110652</v>
      </c>
      <c r="G56" s="29">
        <v>63701</v>
      </c>
      <c r="H56" s="29">
        <v>112378</v>
      </c>
      <c r="I56" s="29">
        <v>83673</v>
      </c>
    </row>
    <row r="57" spans="1:9" ht="20.100000000000001" customHeight="1">
      <c r="A57" s="30" t="s">
        <v>170</v>
      </c>
      <c r="B57" s="30" t="s">
        <v>170</v>
      </c>
      <c r="C57" s="28" t="s">
        <v>351</v>
      </c>
      <c r="D57" s="28" t="s">
        <v>326</v>
      </c>
      <c r="E57" s="29" t="s">
        <v>201</v>
      </c>
      <c r="F57" s="29" t="s">
        <v>201</v>
      </c>
      <c r="G57" s="29" t="s">
        <v>201</v>
      </c>
      <c r="H57" s="29" t="s">
        <v>201</v>
      </c>
      <c r="I57" s="29" t="s">
        <v>201</v>
      </c>
    </row>
    <row r="58" spans="1:9" ht="20.100000000000001" customHeight="1">
      <c r="A58" s="30" t="s">
        <v>170</v>
      </c>
      <c r="B58" s="30" t="s">
        <v>170</v>
      </c>
      <c r="C58" s="30" t="s">
        <v>170</v>
      </c>
      <c r="D58" s="28" t="s">
        <v>331</v>
      </c>
      <c r="E58" s="29" t="s">
        <v>201</v>
      </c>
      <c r="F58" s="29" t="s">
        <v>201</v>
      </c>
      <c r="G58" s="29" t="s">
        <v>201</v>
      </c>
      <c r="H58" s="29" t="s">
        <v>201</v>
      </c>
      <c r="I58" s="29" t="s">
        <v>201</v>
      </c>
    </row>
    <row r="59" spans="1:9" ht="20.100000000000001" customHeight="1">
      <c r="A59" s="30" t="s">
        <v>170</v>
      </c>
      <c r="B59" s="30" t="s">
        <v>170</v>
      </c>
      <c r="C59" s="30" t="s">
        <v>170</v>
      </c>
      <c r="D59" s="28" t="s">
        <v>332</v>
      </c>
      <c r="E59" s="29" t="s">
        <v>201</v>
      </c>
      <c r="F59" s="29" t="s">
        <v>201</v>
      </c>
      <c r="G59" s="29" t="s">
        <v>201</v>
      </c>
      <c r="H59" s="29" t="s">
        <v>201</v>
      </c>
      <c r="I59" s="29" t="s">
        <v>201</v>
      </c>
    </row>
    <row r="60" spans="1:9" ht="20.100000000000001" customHeight="1">
      <c r="A60" s="30" t="s">
        <v>170</v>
      </c>
      <c r="B60" s="30" t="s">
        <v>170</v>
      </c>
      <c r="C60" s="28" t="s">
        <v>352</v>
      </c>
      <c r="D60" s="28" t="s">
        <v>326</v>
      </c>
      <c r="E60" s="29">
        <v>91821</v>
      </c>
      <c r="F60" s="29">
        <v>108574</v>
      </c>
      <c r="G60" s="29">
        <v>142400</v>
      </c>
      <c r="H60" s="29">
        <v>116131</v>
      </c>
      <c r="I60" s="29">
        <v>91722</v>
      </c>
    </row>
    <row r="61" spans="1:9" ht="20.100000000000001" customHeight="1">
      <c r="A61" s="30" t="s">
        <v>170</v>
      </c>
      <c r="B61" s="30" t="s">
        <v>170</v>
      </c>
      <c r="C61" s="30" t="s">
        <v>170</v>
      </c>
      <c r="D61" s="28" t="s">
        <v>331</v>
      </c>
      <c r="E61" s="29">
        <v>90776</v>
      </c>
      <c r="F61" s="29">
        <v>98312</v>
      </c>
      <c r="G61" s="29">
        <v>139179</v>
      </c>
      <c r="H61" s="29">
        <v>95987</v>
      </c>
      <c r="I61" s="29">
        <v>87605</v>
      </c>
    </row>
    <row r="62" spans="1:9" ht="20.100000000000001" customHeight="1">
      <c r="A62" s="30" t="s">
        <v>170</v>
      </c>
      <c r="B62" s="30" t="s">
        <v>170</v>
      </c>
      <c r="C62" s="30" t="s">
        <v>170</v>
      </c>
      <c r="D62" s="28" t="s">
        <v>332</v>
      </c>
      <c r="E62" s="29">
        <v>1045</v>
      </c>
      <c r="F62" s="29">
        <v>10263</v>
      </c>
      <c r="G62" s="29">
        <v>3221</v>
      </c>
      <c r="H62" s="29">
        <v>20144</v>
      </c>
      <c r="I62" s="29">
        <v>4117</v>
      </c>
    </row>
    <row r="63" spans="1:9" ht="20.100000000000001" customHeight="1">
      <c r="A63" s="30" t="s">
        <v>170</v>
      </c>
      <c r="B63" s="30" t="s">
        <v>170</v>
      </c>
      <c r="C63" s="28" t="s">
        <v>353</v>
      </c>
      <c r="D63" s="28" t="s">
        <v>326</v>
      </c>
      <c r="E63" s="29">
        <v>187677</v>
      </c>
      <c r="F63" s="29">
        <v>222835</v>
      </c>
      <c r="G63" s="29">
        <v>173702</v>
      </c>
      <c r="H63" s="29">
        <v>206264</v>
      </c>
      <c r="I63" s="29">
        <v>212389</v>
      </c>
    </row>
    <row r="64" spans="1:9" ht="20.100000000000001" customHeight="1">
      <c r="A64" s="30" t="s">
        <v>170</v>
      </c>
      <c r="B64" s="30" t="s">
        <v>170</v>
      </c>
      <c r="C64" s="30" t="s">
        <v>170</v>
      </c>
      <c r="D64" s="28" t="s">
        <v>331</v>
      </c>
      <c r="E64" s="29">
        <v>91181</v>
      </c>
      <c r="F64" s="29">
        <v>128370</v>
      </c>
      <c r="G64" s="29">
        <v>116984</v>
      </c>
      <c r="H64" s="29">
        <v>116895</v>
      </c>
      <c r="I64" s="29">
        <v>132833</v>
      </c>
    </row>
    <row r="65" spans="1:9" ht="20.100000000000001" customHeight="1">
      <c r="A65" s="30" t="s">
        <v>170</v>
      </c>
      <c r="B65" s="30" t="s">
        <v>170</v>
      </c>
      <c r="C65" s="30" t="s">
        <v>170</v>
      </c>
      <c r="D65" s="28" t="s">
        <v>332</v>
      </c>
      <c r="E65" s="29">
        <v>96496</v>
      </c>
      <c r="F65" s="29">
        <v>94465</v>
      </c>
      <c r="G65" s="29">
        <v>56718</v>
      </c>
      <c r="H65" s="29">
        <v>89369</v>
      </c>
      <c r="I65" s="29">
        <v>79556</v>
      </c>
    </row>
    <row r="66" spans="1:9" ht="20.100000000000001" customHeight="1">
      <c r="A66" s="30" t="s">
        <v>170</v>
      </c>
      <c r="B66" s="30" t="s">
        <v>170</v>
      </c>
      <c r="C66" s="28" t="s">
        <v>354</v>
      </c>
      <c r="D66" s="28" t="s">
        <v>326</v>
      </c>
      <c r="E66" s="29" t="s">
        <v>201</v>
      </c>
      <c r="F66" s="29" t="s">
        <v>201</v>
      </c>
      <c r="G66" s="29" t="s">
        <v>201</v>
      </c>
      <c r="H66" s="29" t="s">
        <v>201</v>
      </c>
      <c r="I66" s="29" t="s">
        <v>201</v>
      </c>
    </row>
    <row r="67" spans="1:9" ht="20.100000000000001" customHeight="1">
      <c r="A67" s="30" t="s">
        <v>170</v>
      </c>
      <c r="B67" s="30" t="s">
        <v>170</v>
      </c>
      <c r="C67" s="30" t="s">
        <v>170</v>
      </c>
      <c r="D67" s="28" t="s">
        <v>331</v>
      </c>
      <c r="E67" s="29" t="s">
        <v>201</v>
      </c>
      <c r="F67" s="29" t="s">
        <v>201</v>
      </c>
      <c r="G67" s="29" t="s">
        <v>201</v>
      </c>
      <c r="H67" s="29" t="s">
        <v>201</v>
      </c>
      <c r="I67" s="29" t="s">
        <v>201</v>
      </c>
    </row>
    <row r="68" spans="1:9" ht="20.100000000000001" customHeight="1">
      <c r="A68" s="30" t="s">
        <v>170</v>
      </c>
      <c r="B68" s="30" t="s">
        <v>170</v>
      </c>
      <c r="C68" s="30" t="s">
        <v>170</v>
      </c>
      <c r="D68" s="28" t="s">
        <v>332</v>
      </c>
      <c r="E68" s="29" t="s">
        <v>201</v>
      </c>
      <c r="F68" s="29" t="s">
        <v>201</v>
      </c>
      <c r="G68" s="29" t="s">
        <v>201</v>
      </c>
      <c r="H68" s="29" t="s">
        <v>201</v>
      </c>
      <c r="I68" s="29" t="s">
        <v>201</v>
      </c>
    </row>
    <row r="69" spans="1:9" ht="20.100000000000001" customHeight="1">
      <c r="A69" s="30" t="s">
        <v>170</v>
      </c>
      <c r="B69" s="30" t="s">
        <v>170</v>
      </c>
      <c r="C69" s="28" t="s">
        <v>355</v>
      </c>
      <c r="D69" s="28" t="s">
        <v>326</v>
      </c>
      <c r="E69" s="29" t="s">
        <v>201</v>
      </c>
      <c r="F69" s="29" t="s">
        <v>201</v>
      </c>
      <c r="G69" s="29" t="s">
        <v>201</v>
      </c>
      <c r="H69" s="29" t="s">
        <v>201</v>
      </c>
      <c r="I69" s="29" t="s">
        <v>201</v>
      </c>
    </row>
    <row r="70" spans="1:9" ht="20.100000000000001" customHeight="1">
      <c r="A70" s="30" t="s">
        <v>170</v>
      </c>
      <c r="B70" s="30" t="s">
        <v>170</v>
      </c>
      <c r="C70" s="30" t="s">
        <v>170</v>
      </c>
      <c r="D70" s="28" t="s">
        <v>331</v>
      </c>
      <c r="E70" s="29" t="s">
        <v>201</v>
      </c>
      <c r="F70" s="29" t="s">
        <v>201</v>
      </c>
      <c r="G70" s="29" t="s">
        <v>201</v>
      </c>
      <c r="H70" s="29" t="s">
        <v>201</v>
      </c>
      <c r="I70" s="29" t="s">
        <v>201</v>
      </c>
    </row>
    <row r="71" spans="1:9" ht="20.100000000000001" customHeight="1">
      <c r="A71" s="30" t="s">
        <v>170</v>
      </c>
      <c r="B71" s="30" t="s">
        <v>170</v>
      </c>
      <c r="C71" s="28" t="s">
        <v>356</v>
      </c>
      <c r="D71" s="28" t="s">
        <v>326</v>
      </c>
      <c r="E71" s="29">
        <v>159639</v>
      </c>
      <c r="F71" s="29">
        <v>139211</v>
      </c>
      <c r="G71" s="29">
        <v>97427</v>
      </c>
      <c r="H71" s="29">
        <v>121373</v>
      </c>
      <c r="I71" s="29">
        <v>120613</v>
      </c>
    </row>
    <row r="72" spans="1:9" ht="20.100000000000001" customHeight="1">
      <c r="A72" s="30" t="s">
        <v>170</v>
      </c>
      <c r="B72" s="30" t="s">
        <v>170</v>
      </c>
      <c r="C72" s="30" t="s">
        <v>170</v>
      </c>
      <c r="D72" s="28" t="s">
        <v>331</v>
      </c>
      <c r="E72" s="29">
        <v>155654</v>
      </c>
      <c r="F72" s="29">
        <v>133286</v>
      </c>
      <c r="G72" s="29">
        <v>93665</v>
      </c>
      <c r="H72" s="29">
        <v>118509</v>
      </c>
      <c r="I72" s="29">
        <v>120613</v>
      </c>
    </row>
    <row r="73" spans="1:9" ht="20.100000000000001" customHeight="1">
      <c r="A73" s="30" t="s">
        <v>170</v>
      </c>
      <c r="B73" s="30" t="s">
        <v>170</v>
      </c>
      <c r="C73" s="30" t="s">
        <v>170</v>
      </c>
      <c r="D73" s="28" t="s">
        <v>332</v>
      </c>
      <c r="E73" s="29">
        <v>3984</v>
      </c>
      <c r="F73" s="29">
        <v>5924</v>
      </c>
      <c r="G73" s="29">
        <v>3762</v>
      </c>
      <c r="H73" s="29">
        <v>2865</v>
      </c>
      <c r="I73" s="29">
        <v>0</v>
      </c>
    </row>
    <row r="74" spans="1:9" ht="20.100000000000001" customHeight="1">
      <c r="A74" s="30" t="s">
        <v>170</v>
      </c>
      <c r="B74" s="30" t="s">
        <v>170</v>
      </c>
      <c r="C74" s="28" t="s">
        <v>357</v>
      </c>
      <c r="D74" s="28" t="s">
        <v>326</v>
      </c>
      <c r="E74" s="29" t="s">
        <v>201</v>
      </c>
      <c r="F74" s="29" t="s">
        <v>201</v>
      </c>
      <c r="G74" s="29" t="s">
        <v>201</v>
      </c>
      <c r="H74" s="29" t="s">
        <v>201</v>
      </c>
      <c r="I74" s="29">
        <v>0</v>
      </c>
    </row>
    <row r="75" spans="1:9" ht="20.100000000000001" customHeight="1">
      <c r="A75" s="30" t="s">
        <v>170</v>
      </c>
      <c r="B75" s="30" t="s">
        <v>170</v>
      </c>
      <c r="C75" s="30" t="s">
        <v>170</v>
      </c>
      <c r="D75" s="28" t="s">
        <v>332</v>
      </c>
      <c r="E75" s="29" t="s">
        <v>201</v>
      </c>
      <c r="F75" s="29" t="s">
        <v>201</v>
      </c>
      <c r="G75" s="29" t="s">
        <v>201</v>
      </c>
      <c r="H75" s="29" t="s">
        <v>201</v>
      </c>
      <c r="I75" s="29">
        <v>0</v>
      </c>
    </row>
    <row r="76" spans="1:9" ht="20.100000000000001" customHeight="1">
      <c r="A76" s="30" t="s">
        <v>170</v>
      </c>
      <c r="B76" s="30" t="s">
        <v>170</v>
      </c>
      <c r="C76" s="28" t="s">
        <v>358</v>
      </c>
      <c r="D76" s="28" t="s">
        <v>326</v>
      </c>
      <c r="E76" s="29" t="s">
        <v>201</v>
      </c>
      <c r="F76" s="29" t="s">
        <v>201</v>
      </c>
      <c r="G76" s="29" t="s">
        <v>201</v>
      </c>
      <c r="H76" s="29" t="s">
        <v>201</v>
      </c>
      <c r="I76" s="29" t="s">
        <v>201</v>
      </c>
    </row>
    <row r="77" spans="1:9" ht="20.100000000000001" customHeight="1">
      <c r="A77" s="30" t="s">
        <v>170</v>
      </c>
      <c r="B77" s="30" t="s">
        <v>170</v>
      </c>
      <c r="C77" s="30" t="s">
        <v>170</v>
      </c>
      <c r="D77" s="28" t="s">
        <v>331</v>
      </c>
      <c r="E77" s="29" t="s">
        <v>201</v>
      </c>
      <c r="F77" s="29" t="s">
        <v>201</v>
      </c>
      <c r="G77" s="29" t="s">
        <v>201</v>
      </c>
      <c r="H77" s="29" t="s">
        <v>201</v>
      </c>
      <c r="I77" s="29" t="s">
        <v>201</v>
      </c>
    </row>
    <row r="78" spans="1:9" ht="20.100000000000001" customHeight="1">
      <c r="A78" s="28" t="s">
        <v>359</v>
      </c>
      <c r="B78" s="28" t="s">
        <v>360</v>
      </c>
      <c r="C78" s="28" t="s">
        <v>326</v>
      </c>
      <c r="D78" s="28" t="s">
        <v>326</v>
      </c>
      <c r="E78" s="29">
        <v>3544354</v>
      </c>
      <c r="F78" s="29">
        <v>4798120</v>
      </c>
      <c r="G78" s="29">
        <v>5409625</v>
      </c>
      <c r="H78" s="29">
        <v>6257348</v>
      </c>
      <c r="I78" s="29">
        <v>7583357</v>
      </c>
    </row>
    <row r="79" spans="1:9" ht="20.100000000000001" customHeight="1">
      <c r="A79" s="30" t="s">
        <v>170</v>
      </c>
      <c r="B79" s="30" t="s">
        <v>170</v>
      </c>
      <c r="C79" s="28" t="s">
        <v>331</v>
      </c>
      <c r="D79" s="28" t="s">
        <v>326</v>
      </c>
      <c r="E79" s="29">
        <v>3485608</v>
      </c>
      <c r="F79" s="29">
        <v>4727370</v>
      </c>
      <c r="G79" s="29">
        <v>5329684</v>
      </c>
      <c r="H79" s="29">
        <v>6164458</v>
      </c>
      <c r="I79" s="29">
        <v>7462529</v>
      </c>
    </row>
    <row r="80" spans="1:9" ht="20.100000000000001" customHeight="1">
      <c r="A80" s="30" t="s">
        <v>170</v>
      </c>
      <c r="B80" s="30" t="s">
        <v>170</v>
      </c>
      <c r="C80" s="28" t="s">
        <v>332</v>
      </c>
      <c r="D80" s="28" t="s">
        <v>326</v>
      </c>
      <c r="E80" s="29">
        <v>58746</v>
      </c>
      <c r="F80" s="29">
        <v>70750</v>
      </c>
      <c r="G80" s="29">
        <v>79942</v>
      </c>
      <c r="H80" s="29">
        <v>92889</v>
      </c>
      <c r="I80" s="29">
        <v>120828</v>
      </c>
    </row>
    <row r="81" spans="1:9" ht="20.100000000000001" customHeight="1">
      <c r="A81" s="30" t="s">
        <v>170</v>
      </c>
      <c r="B81" s="28" t="s">
        <v>361</v>
      </c>
      <c r="C81" s="28" t="s">
        <v>326</v>
      </c>
      <c r="D81" s="28" t="s">
        <v>326</v>
      </c>
      <c r="E81" s="29">
        <v>2377374</v>
      </c>
      <c r="F81" s="29">
        <v>2190755</v>
      </c>
      <c r="G81" s="29">
        <v>1964827</v>
      </c>
      <c r="H81" s="29">
        <v>996517</v>
      </c>
      <c r="I81" s="29">
        <v>2071775</v>
      </c>
    </row>
    <row r="82" spans="1:9" ht="20.100000000000001" customHeight="1">
      <c r="A82" s="32" t="s">
        <v>170</v>
      </c>
      <c r="B82" s="32" t="s">
        <v>170</v>
      </c>
      <c r="C82" s="33" t="s">
        <v>331</v>
      </c>
      <c r="D82" s="33" t="s">
        <v>326</v>
      </c>
      <c r="E82" s="29">
        <v>2377374</v>
      </c>
      <c r="F82" s="29">
        <v>2190755</v>
      </c>
      <c r="G82" s="29">
        <v>1964827</v>
      </c>
      <c r="H82" s="29">
        <v>996517</v>
      </c>
      <c r="I82" s="29">
        <v>2071775</v>
      </c>
    </row>
  </sheetData>
  <phoneticPr fontId="2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1AFFB-16B7-4DBB-8DC6-20B8594B3331}">
  <dimension ref="A3:H27"/>
  <sheetViews>
    <sheetView workbookViewId="0">
      <selection sqref="A1:XFD1"/>
    </sheetView>
  </sheetViews>
  <sheetFormatPr defaultColWidth="21" defaultRowHeight="14.4"/>
  <cols>
    <col min="1" max="16384" width="21" style="13"/>
  </cols>
  <sheetData>
    <row r="3" spans="1:8" ht="20.100000000000001" customHeight="1">
      <c r="A3" s="26" t="s">
        <v>321</v>
      </c>
      <c r="B3" s="26" t="s">
        <v>322</v>
      </c>
      <c r="C3" s="26" t="s">
        <v>323</v>
      </c>
      <c r="D3" s="27" t="s">
        <v>249</v>
      </c>
      <c r="E3" s="27" t="s">
        <v>263</v>
      </c>
      <c r="F3" s="27" t="s">
        <v>276</v>
      </c>
      <c r="G3" s="27" t="s">
        <v>291</v>
      </c>
      <c r="H3" s="27" t="s">
        <v>303</v>
      </c>
    </row>
    <row r="4" spans="1:8" ht="20.100000000000001" customHeight="1">
      <c r="A4" s="28" t="s">
        <v>316</v>
      </c>
      <c r="B4" s="28" t="s">
        <v>326</v>
      </c>
      <c r="C4" s="28" t="s">
        <v>326</v>
      </c>
      <c r="D4" s="29">
        <v>547797</v>
      </c>
      <c r="E4" s="29">
        <v>576809</v>
      </c>
      <c r="F4" s="29">
        <v>594400</v>
      </c>
      <c r="G4" s="29">
        <v>588047</v>
      </c>
      <c r="H4" s="29">
        <v>595601</v>
      </c>
    </row>
    <row r="5" spans="1:8" ht="20.100000000000001" customHeight="1">
      <c r="A5" s="28" t="s">
        <v>171</v>
      </c>
      <c r="B5" s="28" t="s">
        <v>326</v>
      </c>
      <c r="C5" s="28" t="s">
        <v>326</v>
      </c>
      <c r="D5" s="29">
        <v>160184</v>
      </c>
      <c r="E5" s="29">
        <v>158015</v>
      </c>
      <c r="F5" s="29">
        <v>176054</v>
      </c>
      <c r="G5" s="29">
        <v>180494</v>
      </c>
      <c r="H5" s="29">
        <v>188754</v>
      </c>
    </row>
    <row r="6" spans="1:8" ht="20.100000000000001" customHeight="1">
      <c r="A6" s="28" t="s">
        <v>364</v>
      </c>
      <c r="B6" s="28" t="s">
        <v>326</v>
      </c>
      <c r="C6" s="28" t="s">
        <v>326</v>
      </c>
      <c r="D6" s="29">
        <v>344499</v>
      </c>
      <c r="E6" s="29">
        <v>368699</v>
      </c>
      <c r="F6" s="29">
        <v>358772</v>
      </c>
      <c r="G6" s="29">
        <v>344163</v>
      </c>
      <c r="H6" s="29">
        <v>335561</v>
      </c>
    </row>
    <row r="7" spans="1:8" ht="20.100000000000001" customHeight="1">
      <c r="A7" s="30" t="s">
        <v>170</v>
      </c>
      <c r="B7" s="28" t="s">
        <v>172</v>
      </c>
      <c r="C7" s="28" t="s">
        <v>326</v>
      </c>
      <c r="D7" s="29">
        <v>196333</v>
      </c>
      <c r="E7" s="29">
        <v>197966</v>
      </c>
      <c r="F7" s="29">
        <v>193231</v>
      </c>
      <c r="G7" s="29">
        <v>184927</v>
      </c>
      <c r="H7" s="29">
        <v>167152</v>
      </c>
    </row>
    <row r="8" spans="1:8" ht="20.100000000000001" customHeight="1">
      <c r="A8" s="30" t="s">
        <v>170</v>
      </c>
      <c r="B8" s="30" t="s">
        <v>170</v>
      </c>
      <c r="C8" s="28" t="s">
        <v>365</v>
      </c>
      <c r="D8" s="29">
        <v>194257</v>
      </c>
      <c r="E8" s="29">
        <v>196105</v>
      </c>
      <c r="F8" s="29">
        <v>191413</v>
      </c>
      <c r="G8" s="29">
        <v>183038</v>
      </c>
      <c r="H8" s="29">
        <v>165241</v>
      </c>
    </row>
    <row r="9" spans="1:8" ht="20.100000000000001" customHeight="1">
      <c r="A9" s="30" t="s">
        <v>170</v>
      </c>
      <c r="B9" s="30" t="s">
        <v>170</v>
      </c>
      <c r="C9" s="28" t="s">
        <v>366</v>
      </c>
      <c r="D9" s="29">
        <v>2076</v>
      </c>
      <c r="E9" s="29">
        <v>1861</v>
      </c>
      <c r="F9" s="29">
        <v>1819</v>
      </c>
      <c r="G9" s="29">
        <v>1889</v>
      </c>
      <c r="H9" s="29">
        <v>1911</v>
      </c>
    </row>
    <row r="10" spans="1:8" ht="20.100000000000001" customHeight="1">
      <c r="A10" s="30" t="s">
        <v>170</v>
      </c>
      <c r="B10" s="28" t="s">
        <v>174</v>
      </c>
      <c r="C10" s="28" t="s">
        <v>326</v>
      </c>
      <c r="D10" s="29">
        <v>2255</v>
      </c>
      <c r="E10" s="29">
        <v>2354</v>
      </c>
      <c r="F10" s="29">
        <v>1966</v>
      </c>
      <c r="G10" s="29">
        <v>1487</v>
      </c>
      <c r="H10" s="29">
        <v>1204</v>
      </c>
    </row>
    <row r="11" spans="1:8" ht="20.100000000000001" customHeight="1">
      <c r="A11" s="30" t="s">
        <v>170</v>
      </c>
      <c r="B11" s="28" t="s">
        <v>173</v>
      </c>
      <c r="C11" s="28" t="s">
        <v>326</v>
      </c>
      <c r="D11" s="29">
        <v>145911</v>
      </c>
      <c r="E11" s="29">
        <v>168378</v>
      </c>
      <c r="F11" s="29">
        <v>163575</v>
      </c>
      <c r="G11" s="29">
        <v>157749</v>
      </c>
      <c r="H11" s="29">
        <v>167205</v>
      </c>
    </row>
    <row r="12" spans="1:8" ht="20.100000000000001" customHeight="1">
      <c r="A12" s="28" t="s">
        <v>175</v>
      </c>
      <c r="B12" s="28" t="s">
        <v>326</v>
      </c>
      <c r="C12" s="28" t="s">
        <v>326</v>
      </c>
      <c r="D12" s="29">
        <v>3271</v>
      </c>
      <c r="E12" s="29">
        <v>3683</v>
      </c>
      <c r="F12" s="29">
        <v>3715</v>
      </c>
      <c r="G12" s="29">
        <v>3784</v>
      </c>
      <c r="H12" s="29">
        <v>4677</v>
      </c>
    </row>
    <row r="13" spans="1:8" ht="20.100000000000001" customHeight="1">
      <c r="A13" s="33" t="s">
        <v>367</v>
      </c>
      <c r="B13" s="33" t="s">
        <v>326</v>
      </c>
      <c r="C13" s="33" t="s">
        <v>326</v>
      </c>
      <c r="D13" s="29">
        <v>39843</v>
      </c>
      <c r="E13" s="29">
        <v>46412</v>
      </c>
      <c r="F13" s="29">
        <v>55860</v>
      </c>
      <c r="G13" s="29">
        <v>59606</v>
      </c>
      <c r="H13" s="29">
        <v>66608</v>
      </c>
    </row>
    <row r="17" spans="1:8">
      <c r="A17" s="26" t="s">
        <v>321</v>
      </c>
      <c r="B17" s="26" t="s">
        <v>322</v>
      </c>
      <c r="C17" s="26" t="s">
        <v>323</v>
      </c>
      <c r="D17" s="27" t="s">
        <v>249</v>
      </c>
      <c r="E17" s="27" t="s">
        <v>263</v>
      </c>
      <c r="F17" s="27" t="s">
        <v>276</v>
      </c>
      <c r="G17" s="27" t="s">
        <v>291</v>
      </c>
      <c r="H17" s="27" t="s">
        <v>303</v>
      </c>
    </row>
    <row r="18" spans="1:8">
      <c r="A18" s="28" t="s">
        <v>316</v>
      </c>
      <c r="B18" s="28" t="s">
        <v>326</v>
      </c>
      <c r="C18" s="28" t="s">
        <v>326</v>
      </c>
      <c r="D18" s="53">
        <f>D4/D$4*100</f>
        <v>100</v>
      </c>
      <c r="E18" s="53">
        <f t="shared" ref="E18:H18" si="0">E4/E$4*100</f>
        <v>100</v>
      </c>
      <c r="F18" s="53">
        <f t="shared" si="0"/>
        <v>100</v>
      </c>
      <c r="G18" s="53">
        <f t="shared" si="0"/>
        <v>100</v>
      </c>
      <c r="H18" s="53">
        <f t="shared" si="0"/>
        <v>100</v>
      </c>
    </row>
    <row r="19" spans="1:8">
      <c r="A19" s="28" t="s">
        <v>171</v>
      </c>
      <c r="B19" s="28" t="s">
        <v>326</v>
      </c>
      <c r="C19" s="28" t="s">
        <v>326</v>
      </c>
      <c r="D19" s="69">
        <f t="shared" ref="D19:H27" si="1">D5/D$4*100</f>
        <v>29.241489091762098</v>
      </c>
      <c r="E19" s="69">
        <f t="shared" si="1"/>
        <v>27.394683508752465</v>
      </c>
      <c r="F19" s="69">
        <f t="shared" si="1"/>
        <v>29.618775235531629</v>
      </c>
      <c r="G19" s="69">
        <f t="shared" si="1"/>
        <v>30.693805087008354</v>
      </c>
      <c r="H19" s="69">
        <f t="shared" si="1"/>
        <v>31.691350417477469</v>
      </c>
    </row>
    <row r="20" spans="1:8">
      <c r="A20" s="28" t="s">
        <v>364</v>
      </c>
      <c r="B20" s="28" t="s">
        <v>326</v>
      </c>
      <c r="C20" s="28" t="s">
        <v>326</v>
      </c>
      <c r="D20" s="53">
        <f t="shared" si="1"/>
        <v>62.888077152667861</v>
      </c>
      <c r="E20" s="53">
        <f t="shared" si="1"/>
        <v>63.920465873452045</v>
      </c>
      <c r="F20" s="53">
        <f t="shared" si="1"/>
        <v>60.358681022880212</v>
      </c>
      <c r="G20" s="53">
        <f t="shared" si="1"/>
        <v>58.526444314825177</v>
      </c>
      <c r="H20" s="53">
        <f t="shared" si="1"/>
        <v>56.339898690566336</v>
      </c>
    </row>
    <row r="21" spans="1:8">
      <c r="A21" s="30" t="s">
        <v>170</v>
      </c>
      <c r="B21" s="28" t="s">
        <v>172</v>
      </c>
      <c r="C21" s="28" t="s">
        <v>326</v>
      </c>
      <c r="D21" s="53">
        <f t="shared" si="1"/>
        <v>35.840466450163106</v>
      </c>
      <c r="E21" s="53">
        <f t="shared" si="1"/>
        <v>34.320893051252668</v>
      </c>
      <c r="F21" s="53">
        <f t="shared" si="1"/>
        <v>32.508580080753703</v>
      </c>
      <c r="G21" s="53">
        <f t="shared" si="1"/>
        <v>31.447656394811979</v>
      </c>
      <c r="H21" s="53">
        <f t="shared" si="1"/>
        <v>28.064425680950837</v>
      </c>
    </row>
    <row r="22" spans="1:8">
      <c r="A22" s="30" t="s">
        <v>170</v>
      </c>
      <c r="B22" s="30" t="s">
        <v>170</v>
      </c>
      <c r="C22" s="28" t="s">
        <v>365</v>
      </c>
      <c r="D22" s="53">
        <f t="shared" si="1"/>
        <v>35.461493947575477</v>
      </c>
      <c r="E22" s="53">
        <f t="shared" si="1"/>
        <v>33.998255921804272</v>
      </c>
      <c r="F22" s="53">
        <f t="shared" si="1"/>
        <v>32.202725437415879</v>
      </c>
      <c r="G22" s="53">
        <f t="shared" si="1"/>
        <v>31.126423568184176</v>
      </c>
      <c r="H22" s="53">
        <f t="shared" si="1"/>
        <v>27.743573298231532</v>
      </c>
    </row>
    <row r="23" spans="1:8">
      <c r="A23" s="30" t="s">
        <v>170</v>
      </c>
      <c r="B23" s="30" t="s">
        <v>170</v>
      </c>
      <c r="C23" s="28" t="s">
        <v>366</v>
      </c>
      <c r="D23" s="53">
        <f t="shared" si="1"/>
        <v>0.37897250258763737</v>
      </c>
      <c r="E23" s="53">
        <f t="shared" si="1"/>
        <v>0.32263712944839629</v>
      </c>
      <c r="F23" s="53">
        <f t="shared" si="1"/>
        <v>0.30602288021534318</v>
      </c>
      <c r="G23" s="53">
        <f t="shared" si="1"/>
        <v>0.32123282662780356</v>
      </c>
      <c r="H23" s="53">
        <f t="shared" si="1"/>
        <v>0.32085238271930366</v>
      </c>
    </row>
    <row r="24" spans="1:8">
      <c r="A24" s="30" t="s">
        <v>170</v>
      </c>
      <c r="B24" s="28" t="s">
        <v>174</v>
      </c>
      <c r="C24" s="28" t="s">
        <v>326</v>
      </c>
      <c r="D24" s="53">
        <f t="shared" si="1"/>
        <v>0.41164884072019375</v>
      </c>
      <c r="E24" s="53">
        <f t="shared" si="1"/>
        <v>0.40810736309592954</v>
      </c>
      <c r="F24" s="53">
        <f t="shared" si="1"/>
        <v>0.33075370121130548</v>
      </c>
      <c r="G24" s="53">
        <f t="shared" si="1"/>
        <v>0.25287094398917093</v>
      </c>
      <c r="H24" s="53">
        <f t="shared" si="1"/>
        <v>0.20214875394769316</v>
      </c>
    </row>
    <row r="25" spans="1:8">
      <c r="A25" s="30" t="s">
        <v>170</v>
      </c>
      <c r="B25" s="28" t="s">
        <v>173</v>
      </c>
      <c r="C25" s="28" t="s">
        <v>326</v>
      </c>
      <c r="D25" s="53">
        <f t="shared" si="1"/>
        <v>26.635961861784569</v>
      </c>
      <c r="E25" s="53">
        <f t="shared" si="1"/>
        <v>29.191292091489558</v>
      </c>
      <c r="F25" s="53">
        <f t="shared" si="1"/>
        <v>27.519347240915209</v>
      </c>
      <c r="G25" s="53">
        <f t="shared" si="1"/>
        <v>26.825916976024029</v>
      </c>
      <c r="H25" s="53">
        <f t="shared" si="1"/>
        <v>28.073324255667803</v>
      </c>
    </row>
    <row r="26" spans="1:8">
      <c r="A26" s="28" t="s">
        <v>175</v>
      </c>
      <c r="B26" s="28" t="s">
        <v>326</v>
      </c>
      <c r="C26" s="28" t="s">
        <v>326</v>
      </c>
      <c r="D26" s="53">
        <f t="shared" si="1"/>
        <v>0.59711900576308374</v>
      </c>
      <c r="E26" s="53">
        <f t="shared" si="1"/>
        <v>0.63851292195510123</v>
      </c>
      <c r="F26" s="53">
        <f t="shared" si="1"/>
        <v>0.625</v>
      </c>
      <c r="G26" s="53">
        <f t="shared" si="1"/>
        <v>0.64348597986215395</v>
      </c>
      <c r="H26" s="53">
        <f t="shared" si="1"/>
        <v>0.78525724436325672</v>
      </c>
    </row>
    <row r="27" spans="1:8">
      <c r="A27" s="33" t="s">
        <v>367</v>
      </c>
      <c r="B27" s="33" t="s">
        <v>326</v>
      </c>
      <c r="C27" s="33" t="s">
        <v>326</v>
      </c>
      <c r="D27" s="53">
        <f t="shared" si="1"/>
        <v>7.2733147498069544</v>
      </c>
      <c r="E27" s="53">
        <f t="shared" si="1"/>
        <v>8.0463376958403909</v>
      </c>
      <c r="F27" s="53">
        <f t="shared" si="1"/>
        <v>9.3977119784656793</v>
      </c>
      <c r="G27" s="53">
        <f t="shared" si="1"/>
        <v>10.136264618304319</v>
      </c>
      <c r="H27" s="53">
        <f t="shared" si="1"/>
        <v>11.183325749956767</v>
      </c>
    </row>
  </sheetData>
  <phoneticPr fontId="2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E301-1DF3-46BD-A777-073878B6935A}">
  <dimension ref="A1:T81"/>
  <sheetViews>
    <sheetView zoomScale="85" zoomScaleNormal="85" workbookViewId="0">
      <selection activeCell="F6" sqref="F6"/>
    </sheetView>
  </sheetViews>
  <sheetFormatPr defaultColWidth="8.5546875" defaultRowHeight="14.4"/>
  <cols>
    <col min="1" max="1" width="15.21875" style="13" customWidth="1"/>
    <col min="2" max="2" width="11.109375" style="13" customWidth="1"/>
    <col min="3" max="3" width="16.44140625" style="13" bestFit="1" customWidth="1"/>
    <col min="4" max="4" width="16.33203125" style="13" bestFit="1" customWidth="1"/>
    <col min="5" max="5" width="16.44140625" style="13" bestFit="1" customWidth="1"/>
    <col min="6" max="6" width="16.33203125" style="13" bestFit="1" customWidth="1"/>
    <col min="7" max="7" width="15.33203125" style="13" bestFit="1" customWidth="1"/>
    <col min="8" max="8" width="15.21875" style="13" bestFit="1" customWidth="1"/>
    <col min="9" max="9" width="14.109375" style="13" bestFit="1" customWidth="1"/>
    <col min="10" max="10" width="15.33203125" style="13" bestFit="1" customWidth="1"/>
    <col min="11" max="17" width="8.5546875" style="13"/>
    <col min="18" max="18" width="12.77734375" style="13" bestFit="1" customWidth="1"/>
    <col min="19" max="16384" width="8.5546875" style="13"/>
  </cols>
  <sheetData>
    <row r="1" spans="1:20">
      <c r="B1" s="96" t="s">
        <v>421</v>
      </c>
      <c r="C1" s="96"/>
      <c r="D1" s="96"/>
      <c r="E1" s="96"/>
      <c r="F1" s="96"/>
      <c r="G1" s="66" t="s">
        <v>422</v>
      </c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1:20" s="80" customFormat="1">
      <c r="A2" s="93" t="s">
        <v>95</v>
      </c>
      <c r="B2" s="94">
        <v>2020</v>
      </c>
      <c r="C2" s="94">
        <v>2021</v>
      </c>
      <c r="D2" s="94">
        <v>2022</v>
      </c>
      <c r="E2" s="94">
        <v>2023</v>
      </c>
      <c r="F2" s="94">
        <v>2024</v>
      </c>
      <c r="G2" s="94">
        <v>2025</v>
      </c>
      <c r="H2" s="94">
        <v>2026</v>
      </c>
      <c r="I2" s="94">
        <v>2027</v>
      </c>
      <c r="J2" s="94">
        <v>2028</v>
      </c>
      <c r="K2" s="94">
        <v>2029</v>
      </c>
      <c r="L2" s="94">
        <v>2030</v>
      </c>
      <c r="M2" s="94">
        <v>2031</v>
      </c>
      <c r="N2" s="94">
        <v>2032</v>
      </c>
      <c r="O2" s="94">
        <v>2033</v>
      </c>
      <c r="P2" s="94">
        <v>2034</v>
      </c>
      <c r="Q2" s="94">
        <v>2035</v>
      </c>
      <c r="R2" s="94">
        <v>2036</v>
      </c>
      <c r="S2" s="94">
        <v>2037</v>
      </c>
      <c r="T2" s="94">
        <v>2038</v>
      </c>
    </row>
    <row r="3" spans="1:20">
      <c r="A3" s="60" t="s">
        <v>420</v>
      </c>
      <c r="B3" s="61">
        <f>E15</f>
        <v>7.44</v>
      </c>
      <c r="C3" s="61">
        <f t="shared" ref="C3:D3" si="0">F15</f>
        <v>8.2899999999999991</v>
      </c>
      <c r="D3" s="61">
        <f t="shared" si="0"/>
        <v>9.2200000000000006</v>
      </c>
      <c r="E3" s="78">
        <f>SUM(E4:E5)</f>
        <v>9.6</v>
      </c>
      <c r="F3" s="61">
        <f>I15</f>
        <v>11</v>
      </c>
      <c r="G3" s="61">
        <f t="shared" ref="G3:T3" si="1">SUM(G4:G5)</f>
        <v>11.600000000000001</v>
      </c>
      <c r="H3" s="61">
        <f t="shared" si="1"/>
        <v>12.9</v>
      </c>
      <c r="I3" s="61">
        <f t="shared" si="1"/>
        <v>14.3</v>
      </c>
      <c r="J3" s="61">
        <f t="shared" si="1"/>
        <v>16.2</v>
      </c>
      <c r="K3" s="61">
        <f t="shared" si="1"/>
        <v>18.8</v>
      </c>
      <c r="L3" s="78">
        <f t="shared" si="1"/>
        <v>21.7</v>
      </c>
      <c r="M3" s="61">
        <f t="shared" si="1"/>
        <v>23.9</v>
      </c>
      <c r="N3" s="61">
        <f t="shared" si="1"/>
        <v>25.599999999999998</v>
      </c>
      <c r="O3" s="61">
        <f t="shared" si="1"/>
        <v>26.900000000000002</v>
      </c>
      <c r="P3" s="61">
        <f t="shared" si="1"/>
        <v>28.2</v>
      </c>
      <c r="Q3" s="78">
        <f t="shared" si="1"/>
        <v>29.5</v>
      </c>
      <c r="R3" s="61">
        <f t="shared" si="1"/>
        <v>31.1</v>
      </c>
      <c r="S3" s="61">
        <f t="shared" si="1"/>
        <v>32.1</v>
      </c>
      <c r="T3" s="78">
        <f t="shared" si="1"/>
        <v>33</v>
      </c>
    </row>
    <row r="4" spans="1:20" s="80" customFormat="1">
      <c r="A4" s="81" t="s">
        <v>391</v>
      </c>
      <c r="B4" s="91">
        <f>E16</f>
        <v>6.41</v>
      </c>
      <c r="C4" s="91">
        <f t="shared" ref="C4:D4" si="2">F16</f>
        <v>7.15</v>
      </c>
      <c r="D4" s="91">
        <f t="shared" si="2"/>
        <v>8.0500000000000007</v>
      </c>
      <c r="E4" s="83">
        <f>F24</f>
        <v>8.4</v>
      </c>
      <c r="F4" s="91">
        <f>I16</f>
        <v>9</v>
      </c>
      <c r="G4" s="84">
        <f>G41</f>
        <v>9.8000000000000007</v>
      </c>
      <c r="H4" s="84">
        <f>G43</f>
        <v>10.8</v>
      </c>
      <c r="I4" s="84">
        <f>G45</f>
        <v>12</v>
      </c>
      <c r="J4" s="84">
        <f>G47</f>
        <v>13.7</v>
      </c>
      <c r="K4" s="84">
        <f>G49</f>
        <v>16.100000000000001</v>
      </c>
      <c r="L4" s="85">
        <f>G51</f>
        <v>18.8</v>
      </c>
      <c r="M4" s="84">
        <f>G53</f>
        <v>20.9</v>
      </c>
      <c r="N4" s="84">
        <f>G55</f>
        <v>22.4</v>
      </c>
      <c r="O4" s="84">
        <f>G57</f>
        <v>23.6</v>
      </c>
      <c r="P4" s="84">
        <f>G59</f>
        <v>24.8</v>
      </c>
      <c r="Q4" s="85">
        <f>G61</f>
        <v>26</v>
      </c>
      <c r="R4" s="84">
        <f>G63</f>
        <v>27.5</v>
      </c>
      <c r="S4" s="84">
        <f>G65</f>
        <v>28.4</v>
      </c>
      <c r="T4" s="85">
        <f>G67</f>
        <v>29.2</v>
      </c>
    </row>
    <row r="5" spans="1:20">
      <c r="A5" s="63" t="s">
        <v>381</v>
      </c>
      <c r="B5" s="92">
        <f>E17</f>
        <v>1.02</v>
      </c>
      <c r="C5" s="92">
        <f t="shared" ref="C5:D5" si="3">F17</f>
        <v>1.1399999999999999</v>
      </c>
      <c r="D5" s="92">
        <f t="shared" si="3"/>
        <v>1.18</v>
      </c>
      <c r="E5" s="78">
        <f>G24</f>
        <v>1.2</v>
      </c>
      <c r="F5" s="92">
        <f>I17</f>
        <v>2</v>
      </c>
      <c r="G5" s="62">
        <f>J41</f>
        <v>1.8</v>
      </c>
      <c r="H5" s="62">
        <f>J43</f>
        <v>2.1</v>
      </c>
      <c r="I5" s="62">
        <f>J45</f>
        <v>2.2999999999999998</v>
      </c>
      <c r="J5" s="62">
        <f>J47</f>
        <v>2.5</v>
      </c>
      <c r="K5" s="62">
        <f>J49</f>
        <v>2.7</v>
      </c>
      <c r="L5" s="79">
        <f>J51</f>
        <v>2.9</v>
      </c>
      <c r="M5" s="62">
        <f>J53</f>
        <v>3</v>
      </c>
      <c r="N5" s="62">
        <f>J55</f>
        <v>3.2</v>
      </c>
      <c r="O5" s="62">
        <f>J57</f>
        <v>3.3</v>
      </c>
      <c r="P5" s="62">
        <f>J59</f>
        <v>3.4</v>
      </c>
      <c r="Q5" s="79">
        <f>J61</f>
        <v>3.5</v>
      </c>
      <c r="R5" s="62">
        <f>J63</f>
        <v>3.6</v>
      </c>
      <c r="S5" s="62">
        <f>J65</f>
        <v>3.7</v>
      </c>
      <c r="T5" s="79">
        <f>J67</f>
        <v>3.8</v>
      </c>
    </row>
    <row r="6" spans="1:20" s="80" customFormat="1">
      <c r="A6" s="86" t="s">
        <v>371</v>
      </c>
      <c r="B6" s="87">
        <f>D73</f>
        <v>29.241489091762098</v>
      </c>
      <c r="C6" s="87">
        <f t="shared" ref="C6:D6" si="4">E73</f>
        <v>27.394683508752465</v>
      </c>
      <c r="D6" s="87">
        <f t="shared" si="4"/>
        <v>29.618775235531629</v>
      </c>
      <c r="E6" s="83">
        <f>C24</f>
        <v>30.7</v>
      </c>
      <c r="F6" s="87">
        <f>H73</f>
        <v>31.691350417477469</v>
      </c>
      <c r="G6" s="87" cm="1">
        <f t="array" ref="G6">TREND(CHOOSE({1,2}, $F$6, $L$6), CHOOSE({1,2}, $F$2, $L$2), G2)</f>
        <v>31.709458681231222</v>
      </c>
      <c r="H6" s="87" cm="1">
        <f t="array" ref="H6">TREND(CHOOSE({1,2}, $F$6, $L$6), CHOOSE({1,2}, $F$2, $L$2), H2)</f>
        <v>31.727566944984982</v>
      </c>
      <c r="I6" s="87" cm="1">
        <f t="array" ref="I6">TREND(CHOOSE({1,2}, $F$6, $L$6), CHOOSE({1,2}, $F$2, $L$2), I2)</f>
        <v>31.745675208738735</v>
      </c>
      <c r="J6" s="87" cm="1">
        <f t="array" ref="J6">TREND(CHOOSE({1,2}, $F$6, $L$6), CHOOSE({1,2}, $F$2, $L$2), J2)</f>
        <v>31.763783472492488</v>
      </c>
      <c r="K6" s="87" cm="1">
        <f t="array" ref="K6">TREND(CHOOSE({1,2}, $F$6, $L$6), CHOOSE({1,2}, $F$2, $L$2), K2)</f>
        <v>31.781891736246248</v>
      </c>
      <c r="L6" s="85">
        <f>C26</f>
        <v>31.8</v>
      </c>
      <c r="M6" s="88" cm="1">
        <f t="array" ref="M6">TREND(CHOOSE({1,2},$L$6,$Q$6), CHOOSE({1,2},$L$2,$Q$2),M2)</f>
        <v>32.259999999999991</v>
      </c>
      <c r="N6" s="88" cm="1">
        <f t="array" ref="N6">TREND(CHOOSE({1,2},$L$6,$Q$6), CHOOSE({1,2},$L$2,$Q$2),N2)</f>
        <v>32.720000000000027</v>
      </c>
      <c r="O6" s="88" cm="1">
        <f t="array" ref="O6">TREND(CHOOSE({1,2},$L$6,$Q$6), CHOOSE({1,2},$L$2,$Q$2),O2)</f>
        <v>33.180000000000064</v>
      </c>
      <c r="P6" s="88" cm="1">
        <f t="array" ref="P6">TREND(CHOOSE({1,2},$L$6,$Q$6), CHOOSE({1,2},$L$2,$Q$2),P2)</f>
        <v>33.639999999999986</v>
      </c>
      <c r="Q6" s="85">
        <f>C28</f>
        <v>34.1</v>
      </c>
      <c r="R6" s="88" cm="1">
        <f t="array" ref="R6">TREND(CHOOSE({1,2},$Q$6,$T$6), CHOOSE({1,2}, $Q$2,$T$2),R2)</f>
        <v>34.466666666666697</v>
      </c>
      <c r="S6" s="88" cm="1">
        <f t="array" ref="S6">TREND(CHOOSE({1,2},$Q$6,$T$6), CHOOSE({1,2}, $Q$2,$T$2),S2)</f>
        <v>34.833333333333371</v>
      </c>
      <c r="T6" s="85">
        <f>C30</f>
        <v>35.200000000000003</v>
      </c>
    </row>
    <row r="7" spans="1:20" s="80" customFormat="1">
      <c r="A7" s="89" t="s">
        <v>426</v>
      </c>
      <c r="B7" s="82">
        <v>0</v>
      </c>
      <c r="C7" s="82">
        <v>0</v>
      </c>
      <c r="D7" s="82">
        <v>0</v>
      </c>
      <c r="E7" s="83">
        <f>H24</f>
        <v>0</v>
      </c>
      <c r="F7" s="82" cm="1">
        <f t="array" ref="F7">TREND(CHOOSE({1,2},$E$7,$L$7), CHOOSE({1,2},$E$2,$L$2), F2)</f>
        <v>0.34285714285726954</v>
      </c>
      <c r="G7" s="82" cm="1">
        <f t="array" ref="G7">TREND(CHOOSE({1,2},$E$7,$L$7), CHOOSE({1,2},$E$2,$L$2), G2)</f>
        <v>0.68571428571442539</v>
      </c>
      <c r="H7" s="82" cm="1">
        <f t="array" ref="H7">TREND(CHOOSE({1,2},$E$7,$L$7), CHOOSE({1,2},$E$2,$L$2), H2)</f>
        <v>1.0285714285715812</v>
      </c>
      <c r="I7" s="82" cm="1">
        <f t="array" ref="I7">TREND(CHOOSE({1,2},$E$7,$L$7), CHOOSE({1,2},$E$2,$L$2), I2)</f>
        <v>1.3714285714286234</v>
      </c>
      <c r="J7" s="82" cm="1">
        <f t="array" ref="J7">TREND(CHOOSE({1,2},$E$7,$L$7), CHOOSE({1,2},$E$2,$L$2), J2)</f>
        <v>1.7142857142857792</v>
      </c>
      <c r="K7" s="82" cm="1">
        <f t="array" ref="K7">TREND(CHOOSE({1,2},$E$7,$L$7), CHOOSE({1,2},$E$2,$L$2), K2)</f>
        <v>2.0571428571429351</v>
      </c>
      <c r="L7" s="85">
        <f>H26</f>
        <v>2.4</v>
      </c>
      <c r="M7" s="84" cm="1">
        <f t="array" ref="M7">TREND(CHOOSE({1,2},$L$7,$Q$7), CHOOSE({1,2},$L$2,$Q$2),M2)</f>
        <v>2.8599999999999</v>
      </c>
      <c r="N7" s="84" cm="1">
        <f t="array" ref="N7">TREND(CHOOSE({1,2},$L$7,$Q$7), CHOOSE({1,2},$L$2,$Q$2),N2)</f>
        <v>3.3199999999999363</v>
      </c>
      <c r="O7" s="84" cm="1">
        <f t="array" ref="O7">TREND(CHOOSE({1,2},$L$7,$Q$7), CHOOSE({1,2},$L$2,$Q$2),O2)</f>
        <v>3.7799999999999727</v>
      </c>
      <c r="P7" s="84" cm="1">
        <f t="array" ref="P7">TREND(CHOOSE({1,2},$L$7,$Q$7), CHOOSE({1,2},$L$2,$Q$2),P2)</f>
        <v>4.2399999999998954</v>
      </c>
      <c r="Q7" s="85">
        <f>H28</f>
        <v>4.7</v>
      </c>
      <c r="R7" s="84" cm="1">
        <f t="array" ref="R7">TREND(CHOOSE({1,2},$Q$7,$T$7), CHOOSE({1,2}, $Q$2,$T$2),R2)</f>
        <v>5.2000000000000455</v>
      </c>
      <c r="S7" s="84" cm="1">
        <f t="array" ref="S7">TREND(CHOOSE({1,2},$Q$7,$T$7), CHOOSE({1,2}, $Q$2,$T$2),S2)</f>
        <v>5.7000000000000455</v>
      </c>
      <c r="T7" s="85">
        <f>H30</f>
        <v>6.2</v>
      </c>
    </row>
    <row r="8" spans="1:20" s="57" customFormat="1">
      <c r="A8" s="64" t="s">
        <v>425</v>
      </c>
      <c r="B8" s="65">
        <f>SUM(B4,B6,B7)</f>
        <v>35.651489091762102</v>
      </c>
      <c r="C8" s="65">
        <f t="shared" ref="C8:S8" si="5">SUM(C4,C6,C7)</f>
        <v>34.544683508752463</v>
      </c>
      <c r="D8" s="65">
        <f t="shared" si="5"/>
        <v>37.668775235531626</v>
      </c>
      <c r="E8" s="65">
        <f>M24</f>
        <v>39.1</v>
      </c>
      <c r="F8" s="65">
        <f t="shared" si="5"/>
        <v>41.034207560334735</v>
      </c>
      <c r="G8" s="65">
        <f t="shared" si="5"/>
        <v>42.195172966945648</v>
      </c>
      <c r="H8" s="65">
        <f t="shared" si="5"/>
        <v>43.556138373556564</v>
      </c>
      <c r="I8" s="65">
        <f t="shared" si="5"/>
        <v>45.117103780167355</v>
      </c>
      <c r="J8" s="65">
        <f t="shared" si="5"/>
        <v>47.178069186778266</v>
      </c>
      <c r="K8" s="65">
        <f t="shared" si="5"/>
        <v>49.939034593389181</v>
      </c>
      <c r="L8" s="65">
        <f>M26</f>
        <v>53</v>
      </c>
      <c r="M8" s="65">
        <f t="shared" si="5"/>
        <v>56.019999999999889</v>
      </c>
      <c r="N8" s="65">
        <f t="shared" si="5"/>
        <v>58.439999999999962</v>
      </c>
      <c r="O8" s="65">
        <f t="shared" si="5"/>
        <v>60.560000000000038</v>
      </c>
      <c r="P8" s="65">
        <f t="shared" si="5"/>
        <v>62.679999999999879</v>
      </c>
      <c r="Q8" s="65">
        <f>M28</f>
        <v>64.900000000000006</v>
      </c>
      <c r="R8" s="65">
        <f t="shared" si="5"/>
        <v>67.166666666666742</v>
      </c>
      <c r="S8" s="65">
        <f t="shared" si="5"/>
        <v>68.933333333333422</v>
      </c>
      <c r="T8" s="65">
        <f>M30</f>
        <v>70.7</v>
      </c>
    </row>
    <row r="9" spans="1:20">
      <c r="A9" s="90" t="s">
        <v>427</v>
      </c>
      <c r="B9" s="34"/>
      <c r="C9" s="34"/>
      <c r="D9" s="34"/>
      <c r="E9" s="34"/>
      <c r="F9" s="34"/>
    </row>
    <row r="10" spans="1:20">
      <c r="B10" s="34"/>
      <c r="C10" s="34"/>
      <c r="D10" s="34"/>
      <c r="E10" s="34"/>
      <c r="F10" s="34"/>
    </row>
    <row r="11" spans="1:20" s="58" customFormat="1">
      <c r="A11" s="58" t="s">
        <v>368</v>
      </c>
      <c r="B11" s="59"/>
      <c r="C11" s="59"/>
      <c r="D11" s="59"/>
      <c r="E11" s="59"/>
      <c r="F11" s="59"/>
    </row>
    <row r="12" spans="1:20">
      <c r="B12" s="34"/>
      <c r="C12" s="34"/>
      <c r="D12" s="34"/>
      <c r="E12" s="34"/>
      <c r="F12" s="34"/>
    </row>
    <row r="13" spans="1:20" s="75" customFormat="1">
      <c r="A13" s="74" t="s">
        <v>419</v>
      </c>
    </row>
    <row r="14" spans="1:20">
      <c r="E14" s="27" t="s">
        <v>249</v>
      </c>
      <c r="F14" s="27" t="s">
        <v>263</v>
      </c>
      <c r="G14" s="27" t="s">
        <v>276</v>
      </c>
      <c r="H14" s="27" t="s">
        <v>291</v>
      </c>
      <c r="I14" s="27" t="s">
        <v>303</v>
      </c>
    </row>
    <row r="15" spans="1:20">
      <c r="A15" s="28" t="s">
        <v>328</v>
      </c>
      <c r="B15" s="28" t="s">
        <v>326</v>
      </c>
      <c r="C15" s="28" t="s">
        <v>326</v>
      </c>
      <c r="D15" s="28" t="s">
        <v>326</v>
      </c>
      <c r="E15" s="31">
        <v>7.44</v>
      </c>
      <c r="F15" s="31">
        <v>8.2899999999999991</v>
      </c>
      <c r="G15" s="31">
        <v>9.2200000000000006</v>
      </c>
      <c r="H15" s="31">
        <v>9.67</v>
      </c>
      <c r="I15" s="31">
        <v>11</v>
      </c>
    </row>
    <row r="16" spans="1:20">
      <c r="A16" s="30" t="s">
        <v>170</v>
      </c>
      <c r="B16" s="28" t="s">
        <v>329</v>
      </c>
      <c r="C16" s="28" t="s">
        <v>326</v>
      </c>
      <c r="D16" s="28" t="s">
        <v>326</v>
      </c>
      <c r="E16" s="31">
        <v>6.41</v>
      </c>
      <c r="F16" s="31">
        <v>7.15</v>
      </c>
      <c r="G16" s="31">
        <v>8.0500000000000007</v>
      </c>
      <c r="H16" s="31">
        <v>8.5</v>
      </c>
      <c r="I16" s="31">
        <v>9</v>
      </c>
    </row>
    <row r="17" spans="1:13">
      <c r="A17" s="30" t="s">
        <v>170</v>
      </c>
      <c r="B17" s="28" t="s">
        <v>319</v>
      </c>
      <c r="C17" s="28" t="s">
        <v>326</v>
      </c>
      <c r="D17" s="28" t="s">
        <v>326</v>
      </c>
      <c r="E17" s="31">
        <v>1.02</v>
      </c>
      <c r="F17" s="31">
        <v>1.1399999999999999</v>
      </c>
      <c r="G17" s="31">
        <v>1.18</v>
      </c>
      <c r="H17" s="31">
        <v>1.1599999999999999</v>
      </c>
      <c r="I17" s="31">
        <v>2</v>
      </c>
    </row>
    <row r="18" spans="1:13">
      <c r="B18" s="34"/>
      <c r="C18" s="34"/>
      <c r="D18" s="34"/>
      <c r="E18" s="34"/>
      <c r="F18" s="34"/>
    </row>
    <row r="19" spans="1:13" s="67" customFormat="1">
      <c r="A19" s="67" t="s">
        <v>423</v>
      </c>
      <c r="B19" s="76"/>
      <c r="C19" s="76"/>
      <c r="D19" s="76"/>
      <c r="E19" s="76"/>
      <c r="F19" s="76"/>
    </row>
    <row r="20" spans="1:13">
      <c r="A20" s="13" t="s">
        <v>424</v>
      </c>
      <c r="B20" s="34"/>
      <c r="C20" s="34"/>
      <c r="D20" s="34"/>
      <c r="E20" s="34"/>
      <c r="F20" s="34"/>
    </row>
    <row r="21" spans="1:13" ht="17.100000000000001" customHeight="1">
      <c r="A21" s="97" t="s">
        <v>379</v>
      </c>
      <c r="B21" s="101" t="s">
        <v>380</v>
      </c>
      <c r="C21" s="101" t="s">
        <v>371</v>
      </c>
      <c r="D21" s="101" t="s">
        <v>372</v>
      </c>
      <c r="E21" s="101" t="s">
        <v>173</v>
      </c>
      <c r="F21" s="103" t="s">
        <v>373</v>
      </c>
      <c r="G21" s="103" t="s">
        <v>381</v>
      </c>
      <c r="H21" s="101" t="s">
        <v>382</v>
      </c>
      <c r="I21" s="101" t="s">
        <v>376</v>
      </c>
      <c r="J21" s="105" t="s">
        <v>370</v>
      </c>
      <c r="K21" s="17"/>
      <c r="L21" s="107"/>
      <c r="M21" s="107"/>
    </row>
    <row r="22" spans="1:13" ht="34.799999999999997">
      <c r="A22" s="98"/>
      <c r="B22" s="102"/>
      <c r="C22" s="102"/>
      <c r="D22" s="102"/>
      <c r="E22" s="102"/>
      <c r="F22" s="104"/>
      <c r="G22" s="104"/>
      <c r="H22" s="102"/>
      <c r="I22" s="102"/>
      <c r="J22" s="106"/>
      <c r="K22" s="108" t="s">
        <v>383</v>
      </c>
      <c r="L22" s="109"/>
      <c r="M22" s="18" t="s">
        <v>384</v>
      </c>
    </row>
    <row r="23" spans="1:13" ht="17.55" customHeight="1">
      <c r="A23" s="71" t="s">
        <v>409</v>
      </c>
      <c r="B23" s="20" t="s">
        <v>385</v>
      </c>
      <c r="C23" s="21">
        <v>180.5</v>
      </c>
      <c r="D23" s="21">
        <v>184.9</v>
      </c>
      <c r="E23" s="21">
        <v>157.69999999999999</v>
      </c>
      <c r="F23" s="72">
        <v>49.4</v>
      </c>
      <c r="G23" s="72">
        <v>7.2</v>
      </c>
      <c r="H23" s="21" t="s">
        <v>201</v>
      </c>
      <c r="I23" s="21">
        <v>8.3000000000000007</v>
      </c>
      <c r="J23" s="21">
        <v>588</v>
      </c>
      <c r="K23" s="99">
        <v>358.2</v>
      </c>
      <c r="L23" s="100"/>
      <c r="M23" s="22">
        <v>229.9</v>
      </c>
    </row>
    <row r="24" spans="1:13" ht="17.55" customHeight="1">
      <c r="A24" s="19" t="s">
        <v>386</v>
      </c>
      <c r="B24" s="23" t="s">
        <v>378</v>
      </c>
      <c r="C24" s="24">
        <v>30.7</v>
      </c>
      <c r="D24" s="24">
        <v>31.4</v>
      </c>
      <c r="E24" s="24">
        <v>26.8</v>
      </c>
      <c r="F24" s="73">
        <v>8.4</v>
      </c>
      <c r="G24" s="73">
        <v>1.2</v>
      </c>
      <c r="H24" s="24">
        <v>0</v>
      </c>
      <c r="I24" s="24">
        <v>1.4</v>
      </c>
      <c r="J24" s="24">
        <v>100</v>
      </c>
      <c r="K24" s="112">
        <v>60.9</v>
      </c>
      <c r="L24" s="113"/>
      <c r="M24" s="25">
        <v>39.1</v>
      </c>
    </row>
    <row r="25" spans="1:13" ht="17.55" customHeight="1">
      <c r="A25" s="110" t="s">
        <v>410</v>
      </c>
      <c r="B25" s="20" t="s">
        <v>385</v>
      </c>
      <c r="C25" s="21">
        <v>204.2</v>
      </c>
      <c r="D25" s="21">
        <v>110.5</v>
      </c>
      <c r="E25" s="21">
        <v>161</v>
      </c>
      <c r="F25" s="72">
        <v>120.9</v>
      </c>
      <c r="G25" s="72">
        <v>18.7</v>
      </c>
      <c r="H25" s="21">
        <v>15.5</v>
      </c>
      <c r="I25" s="21">
        <v>11.8</v>
      </c>
      <c r="J25" s="21">
        <v>642.6</v>
      </c>
      <c r="K25" s="99">
        <v>302</v>
      </c>
      <c r="L25" s="100"/>
      <c r="M25" s="22">
        <v>340.6</v>
      </c>
    </row>
    <row r="26" spans="1:13" ht="17.55" customHeight="1">
      <c r="A26" s="111"/>
      <c r="B26" s="23" t="s">
        <v>378</v>
      </c>
      <c r="C26" s="24">
        <v>31.8</v>
      </c>
      <c r="D26" s="24">
        <v>17.2</v>
      </c>
      <c r="E26" s="24">
        <v>25.1</v>
      </c>
      <c r="F26" s="73">
        <v>18.8</v>
      </c>
      <c r="G26" s="73">
        <v>2.9</v>
      </c>
      <c r="H26" s="24">
        <v>2.4</v>
      </c>
      <c r="I26" s="24">
        <v>1.8</v>
      </c>
      <c r="J26" s="24">
        <v>100</v>
      </c>
      <c r="K26" s="112">
        <v>47</v>
      </c>
      <c r="L26" s="113"/>
      <c r="M26" s="25">
        <v>53</v>
      </c>
    </row>
    <row r="27" spans="1:13" ht="17.55" customHeight="1">
      <c r="A27" s="110" t="s">
        <v>411</v>
      </c>
      <c r="B27" s="20" t="s">
        <v>385</v>
      </c>
      <c r="C27" s="21">
        <v>236</v>
      </c>
      <c r="D27" s="21">
        <v>88.9</v>
      </c>
      <c r="E27" s="21">
        <v>101.1</v>
      </c>
      <c r="F27" s="72">
        <v>179.9</v>
      </c>
      <c r="G27" s="72">
        <v>24.3</v>
      </c>
      <c r="H27" s="21">
        <v>32.799999999999997</v>
      </c>
      <c r="I27" s="21">
        <v>28.5</v>
      </c>
      <c r="J27" s="21">
        <v>691.5</v>
      </c>
      <c r="K27" s="99">
        <v>242.8</v>
      </c>
      <c r="L27" s="100"/>
      <c r="M27" s="22">
        <v>448.7</v>
      </c>
    </row>
    <row r="28" spans="1:13" ht="17.55" customHeight="1">
      <c r="A28" s="111"/>
      <c r="B28" s="23" t="s">
        <v>378</v>
      </c>
      <c r="C28" s="24">
        <v>34.1</v>
      </c>
      <c r="D28" s="24">
        <v>12.9</v>
      </c>
      <c r="E28" s="24">
        <v>14.6</v>
      </c>
      <c r="F28" s="73">
        <v>26</v>
      </c>
      <c r="G28" s="73">
        <v>3.5</v>
      </c>
      <c r="H28" s="24">
        <v>4.7</v>
      </c>
      <c r="I28" s="24">
        <v>4.0999999999999996</v>
      </c>
      <c r="J28" s="24">
        <v>100</v>
      </c>
      <c r="K28" s="112">
        <v>35.1</v>
      </c>
      <c r="L28" s="113"/>
      <c r="M28" s="25">
        <v>64.900000000000006</v>
      </c>
    </row>
    <row r="29" spans="1:13" ht="17.55" customHeight="1">
      <c r="A29" s="110" t="s">
        <v>412</v>
      </c>
      <c r="B29" s="20" t="s">
        <v>385</v>
      </c>
      <c r="C29" s="21">
        <v>248.3</v>
      </c>
      <c r="D29" s="21">
        <v>70.900000000000006</v>
      </c>
      <c r="E29" s="21">
        <v>74.3</v>
      </c>
      <c r="F29" s="72">
        <v>205.7</v>
      </c>
      <c r="G29" s="72">
        <v>26.4</v>
      </c>
      <c r="H29" s="21">
        <v>43.9</v>
      </c>
      <c r="I29" s="21">
        <v>34.9</v>
      </c>
      <c r="J29" s="21">
        <v>704.5</v>
      </c>
      <c r="K29" s="99">
        <v>206.7</v>
      </c>
      <c r="L29" s="100"/>
      <c r="M29" s="22">
        <v>497.8</v>
      </c>
    </row>
    <row r="30" spans="1:13" ht="17.55" customHeight="1">
      <c r="A30" s="111"/>
      <c r="B30" s="23" t="s">
        <v>378</v>
      </c>
      <c r="C30" s="24">
        <v>35.200000000000003</v>
      </c>
      <c r="D30" s="24">
        <v>10.1</v>
      </c>
      <c r="E30" s="24">
        <v>10.6</v>
      </c>
      <c r="F30" s="73">
        <v>29.2</v>
      </c>
      <c r="G30" s="73">
        <v>3.8</v>
      </c>
      <c r="H30" s="24">
        <v>6.2</v>
      </c>
      <c r="I30" s="24">
        <v>5</v>
      </c>
      <c r="J30" s="24">
        <v>100</v>
      </c>
      <c r="K30" s="112">
        <v>29.3</v>
      </c>
      <c r="L30" s="113"/>
      <c r="M30" s="25">
        <v>70.7</v>
      </c>
    </row>
    <row r="32" spans="1:13">
      <c r="A32" s="13" t="s">
        <v>387</v>
      </c>
    </row>
    <row r="33" spans="1:20">
      <c r="A33" s="13" t="s">
        <v>388</v>
      </c>
    </row>
    <row r="34" spans="1:20">
      <c r="A34" s="114" t="s">
        <v>379</v>
      </c>
      <c r="B34" s="117" t="s">
        <v>389</v>
      </c>
      <c r="C34" s="118"/>
      <c r="D34" s="118"/>
      <c r="E34" s="118"/>
      <c r="F34" s="118"/>
      <c r="G34" s="118"/>
      <c r="H34" s="118"/>
      <c r="I34" s="118"/>
      <c r="J34" s="118"/>
      <c r="K34" s="119"/>
      <c r="L34" s="120" t="s">
        <v>390</v>
      </c>
      <c r="M34" s="36" t="s">
        <v>370</v>
      </c>
    </row>
    <row r="35" spans="1:20" ht="27.6">
      <c r="A35" s="115"/>
      <c r="B35" s="117" t="s">
        <v>391</v>
      </c>
      <c r="C35" s="118"/>
      <c r="D35" s="118"/>
      <c r="E35" s="118"/>
      <c r="F35" s="118"/>
      <c r="G35" s="119"/>
      <c r="H35" s="117" t="s">
        <v>381</v>
      </c>
      <c r="I35" s="118"/>
      <c r="J35" s="119"/>
      <c r="K35" s="35" t="s">
        <v>370</v>
      </c>
      <c r="L35" s="121"/>
      <c r="M35" s="37" t="s">
        <v>392</v>
      </c>
    </row>
    <row r="36" spans="1:20" ht="27.6">
      <c r="A36" s="115"/>
      <c r="B36" s="120" t="s">
        <v>393</v>
      </c>
      <c r="C36" s="120" t="s">
        <v>394</v>
      </c>
      <c r="D36" s="120" t="s">
        <v>395</v>
      </c>
      <c r="E36" s="120" t="s">
        <v>396</v>
      </c>
      <c r="F36" s="120" t="s">
        <v>397</v>
      </c>
      <c r="G36" s="35" t="s">
        <v>398</v>
      </c>
      <c r="H36" s="35" t="s">
        <v>399</v>
      </c>
      <c r="I36" s="120" t="s">
        <v>362</v>
      </c>
      <c r="J36" s="35" t="s">
        <v>398</v>
      </c>
      <c r="K36" s="40" t="s">
        <v>392</v>
      </c>
      <c r="L36" s="121"/>
      <c r="M36" s="38"/>
    </row>
    <row r="37" spans="1:20">
      <c r="A37" s="116"/>
      <c r="B37" s="122"/>
      <c r="C37" s="122"/>
      <c r="D37" s="122"/>
      <c r="E37" s="122"/>
      <c r="F37" s="122"/>
      <c r="G37" s="42" t="s">
        <v>392</v>
      </c>
      <c r="H37" s="43" t="s">
        <v>399</v>
      </c>
      <c r="I37" s="122"/>
      <c r="J37" s="42" t="s">
        <v>392</v>
      </c>
      <c r="K37" s="41"/>
      <c r="L37" s="122"/>
      <c r="M37" s="39"/>
    </row>
    <row r="38" spans="1:20">
      <c r="A38" s="125">
        <v>2024</v>
      </c>
      <c r="B38" s="123">
        <v>34160</v>
      </c>
      <c r="C38" s="123">
        <v>4330</v>
      </c>
      <c r="D38" s="123">
        <v>3633</v>
      </c>
      <c r="E38" s="127">
        <v>446</v>
      </c>
      <c r="F38" s="123">
        <v>11146</v>
      </c>
      <c r="G38" s="45">
        <v>53716</v>
      </c>
      <c r="H38" s="123">
        <v>7277</v>
      </c>
      <c r="I38" s="123">
        <v>2182</v>
      </c>
      <c r="J38" s="45">
        <v>9459</v>
      </c>
      <c r="K38" s="45">
        <v>63174</v>
      </c>
      <c r="L38" s="123">
        <v>5956</v>
      </c>
      <c r="M38" s="47">
        <v>69130</v>
      </c>
      <c r="N38" s="51"/>
    </row>
    <row r="39" spans="1:20">
      <c r="A39" s="126"/>
      <c r="B39" s="124"/>
      <c r="C39" s="124"/>
      <c r="D39" s="124"/>
      <c r="E39" s="128"/>
      <c r="F39" s="124"/>
      <c r="G39" s="46">
        <v>9</v>
      </c>
      <c r="H39" s="124"/>
      <c r="I39" s="124"/>
      <c r="J39" s="46">
        <v>1.6</v>
      </c>
      <c r="K39" s="46">
        <v>10.5</v>
      </c>
      <c r="L39" s="124"/>
      <c r="M39" s="48">
        <v>10.8</v>
      </c>
      <c r="N39" s="51"/>
    </row>
    <row r="40" spans="1:20">
      <c r="A40" s="125">
        <v>2025</v>
      </c>
      <c r="B40" s="123">
        <v>39140</v>
      </c>
      <c r="C40" s="123">
        <v>5255</v>
      </c>
      <c r="D40" s="123">
        <v>3712</v>
      </c>
      <c r="E40" s="127">
        <v>445</v>
      </c>
      <c r="F40" s="123">
        <v>11164</v>
      </c>
      <c r="G40" s="45">
        <v>59716</v>
      </c>
      <c r="H40" s="123">
        <v>8832</v>
      </c>
      <c r="I40" s="123">
        <v>2176</v>
      </c>
      <c r="J40" s="45">
        <v>11008</v>
      </c>
      <c r="K40" s="45">
        <v>70723</v>
      </c>
      <c r="L40" s="123">
        <v>6549</v>
      </c>
      <c r="M40" s="47">
        <v>77273</v>
      </c>
      <c r="N40" s="51"/>
      <c r="O40" s="51"/>
      <c r="P40" s="51"/>
      <c r="Q40" s="51"/>
      <c r="R40" s="51"/>
      <c r="S40" s="51"/>
      <c r="T40" s="51"/>
    </row>
    <row r="41" spans="1:20">
      <c r="A41" s="126"/>
      <c r="B41" s="124"/>
      <c r="C41" s="124"/>
      <c r="D41" s="124"/>
      <c r="E41" s="128"/>
      <c r="F41" s="124"/>
      <c r="G41" s="46">
        <v>9.8000000000000007</v>
      </c>
      <c r="H41" s="124"/>
      <c r="I41" s="124"/>
      <c r="J41" s="46">
        <v>1.8</v>
      </c>
      <c r="K41" s="46">
        <v>11.7</v>
      </c>
      <c r="L41" s="124"/>
      <c r="M41" s="48">
        <v>11.9</v>
      </c>
      <c r="N41" s="51"/>
      <c r="O41" s="51"/>
      <c r="P41" s="51"/>
      <c r="Q41" s="51"/>
      <c r="R41" s="51"/>
      <c r="S41" s="51"/>
      <c r="T41" s="51"/>
    </row>
    <row r="42" spans="1:20">
      <c r="A42" s="125">
        <v>2026</v>
      </c>
      <c r="B42" s="123">
        <v>44154</v>
      </c>
      <c r="C42" s="123">
        <v>6889</v>
      </c>
      <c r="D42" s="123">
        <v>3712</v>
      </c>
      <c r="E42" s="127">
        <v>445</v>
      </c>
      <c r="F42" s="123">
        <v>10870</v>
      </c>
      <c r="G42" s="45">
        <v>66070</v>
      </c>
      <c r="H42" s="123">
        <v>10631</v>
      </c>
      <c r="I42" s="123">
        <v>2176</v>
      </c>
      <c r="J42" s="45">
        <v>12806</v>
      </c>
      <c r="K42" s="45">
        <v>78877</v>
      </c>
      <c r="L42" s="123">
        <v>7212</v>
      </c>
      <c r="M42" s="47">
        <v>86089</v>
      </c>
      <c r="N42" s="51"/>
      <c r="O42" s="51"/>
      <c r="P42" s="51"/>
      <c r="Q42" s="51"/>
      <c r="R42" s="51"/>
      <c r="S42" s="51"/>
      <c r="T42" s="51"/>
    </row>
    <row r="43" spans="1:20">
      <c r="A43" s="126"/>
      <c r="B43" s="124"/>
      <c r="C43" s="124"/>
      <c r="D43" s="124"/>
      <c r="E43" s="128"/>
      <c r="F43" s="124"/>
      <c r="G43" s="46">
        <v>10.8</v>
      </c>
      <c r="H43" s="124"/>
      <c r="I43" s="124"/>
      <c r="J43" s="46">
        <v>2.1</v>
      </c>
      <c r="K43" s="46">
        <v>12.8</v>
      </c>
      <c r="L43" s="124"/>
      <c r="M43" s="48">
        <v>13.1</v>
      </c>
      <c r="N43" s="51"/>
      <c r="O43" s="51"/>
      <c r="P43" s="51"/>
      <c r="Q43" s="51"/>
      <c r="R43" s="51"/>
      <c r="S43" s="51"/>
      <c r="T43" s="51"/>
    </row>
    <row r="44" spans="1:20">
      <c r="A44" s="125">
        <v>2027</v>
      </c>
      <c r="B44" s="123">
        <v>49055</v>
      </c>
      <c r="C44" s="123">
        <v>10369</v>
      </c>
      <c r="D44" s="123">
        <v>3712</v>
      </c>
      <c r="E44" s="127">
        <v>445</v>
      </c>
      <c r="F44" s="123">
        <v>10863</v>
      </c>
      <c r="G44" s="45">
        <v>74445</v>
      </c>
      <c r="H44" s="123">
        <v>12179</v>
      </c>
      <c r="I44" s="123">
        <v>2176</v>
      </c>
      <c r="J44" s="45">
        <v>14354</v>
      </c>
      <c r="K44" s="45">
        <v>88799</v>
      </c>
      <c r="L44" s="123">
        <v>7896</v>
      </c>
      <c r="M44" s="47">
        <v>96696</v>
      </c>
      <c r="N44" s="51"/>
      <c r="O44" s="51"/>
      <c r="P44" s="51"/>
      <c r="Q44" s="51"/>
      <c r="R44" s="51"/>
      <c r="S44" s="51"/>
      <c r="T44" s="51"/>
    </row>
    <row r="45" spans="1:20">
      <c r="A45" s="126"/>
      <c r="B45" s="124"/>
      <c r="C45" s="124"/>
      <c r="D45" s="124"/>
      <c r="E45" s="128"/>
      <c r="F45" s="124"/>
      <c r="G45" s="46">
        <v>12</v>
      </c>
      <c r="H45" s="124"/>
      <c r="I45" s="124"/>
      <c r="J45" s="46">
        <v>2.2999999999999998</v>
      </c>
      <c r="K45" s="46">
        <v>14.3</v>
      </c>
      <c r="L45" s="124"/>
      <c r="M45" s="48">
        <v>14.5</v>
      </c>
      <c r="N45" s="51"/>
      <c r="O45" s="51"/>
      <c r="P45" s="51"/>
      <c r="Q45" s="51"/>
      <c r="R45" s="51"/>
      <c r="S45" s="51"/>
      <c r="T45" s="51"/>
    </row>
    <row r="46" spans="1:20">
      <c r="A46" s="44">
        <v>2028</v>
      </c>
      <c r="B46" s="45">
        <v>54731</v>
      </c>
      <c r="C46" s="45">
        <v>16223</v>
      </c>
      <c r="D46" s="45">
        <v>3722</v>
      </c>
      <c r="E46" s="127">
        <v>446</v>
      </c>
      <c r="F46" s="123">
        <v>10878</v>
      </c>
      <c r="G46" s="45">
        <v>86001</v>
      </c>
      <c r="H46" s="123">
        <v>13656</v>
      </c>
      <c r="I46" s="123">
        <v>2182</v>
      </c>
      <c r="J46" s="45">
        <v>15838</v>
      </c>
      <c r="K46" s="45">
        <v>101839</v>
      </c>
      <c r="L46" s="123">
        <v>8626</v>
      </c>
      <c r="M46" s="47">
        <v>110465</v>
      </c>
      <c r="N46" s="51"/>
      <c r="O46" s="51"/>
      <c r="P46" s="51"/>
      <c r="Q46" s="51"/>
      <c r="R46" s="51"/>
      <c r="S46" s="51"/>
      <c r="T46" s="51"/>
    </row>
    <row r="47" spans="1:20">
      <c r="A47" s="49"/>
      <c r="B47" s="50"/>
      <c r="C47" s="50"/>
      <c r="D47" s="50"/>
      <c r="E47" s="128"/>
      <c r="F47" s="124"/>
      <c r="G47" s="46">
        <v>13.7</v>
      </c>
      <c r="H47" s="124"/>
      <c r="I47" s="124"/>
      <c r="J47" s="46">
        <v>2.5</v>
      </c>
      <c r="K47" s="46">
        <v>16.2</v>
      </c>
      <c r="L47" s="124"/>
      <c r="M47" s="48">
        <v>16.3</v>
      </c>
      <c r="N47" s="51"/>
      <c r="O47" s="51"/>
      <c r="P47" s="51"/>
      <c r="Q47" s="51"/>
      <c r="R47" s="51"/>
      <c r="S47" s="51"/>
      <c r="T47" s="51"/>
    </row>
    <row r="48" spans="1:20">
      <c r="A48" s="44">
        <v>2029</v>
      </c>
      <c r="B48" s="45">
        <v>60195</v>
      </c>
      <c r="C48" s="45">
        <v>26898</v>
      </c>
      <c r="D48" s="45">
        <v>3712</v>
      </c>
      <c r="E48" s="127">
        <v>445</v>
      </c>
      <c r="F48" s="123">
        <v>10846</v>
      </c>
      <c r="G48" s="45">
        <v>102096</v>
      </c>
      <c r="H48" s="123">
        <v>15059</v>
      </c>
      <c r="I48" s="123">
        <v>2176</v>
      </c>
      <c r="J48" s="45">
        <v>17235</v>
      </c>
      <c r="K48" s="45">
        <v>119331</v>
      </c>
      <c r="L48" s="123">
        <v>9328</v>
      </c>
      <c r="M48" s="47">
        <v>128659</v>
      </c>
      <c r="N48" s="51"/>
      <c r="O48" s="51"/>
      <c r="P48" s="51"/>
      <c r="Q48" s="51"/>
      <c r="R48" s="51"/>
      <c r="S48" s="51"/>
      <c r="T48" s="51"/>
    </row>
    <row r="49" spans="1:20">
      <c r="A49" s="49"/>
      <c r="B49" s="50"/>
      <c r="C49" s="50"/>
      <c r="D49" s="50"/>
      <c r="E49" s="128"/>
      <c r="F49" s="124"/>
      <c r="G49" s="46">
        <v>16.100000000000001</v>
      </c>
      <c r="H49" s="124"/>
      <c r="I49" s="124"/>
      <c r="J49" s="46">
        <v>2.7</v>
      </c>
      <c r="K49" s="46">
        <v>18.8</v>
      </c>
      <c r="L49" s="124"/>
      <c r="M49" s="48">
        <v>18.899999999999999</v>
      </c>
      <c r="N49" s="51"/>
      <c r="O49" s="51"/>
      <c r="P49" s="51"/>
      <c r="Q49" s="51"/>
      <c r="R49" s="51"/>
      <c r="S49" s="51"/>
      <c r="T49" s="51"/>
    </row>
    <row r="50" spans="1:20">
      <c r="A50" s="44">
        <v>2030</v>
      </c>
      <c r="B50" s="45">
        <v>67127</v>
      </c>
      <c r="C50" s="45">
        <v>38822</v>
      </c>
      <c r="D50" s="45">
        <v>3712</v>
      </c>
      <c r="E50" s="127">
        <v>445</v>
      </c>
      <c r="F50" s="123">
        <v>10814</v>
      </c>
      <c r="G50" s="45">
        <v>120920</v>
      </c>
      <c r="H50" s="123">
        <v>16500</v>
      </c>
      <c r="I50" s="123">
        <v>2176</v>
      </c>
      <c r="J50" s="45">
        <v>18675</v>
      </c>
      <c r="K50" s="45">
        <v>139595</v>
      </c>
      <c r="L50" s="123">
        <v>10071</v>
      </c>
      <c r="M50" s="47">
        <v>149666</v>
      </c>
      <c r="N50" s="51"/>
      <c r="O50" s="51"/>
      <c r="P50" s="51"/>
      <c r="Q50" s="51"/>
      <c r="R50" s="51"/>
      <c r="S50" s="51"/>
      <c r="T50" s="51"/>
    </row>
    <row r="51" spans="1:20">
      <c r="A51" s="49"/>
      <c r="B51" s="50"/>
      <c r="C51" s="50"/>
      <c r="D51" s="50"/>
      <c r="E51" s="128"/>
      <c r="F51" s="124"/>
      <c r="G51" s="46">
        <v>18.8</v>
      </c>
      <c r="H51" s="124"/>
      <c r="I51" s="124"/>
      <c r="J51" s="46">
        <v>2.9</v>
      </c>
      <c r="K51" s="46">
        <v>21.7</v>
      </c>
      <c r="L51" s="124"/>
      <c r="M51" s="48">
        <v>21.7</v>
      </c>
      <c r="N51" s="51"/>
      <c r="O51" s="51"/>
      <c r="P51" s="51"/>
      <c r="Q51" s="51"/>
      <c r="R51" s="51"/>
      <c r="S51" s="51"/>
      <c r="T51" s="51"/>
    </row>
    <row r="52" spans="1:20">
      <c r="A52" s="44">
        <v>2031</v>
      </c>
      <c r="B52" s="45">
        <v>73113</v>
      </c>
      <c r="C52" s="45">
        <v>48514</v>
      </c>
      <c r="D52" s="45">
        <v>3712</v>
      </c>
      <c r="E52" s="127">
        <v>445</v>
      </c>
      <c r="F52" s="123">
        <v>10815</v>
      </c>
      <c r="G52" s="45">
        <v>136599</v>
      </c>
      <c r="H52" s="123">
        <v>17760</v>
      </c>
      <c r="I52" s="123">
        <v>2176</v>
      </c>
      <c r="J52" s="45">
        <v>19935</v>
      </c>
      <c r="K52" s="45">
        <v>156535</v>
      </c>
      <c r="L52" s="123">
        <v>10824</v>
      </c>
      <c r="M52" s="47">
        <v>167359</v>
      </c>
      <c r="N52" s="51"/>
      <c r="O52" s="51"/>
      <c r="P52" s="51"/>
      <c r="Q52" s="51"/>
      <c r="R52" s="51"/>
      <c r="S52" s="51"/>
      <c r="T52" s="51"/>
    </row>
    <row r="53" spans="1:20">
      <c r="A53" s="49"/>
      <c r="B53" s="50"/>
      <c r="C53" s="50"/>
      <c r="D53" s="50"/>
      <c r="E53" s="128"/>
      <c r="F53" s="124"/>
      <c r="G53" s="46">
        <v>20.9</v>
      </c>
      <c r="H53" s="124"/>
      <c r="I53" s="124"/>
      <c r="J53" s="46">
        <v>3</v>
      </c>
      <c r="K53" s="46">
        <v>23.9</v>
      </c>
      <c r="L53" s="124"/>
      <c r="M53" s="48">
        <v>23.8</v>
      </c>
      <c r="N53" s="51"/>
      <c r="O53" s="51"/>
      <c r="P53" s="51"/>
      <c r="Q53" s="51"/>
      <c r="R53" s="51"/>
      <c r="S53" s="51"/>
      <c r="T53" s="51"/>
    </row>
    <row r="54" spans="1:20">
      <c r="A54" s="44">
        <v>2032</v>
      </c>
      <c r="B54" s="45">
        <v>77188</v>
      </c>
      <c r="C54" s="45">
        <v>56855</v>
      </c>
      <c r="D54" s="45">
        <v>3722</v>
      </c>
      <c r="E54" s="127">
        <v>446</v>
      </c>
      <c r="F54" s="123">
        <v>10845</v>
      </c>
      <c r="G54" s="45">
        <v>149056</v>
      </c>
      <c r="H54" s="123">
        <v>18892</v>
      </c>
      <c r="I54" s="123">
        <v>2182</v>
      </c>
      <c r="J54" s="45">
        <v>21073</v>
      </c>
      <c r="K54" s="45">
        <v>170130</v>
      </c>
      <c r="L54" s="123">
        <v>11617</v>
      </c>
      <c r="M54" s="47">
        <v>181746</v>
      </c>
      <c r="N54" s="51"/>
      <c r="O54" s="51"/>
      <c r="P54" s="51"/>
      <c r="Q54" s="51"/>
      <c r="R54" s="51"/>
      <c r="S54" s="51"/>
      <c r="T54" s="51"/>
    </row>
    <row r="55" spans="1:20">
      <c r="A55" s="49"/>
      <c r="B55" s="50"/>
      <c r="C55" s="50"/>
      <c r="D55" s="50"/>
      <c r="E55" s="128"/>
      <c r="F55" s="124"/>
      <c r="G55" s="46">
        <v>22.4</v>
      </c>
      <c r="H55" s="124"/>
      <c r="I55" s="124"/>
      <c r="J55" s="46">
        <v>3.2</v>
      </c>
      <c r="K55" s="46">
        <v>25.6</v>
      </c>
      <c r="L55" s="124"/>
      <c r="M55" s="48">
        <v>25.4</v>
      </c>
      <c r="N55" s="51"/>
      <c r="O55" s="51"/>
      <c r="P55" s="51"/>
      <c r="Q55" s="51"/>
      <c r="R55" s="51"/>
      <c r="S55" s="51"/>
      <c r="T55" s="51"/>
    </row>
    <row r="56" spans="1:20">
      <c r="A56" s="44">
        <v>2033</v>
      </c>
      <c r="B56" s="45">
        <v>80846</v>
      </c>
      <c r="C56" s="45">
        <v>63079</v>
      </c>
      <c r="D56" s="45">
        <v>3712</v>
      </c>
      <c r="E56" s="127">
        <v>445</v>
      </c>
      <c r="F56" s="123">
        <v>10803</v>
      </c>
      <c r="G56" s="45">
        <v>158886</v>
      </c>
      <c r="H56" s="123">
        <v>19920</v>
      </c>
      <c r="I56" s="123">
        <v>2176</v>
      </c>
      <c r="J56" s="45">
        <v>22096</v>
      </c>
      <c r="K56" s="45">
        <v>180982</v>
      </c>
      <c r="L56" s="123">
        <v>12363</v>
      </c>
      <c r="M56" s="47">
        <v>193345</v>
      </c>
      <c r="N56" s="51"/>
      <c r="O56" s="51"/>
      <c r="P56" s="51"/>
      <c r="Q56" s="51"/>
      <c r="R56" s="51"/>
      <c r="S56" s="51"/>
      <c r="T56" s="51"/>
    </row>
    <row r="57" spans="1:20">
      <c r="A57" s="49"/>
      <c r="B57" s="50"/>
      <c r="C57" s="50"/>
      <c r="D57" s="50"/>
      <c r="E57" s="128"/>
      <c r="F57" s="124"/>
      <c r="G57" s="46">
        <v>23.6</v>
      </c>
      <c r="H57" s="124"/>
      <c r="I57" s="124"/>
      <c r="J57" s="46">
        <v>3.3</v>
      </c>
      <c r="K57" s="46">
        <v>26.9</v>
      </c>
      <c r="L57" s="124"/>
      <c r="M57" s="48">
        <v>26.7</v>
      </c>
      <c r="N57" s="51"/>
      <c r="O57" s="51"/>
      <c r="P57" s="51"/>
      <c r="Q57" s="51"/>
      <c r="R57" s="51"/>
      <c r="S57" s="51"/>
      <c r="T57" s="51"/>
    </row>
    <row r="58" spans="1:20">
      <c r="A58" s="44">
        <v>2034</v>
      </c>
      <c r="B58" s="45">
        <v>84703</v>
      </c>
      <c r="C58" s="45">
        <v>69431</v>
      </c>
      <c r="D58" s="45">
        <v>3712</v>
      </c>
      <c r="E58" s="127">
        <v>445</v>
      </c>
      <c r="F58" s="123">
        <v>10817</v>
      </c>
      <c r="G58" s="45">
        <v>169108</v>
      </c>
      <c r="H58" s="123">
        <v>21000</v>
      </c>
      <c r="I58" s="123">
        <v>2176</v>
      </c>
      <c r="J58" s="45">
        <v>23176</v>
      </c>
      <c r="K58" s="45">
        <v>192284</v>
      </c>
      <c r="L58" s="123">
        <v>13159</v>
      </c>
      <c r="M58" s="47">
        <v>205443</v>
      </c>
      <c r="N58" s="51"/>
      <c r="O58" s="51"/>
      <c r="P58" s="51"/>
      <c r="Q58" s="51"/>
      <c r="R58" s="51"/>
      <c r="S58" s="51"/>
      <c r="T58" s="51"/>
    </row>
    <row r="59" spans="1:20">
      <c r="A59" s="49"/>
      <c r="B59" s="50"/>
      <c r="C59" s="50"/>
      <c r="D59" s="50"/>
      <c r="E59" s="128"/>
      <c r="F59" s="124"/>
      <c r="G59" s="46">
        <v>24.8</v>
      </c>
      <c r="H59" s="124"/>
      <c r="I59" s="124"/>
      <c r="J59" s="46">
        <v>3.4</v>
      </c>
      <c r="K59" s="46">
        <v>28.2</v>
      </c>
      <c r="L59" s="124"/>
      <c r="M59" s="48">
        <v>28</v>
      </c>
      <c r="N59" s="51"/>
      <c r="O59" s="51"/>
      <c r="P59" s="51"/>
      <c r="Q59" s="51"/>
      <c r="R59" s="51"/>
      <c r="S59" s="51"/>
      <c r="T59" s="51"/>
    </row>
    <row r="60" spans="1:20">
      <c r="A60" s="44">
        <v>2035</v>
      </c>
      <c r="B60" s="45">
        <v>88738</v>
      </c>
      <c r="C60" s="45">
        <v>76243</v>
      </c>
      <c r="D60" s="45">
        <v>3712</v>
      </c>
      <c r="E60" s="127">
        <v>445</v>
      </c>
      <c r="F60" s="123">
        <v>10799</v>
      </c>
      <c r="G60" s="45">
        <v>179937</v>
      </c>
      <c r="H60" s="123">
        <v>22081</v>
      </c>
      <c r="I60" s="123">
        <v>2176</v>
      </c>
      <c r="J60" s="45">
        <v>24256</v>
      </c>
      <c r="K60" s="45">
        <v>204193</v>
      </c>
      <c r="L60" s="123">
        <v>13973</v>
      </c>
      <c r="M60" s="47">
        <v>218166</v>
      </c>
      <c r="N60" s="51"/>
      <c r="O60" s="51"/>
      <c r="P60" s="51"/>
      <c r="Q60" s="51"/>
      <c r="R60" s="51"/>
      <c r="S60" s="51"/>
      <c r="T60" s="51"/>
    </row>
    <row r="61" spans="1:20">
      <c r="A61" s="49"/>
      <c r="B61" s="50"/>
      <c r="C61" s="50"/>
      <c r="D61" s="50"/>
      <c r="E61" s="128"/>
      <c r="F61" s="124"/>
      <c r="G61" s="46">
        <v>26</v>
      </c>
      <c r="H61" s="124"/>
      <c r="I61" s="124"/>
      <c r="J61" s="46">
        <v>3.5</v>
      </c>
      <c r="K61" s="46">
        <v>29.5</v>
      </c>
      <c r="L61" s="124"/>
      <c r="M61" s="48">
        <v>29.3</v>
      </c>
      <c r="N61" s="51"/>
      <c r="O61" s="51"/>
      <c r="P61" s="51"/>
      <c r="Q61" s="51"/>
      <c r="R61" s="51"/>
      <c r="S61" s="51"/>
      <c r="T61" s="51"/>
    </row>
    <row r="62" spans="1:20">
      <c r="A62" s="44">
        <v>2036</v>
      </c>
      <c r="B62" s="45">
        <v>92389</v>
      </c>
      <c r="C62" s="45">
        <v>83207</v>
      </c>
      <c r="D62" s="45">
        <v>3722</v>
      </c>
      <c r="E62" s="127">
        <v>446</v>
      </c>
      <c r="F62" s="123">
        <v>10633</v>
      </c>
      <c r="G62" s="45">
        <v>190398</v>
      </c>
      <c r="H62" s="123">
        <v>22745</v>
      </c>
      <c r="I62" s="123">
        <v>2182</v>
      </c>
      <c r="J62" s="45">
        <v>24927</v>
      </c>
      <c r="K62" s="45">
        <v>215325</v>
      </c>
      <c r="L62" s="123">
        <v>14845</v>
      </c>
      <c r="M62" s="47">
        <v>230170</v>
      </c>
      <c r="N62" s="51"/>
      <c r="O62" s="51"/>
      <c r="P62" s="51"/>
      <c r="Q62" s="51"/>
      <c r="R62" s="51"/>
      <c r="S62" s="51"/>
      <c r="T62" s="51"/>
    </row>
    <row r="63" spans="1:20">
      <c r="A63" s="49"/>
      <c r="B63" s="50"/>
      <c r="C63" s="50"/>
      <c r="D63" s="50"/>
      <c r="E63" s="128"/>
      <c r="F63" s="124"/>
      <c r="G63" s="46">
        <v>27.5</v>
      </c>
      <c r="H63" s="124"/>
      <c r="I63" s="124"/>
      <c r="J63" s="46">
        <v>3.6</v>
      </c>
      <c r="K63" s="46">
        <v>31.1</v>
      </c>
      <c r="L63" s="124"/>
      <c r="M63" s="48">
        <v>30.8</v>
      </c>
      <c r="N63" s="51"/>
      <c r="O63" s="51"/>
      <c r="P63" s="51"/>
      <c r="Q63" s="51"/>
      <c r="R63" s="51"/>
      <c r="S63" s="51"/>
      <c r="T63" s="51"/>
    </row>
    <row r="64" spans="1:20">
      <c r="A64" s="44">
        <v>2037</v>
      </c>
      <c r="B64" s="45">
        <v>94835</v>
      </c>
      <c r="C64" s="45">
        <v>88702</v>
      </c>
      <c r="D64" s="45">
        <v>3712</v>
      </c>
      <c r="E64" s="127">
        <v>445</v>
      </c>
      <c r="F64" s="123">
        <v>10600</v>
      </c>
      <c r="G64" s="45">
        <v>198295</v>
      </c>
      <c r="H64" s="123">
        <v>23565</v>
      </c>
      <c r="I64" s="123">
        <v>2176</v>
      </c>
      <c r="J64" s="45">
        <v>25740</v>
      </c>
      <c r="K64" s="45">
        <v>224035</v>
      </c>
      <c r="L64" s="123">
        <v>15655</v>
      </c>
      <c r="M64" s="47">
        <v>239690</v>
      </c>
      <c r="N64" s="51"/>
      <c r="O64" s="51"/>
      <c r="P64" s="51"/>
      <c r="Q64" s="51"/>
      <c r="R64" s="51"/>
      <c r="S64" s="51"/>
      <c r="T64" s="51"/>
    </row>
    <row r="65" spans="1:20">
      <c r="A65" s="49"/>
      <c r="B65" s="50"/>
      <c r="C65" s="50"/>
      <c r="D65" s="50"/>
      <c r="E65" s="128"/>
      <c r="F65" s="124"/>
      <c r="G65" s="46">
        <v>28.4</v>
      </c>
      <c r="H65" s="124"/>
      <c r="I65" s="124"/>
      <c r="J65" s="46">
        <v>3.7</v>
      </c>
      <c r="K65" s="46">
        <v>32.1</v>
      </c>
      <c r="L65" s="124"/>
      <c r="M65" s="48">
        <v>31.9</v>
      </c>
      <c r="N65" s="51"/>
      <c r="O65" s="51"/>
      <c r="P65" s="51"/>
      <c r="Q65" s="51"/>
      <c r="R65" s="51"/>
      <c r="S65" s="51"/>
      <c r="T65" s="51"/>
    </row>
    <row r="66" spans="1:20">
      <c r="A66" s="44">
        <v>2038</v>
      </c>
      <c r="B66" s="45">
        <v>96560</v>
      </c>
      <c r="C66" s="45">
        <v>94353</v>
      </c>
      <c r="D66" s="45">
        <v>3712</v>
      </c>
      <c r="E66" s="127">
        <v>445</v>
      </c>
      <c r="F66" s="123">
        <v>10602</v>
      </c>
      <c r="G66" s="45">
        <v>205673</v>
      </c>
      <c r="H66" s="123">
        <v>24270</v>
      </c>
      <c r="I66" s="123">
        <v>2176</v>
      </c>
      <c r="J66" s="45">
        <v>26446</v>
      </c>
      <c r="K66" s="45">
        <v>232119</v>
      </c>
      <c r="L66" s="123">
        <v>16523</v>
      </c>
      <c r="M66" s="47">
        <v>248641</v>
      </c>
      <c r="N66" s="51"/>
      <c r="O66" s="51"/>
      <c r="P66" s="51"/>
      <c r="Q66" s="51"/>
      <c r="R66" s="51"/>
      <c r="S66" s="51"/>
      <c r="T66" s="51"/>
    </row>
    <row r="67" spans="1:20">
      <c r="A67" s="49"/>
      <c r="B67" s="50"/>
      <c r="C67" s="50"/>
      <c r="D67" s="50"/>
      <c r="E67" s="128"/>
      <c r="F67" s="124"/>
      <c r="G67" s="46">
        <v>29.2</v>
      </c>
      <c r="H67" s="124"/>
      <c r="I67" s="124"/>
      <c r="J67" s="46">
        <v>3.8</v>
      </c>
      <c r="K67" s="46">
        <v>32.9</v>
      </c>
      <c r="L67" s="124"/>
      <c r="M67" s="48">
        <v>32.700000000000003</v>
      </c>
      <c r="N67" s="51"/>
      <c r="O67" s="51"/>
      <c r="P67" s="51"/>
      <c r="Q67" s="51"/>
      <c r="R67" s="51"/>
      <c r="S67" s="51"/>
      <c r="T67" s="51"/>
    </row>
    <row r="69" spans="1:20" s="77" customFormat="1">
      <c r="A69" s="77" t="s">
        <v>400</v>
      </c>
    </row>
    <row r="70" spans="1:20">
      <c r="A70" s="13" t="s">
        <v>401</v>
      </c>
    </row>
    <row r="71" spans="1:20">
      <c r="A71" s="26" t="s">
        <v>402</v>
      </c>
      <c r="B71" s="26" t="s">
        <v>403</v>
      </c>
      <c r="C71" s="26" t="s">
        <v>404</v>
      </c>
      <c r="D71" s="27" t="s">
        <v>249</v>
      </c>
      <c r="E71" s="27" t="s">
        <v>263</v>
      </c>
      <c r="F71" s="27" t="s">
        <v>276</v>
      </c>
      <c r="G71" s="27" t="s">
        <v>291</v>
      </c>
      <c r="H71" s="27" t="s">
        <v>303</v>
      </c>
    </row>
    <row r="72" spans="1:20">
      <c r="A72" s="28" t="s">
        <v>370</v>
      </c>
      <c r="B72" s="28" t="s">
        <v>398</v>
      </c>
      <c r="C72" s="28" t="s">
        <v>398</v>
      </c>
      <c r="D72" s="53">
        <v>100</v>
      </c>
      <c r="E72" s="53">
        <v>100</v>
      </c>
      <c r="F72" s="53">
        <v>100</v>
      </c>
      <c r="G72" s="53">
        <v>100</v>
      </c>
      <c r="H72" s="53">
        <v>100</v>
      </c>
    </row>
    <row r="73" spans="1:20">
      <c r="A73" s="54" t="s">
        <v>371</v>
      </c>
      <c r="B73" s="55" t="s">
        <v>398</v>
      </c>
      <c r="C73" s="55" t="s">
        <v>398</v>
      </c>
      <c r="D73" s="56">
        <v>29.241489091762098</v>
      </c>
      <c r="E73" s="56">
        <v>27.394683508752465</v>
      </c>
      <c r="F73" s="56">
        <v>29.618775235531629</v>
      </c>
      <c r="G73" s="56">
        <v>30.693805087008354</v>
      </c>
      <c r="H73" s="56">
        <v>31.691350417477469</v>
      </c>
    </row>
    <row r="74" spans="1:20">
      <c r="A74" s="28" t="s">
        <v>405</v>
      </c>
      <c r="B74" s="28" t="s">
        <v>398</v>
      </c>
      <c r="C74" s="28" t="s">
        <v>398</v>
      </c>
      <c r="D74" s="53">
        <v>62.888077152667861</v>
      </c>
      <c r="E74" s="53">
        <v>63.920465873452045</v>
      </c>
      <c r="F74" s="53">
        <v>60.358681022880212</v>
      </c>
      <c r="G74" s="53">
        <v>58.526444314825177</v>
      </c>
      <c r="H74" s="53">
        <v>56.339898690566336</v>
      </c>
    </row>
    <row r="75" spans="1:20">
      <c r="A75" s="30" t="s">
        <v>170</v>
      </c>
      <c r="B75" s="28" t="s">
        <v>372</v>
      </c>
      <c r="C75" s="28" t="s">
        <v>398</v>
      </c>
      <c r="D75" s="53">
        <v>35.840466450163106</v>
      </c>
      <c r="E75" s="53">
        <v>34.320893051252668</v>
      </c>
      <c r="F75" s="53">
        <v>32.508580080753703</v>
      </c>
      <c r="G75" s="53">
        <v>31.447656394811979</v>
      </c>
      <c r="H75" s="53">
        <v>28.064425680950837</v>
      </c>
    </row>
    <row r="76" spans="1:20">
      <c r="A76" s="30" t="s">
        <v>170</v>
      </c>
      <c r="B76" s="30" t="s">
        <v>170</v>
      </c>
      <c r="C76" s="28" t="s">
        <v>406</v>
      </c>
      <c r="D76" s="53">
        <v>35.461493947575477</v>
      </c>
      <c r="E76" s="53">
        <v>33.998255921804272</v>
      </c>
      <c r="F76" s="53">
        <v>32.202725437415879</v>
      </c>
      <c r="G76" s="53">
        <v>31.126423568184176</v>
      </c>
      <c r="H76" s="53">
        <v>27.743573298231532</v>
      </c>
    </row>
    <row r="77" spans="1:20">
      <c r="A77" s="30" t="s">
        <v>170</v>
      </c>
      <c r="B77" s="30" t="s">
        <v>170</v>
      </c>
      <c r="C77" s="28" t="s">
        <v>407</v>
      </c>
      <c r="D77" s="53">
        <v>0.37897250258763737</v>
      </c>
      <c r="E77" s="53">
        <v>0.32263712944839629</v>
      </c>
      <c r="F77" s="53">
        <v>0.30602288021534318</v>
      </c>
      <c r="G77" s="53">
        <v>0.32123282662780356</v>
      </c>
      <c r="H77" s="53">
        <v>0.32085238271930366</v>
      </c>
    </row>
    <row r="78" spans="1:20">
      <c r="A78" s="30" t="s">
        <v>170</v>
      </c>
      <c r="B78" s="28" t="s">
        <v>374</v>
      </c>
      <c r="C78" s="28" t="s">
        <v>398</v>
      </c>
      <c r="D78" s="53">
        <v>0.41164884072019375</v>
      </c>
      <c r="E78" s="53">
        <v>0.40810736309592954</v>
      </c>
      <c r="F78" s="53">
        <v>0.33075370121130548</v>
      </c>
      <c r="G78" s="53">
        <v>0.25287094398917093</v>
      </c>
      <c r="H78" s="53">
        <v>0.20214875394769316</v>
      </c>
    </row>
    <row r="79" spans="1:20">
      <c r="A79" s="30" t="s">
        <v>170</v>
      </c>
      <c r="B79" s="28" t="s">
        <v>173</v>
      </c>
      <c r="C79" s="28" t="s">
        <v>398</v>
      </c>
      <c r="D79" s="53">
        <v>26.635961861784569</v>
      </c>
      <c r="E79" s="53">
        <v>29.191292091489558</v>
      </c>
      <c r="F79" s="53">
        <v>27.519347240915209</v>
      </c>
      <c r="G79" s="53">
        <v>26.825916976024029</v>
      </c>
      <c r="H79" s="53">
        <v>28.073324255667803</v>
      </c>
    </row>
    <row r="80" spans="1:20">
      <c r="A80" s="28" t="s">
        <v>375</v>
      </c>
      <c r="B80" s="28" t="s">
        <v>398</v>
      </c>
      <c r="C80" s="28" t="s">
        <v>398</v>
      </c>
      <c r="D80" s="53">
        <v>0.59711900576308374</v>
      </c>
      <c r="E80" s="53">
        <v>0.63851292195510123</v>
      </c>
      <c r="F80" s="53">
        <v>0.625</v>
      </c>
      <c r="G80" s="53">
        <v>0.64348597986215395</v>
      </c>
      <c r="H80" s="53">
        <v>0.78525724436325672</v>
      </c>
    </row>
    <row r="81" spans="1:8">
      <c r="A81" s="33" t="s">
        <v>408</v>
      </c>
      <c r="B81" s="33" t="s">
        <v>398</v>
      </c>
      <c r="C81" s="33" t="s">
        <v>398</v>
      </c>
      <c r="D81" s="53">
        <v>7.2733147498069544</v>
      </c>
      <c r="E81" s="53">
        <v>8.0463376958403909</v>
      </c>
      <c r="F81" s="53">
        <v>9.3977119784656793</v>
      </c>
      <c r="G81" s="53">
        <v>10.136264618304319</v>
      </c>
      <c r="H81" s="53">
        <v>11.183325749956767</v>
      </c>
    </row>
  </sheetData>
  <mergeCells count="126">
    <mergeCell ref="F66:F67"/>
    <mergeCell ref="H66:H67"/>
    <mergeCell ref="I66:I67"/>
    <mergeCell ref="L66:L67"/>
    <mergeCell ref="E66:E67"/>
    <mergeCell ref="F62:F63"/>
    <mergeCell ref="H62:H63"/>
    <mergeCell ref="I62:I63"/>
    <mergeCell ref="L62:L63"/>
    <mergeCell ref="E64:E65"/>
    <mergeCell ref="F64:F65"/>
    <mergeCell ref="H64:H65"/>
    <mergeCell ref="I64:I65"/>
    <mergeCell ref="L64:L65"/>
    <mergeCell ref="E62:E63"/>
    <mergeCell ref="F58:F59"/>
    <mergeCell ref="H58:H59"/>
    <mergeCell ref="I58:I59"/>
    <mergeCell ref="L58:L59"/>
    <mergeCell ref="E60:E61"/>
    <mergeCell ref="F60:F61"/>
    <mergeCell ref="H60:H61"/>
    <mergeCell ref="I60:I61"/>
    <mergeCell ref="L60:L61"/>
    <mergeCell ref="E58:E59"/>
    <mergeCell ref="F54:F55"/>
    <mergeCell ref="H54:H55"/>
    <mergeCell ref="I54:I55"/>
    <mergeCell ref="L54:L55"/>
    <mergeCell ref="E56:E57"/>
    <mergeCell ref="F56:F57"/>
    <mergeCell ref="H56:H57"/>
    <mergeCell ref="I56:I57"/>
    <mergeCell ref="L56:L57"/>
    <mergeCell ref="E54:E55"/>
    <mergeCell ref="F50:F51"/>
    <mergeCell ref="H50:H51"/>
    <mergeCell ref="I50:I51"/>
    <mergeCell ref="L50:L51"/>
    <mergeCell ref="E52:E53"/>
    <mergeCell ref="F52:F53"/>
    <mergeCell ref="H52:H53"/>
    <mergeCell ref="I52:I53"/>
    <mergeCell ref="L52:L53"/>
    <mergeCell ref="E50:E51"/>
    <mergeCell ref="F46:F47"/>
    <mergeCell ref="H46:H47"/>
    <mergeCell ref="I46:I47"/>
    <mergeCell ref="L46:L47"/>
    <mergeCell ref="E48:E49"/>
    <mergeCell ref="F48:F49"/>
    <mergeCell ref="H48:H49"/>
    <mergeCell ref="I48:I49"/>
    <mergeCell ref="L48:L49"/>
    <mergeCell ref="E46:E47"/>
    <mergeCell ref="F42:F43"/>
    <mergeCell ref="H42:H43"/>
    <mergeCell ref="I42:I43"/>
    <mergeCell ref="L42:L43"/>
    <mergeCell ref="A44:A45"/>
    <mergeCell ref="B44:B45"/>
    <mergeCell ref="C44:C45"/>
    <mergeCell ref="D44:D45"/>
    <mergeCell ref="E44:E45"/>
    <mergeCell ref="F44:F45"/>
    <mergeCell ref="H44:H45"/>
    <mergeCell ref="I44:I45"/>
    <mergeCell ref="L44:L45"/>
    <mergeCell ref="A42:A43"/>
    <mergeCell ref="B42:B43"/>
    <mergeCell ref="C42:C43"/>
    <mergeCell ref="D42:D43"/>
    <mergeCell ref="E42:E43"/>
    <mergeCell ref="F38:F39"/>
    <mergeCell ref="H38:H39"/>
    <mergeCell ref="I38:I39"/>
    <mergeCell ref="L38:L39"/>
    <mergeCell ref="A40:A41"/>
    <mergeCell ref="B40:B41"/>
    <mergeCell ref="C40:C41"/>
    <mergeCell ref="D40:D41"/>
    <mergeCell ref="E40:E41"/>
    <mergeCell ref="F40:F41"/>
    <mergeCell ref="H40:H41"/>
    <mergeCell ref="I40:I41"/>
    <mergeCell ref="L40:L41"/>
    <mergeCell ref="A38:A39"/>
    <mergeCell ref="B38:B39"/>
    <mergeCell ref="C38:C39"/>
    <mergeCell ref="D38:D39"/>
    <mergeCell ref="E38:E39"/>
    <mergeCell ref="A34:A37"/>
    <mergeCell ref="B34:K34"/>
    <mergeCell ref="L34:L37"/>
    <mergeCell ref="B35:G35"/>
    <mergeCell ref="H35:J35"/>
    <mergeCell ref="B36:B37"/>
    <mergeCell ref="C36:C37"/>
    <mergeCell ref="D36:D37"/>
    <mergeCell ref="E36:E37"/>
    <mergeCell ref="F36:F37"/>
    <mergeCell ref="I36:I37"/>
    <mergeCell ref="A29:A30"/>
    <mergeCell ref="K29:L29"/>
    <mergeCell ref="K30:L30"/>
    <mergeCell ref="K24:L24"/>
    <mergeCell ref="A25:A26"/>
    <mergeCell ref="K25:L25"/>
    <mergeCell ref="K26:L26"/>
    <mergeCell ref="A27:A28"/>
    <mergeCell ref="K27:L27"/>
    <mergeCell ref="K28:L28"/>
    <mergeCell ref="B1:F1"/>
    <mergeCell ref="A21:A22"/>
    <mergeCell ref="K23:L23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L21:M21"/>
    <mergeCell ref="K22:L22"/>
  </mergeCells>
  <phoneticPr fontId="2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1B7E2-B244-47F8-B566-550E2814D46F}">
  <dimension ref="A1:CC17"/>
  <sheetViews>
    <sheetView tabSelected="1" workbookViewId="0"/>
  </sheetViews>
  <sheetFormatPr defaultRowHeight="14.4"/>
  <cols>
    <col min="1" max="1" width="70.77734375" customWidth="1"/>
  </cols>
  <sheetData>
    <row r="1" spans="1:81">
      <c r="A1" s="1" t="s">
        <v>435</v>
      </c>
    </row>
    <row r="3" spans="1:81">
      <c r="A3" s="1" t="s">
        <v>436</v>
      </c>
    </row>
    <row r="4" spans="1:81">
      <c r="A4" t="s">
        <v>437</v>
      </c>
      <c r="B4">
        <v>63819293</v>
      </c>
    </row>
    <row r="5" spans="1:81">
      <c r="A5" t="s">
        <v>438</v>
      </c>
      <c r="B5">
        <v>0.13500000000000001</v>
      </c>
    </row>
    <row r="6" spans="1:81">
      <c r="A6" t="s">
        <v>439</v>
      </c>
      <c r="B6">
        <f>B4/B5</f>
        <v>472735503.7037037</v>
      </c>
    </row>
    <row r="7" spans="1:81">
      <c r="A7" t="s">
        <v>440</v>
      </c>
      <c r="B7">
        <f>'Power Generation by ES'!H4*1000</f>
        <v>595601000</v>
      </c>
    </row>
    <row r="8" spans="1:81">
      <c r="A8" t="s">
        <v>441</v>
      </c>
      <c r="B8">
        <f>B6/B7</f>
        <v>0.79371173605098666</v>
      </c>
    </row>
    <row r="9" spans="1:81">
      <c r="A9" t="s">
        <v>442</v>
      </c>
      <c r="B9">
        <v>1.34</v>
      </c>
    </row>
    <row r="10" spans="1:81">
      <c r="A10" s="1" t="s">
        <v>443</v>
      </c>
      <c r="B10">
        <f>B8/B9</f>
        <v>0.5923221910828258</v>
      </c>
    </row>
    <row r="12" spans="1:81">
      <c r="A12" s="1" t="s">
        <v>444</v>
      </c>
    </row>
    <row r="13" spans="1:81">
      <c r="A13" t="s">
        <v>379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  <c r="AF13">
        <v>2051</v>
      </c>
      <c r="AG13">
        <v>2052</v>
      </c>
      <c r="AH13">
        <v>2053</v>
      </c>
      <c r="AI13">
        <v>2054</v>
      </c>
      <c r="AJ13">
        <v>2055</v>
      </c>
      <c r="AK13">
        <v>2056</v>
      </c>
      <c r="AL13">
        <v>2057</v>
      </c>
      <c r="AM13">
        <v>2058</v>
      </c>
      <c r="AN13">
        <v>2059</v>
      </c>
      <c r="AO13">
        <v>2060</v>
      </c>
      <c r="AP13">
        <v>2061</v>
      </c>
      <c r="AQ13">
        <v>2062</v>
      </c>
      <c r="AR13">
        <v>2063</v>
      </c>
      <c r="AS13">
        <v>2064</v>
      </c>
      <c r="AT13">
        <v>2065</v>
      </c>
      <c r="AU13">
        <v>2066</v>
      </c>
      <c r="AV13">
        <v>2067</v>
      </c>
      <c r="AW13">
        <v>2068</v>
      </c>
      <c r="AX13">
        <v>2069</v>
      </c>
      <c r="AY13">
        <v>2070</v>
      </c>
      <c r="AZ13">
        <v>2071</v>
      </c>
      <c r="BA13">
        <v>2072</v>
      </c>
      <c r="BB13">
        <v>2073</v>
      </c>
      <c r="BC13">
        <v>2074</v>
      </c>
      <c r="BD13">
        <v>2075</v>
      </c>
      <c r="BE13">
        <v>2076</v>
      </c>
      <c r="BF13">
        <v>2077</v>
      </c>
      <c r="BG13">
        <v>2078</v>
      </c>
      <c r="BH13">
        <v>2079</v>
      </c>
      <c r="BI13">
        <v>2080</v>
      </c>
      <c r="BJ13">
        <v>2081</v>
      </c>
      <c r="BK13">
        <v>2082</v>
      </c>
      <c r="BL13">
        <v>2083</v>
      </c>
      <c r="BM13">
        <v>2084</v>
      </c>
      <c r="BN13">
        <v>2085</v>
      </c>
      <c r="BO13">
        <v>2086</v>
      </c>
      <c r="BP13">
        <v>2087</v>
      </c>
      <c r="BQ13">
        <v>2088</v>
      </c>
      <c r="BR13">
        <v>2089</v>
      </c>
      <c r="BS13">
        <v>2090</v>
      </c>
      <c r="BT13">
        <v>2091</v>
      </c>
      <c r="BU13">
        <v>2092</v>
      </c>
      <c r="BV13">
        <v>2093</v>
      </c>
      <c r="BW13">
        <v>2094</v>
      </c>
      <c r="BX13">
        <v>2095</v>
      </c>
      <c r="BY13">
        <v>2096</v>
      </c>
      <c r="BZ13">
        <v>2097</v>
      </c>
      <c r="CA13">
        <v>2098</v>
      </c>
      <c r="CB13">
        <v>2099</v>
      </c>
      <c r="CC13">
        <v>2100</v>
      </c>
    </row>
    <row r="14" spans="1:81">
      <c r="A14" t="s">
        <v>445</v>
      </c>
      <c r="B14">
        <v>0.09</v>
      </c>
      <c r="C14">
        <v>0.125</v>
      </c>
      <c r="D14">
        <v>0.13</v>
      </c>
      <c r="E14">
        <v>0.13500000000000001</v>
      </c>
      <c r="F14">
        <v>0.14000000000000001</v>
      </c>
      <c r="G14">
        <v>0.15</v>
      </c>
      <c r="H14">
        <v>0.17</v>
      </c>
      <c r="I14">
        <v>0.19</v>
      </c>
      <c r="J14">
        <v>0.22500000000000001</v>
      </c>
      <c r="K14">
        <v>0.25</v>
      </c>
      <c r="L14">
        <v>0.25</v>
      </c>
      <c r="M14">
        <v>0.25</v>
      </c>
      <c r="N14">
        <v>0.25</v>
      </c>
      <c r="O14">
        <v>0.25</v>
      </c>
      <c r="P14">
        <v>0.25</v>
      </c>
      <c r="Q14">
        <v>0.25</v>
      </c>
      <c r="R14">
        <v>0.25</v>
      </c>
      <c r="S14">
        <v>0.25</v>
      </c>
      <c r="T14">
        <v>0.25</v>
      </c>
      <c r="U14">
        <v>0.25</v>
      </c>
      <c r="V14">
        <v>0.25</v>
      </c>
      <c r="W14">
        <v>0.25</v>
      </c>
      <c r="X14">
        <v>0.25</v>
      </c>
      <c r="Y14">
        <v>0.25</v>
      </c>
      <c r="Z14">
        <v>0.25</v>
      </c>
      <c r="AA14">
        <v>0.25</v>
      </c>
      <c r="AB14">
        <v>0.25</v>
      </c>
      <c r="AC14">
        <v>0.25</v>
      </c>
      <c r="AD14">
        <v>0.25</v>
      </c>
      <c r="AE14">
        <v>0.25</v>
      </c>
      <c r="AF14">
        <v>0.25</v>
      </c>
      <c r="AG14">
        <v>0.25</v>
      </c>
      <c r="AH14">
        <v>0.25</v>
      </c>
      <c r="AI14">
        <v>0.25</v>
      </c>
      <c r="AJ14">
        <v>0.25</v>
      </c>
      <c r="AK14">
        <v>0.25</v>
      </c>
      <c r="AL14">
        <v>0.25</v>
      </c>
      <c r="AM14">
        <v>0.25</v>
      </c>
      <c r="AN14">
        <v>0.25</v>
      </c>
      <c r="AO14">
        <v>0.25</v>
      </c>
      <c r="AP14">
        <v>0.25</v>
      </c>
      <c r="AQ14">
        <v>0.25</v>
      </c>
      <c r="AR14">
        <v>0.25</v>
      </c>
      <c r="AS14">
        <v>0.25</v>
      </c>
      <c r="AT14">
        <v>0.25</v>
      </c>
      <c r="AU14">
        <v>0.25</v>
      </c>
      <c r="AV14">
        <v>0.25</v>
      </c>
      <c r="AW14">
        <v>0.25</v>
      </c>
      <c r="AX14">
        <v>0.25</v>
      </c>
      <c r="AY14">
        <v>0.25</v>
      </c>
      <c r="AZ14">
        <v>0.25</v>
      </c>
      <c r="BA14">
        <v>0.25</v>
      </c>
      <c r="BB14">
        <v>0.25</v>
      </c>
      <c r="BC14">
        <v>0.25</v>
      </c>
      <c r="BD14">
        <v>0.25</v>
      </c>
      <c r="BE14">
        <v>0.25</v>
      </c>
      <c r="BF14">
        <v>0.25</v>
      </c>
      <c r="BG14">
        <v>0.25</v>
      </c>
      <c r="BH14">
        <v>0.25</v>
      </c>
      <c r="BI14">
        <v>0.25</v>
      </c>
      <c r="BJ14">
        <v>0.25</v>
      </c>
      <c r="BK14">
        <v>0.25</v>
      </c>
      <c r="BL14">
        <v>0.25</v>
      </c>
      <c r="BM14">
        <v>0.25</v>
      </c>
      <c r="BN14">
        <v>0.25</v>
      </c>
      <c r="BO14">
        <v>0.25</v>
      </c>
      <c r="BP14">
        <v>0.25</v>
      </c>
      <c r="BQ14">
        <v>0.25</v>
      </c>
      <c r="BR14">
        <v>0.25</v>
      </c>
      <c r="BS14">
        <v>0.25</v>
      </c>
      <c r="BT14">
        <v>0.25</v>
      </c>
      <c r="BU14">
        <v>0.25</v>
      </c>
      <c r="BV14">
        <v>0.25</v>
      </c>
      <c r="BW14">
        <v>0.25</v>
      </c>
      <c r="BX14">
        <v>0.25</v>
      </c>
      <c r="BY14">
        <v>0.25</v>
      </c>
      <c r="BZ14">
        <v>0.25</v>
      </c>
      <c r="CA14">
        <v>0.25</v>
      </c>
      <c r="CB14">
        <v>0.25</v>
      </c>
      <c r="CC14">
        <v>0.25</v>
      </c>
    </row>
    <row r="15" spans="1:81">
      <c r="A15" s="1" t="s">
        <v>446</v>
      </c>
      <c r="B15">
        <f>B14*$B$10</f>
        <v>5.3308997197454321E-2</v>
      </c>
      <c r="C15">
        <f>C14*$B$10</f>
        <v>7.4040273885353225E-2</v>
      </c>
      <c r="D15">
        <f>D14*$B$10</f>
        <v>7.7001884840767351E-2</v>
      </c>
      <c r="E15">
        <f>E14*$B$10</f>
        <v>7.9963495796181491E-2</v>
      </c>
      <c r="F15">
        <f>F14*$B$10</f>
        <v>8.2925106751595618E-2</v>
      </c>
      <c r="G15">
        <f>G14*$B$10</f>
        <v>8.884832866242387E-2</v>
      </c>
      <c r="H15">
        <f>H14*$B$10</f>
        <v>0.10069477248408039</v>
      </c>
      <c r="I15">
        <f>I14*$B$10</f>
        <v>0.11254121630573691</v>
      </c>
      <c r="J15">
        <f>J14*$B$10</f>
        <v>0.1332724929936358</v>
      </c>
      <c r="K15">
        <f>K14*$B$10</f>
        <v>0.14808054777070645</v>
      </c>
      <c r="L15">
        <f>L14*$B$10</f>
        <v>0.14808054777070645</v>
      </c>
      <c r="M15">
        <f>M14*$B$10</f>
        <v>0.14808054777070645</v>
      </c>
      <c r="N15">
        <f>N14*$B$10</f>
        <v>0.14808054777070645</v>
      </c>
      <c r="O15">
        <f>O14*$B$10</f>
        <v>0.14808054777070645</v>
      </c>
      <c r="P15">
        <f>P14*$B$10</f>
        <v>0.14808054777070645</v>
      </c>
      <c r="Q15">
        <f>Q14*$B$10</f>
        <v>0.14808054777070645</v>
      </c>
      <c r="R15">
        <f>R14*$B$10</f>
        <v>0.14808054777070645</v>
      </c>
      <c r="S15">
        <f>S14*$B$10</f>
        <v>0.14808054777070645</v>
      </c>
      <c r="T15">
        <f>T14*$B$10</f>
        <v>0.14808054777070645</v>
      </c>
      <c r="U15">
        <f>U14*$B$10</f>
        <v>0.14808054777070645</v>
      </c>
      <c r="V15">
        <f>V14*$B$10</f>
        <v>0.14808054777070645</v>
      </c>
      <c r="W15">
        <f>W14*$B$10</f>
        <v>0.14808054777070645</v>
      </c>
      <c r="X15">
        <f>X14*$B$10</f>
        <v>0.14808054777070645</v>
      </c>
      <c r="Y15">
        <f>Y14*$B$10</f>
        <v>0.14808054777070645</v>
      </c>
      <c r="Z15">
        <f>Z14*$B$10</f>
        <v>0.14808054777070645</v>
      </c>
      <c r="AA15">
        <f>AA14*$B$10</f>
        <v>0.14808054777070645</v>
      </c>
      <c r="AB15">
        <f>AB14*$B$10</f>
        <v>0.14808054777070645</v>
      </c>
      <c r="AC15">
        <f>AC14*$B$10</f>
        <v>0.14808054777070645</v>
      </c>
      <c r="AD15">
        <f>AD14*$B$10</f>
        <v>0.14808054777070645</v>
      </c>
      <c r="AE15">
        <f>AE14*$B$10</f>
        <v>0.14808054777070645</v>
      </c>
      <c r="AF15">
        <f>AF14*$B$10</f>
        <v>0.14808054777070645</v>
      </c>
      <c r="AG15">
        <f>AG14*$B$10</f>
        <v>0.14808054777070645</v>
      </c>
      <c r="AH15">
        <f>AH14*$B$10</f>
        <v>0.14808054777070645</v>
      </c>
      <c r="AI15">
        <f>AI14*$B$10</f>
        <v>0.14808054777070645</v>
      </c>
      <c r="AJ15">
        <f>AJ14*$B$10</f>
        <v>0.14808054777070645</v>
      </c>
      <c r="AK15">
        <f>AK14*$B$10</f>
        <v>0.14808054777070645</v>
      </c>
      <c r="AL15">
        <f>AL14*$B$10</f>
        <v>0.14808054777070645</v>
      </c>
      <c r="AM15">
        <f>AM14*$B$10</f>
        <v>0.14808054777070645</v>
      </c>
      <c r="AN15">
        <f>AN14*$B$10</f>
        <v>0.14808054777070645</v>
      </c>
      <c r="AO15">
        <f>AO14*$B$10</f>
        <v>0.14808054777070645</v>
      </c>
      <c r="AP15">
        <f>AP14*$B$10</f>
        <v>0.14808054777070645</v>
      </c>
      <c r="AQ15">
        <f>AQ14*$B$10</f>
        <v>0.14808054777070645</v>
      </c>
      <c r="AR15">
        <f>AR14*$B$10</f>
        <v>0.14808054777070645</v>
      </c>
      <c r="AS15">
        <f>AS14*$B$10</f>
        <v>0.14808054777070645</v>
      </c>
      <c r="AT15">
        <f>AT14*$B$10</f>
        <v>0.14808054777070645</v>
      </c>
      <c r="AU15">
        <f>AU14*$B$10</f>
        <v>0.14808054777070645</v>
      </c>
      <c r="AV15">
        <f>AV14*$B$10</f>
        <v>0.14808054777070645</v>
      </c>
      <c r="AW15">
        <f>AW14*$B$10</f>
        <v>0.14808054777070645</v>
      </c>
      <c r="AX15">
        <f>AX14*$B$10</f>
        <v>0.14808054777070645</v>
      </c>
      <c r="AY15">
        <f>AY14*$B$10</f>
        <v>0.14808054777070645</v>
      </c>
      <c r="AZ15">
        <f>AZ14*$B$10</f>
        <v>0.14808054777070645</v>
      </c>
      <c r="BA15">
        <f>BA14*$B$10</f>
        <v>0.14808054777070645</v>
      </c>
      <c r="BB15">
        <f>BB14*$B$10</f>
        <v>0.14808054777070645</v>
      </c>
      <c r="BC15">
        <f>BC14*$B$10</f>
        <v>0.14808054777070645</v>
      </c>
      <c r="BD15">
        <f>BD14*$B$10</f>
        <v>0.14808054777070645</v>
      </c>
      <c r="BE15">
        <f>BE14*$B$10</f>
        <v>0.14808054777070645</v>
      </c>
      <c r="BF15">
        <f>BF14*$B$10</f>
        <v>0.14808054777070645</v>
      </c>
      <c r="BG15">
        <f>BG14*$B$10</f>
        <v>0.14808054777070645</v>
      </c>
      <c r="BH15">
        <f>BH14*$B$10</f>
        <v>0.14808054777070645</v>
      </c>
      <c r="BI15">
        <f>BI14*$B$10</f>
        <v>0.14808054777070645</v>
      </c>
      <c r="BJ15">
        <f>BJ14*$B$10</f>
        <v>0.14808054777070645</v>
      </c>
      <c r="BK15">
        <f>BK14*$B$10</f>
        <v>0.14808054777070645</v>
      </c>
      <c r="BL15">
        <f>BL14*$B$10</f>
        <v>0.14808054777070645</v>
      </c>
      <c r="BM15">
        <f>BM14*$B$10</f>
        <v>0.14808054777070645</v>
      </c>
      <c r="BN15">
        <f>BN14*$B$10</f>
        <v>0.14808054777070645</v>
      </c>
      <c r="BO15">
        <f>BO14*$B$10</f>
        <v>0.14808054777070645</v>
      </c>
      <c r="BP15">
        <f>BP14*$B$10</f>
        <v>0.14808054777070645</v>
      </c>
      <c r="BQ15">
        <f>BQ14*$B$10</f>
        <v>0.14808054777070645</v>
      </c>
      <c r="BR15">
        <f>BR14*$B$10</f>
        <v>0.14808054777070645</v>
      </c>
      <c r="BS15">
        <f>BS14*$B$10</f>
        <v>0.14808054777070645</v>
      </c>
      <c r="BT15">
        <f>BT14*$B$10</f>
        <v>0.14808054777070645</v>
      </c>
      <c r="BU15">
        <f>BU14*$B$10</f>
        <v>0.14808054777070645</v>
      </c>
      <c r="BV15">
        <f>BV14*$B$10</f>
        <v>0.14808054777070645</v>
      </c>
      <c r="BW15">
        <f>BW14*$B$10</f>
        <v>0.14808054777070645</v>
      </c>
      <c r="BX15">
        <f>BX14*$B$10</f>
        <v>0.14808054777070645</v>
      </c>
      <c r="BY15">
        <f>BY14*$B$10</f>
        <v>0.14808054777070645</v>
      </c>
      <c r="BZ15">
        <f>BZ14*$B$10</f>
        <v>0.14808054777070645</v>
      </c>
      <c r="CA15">
        <f>CA14*$B$10</f>
        <v>0.14808054777070645</v>
      </c>
      <c r="CB15">
        <f>CB14*$B$10</f>
        <v>0.14808054777070645</v>
      </c>
      <c r="CC15">
        <f>CC14*$B$10</f>
        <v>0.14808054777070645</v>
      </c>
    </row>
    <row r="17" spans="1:1">
      <c r="A17" t="s">
        <v>447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D588D-DCC6-46C7-B1AC-54C9D46C0AE1}">
  <dimension ref="A1:CI26"/>
  <sheetViews>
    <sheetView zoomScale="85" zoomScaleNormal="85" workbookViewId="0">
      <selection activeCell="I30" sqref="I30"/>
    </sheetView>
  </sheetViews>
  <sheetFormatPr defaultRowHeight="14.4"/>
  <cols>
    <col min="1" max="1" width="11.5546875" bestFit="1" customWidth="1"/>
    <col min="2" max="2" width="15.77734375" bestFit="1" customWidth="1"/>
  </cols>
  <sheetData>
    <row r="1" spans="1:87">
      <c r="B1" s="5" t="s">
        <v>164</v>
      </c>
      <c r="C1" s="5" t="s">
        <v>165</v>
      </c>
      <c r="D1" s="5" t="s">
        <v>166</v>
      </c>
      <c r="E1" s="5" t="s">
        <v>167</v>
      </c>
      <c r="F1" s="5" t="s">
        <v>168</v>
      </c>
      <c r="G1" s="5" t="s">
        <v>169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  <c r="S1" s="5" t="s">
        <v>14</v>
      </c>
      <c r="T1" s="5" t="s">
        <v>15</v>
      </c>
      <c r="U1" s="5" t="s">
        <v>16</v>
      </c>
      <c r="V1" s="5" t="s">
        <v>17</v>
      </c>
      <c r="W1" s="5" t="s">
        <v>18</v>
      </c>
      <c r="X1" s="5" t="s">
        <v>19</v>
      </c>
      <c r="Y1" s="5" t="s">
        <v>20</v>
      </c>
      <c r="Z1" s="5" t="s">
        <v>21</v>
      </c>
      <c r="AA1" s="5" t="s">
        <v>22</v>
      </c>
      <c r="AB1" s="5" t="s">
        <v>23</v>
      </c>
      <c r="AC1" s="5" t="s">
        <v>24</v>
      </c>
      <c r="AD1" s="5" t="s">
        <v>25</v>
      </c>
      <c r="AE1" s="5" t="s">
        <v>26</v>
      </c>
      <c r="AF1" s="5" t="s">
        <v>27</v>
      </c>
      <c r="AG1" s="5" t="s">
        <v>28</v>
      </c>
      <c r="AH1" s="5" t="s">
        <v>29</v>
      </c>
      <c r="AI1" s="5" t="s">
        <v>30</v>
      </c>
      <c r="AJ1" s="5" t="s">
        <v>31</v>
      </c>
      <c r="AK1" s="5" t="s">
        <v>32</v>
      </c>
      <c r="AL1" s="5" t="s">
        <v>33</v>
      </c>
      <c r="AM1" s="5" t="s">
        <v>34</v>
      </c>
      <c r="AN1" s="5" t="s">
        <v>35</v>
      </c>
      <c r="AO1" s="5" t="s">
        <v>36</v>
      </c>
      <c r="AP1" s="5" t="s">
        <v>37</v>
      </c>
      <c r="AQ1" s="5" t="s">
        <v>38</v>
      </c>
      <c r="AR1" s="5" t="s">
        <v>39</v>
      </c>
      <c r="AS1" s="5" t="s">
        <v>40</v>
      </c>
      <c r="AT1" s="5" t="s">
        <v>41</v>
      </c>
      <c r="AU1" s="5" t="s">
        <v>42</v>
      </c>
      <c r="AV1" s="5" t="s">
        <v>43</v>
      </c>
      <c r="AW1" s="5" t="s">
        <v>44</v>
      </c>
      <c r="AX1" s="5" t="s">
        <v>45</v>
      </c>
      <c r="AY1" s="5" t="s">
        <v>46</v>
      </c>
      <c r="AZ1" s="5" t="s">
        <v>47</v>
      </c>
      <c r="BA1" s="5" t="s">
        <v>48</v>
      </c>
      <c r="BB1" s="5" t="s">
        <v>49</v>
      </c>
      <c r="BC1" s="5" t="s">
        <v>50</v>
      </c>
      <c r="BD1" s="5" t="s">
        <v>51</v>
      </c>
      <c r="BE1" s="5" t="s">
        <v>52</v>
      </c>
      <c r="BF1" s="5" t="s">
        <v>53</v>
      </c>
      <c r="BG1" s="5" t="s">
        <v>54</v>
      </c>
      <c r="BH1" s="5" t="s">
        <v>55</v>
      </c>
      <c r="BI1" s="5" t="s">
        <v>56</v>
      </c>
      <c r="BJ1" s="5" t="s">
        <v>57</v>
      </c>
      <c r="BK1" s="5" t="s">
        <v>58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5" t="s">
        <v>75</v>
      </c>
      <c r="CC1" s="5" t="s">
        <v>76</v>
      </c>
      <c r="CD1" s="5" t="s">
        <v>77</v>
      </c>
      <c r="CE1" s="5" t="s">
        <v>78</v>
      </c>
      <c r="CF1" s="5" t="s">
        <v>79</v>
      </c>
      <c r="CG1" s="5" t="s">
        <v>80</v>
      </c>
      <c r="CH1" s="5" t="s">
        <v>81</v>
      </c>
      <c r="CI1" s="5" t="s">
        <v>82</v>
      </c>
    </row>
    <row r="2" spans="1:87">
      <c r="A2" t="s">
        <v>112</v>
      </c>
      <c r="B2">
        <f>G8/100</f>
        <v>3.7000000000000005E-2</v>
      </c>
      <c r="C2">
        <f>G10/100</f>
        <v>4.8000000000000001E-2</v>
      </c>
      <c r="D2">
        <f>G12/100</f>
        <v>5.5999999999999994E-2</v>
      </c>
      <c r="E2">
        <f>G14/100</f>
        <v>6.2E-2</v>
      </c>
      <c r="F2">
        <f>G16/100</f>
        <v>6.5000000000000002E-2</v>
      </c>
      <c r="G2">
        <f>G18/100</f>
        <v>6.6000000000000003E-2</v>
      </c>
      <c r="H2">
        <f>G20/100</f>
        <v>7.4999999999999997E-2</v>
      </c>
      <c r="I2">
        <f>G22/100</f>
        <v>8.900000000000001E-2</v>
      </c>
      <c r="J2">
        <f>G24/100</f>
        <v>9.6000000000000002E-2</v>
      </c>
      <c r="K2">
        <f>G26/100</f>
        <v>0.105</v>
      </c>
      <c r="L2">
        <v>0.14000000000000001</v>
      </c>
      <c r="M2">
        <v>0.15</v>
      </c>
      <c r="N2">
        <v>0.17</v>
      </c>
      <c r="O2">
        <v>0.19</v>
      </c>
      <c r="P2">
        <v>0.22500000000000001</v>
      </c>
      <c r="Q2">
        <v>0.25</v>
      </c>
      <c r="R2">
        <v>0.25</v>
      </c>
      <c r="S2">
        <v>0.25</v>
      </c>
      <c r="T2">
        <v>0.25</v>
      </c>
      <c r="U2">
        <v>0.25</v>
      </c>
      <c r="V2">
        <v>0.25</v>
      </c>
      <c r="W2">
        <v>0.25</v>
      </c>
      <c r="X2">
        <v>0.25</v>
      </c>
      <c r="Y2">
        <v>0.25</v>
      </c>
      <c r="Z2">
        <v>0.25</v>
      </c>
      <c r="AA2">
        <v>0.25</v>
      </c>
      <c r="AB2">
        <v>0.25</v>
      </c>
      <c r="AC2">
        <v>0.25</v>
      </c>
      <c r="AD2">
        <v>0.25</v>
      </c>
      <c r="AE2">
        <v>0.25</v>
      </c>
      <c r="AF2">
        <v>0.25</v>
      </c>
      <c r="AG2">
        <v>0.25</v>
      </c>
      <c r="AH2">
        <v>0.25</v>
      </c>
      <c r="AI2">
        <v>0.25</v>
      </c>
      <c r="AJ2">
        <v>0.25</v>
      </c>
      <c r="AK2">
        <v>0.25</v>
      </c>
      <c r="AL2">
        <v>0.25</v>
      </c>
      <c r="AM2">
        <v>0.25</v>
      </c>
      <c r="AN2">
        <v>0.25</v>
      </c>
      <c r="AO2">
        <v>0.25</v>
      </c>
      <c r="AP2">
        <v>0.25</v>
      </c>
      <c r="AQ2">
        <v>0.25</v>
      </c>
      <c r="AR2">
        <v>0.25</v>
      </c>
      <c r="AS2">
        <v>0.25</v>
      </c>
      <c r="AT2">
        <v>0.25</v>
      </c>
      <c r="AU2">
        <v>0.25</v>
      </c>
      <c r="AV2">
        <v>0.25</v>
      </c>
      <c r="AW2">
        <v>0.25</v>
      </c>
      <c r="AX2">
        <v>0.25</v>
      </c>
      <c r="AY2">
        <v>0.25</v>
      </c>
      <c r="AZ2">
        <v>0.25</v>
      </c>
      <c r="BA2">
        <v>0.25</v>
      </c>
      <c r="BB2">
        <v>0.25</v>
      </c>
      <c r="BC2">
        <v>0.25</v>
      </c>
      <c r="BD2">
        <v>0.25</v>
      </c>
      <c r="BE2">
        <v>0.25</v>
      </c>
      <c r="BF2">
        <v>0.25</v>
      </c>
      <c r="BG2">
        <v>0.25</v>
      </c>
      <c r="BH2">
        <v>0.25</v>
      </c>
      <c r="BI2">
        <v>0.25</v>
      </c>
      <c r="BJ2">
        <v>0.25</v>
      </c>
      <c r="BK2">
        <v>0.25</v>
      </c>
      <c r="BL2">
        <v>0.25</v>
      </c>
      <c r="BM2">
        <v>0.25</v>
      </c>
      <c r="BN2">
        <v>0.25</v>
      </c>
      <c r="BO2">
        <v>0.25</v>
      </c>
      <c r="BP2">
        <v>0.25</v>
      </c>
      <c r="BQ2">
        <v>0.25</v>
      </c>
      <c r="BR2">
        <v>0.25</v>
      </c>
      <c r="BS2">
        <v>0.25</v>
      </c>
      <c r="BT2">
        <v>0.25</v>
      </c>
      <c r="BU2">
        <v>0.25</v>
      </c>
      <c r="BV2">
        <v>0.25</v>
      </c>
      <c r="BW2">
        <v>0.25</v>
      </c>
      <c r="BX2">
        <v>0.25</v>
      </c>
      <c r="BY2">
        <v>0.25</v>
      </c>
      <c r="BZ2">
        <v>0.25</v>
      </c>
      <c r="CA2">
        <v>0.25</v>
      </c>
      <c r="CB2">
        <v>0.25</v>
      </c>
      <c r="CC2">
        <v>0.25</v>
      </c>
      <c r="CD2">
        <v>0.25</v>
      </c>
      <c r="CE2">
        <v>0.25</v>
      </c>
      <c r="CF2">
        <v>0.25</v>
      </c>
      <c r="CG2">
        <v>0.25</v>
      </c>
      <c r="CH2">
        <v>0.25</v>
      </c>
      <c r="CI2">
        <v>0.25</v>
      </c>
    </row>
    <row r="4" spans="1:87">
      <c r="A4" t="s">
        <v>430</v>
      </c>
    </row>
    <row r="6" spans="1:87">
      <c r="A6" s="129" t="s">
        <v>170</v>
      </c>
      <c r="B6" s="129"/>
      <c r="C6" s="14" t="s">
        <v>370</v>
      </c>
      <c r="D6" s="14" t="s">
        <v>371</v>
      </c>
      <c r="E6" s="14" t="s">
        <v>372</v>
      </c>
      <c r="F6" s="14" t="s">
        <v>173</v>
      </c>
      <c r="G6" s="14" t="s">
        <v>373</v>
      </c>
      <c r="H6" s="14" t="s">
        <v>374</v>
      </c>
      <c r="I6" s="14" t="s">
        <v>375</v>
      </c>
      <c r="J6" s="14" t="s">
        <v>376</v>
      </c>
    </row>
    <row r="7" spans="1:87">
      <c r="A7" s="129" t="s">
        <v>176</v>
      </c>
      <c r="B7" s="14" t="s">
        <v>377</v>
      </c>
      <c r="C7" s="15" t="s">
        <v>177</v>
      </c>
      <c r="D7" s="15" t="s">
        <v>178</v>
      </c>
      <c r="E7" s="15" t="s">
        <v>179</v>
      </c>
      <c r="F7" s="15" t="s">
        <v>180</v>
      </c>
      <c r="G7" s="15" t="s">
        <v>181</v>
      </c>
      <c r="H7" s="15" t="s">
        <v>182</v>
      </c>
      <c r="I7" s="15" t="s">
        <v>183</v>
      </c>
      <c r="J7" s="15" t="s">
        <v>184</v>
      </c>
    </row>
    <row r="8" spans="1:87">
      <c r="A8" s="129"/>
      <c r="B8" s="14" t="s">
        <v>378</v>
      </c>
      <c r="C8" s="15" t="s">
        <v>185</v>
      </c>
      <c r="D8" s="15" t="s">
        <v>186</v>
      </c>
      <c r="E8" s="15" t="s">
        <v>187</v>
      </c>
      <c r="F8" s="15" t="s">
        <v>188</v>
      </c>
      <c r="G8" s="15" t="s">
        <v>189</v>
      </c>
      <c r="H8" s="15" t="s">
        <v>190</v>
      </c>
      <c r="I8" s="15" t="s">
        <v>191</v>
      </c>
      <c r="J8" s="15" t="s">
        <v>192</v>
      </c>
    </row>
    <row r="9" spans="1:87">
      <c r="A9" s="129" t="s">
        <v>193</v>
      </c>
      <c r="B9" s="14" t="s">
        <v>377</v>
      </c>
      <c r="C9" s="15" t="s">
        <v>194</v>
      </c>
      <c r="D9" s="15" t="s">
        <v>195</v>
      </c>
      <c r="E9" s="15" t="s">
        <v>196</v>
      </c>
      <c r="F9" s="15" t="s">
        <v>197</v>
      </c>
      <c r="G9" s="15" t="s">
        <v>198</v>
      </c>
      <c r="H9" s="15" t="s">
        <v>199</v>
      </c>
      <c r="I9" s="15" t="s">
        <v>200</v>
      </c>
      <c r="J9" s="15" t="s">
        <v>201</v>
      </c>
    </row>
    <row r="10" spans="1:87">
      <c r="A10" s="129"/>
      <c r="B10" s="14" t="s">
        <v>378</v>
      </c>
      <c r="C10" s="15" t="s">
        <v>185</v>
      </c>
      <c r="D10" s="15" t="s">
        <v>202</v>
      </c>
      <c r="E10" s="15" t="s">
        <v>203</v>
      </c>
      <c r="F10" s="15" t="s">
        <v>204</v>
      </c>
      <c r="G10" s="15" t="s">
        <v>205</v>
      </c>
      <c r="H10" s="15" t="s">
        <v>206</v>
      </c>
      <c r="I10" s="15" t="s">
        <v>191</v>
      </c>
      <c r="J10" s="15" t="s">
        <v>201</v>
      </c>
    </row>
    <row r="11" spans="1:87">
      <c r="A11" s="129" t="s">
        <v>207</v>
      </c>
      <c r="B11" s="14" t="s">
        <v>377</v>
      </c>
      <c r="C11" s="15" t="s">
        <v>208</v>
      </c>
      <c r="D11" s="15" t="s">
        <v>209</v>
      </c>
      <c r="E11" s="15" t="s">
        <v>210</v>
      </c>
      <c r="F11" s="15" t="s">
        <v>211</v>
      </c>
      <c r="G11" s="15" t="s">
        <v>212</v>
      </c>
      <c r="H11" s="15" t="s">
        <v>213</v>
      </c>
      <c r="I11" s="15" t="s">
        <v>214</v>
      </c>
      <c r="J11" s="15" t="s">
        <v>201</v>
      </c>
    </row>
    <row r="12" spans="1:87">
      <c r="A12" s="129"/>
      <c r="B12" s="14" t="s">
        <v>378</v>
      </c>
      <c r="C12" s="15" t="s">
        <v>185</v>
      </c>
      <c r="D12" s="15" t="s">
        <v>215</v>
      </c>
      <c r="E12" s="15" t="s">
        <v>216</v>
      </c>
      <c r="F12" s="15" t="s">
        <v>217</v>
      </c>
      <c r="G12" s="15" t="s">
        <v>218</v>
      </c>
      <c r="H12" s="15" t="s">
        <v>219</v>
      </c>
      <c r="I12" s="15" t="s">
        <v>220</v>
      </c>
      <c r="J12" s="15" t="s">
        <v>201</v>
      </c>
    </row>
    <row r="13" spans="1:87">
      <c r="A13" s="129" t="s">
        <v>221</v>
      </c>
      <c r="B13" s="14" t="s">
        <v>377</v>
      </c>
      <c r="C13" s="15" t="s">
        <v>222</v>
      </c>
      <c r="D13" s="15" t="s">
        <v>223</v>
      </c>
      <c r="E13" s="15" t="s">
        <v>224</v>
      </c>
      <c r="F13" s="15" t="s">
        <v>225</v>
      </c>
      <c r="G13" s="15" t="s">
        <v>226</v>
      </c>
      <c r="H13" s="15" t="s">
        <v>227</v>
      </c>
      <c r="I13" s="15" t="s">
        <v>228</v>
      </c>
      <c r="J13" s="15" t="s">
        <v>229</v>
      </c>
    </row>
    <row r="14" spans="1:87">
      <c r="A14" s="129"/>
      <c r="B14" s="14" t="s">
        <v>378</v>
      </c>
      <c r="C14" s="15" t="s">
        <v>185</v>
      </c>
      <c r="D14" s="15" t="s">
        <v>230</v>
      </c>
      <c r="E14" s="15" t="s">
        <v>231</v>
      </c>
      <c r="F14" s="15" t="s">
        <v>215</v>
      </c>
      <c r="G14" s="15" t="s">
        <v>232</v>
      </c>
      <c r="H14" s="15" t="s">
        <v>219</v>
      </c>
      <c r="I14" s="15" t="s">
        <v>191</v>
      </c>
      <c r="J14" s="15" t="s">
        <v>233</v>
      </c>
    </row>
    <row r="15" spans="1:87">
      <c r="A15" s="129" t="s">
        <v>234</v>
      </c>
      <c r="B15" s="14" t="s">
        <v>377</v>
      </c>
      <c r="C15" s="15" t="s">
        <v>235</v>
      </c>
      <c r="D15" s="15" t="s">
        <v>236</v>
      </c>
      <c r="E15" s="15" t="s">
        <v>237</v>
      </c>
      <c r="F15" s="15" t="s">
        <v>238</v>
      </c>
      <c r="G15" s="15" t="s">
        <v>239</v>
      </c>
      <c r="H15" s="15" t="s">
        <v>240</v>
      </c>
      <c r="I15" s="15" t="s">
        <v>241</v>
      </c>
      <c r="J15" s="15" t="s">
        <v>242</v>
      </c>
    </row>
    <row r="16" spans="1:87">
      <c r="A16" s="129"/>
      <c r="B16" s="14" t="s">
        <v>378</v>
      </c>
      <c r="C16" s="15" t="s">
        <v>185</v>
      </c>
      <c r="D16" s="15" t="s">
        <v>243</v>
      </c>
      <c r="E16" s="15" t="s">
        <v>244</v>
      </c>
      <c r="F16" s="15" t="s">
        <v>245</v>
      </c>
      <c r="G16" s="15" t="s">
        <v>246</v>
      </c>
      <c r="H16" s="15" t="s">
        <v>247</v>
      </c>
      <c r="I16" s="15" t="s">
        <v>247</v>
      </c>
      <c r="J16" s="15" t="s">
        <v>248</v>
      </c>
    </row>
    <row r="17" spans="1:10">
      <c r="A17" s="129" t="s">
        <v>249</v>
      </c>
      <c r="B17" s="14" t="s">
        <v>377</v>
      </c>
      <c r="C17" s="15" t="s">
        <v>250</v>
      </c>
      <c r="D17" s="15" t="s">
        <v>251</v>
      </c>
      <c r="E17" s="15" t="s">
        <v>252</v>
      </c>
      <c r="F17" s="15" t="s">
        <v>253</v>
      </c>
      <c r="G17" s="15" t="s">
        <v>254</v>
      </c>
      <c r="H17" s="15" t="s">
        <v>255</v>
      </c>
      <c r="I17" s="15" t="s">
        <v>256</v>
      </c>
      <c r="J17" s="15" t="s">
        <v>257</v>
      </c>
    </row>
    <row r="18" spans="1:10">
      <c r="A18" s="129"/>
      <c r="B18" s="14" t="s">
        <v>378</v>
      </c>
      <c r="C18" s="15" t="s">
        <v>185</v>
      </c>
      <c r="D18" s="15" t="s">
        <v>258</v>
      </c>
      <c r="E18" s="15" t="s">
        <v>259</v>
      </c>
      <c r="F18" s="15" t="s">
        <v>260</v>
      </c>
      <c r="G18" s="15" t="s">
        <v>261</v>
      </c>
      <c r="H18" s="15" t="s">
        <v>248</v>
      </c>
      <c r="I18" s="15" t="s">
        <v>247</v>
      </c>
      <c r="J18" s="15" t="s">
        <v>262</v>
      </c>
    </row>
    <row r="19" spans="1:10">
      <c r="A19" s="129" t="s">
        <v>263</v>
      </c>
      <c r="B19" s="14" t="s">
        <v>377</v>
      </c>
      <c r="C19" s="15" t="s">
        <v>264</v>
      </c>
      <c r="D19" s="15" t="s">
        <v>265</v>
      </c>
      <c r="E19" s="15" t="s">
        <v>266</v>
      </c>
      <c r="F19" s="15" t="s">
        <v>267</v>
      </c>
      <c r="G19" s="15" t="s">
        <v>268</v>
      </c>
      <c r="H19" s="15" t="s">
        <v>269</v>
      </c>
      <c r="I19" s="15" t="s">
        <v>270</v>
      </c>
      <c r="J19" s="15" t="s">
        <v>271</v>
      </c>
    </row>
    <row r="20" spans="1:10">
      <c r="A20" s="129"/>
      <c r="B20" s="14" t="s">
        <v>378</v>
      </c>
      <c r="C20" s="15" t="s">
        <v>185</v>
      </c>
      <c r="D20" s="15" t="s">
        <v>272</v>
      </c>
      <c r="E20" s="15" t="s">
        <v>273</v>
      </c>
      <c r="F20" s="15" t="s">
        <v>274</v>
      </c>
      <c r="G20" s="15" t="s">
        <v>275</v>
      </c>
      <c r="H20" s="15" t="s">
        <v>248</v>
      </c>
      <c r="I20" s="15" t="s">
        <v>247</v>
      </c>
      <c r="J20" s="15" t="s">
        <v>247</v>
      </c>
    </row>
    <row r="21" spans="1:10">
      <c r="A21" s="129" t="s">
        <v>276</v>
      </c>
      <c r="B21" s="14" t="s">
        <v>377</v>
      </c>
      <c r="C21" s="15" t="s">
        <v>277</v>
      </c>
      <c r="D21" s="15" t="s">
        <v>278</v>
      </c>
      <c r="E21" s="15" t="s">
        <v>279</v>
      </c>
      <c r="F21" s="15" t="s">
        <v>280</v>
      </c>
      <c r="G21" s="15" t="s">
        <v>281</v>
      </c>
      <c r="H21" s="15" t="s">
        <v>282</v>
      </c>
      <c r="I21" s="15" t="s">
        <v>283</v>
      </c>
      <c r="J21" s="15" t="s">
        <v>284</v>
      </c>
    </row>
    <row r="22" spans="1:10">
      <c r="A22" s="129"/>
      <c r="B22" s="14" t="s">
        <v>378</v>
      </c>
      <c r="C22" s="15" t="s">
        <v>185</v>
      </c>
      <c r="D22" s="15" t="s">
        <v>285</v>
      </c>
      <c r="E22" s="15" t="s">
        <v>286</v>
      </c>
      <c r="F22" s="15" t="s">
        <v>287</v>
      </c>
      <c r="G22" s="15" t="s">
        <v>288</v>
      </c>
      <c r="H22" s="15" t="s">
        <v>289</v>
      </c>
      <c r="I22" s="15" t="s">
        <v>247</v>
      </c>
      <c r="J22" s="15" t="s">
        <v>290</v>
      </c>
    </row>
    <row r="23" spans="1:10">
      <c r="A23" s="129" t="s">
        <v>291</v>
      </c>
      <c r="B23" s="14" t="s">
        <v>377</v>
      </c>
      <c r="C23" s="15" t="s">
        <v>292</v>
      </c>
      <c r="D23" s="15" t="s">
        <v>293</v>
      </c>
      <c r="E23" s="15" t="s">
        <v>294</v>
      </c>
      <c r="F23" s="15" t="s">
        <v>295</v>
      </c>
      <c r="G23" s="15" t="s">
        <v>296</v>
      </c>
      <c r="H23" s="15" t="s">
        <v>297</v>
      </c>
      <c r="I23" s="15" t="s">
        <v>298</v>
      </c>
      <c r="J23" s="15" t="s">
        <v>299</v>
      </c>
    </row>
    <row r="24" spans="1:10">
      <c r="A24" s="129"/>
      <c r="B24" s="14" t="s">
        <v>378</v>
      </c>
      <c r="C24" s="15" t="s">
        <v>185</v>
      </c>
      <c r="D24" s="15" t="s">
        <v>300</v>
      </c>
      <c r="E24" s="15" t="s">
        <v>301</v>
      </c>
      <c r="F24" s="15" t="s">
        <v>215</v>
      </c>
      <c r="G24" s="15" t="s">
        <v>302</v>
      </c>
      <c r="H24" s="15" t="s">
        <v>289</v>
      </c>
      <c r="I24" s="15" t="s">
        <v>247</v>
      </c>
      <c r="J24" s="15" t="s">
        <v>290</v>
      </c>
    </row>
    <row r="25" spans="1:10">
      <c r="A25" s="129" t="s">
        <v>303</v>
      </c>
      <c r="B25" s="14" t="s">
        <v>377</v>
      </c>
      <c r="C25" s="15" t="s">
        <v>304</v>
      </c>
      <c r="D25" s="15" t="s">
        <v>305</v>
      </c>
      <c r="E25" s="15" t="s">
        <v>306</v>
      </c>
      <c r="F25" s="15" t="s">
        <v>307</v>
      </c>
      <c r="G25" s="15" t="s">
        <v>308</v>
      </c>
      <c r="H25" s="15" t="s">
        <v>309</v>
      </c>
      <c r="I25" s="15" t="s">
        <v>310</v>
      </c>
      <c r="J25" s="15" t="s">
        <v>311</v>
      </c>
    </row>
    <row r="26" spans="1:10">
      <c r="A26" s="129"/>
      <c r="B26" s="14" t="s">
        <v>378</v>
      </c>
      <c r="C26" s="15" t="s">
        <v>185</v>
      </c>
      <c r="D26" s="15" t="s">
        <v>312</v>
      </c>
      <c r="E26" s="15" t="s">
        <v>313</v>
      </c>
      <c r="F26" s="15" t="s">
        <v>313</v>
      </c>
      <c r="G26" s="15" t="s">
        <v>314</v>
      </c>
      <c r="H26" s="15" t="s">
        <v>315</v>
      </c>
      <c r="I26" s="15" t="s">
        <v>220</v>
      </c>
      <c r="J26" s="15" t="s">
        <v>247</v>
      </c>
    </row>
  </sheetData>
  <mergeCells count="11">
    <mergeCell ref="A17:A18"/>
    <mergeCell ref="A19:A20"/>
    <mergeCell ref="A21:A22"/>
    <mergeCell ref="A23:A24"/>
    <mergeCell ref="A25:A26"/>
    <mergeCell ref="A15:A16"/>
    <mergeCell ref="A6:B6"/>
    <mergeCell ref="A7:A8"/>
    <mergeCell ref="A9:A10"/>
    <mergeCell ref="A11:A12"/>
    <mergeCell ref="A13:A14"/>
  </mergeCells>
  <phoneticPr fontId="26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73DC6-B57B-4492-992F-257F2FC2387D}">
  <sheetPr>
    <tabColor theme="3"/>
  </sheetPr>
  <dimension ref="A1:CC61"/>
  <sheetViews>
    <sheetView zoomScale="90" zoomScaleNormal="90" workbookViewId="0">
      <selection activeCell="B2" sqref="B2"/>
    </sheetView>
  </sheetViews>
  <sheetFormatPr defaultRowHeight="14.4"/>
  <cols>
    <col min="1" max="1" width="19.77734375" customWidth="1"/>
    <col min="2" max="2" width="20.33203125" bestFit="1" customWidth="1"/>
  </cols>
  <sheetData>
    <row r="1" spans="1:81">
      <c r="A1" s="7" t="s">
        <v>95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38</v>
      </c>
      <c r="AL1" s="5" t="s">
        <v>39</v>
      </c>
      <c r="AM1" s="5" t="s">
        <v>40</v>
      </c>
      <c r="AN1" s="5" t="s">
        <v>41</v>
      </c>
      <c r="AO1" s="5" t="s">
        <v>42</v>
      </c>
      <c r="AP1" s="5" t="s">
        <v>43</v>
      </c>
      <c r="AQ1" s="5" t="s">
        <v>44</v>
      </c>
      <c r="AR1" s="5" t="s">
        <v>45</v>
      </c>
      <c r="AS1" s="5" t="s">
        <v>46</v>
      </c>
      <c r="AT1" s="5" t="s">
        <v>47</v>
      </c>
      <c r="AU1" s="5" t="s">
        <v>48</v>
      </c>
      <c r="AV1" s="5" t="s">
        <v>49</v>
      </c>
      <c r="AW1" s="5" t="s">
        <v>50</v>
      </c>
      <c r="AX1" s="5" t="s">
        <v>51</v>
      </c>
      <c r="AY1" s="5" t="s">
        <v>52</v>
      </c>
      <c r="AZ1" s="5" t="s">
        <v>53</v>
      </c>
      <c r="BA1" s="5" t="s">
        <v>54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  <c r="BJ1" s="5" t="s">
        <v>63</v>
      </c>
      <c r="BK1" s="5" t="s">
        <v>64</v>
      </c>
      <c r="BL1" s="5" t="s">
        <v>65</v>
      </c>
      <c r="BM1" s="5" t="s">
        <v>66</v>
      </c>
      <c r="BN1" s="5" t="s">
        <v>67</v>
      </c>
      <c r="BO1" s="5" t="s">
        <v>68</v>
      </c>
      <c r="BP1" s="5" t="s">
        <v>69</v>
      </c>
      <c r="BQ1" s="5" t="s">
        <v>70</v>
      </c>
      <c r="BR1" s="5" t="s">
        <v>71</v>
      </c>
      <c r="BS1" s="5" t="s">
        <v>72</v>
      </c>
      <c r="BT1" s="5" t="s">
        <v>73</v>
      </c>
      <c r="BU1" s="5" t="s">
        <v>74</v>
      </c>
      <c r="BV1" s="5" t="s">
        <v>75</v>
      </c>
      <c r="BW1" s="5" t="s">
        <v>76</v>
      </c>
      <c r="BX1" s="5" t="s">
        <v>77</v>
      </c>
      <c r="BY1" s="5" t="s">
        <v>78</v>
      </c>
      <c r="BZ1" s="5" t="s">
        <v>79</v>
      </c>
      <c r="CA1" s="5" t="s">
        <v>80</v>
      </c>
      <c r="CB1" s="5" t="s">
        <v>81</v>
      </c>
      <c r="CC1" s="5" t="s">
        <v>82</v>
      </c>
    </row>
    <row r="2" spans="1:81">
      <c r="A2" t="s">
        <v>112</v>
      </c>
      <c r="B2" s="70">
        <f>(CES_kor!C8)/100</f>
        <v>0.34544683508752461</v>
      </c>
      <c r="C2" s="70">
        <f>(CES_kor!D8)/100</f>
        <v>0.37668775235531626</v>
      </c>
      <c r="D2" s="70">
        <f>(CES_kor!E8)/100</f>
        <v>0.39100000000000001</v>
      </c>
      <c r="E2" s="70">
        <f>(CES_kor!F8)/100</f>
        <v>0.41034207560334734</v>
      </c>
      <c r="F2" s="70">
        <f>(CES_kor!G8)/100</f>
        <v>0.42195172966945649</v>
      </c>
      <c r="G2" s="70">
        <f>(CES_kor!H8)/100</f>
        <v>0.43556138373556563</v>
      </c>
      <c r="H2" s="70">
        <f>(CES_kor!I8)/100</f>
        <v>0.45117103780167356</v>
      </c>
      <c r="I2" s="70">
        <f>(CES_kor!J8)/100</f>
        <v>0.47178069186778265</v>
      </c>
      <c r="J2" s="70">
        <f>(CES_kor!K8)/100</f>
        <v>0.49939034593389181</v>
      </c>
      <c r="K2" s="70">
        <f>(CES_kor!L8)/100</f>
        <v>0.53</v>
      </c>
      <c r="L2" s="70">
        <f>(CES_kor!M8)/100</f>
        <v>0.56019999999999892</v>
      </c>
      <c r="M2" s="70">
        <f>(CES_kor!N8)/100</f>
        <v>0.58439999999999959</v>
      </c>
      <c r="N2" s="70">
        <f>(CES_kor!O8)/100</f>
        <v>0.60560000000000036</v>
      </c>
      <c r="O2" s="70">
        <f>(CES_kor!P8)/100</f>
        <v>0.6267999999999988</v>
      </c>
      <c r="P2" s="70">
        <f>(CES_kor!Q8)/100</f>
        <v>0.64900000000000002</v>
      </c>
      <c r="Q2" s="70">
        <f>(CES_kor!R8)/100</f>
        <v>0.67166666666666741</v>
      </c>
      <c r="R2" s="70">
        <f>(CES_kor!S8)/100</f>
        <v>0.68933333333333424</v>
      </c>
      <c r="S2" s="70">
        <f>(CES_kor!T8)/100</f>
        <v>0.70700000000000007</v>
      </c>
      <c r="T2" s="70">
        <f t="shared" ref="T2:AY2" si="0">S2</f>
        <v>0.70700000000000007</v>
      </c>
      <c r="U2" s="70">
        <f t="shared" si="0"/>
        <v>0.70700000000000007</v>
      </c>
      <c r="V2" s="70">
        <f t="shared" si="0"/>
        <v>0.70700000000000007</v>
      </c>
      <c r="W2" s="70">
        <f t="shared" si="0"/>
        <v>0.70700000000000007</v>
      </c>
      <c r="X2" s="70">
        <f t="shared" si="0"/>
        <v>0.70700000000000007</v>
      </c>
      <c r="Y2" s="70">
        <f t="shared" si="0"/>
        <v>0.70700000000000007</v>
      </c>
      <c r="Z2" s="70">
        <f t="shared" si="0"/>
        <v>0.70700000000000007</v>
      </c>
      <c r="AA2" s="70">
        <f t="shared" si="0"/>
        <v>0.70700000000000007</v>
      </c>
      <c r="AB2" s="70">
        <f t="shared" si="0"/>
        <v>0.70700000000000007</v>
      </c>
      <c r="AC2" s="70">
        <f t="shared" si="0"/>
        <v>0.70700000000000007</v>
      </c>
      <c r="AD2" s="70">
        <f t="shared" si="0"/>
        <v>0.70700000000000007</v>
      </c>
      <c r="AE2" s="70">
        <f t="shared" si="0"/>
        <v>0.70700000000000007</v>
      </c>
      <c r="AF2" s="70">
        <f t="shared" si="0"/>
        <v>0.70700000000000007</v>
      </c>
      <c r="AG2" s="70">
        <f t="shared" si="0"/>
        <v>0.70700000000000007</v>
      </c>
      <c r="AH2" s="70">
        <f t="shared" si="0"/>
        <v>0.70700000000000007</v>
      </c>
      <c r="AI2" s="70">
        <f t="shared" si="0"/>
        <v>0.70700000000000007</v>
      </c>
      <c r="AJ2" s="70">
        <f t="shared" si="0"/>
        <v>0.70700000000000007</v>
      </c>
      <c r="AK2" s="70">
        <f t="shared" si="0"/>
        <v>0.70700000000000007</v>
      </c>
      <c r="AL2" s="70">
        <f t="shared" si="0"/>
        <v>0.70700000000000007</v>
      </c>
      <c r="AM2" s="70">
        <f t="shared" si="0"/>
        <v>0.70700000000000007</v>
      </c>
      <c r="AN2" s="70">
        <f t="shared" si="0"/>
        <v>0.70700000000000007</v>
      </c>
      <c r="AO2" s="70">
        <f t="shared" si="0"/>
        <v>0.70700000000000007</v>
      </c>
      <c r="AP2" s="70">
        <f t="shared" si="0"/>
        <v>0.70700000000000007</v>
      </c>
      <c r="AQ2" s="70">
        <f t="shared" si="0"/>
        <v>0.70700000000000007</v>
      </c>
      <c r="AR2" s="70">
        <f t="shared" si="0"/>
        <v>0.70700000000000007</v>
      </c>
      <c r="AS2" s="70">
        <f t="shared" si="0"/>
        <v>0.70700000000000007</v>
      </c>
      <c r="AT2" s="70">
        <f t="shared" si="0"/>
        <v>0.70700000000000007</v>
      </c>
      <c r="AU2" s="70">
        <f t="shared" si="0"/>
        <v>0.70700000000000007</v>
      </c>
      <c r="AV2" s="70">
        <f t="shared" si="0"/>
        <v>0.70700000000000007</v>
      </c>
      <c r="AW2" s="70">
        <f t="shared" si="0"/>
        <v>0.70700000000000007</v>
      </c>
      <c r="AX2" s="70">
        <f t="shared" si="0"/>
        <v>0.70700000000000007</v>
      </c>
      <c r="AY2" s="70">
        <f t="shared" si="0"/>
        <v>0.70700000000000007</v>
      </c>
      <c r="AZ2" s="70">
        <f t="shared" ref="AZ2:CC2" si="1">AY2</f>
        <v>0.70700000000000007</v>
      </c>
      <c r="BA2" s="70">
        <f t="shared" si="1"/>
        <v>0.70700000000000007</v>
      </c>
      <c r="BB2" s="70">
        <f t="shared" si="1"/>
        <v>0.70700000000000007</v>
      </c>
      <c r="BC2" s="70">
        <f t="shared" si="1"/>
        <v>0.70700000000000007</v>
      </c>
      <c r="BD2" s="70">
        <f t="shared" si="1"/>
        <v>0.70700000000000007</v>
      </c>
      <c r="BE2" s="70">
        <f t="shared" si="1"/>
        <v>0.70700000000000007</v>
      </c>
      <c r="BF2" s="70">
        <f t="shared" si="1"/>
        <v>0.70700000000000007</v>
      </c>
      <c r="BG2" s="70">
        <f t="shared" si="1"/>
        <v>0.70700000000000007</v>
      </c>
      <c r="BH2" s="70">
        <f t="shared" si="1"/>
        <v>0.70700000000000007</v>
      </c>
      <c r="BI2" s="70">
        <f t="shared" si="1"/>
        <v>0.70700000000000007</v>
      </c>
      <c r="BJ2" s="70">
        <f t="shared" si="1"/>
        <v>0.70700000000000007</v>
      </c>
      <c r="BK2" s="70">
        <f t="shared" si="1"/>
        <v>0.70700000000000007</v>
      </c>
      <c r="BL2" s="70">
        <f t="shared" si="1"/>
        <v>0.70700000000000007</v>
      </c>
      <c r="BM2" s="70">
        <f t="shared" si="1"/>
        <v>0.70700000000000007</v>
      </c>
      <c r="BN2" s="70">
        <f t="shared" si="1"/>
        <v>0.70700000000000007</v>
      </c>
      <c r="BO2" s="70">
        <f t="shared" si="1"/>
        <v>0.70700000000000007</v>
      </c>
      <c r="BP2" s="70">
        <f t="shared" si="1"/>
        <v>0.70700000000000007</v>
      </c>
      <c r="BQ2" s="70">
        <f t="shared" si="1"/>
        <v>0.70700000000000007</v>
      </c>
      <c r="BR2" s="70">
        <f t="shared" si="1"/>
        <v>0.70700000000000007</v>
      </c>
      <c r="BS2" s="70">
        <f t="shared" si="1"/>
        <v>0.70700000000000007</v>
      </c>
      <c r="BT2" s="70">
        <f t="shared" si="1"/>
        <v>0.70700000000000007</v>
      </c>
      <c r="BU2" s="70">
        <f t="shared" si="1"/>
        <v>0.70700000000000007</v>
      </c>
      <c r="BV2" s="70">
        <f t="shared" si="1"/>
        <v>0.70700000000000007</v>
      </c>
      <c r="BW2" s="70">
        <f t="shared" si="1"/>
        <v>0.70700000000000007</v>
      </c>
      <c r="BX2" s="70">
        <f t="shared" si="1"/>
        <v>0.70700000000000007</v>
      </c>
      <c r="BY2" s="70">
        <f t="shared" si="1"/>
        <v>0.70700000000000007</v>
      </c>
      <c r="BZ2" s="70">
        <f t="shared" si="1"/>
        <v>0.70700000000000007</v>
      </c>
      <c r="CA2" s="70">
        <f t="shared" si="1"/>
        <v>0.70700000000000007</v>
      </c>
      <c r="CB2" s="70">
        <f t="shared" si="1"/>
        <v>0.70700000000000007</v>
      </c>
      <c r="CC2" s="70">
        <f t="shared" si="1"/>
        <v>0.70700000000000007</v>
      </c>
    </row>
    <row r="3" spans="1:81">
      <c r="A3" t="s">
        <v>113</v>
      </c>
      <c r="B3" s="16">
        <v>0</v>
      </c>
      <c r="C3" s="16">
        <v>0</v>
      </c>
      <c r="D3" s="16">
        <v>0</v>
      </c>
      <c r="E3" s="16">
        <v>0</v>
      </c>
      <c r="F3" s="16">
        <v>0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16">
        <v>0</v>
      </c>
      <c r="N3" s="16">
        <v>0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>
        <v>0</v>
      </c>
      <c r="AB3" s="16">
        <v>0</v>
      </c>
      <c r="AC3" s="16">
        <v>0</v>
      </c>
      <c r="AD3" s="16">
        <v>0</v>
      </c>
      <c r="AE3" s="16">
        <v>0</v>
      </c>
      <c r="AF3" s="16">
        <v>0</v>
      </c>
      <c r="AG3" s="16">
        <v>0</v>
      </c>
      <c r="AH3" s="16">
        <v>0</v>
      </c>
      <c r="AI3" s="16">
        <v>0</v>
      </c>
      <c r="AJ3" s="16">
        <v>0</v>
      </c>
      <c r="AK3" s="16">
        <v>0</v>
      </c>
      <c r="AL3" s="16">
        <v>0</v>
      </c>
      <c r="AM3" s="16">
        <v>0</v>
      </c>
      <c r="AN3" s="16">
        <v>0</v>
      </c>
      <c r="AO3" s="16">
        <v>0</v>
      </c>
      <c r="AP3" s="16">
        <v>0</v>
      </c>
      <c r="AQ3" s="16">
        <v>0</v>
      </c>
      <c r="AR3" s="16">
        <v>0</v>
      </c>
      <c r="AS3" s="16">
        <v>0</v>
      </c>
      <c r="AT3" s="16">
        <v>0</v>
      </c>
      <c r="AU3" s="16">
        <v>0</v>
      </c>
      <c r="AV3" s="16">
        <v>0</v>
      </c>
      <c r="AW3" s="16">
        <v>0</v>
      </c>
      <c r="AX3" s="16">
        <v>0</v>
      </c>
      <c r="AY3" s="16">
        <v>0</v>
      </c>
      <c r="AZ3" s="16">
        <v>0</v>
      </c>
      <c r="BA3" s="16">
        <v>0</v>
      </c>
      <c r="BB3" s="16">
        <v>0</v>
      </c>
      <c r="BC3" s="16">
        <v>0</v>
      </c>
      <c r="BD3" s="16">
        <v>0</v>
      </c>
      <c r="BE3" s="16">
        <v>0</v>
      </c>
      <c r="BF3" s="16">
        <v>0</v>
      </c>
      <c r="BG3" s="16">
        <v>0</v>
      </c>
      <c r="BH3" s="16">
        <v>0</v>
      </c>
      <c r="BI3" s="16">
        <v>0</v>
      </c>
      <c r="BJ3" s="16">
        <v>0</v>
      </c>
      <c r="BK3" s="16">
        <v>0</v>
      </c>
      <c r="BL3" s="16">
        <v>0</v>
      </c>
      <c r="BM3" s="16">
        <v>0</v>
      </c>
      <c r="BN3" s="16">
        <v>0</v>
      </c>
      <c r="BO3" s="16">
        <v>0</v>
      </c>
      <c r="BP3" s="16">
        <v>0</v>
      </c>
      <c r="BQ3" s="16">
        <v>0</v>
      </c>
      <c r="BR3" s="16">
        <v>0</v>
      </c>
      <c r="BS3" s="16">
        <v>0</v>
      </c>
      <c r="BT3" s="16">
        <v>0</v>
      </c>
      <c r="BU3" s="16">
        <v>0</v>
      </c>
      <c r="BV3" s="16">
        <v>0</v>
      </c>
      <c r="BW3" s="16">
        <v>0</v>
      </c>
      <c r="BX3" s="16">
        <v>0</v>
      </c>
      <c r="BY3" s="16">
        <v>0</v>
      </c>
      <c r="BZ3" s="16">
        <v>0</v>
      </c>
      <c r="CA3" s="16">
        <v>0</v>
      </c>
      <c r="CB3" s="16">
        <v>0</v>
      </c>
      <c r="CC3" s="16">
        <v>0</v>
      </c>
    </row>
    <row r="4" spans="1:81">
      <c r="A4" t="s">
        <v>114</v>
      </c>
      <c r="B4" s="16">
        <v>0</v>
      </c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>
        <v>0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  <c r="AJ4" s="16">
        <v>0</v>
      </c>
      <c r="AK4" s="16">
        <v>0</v>
      </c>
      <c r="AL4" s="16">
        <v>0</v>
      </c>
      <c r="AM4" s="16">
        <v>0</v>
      </c>
      <c r="AN4" s="16">
        <v>0</v>
      </c>
      <c r="AO4" s="16">
        <v>0</v>
      </c>
      <c r="AP4" s="16">
        <v>0</v>
      </c>
      <c r="AQ4" s="16">
        <v>0</v>
      </c>
      <c r="AR4" s="16">
        <v>0</v>
      </c>
      <c r="AS4" s="16">
        <v>0</v>
      </c>
      <c r="AT4" s="16">
        <v>0</v>
      </c>
      <c r="AU4" s="16">
        <v>0</v>
      </c>
      <c r="AV4" s="16">
        <v>0</v>
      </c>
      <c r="AW4" s="16">
        <v>0</v>
      </c>
      <c r="AX4" s="16">
        <v>0</v>
      </c>
      <c r="AY4" s="16">
        <v>0</v>
      </c>
      <c r="AZ4" s="16">
        <v>0</v>
      </c>
      <c r="BA4" s="16">
        <v>0</v>
      </c>
      <c r="BB4" s="16">
        <v>0</v>
      </c>
      <c r="BC4" s="16">
        <v>0</v>
      </c>
      <c r="BD4" s="16">
        <v>0</v>
      </c>
      <c r="BE4" s="16">
        <v>0</v>
      </c>
      <c r="BF4" s="16">
        <v>0</v>
      </c>
      <c r="BG4" s="16">
        <v>0</v>
      </c>
      <c r="BH4" s="16">
        <v>0</v>
      </c>
      <c r="BI4" s="16">
        <v>0</v>
      </c>
      <c r="BJ4" s="16">
        <v>0</v>
      </c>
      <c r="BK4" s="16">
        <v>0</v>
      </c>
      <c r="BL4" s="16">
        <v>0</v>
      </c>
      <c r="BM4" s="16">
        <v>0</v>
      </c>
      <c r="BN4" s="16">
        <v>0</v>
      </c>
      <c r="BO4" s="16">
        <v>0</v>
      </c>
      <c r="BP4" s="16">
        <v>0</v>
      </c>
      <c r="BQ4" s="16">
        <v>0</v>
      </c>
      <c r="BR4" s="16">
        <v>0</v>
      </c>
      <c r="BS4" s="16">
        <v>0</v>
      </c>
      <c r="BT4" s="16">
        <v>0</v>
      </c>
      <c r="BU4" s="16">
        <v>0</v>
      </c>
      <c r="BV4" s="16">
        <v>0</v>
      </c>
      <c r="BW4" s="16">
        <v>0</v>
      </c>
      <c r="BX4" s="16">
        <v>0</v>
      </c>
      <c r="BY4" s="16">
        <v>0</v>
      </c>
      <c r="BZ4" s="16">
        <v>0</v>
      </c>
      <c r="CA4" s="16">
        <v>0</v>
      </c>
      <c r="CB4" s="16">
        <v>0</v>
      </c>
      <c r="CC4" s="16">
        <v>0</v>
      </c>
    </row>
    <row r="5" spans="1:81">
      <c r="A5" t="s">
        <v>115</v>
      </c>
      <c r="B5" s="16">
        <v>0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0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0</v>
      </c>
      <c r="AP5" s="16">
        <v>0</v>
      </c>
      <c r="AQ5" s="16">
        <v>0</v>
      </c>
      <c r="AR5" s="16">
        <v>0</v>
      </c>
      <c r="AS5" s="16">
        <v>0</v>
      </c>
      <c r="AT5" s="16">
        <v>0</v>
      </c>
      <c r="AU5" s="16">
        <v>0</v>
      </c>
      <c r="AV5" s="16">
        <v>0</v>
      </c>
      <c r="AW5" s="16">
        <v>0</v>
      </c>
      <c r="AX5" s="16">
        <v>0</v>
      </c>
      <c r="AY5" s="16">
        <v>0</v>
      </c>
      <c r="AZ5" s="16">
        <v>0</v>
      </c>
      <c r="BA5" s="16">
        <v>0</v>
      </c>
      <c r="BB5" s="16">
        <v>0</v>
      </c>
      <c r="BC5" s="16">
        <v>0</v>
      </c>
      <c r="BD5" s="16">
        <v>0</v>
      </c>
      <c r="BE5" s="16">
        <v>0</v>
      </c>
      <c r="BF5" s="16">
        <v>0</v>
      </c>
      <c r="BG5" s="16">
        <v>0</v>
      </c>
      <c r="BH5" s="16">
        <v>0</v>
      </c>
      <c r="BI5" s="16">
        <v>0</v>
      </c>
      <c r="BJ5" s="16">
        <v>0</v>
      </c>
      <c r="BK5" s="16">
        <v>0</v>
      </c>
      <c r="BL5" s="16">
        <v>0</v>
      </c>
      <c r="BM5" s="16">
        <v>0</v>
      </c>
      <c r="BN5" s="16">
        <v>0</v>
      </c>
      <c r="BO5" s="16">
        <v>0</v>
      </c>
      <c r="BP5" s="16">
        <v>0</v>
      </c>
      <c r="BQ5" s="16">
        <v>0</v>
      </c>
      <c r="BR5" s="16">
        <v>0</v>
      </c>
      <c r="BS5" s="16">
        <v>0</v>
      </c>
      <c r="BT5" s="16">
        <v>0</v>
      </c>
      <c r="BU5" s="16">
        <v>0</v>
      </c>
      <c r="BV5" s="16">
        <v>0</v>
      </c>
      <c r="BW5" s="16">
        <v>0</v>
      </c>
      <c r="BX5" s="16">
        <v>0</v>
      </c>
      <c r="BY5" s="16">
        <v>0</v>
      </c>
      <c r="BZ5" s="16">
        <v>0</v>
      </c>
      <c r="CA5" s="16">
        <v>0</v>
      </c>
      <c r="CB5" s="16">
        <v>0</v>
      </c>
      <c r="CC5" s="16">
        <v>0</v>
      </c>
    </row>
    <row r="6" spans="1:81">
      <c r="A6" t="s">
        <v>116</v>
      </c>
      <c r="B6" s="16">
        <v>0</v>
      </c>
      <c r="C6" s="16">
        <v>0</v>
      </c>
      <c r="D6" s="16">
        <v>0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>
        <v>0</v>
      </c>
      <c r="AB6" s="16">
        <v>0</v>
      </c>
      <c r="AC6" s="16">
        <v>0</v>
      </c>
      <c r="AD6" s="16">
        <v>0</v>
      </c>
      <c r="AE6" s="16">
        <v>0</v>
      </c>
      <c r="AF6" s="16">
        <v>0</v>
      </c>
      <c r="AG6" s="16">
        <v>0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6">
        <v>0</v>
      </c>
      <c r="AV6" s="16">
        <v>0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16">
        <v>0</v>
      </c>
      <c r="BC6" s="16">
        <v>0</v>
      </c>
      <c r="BD6" s="16">
        <v>0</v>
      </c>
      <c r="BE6" s="16">
        <v>0</v>
      </c>
      <c r="BF6" s="16">
        <v>0</v>
      </c>
      <c r="BG6" s="16">
        <v>0</v>
      </c>
      <c r="BH6" s="16">
        <v>0</v>
      </c>
      <c r="BI6" s="16">
        <v>0</v>
      </c>
      <c r="BJ6" s="16">
        <v>0</v>
      </c>
      <c r="BK6" s="16">
        <v>0</v>
      </c>
      <c r="BL6" s="16">
        <v>0</v>
      </c>
      <c r="BM6" s="16">
        <v>0</v>
      </c>
      <c r="BN6" s="16">
        <v>0</v>
      </c>
      <c r="BO6" s="16">
        <v>0</v>
      </c>
      <c r="BP6" s="16">
        <v>0</v>
      </c>
      <c r="BQ6" s="16">
        <v>0</v>
      </c>
      <c r="BR6" s="16">
        <v>0</v>
      </c>
      <c r="BS6" s="16">
        <v>0</v>
      </c>
      <c r="BT6" s="16">
        <v>0</v>
      </c>
      <c r="BU6" s="16">
        <v>0</v>
      </c>
      <c r="BV6" s="16">
        <v>0</v>
      </c>
      <c r="BW6" s="16">
        <v>0</v>
      </c>
      <c r="BX6" s="16">
        <v>0</v>
      </c>
      <c r="BY6" s="16">
        <v>0</v>
      </c>
      <c r="BZ6" s="16">
        <v>0</v>
      </c>
      <c r="CA6" s="16">
        <v>0</v>
      </c>
      <c r="CB6" s="16">
        <v>0</v>
      </c>
      <c r="CC6" s="16">
        <v>0</v>
      </c>
    </row>
    <row r="7" spans="1:81">
      <c r="A7" t="s">
        <v>117</v>
      </c>
      <c r="B7" s="16">
        <v>0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>
        <v>0</v>
      </c>
      <c r="AB7" s="16">
        <v>0</v>
      </c>
      <c r="AC7" s="16">
        <v>0</v>
      </c>
      <c r="AD7" s="16">
        <v>0</v>
      </c>
      <c r="AE7" s="16">
        <v>0</v>
      </c>
      <c r="AF7" s="16">
        <v>0</v>
      </c>
      <c r="AG7" s="16">
        <v>0</v>
      </c>
      <c r="AH7" s="16">
        <v>0</v>
      </c>
      <c r="AI7" s="16">
        <v>0</v>
      </c>
      <c r="AJ7" s="16">
        <v>0</v>
      </c>
      <c r="AK7" s="16">
        <v>0</v>
      </c>
      <c r="AL7" s="16">
        <v>0</v>
      </c>
      <c r="AM7" s="16">
        <v>0</v>
      </c>
      <c r="AN7" s="16">
        <v>0</v>
      </c>
      <c r="AO7" s="16">
        <v>0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6">
        <v>0</v>
      </c>
      <c r="AV7" s="16">
        <v>0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16">
        <v>0</v>
      </c>
      <c r="BC7" s="16">
        <v>0</v>
      </c>
      <c r="BD7" s="16">
        <v>0</v>
      </c>
      <c r="BE7" s="16">
        <v>0</v>
      </c>
      <c r="BF7" s="16">
        <v>0</v>
      </c>
      <c r="BG7" s="16">
        <v>0</v>
      </c>
      <c r="BH7" s="16">
        <v>0</v>
      </c>
      <c r="BI7" s="16">
        <v>0</v>
      </c>
      <c r="BJ7" s="16">
        <v>0</v>
      </c>
      <c r="BK7" s="16">
        <v>0</v>
      </c>
      <c r="BL7" s="16">
        <v>0</v>
      </c>
      <c r="BM7" s="16">
        <v>0</v>
      </c>
      <c r="BN7" s="16">
        <v>0</v>
      </c>
      <c r="BO7" s="16">
        <v>0</v>
      </c>
      <c r="BP7" s="16">
        <v>0</v>
      </c>
      <c r="BQ7" s="16">
        <v>0</v>
      </c>
      <c r="BR7" s="16">
        <v>0</v>
      </c>
      <c r="BS7" s="16">
        <v>0</v>
      </c>
      <c r="BT7" s="16">
        <v>0</v>
      </c>
      <c r="BU7" s="16">
        <v>0</v>
      </c>
      <c r="BV7" s="16">
        <v>0</v>
      </c>
      <c r="BW7" s="16">
        <v>0</v>
      </c>
      <c r="BX7" s="16">
        <v>0</v>
      </c>
      <c r="BY7" s="16">
        <v>0</v>
      </c>
      <c r="BZ7" s="16">
        <v>0</v>
      </c>
      <c r="CA7" s="16">
        <v>0</v>
      </c>
      <c r="CB7" s="16">
        <v>0</v>
      </c>
      <c r="CC7" s="16">
        <v>0</v>
      </c>
    </row>
    <row r="8" spans="1:81">
      <c r="A8" t="s">
        <v>118</v>
      </c>
      <c r="B8" s="16">
        <v>0</v>
      </c>
      <c r="C8" s="16">
        <v>0</v>
      </c>
      <c r="D8" s="16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6">
        <v>0</v>
      </c>
      <c r="AV8" s="16">
        <v>0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16">
        <v>0</v>
      </c>
      <c r="BC8" s="16">
        <v>0</v>
      </c>
      <c r="BD8" s="16">
        <v>0</v>
      </c>
      <c r="BE8" s="16">
        <v>0</v>
      </c>
      <c r="BF8" s="16">
        <v>0</v>
      </c>
      <c r="BG8" s="16">
        <v>0</v>
      </c>
      <c r="BH8" s="16">
        <v>0</v>
      </c>
      <c r="BI8" s="16">
        <v>0</v>
      </c>
      <c r="BJ8" s="16">
        <v>0</v>
      </c>
      <c r="BK8" s="16">
        <v>0</v>
      </c>
      <c r="BL8" s="16">
        <v>0</v>
      </c>
      <c r="BM8" s="16">
        <v>0</v>
      </c>
      <c r="BN8" s="16">
        <v>0</v>
      </c>
      <c r="BO8" s="16">
        <v>0</v>
      </c>
      <c r="BP8" s="16">
        <v>0</v>
      </c>
      <c r="BQ8" s="16">
        <v>0</v>
      </c>
      <c r="BR8" s="16">
        <v>0</v>
      </c>
      <c r="BS8" s="16">
        <v>0</v>
      </c>
      <c r="BT8" s="16">
        <v>0</v>
      </c>
      <c r="BU8" s="16">
        <v>0</v>
      </c>
      <c r="BV8" s="16">
        <v>0</v>
      </c>
      <c r="BW8" s="16">
        <v>0</v>
      </c>
      <c r="BX8" s="16">
        <v>0</v>
      </c>
      <c r="BY8" s="16">
        <v>0</v>
      </c>
      <c r="BZ8" s="16">
        <v>0</v>
      </c>
      <c r="CA8" s="16">
        <v>0</v>
      </c>
      <c r="CB8" s="16">
        <v>0</v>
      </c>
      <c r="CC8" s="16">
        <v>0</v>
      </c>
    </row>
    <row r="9" spans="1:81">
      <c r="A9" t="s">
        <v>119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  <c r="AJ9" s="16">
        <v>0</v>
      </c>
      <c r="AK9" s="16">
        <v>0</v>
      </c>
      <c r="AL9" s="16">
        <v>0</v>
      </c>
      <c r="AM9" s="16">
        <v>0</v>
      </c>
      <c r="AN9" s="16">
        <v>0</v>
      </c>
      <c r="AO9" s="16">
        <v>0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6">
        <v>0</v>
      </c>
      <c r="AV9" s="16">
        <v>0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16">
        <v>0</v>
      </c>
      <c r="BC9" s="16">
        <v>0</v>
      </c>
      <c r="BD9" s="16">
        <v>0</v>
      </c>
      <c r="BE9" s="16">
        <v>0</v>
      </c>
      <c r="BF9" s="16">
        <v>0</v>
      </c>
      <c r="BG9" s="16">
        <v>0</v>
      </c>
      <c r="BH9" s="16">
        <v>0</v>
      </c>
      <c r="BI9" s="16">
        <v>0</v>
      </c>
      <c r="BJ9" s="16">
        <v>0</v>
      </c>
      <c r="BK9" s="16">
        <v>0</v>
      </c>
      <c r="BL9" s="16">
        <v>0</v>
      </c>
      <c r="BM9" s="16">
        <v>0</v>
      </c>
      <c r="BN9" s="16">
        <v>0</v>
      </c>
      <c r="BO9" s="16">
        <v>0</v>
      </c>
      <c r="BP9" s="16">
        <v>0</v>
      </c>
      <c r="BQ9" s="16">
        <v>0</v>
      </c>
      <c r="BR9" s="16">
        <v>0</v>
      </c>
      <c r="BS9" s="16">
        <v>0</v>
      </c>
      <c r="BT9" s="16">
        <v>0</v>
      </c>
      <c r="BU9" s="16">
        <v>0</v>
      </c>
      <c r="BV9" s="16">
        <v>0</v>
      </c>
      <c r="BW9" s="16">
        <v>0</v>
      </c>
      <c r="BX9" s="16">
        <v>0</v>
      </c>
      <c r="BY9" s="16">
        <v>0</v>
      </c>
      <c r="BZ9" s="16">
        <v>0</v>
      </c>
      <c r="CA9" s="16">
        <v>0</v>
      </c>
      <c r="CB9" s="16">
        <v>0</v>
      </c>
      <c r="CC9" s="16">
        <v>0</v>
      </c>
    </row>
    <row r="10" spans="1:81">
      <c r="A10" t="s">
        <v>120</v>
      </c>
      <c r="B10" s="16">
        <v>0</v>
      </c>
      <c r="C10" s="16">
        <v>0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6">
        <v>0</v>
      </c>
      <c r="AV10" s="16">
        <v>0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16">
        <v>0</v>
      </c>
      <c r="BC10" s="16">
        <v>0</v>
      </c>
      <c r="BD10" s="16">
        <v>0</v>
      </c>
      <c r="BE10" s="16">
        <v>0</v>
      </c>
      <c r="BF10" s="16">
        <v>0</v>
      </c>
      <c r="BG10" s="16">
        <v>0</v>
      </c>
      <c r="BH10" s="16">
        <v>0</v>
      </c>
      <c r="BI10" s="16">
        <v>0</v>
      </c>
      <c r="BJ10" s="16">
        <v>0</v>
      </c>
      <c r="BK10" s="16">
        <v>0</v>
      </c>
      <c r="BL10" s="16">
        <v>0</v>
      </c>
      <c r="BM10" s="16">
        <v>0</v>
      </c>
      <c r="BN10" s="16">
        <v>0</v>
      </c>
      <c r="BO10" s="16">
        <v>0</v>
      </c>
      <c r="BP10" s="16">
        <v>0</v>
      </c>
      <c r="BQ10" s="16">
        <v>0</v>
      </c>
      <c r="BR10" s="16">
        <v>0</v>
      </c>
      <c r="BS10" s="16">
        <v>0</v>
      </c>
      <c r="BT10" s="16">
        <v>0</v>
      </c>
      <c r="BU10" s="16">
        <v>0</v>
      </c>
      <c r="BV10" s="16">
        <v>0</v>
      </c>
      <c r="BW10" s="16">
        <v>0</v>
      </c>
      <c r="BX10" s="16">
        <v>0</v>
      </c>
      <c r="BY10" s="16">
        <v>0</v>
      </c>
      <c r="BZ10" s="16">
        <v>0</v>
      </c>
      <c r="CA10" s="16">
        <v>0</v>
      </c>
      <c r="CB10" s="16">
        <v>0</v>
      </c>
      <c r="CC10" s="16">
        <v>0</v>
      </c>
    </row>
    <row r="11" spans="1:81">
      <c r="A11" t="s">
        <v>121</v>
      </c>
      <c r="B11" s="16">
        <v>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0</v>
      </c>
      <c r="AV11" s="16">
        <v>0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16">
        <v>0</v>
      </c>
      <c r="BC11" s="16">
        <v>0</v>
      </c>
      <c r="BD11" s="16">
        <v>0</v>
      </c>
      <c r="BE11" s="16">
        <v>0</v>
      </c>
      <c r="BF11" s="16">
        <v>0</v>
      </c>
      <c r="BG11" s="16">
        <v>0</v>
      </c>
      <c r="BH11" s="16">
        <v>0</v>
      </c>
      <c r="BI11" s="16">
        <v>0</v>
      </c>
      <c r="BJ11" s="16">
        <v>0</v>
      </c>
      <c r="BK11" s="16">
        <v>0</v>
      </c>
      <c r="BL11" s="16">
        <v>0</v>
      </c>
      <c r="BM11" s="16">
        <v>0</v>
      </c>
      <c r="BN11" s="16">
        <v>0</v>
      </c>
      <c r="BO11" s="16">
        <v>0</v>
      </c>
      <c r="BP11" s="16">
        <v>0</v>
      </c>
      <c r="BQ11" s="16">
        <v>0</v>
      </c>
      <c r="BR11" s="16">
        <v>0</v>
      </c>
      <c r="BS11" s="16">
        <v>0</v>
      </c>
      <c r="BT11" s="16">
        <v>0</v>
      </c>
      <c r="BU11" s="16">
        <v>0</v>
      </c>
      <c r="BV11" s="16">
        <v>0</v>
      </c>
      <c r="BW11" s="16">
        <v>0</v>
      </c>
      <c r="BX11" s="16">
        <v>0</v>
      </c>
      <c r="BY11" s="16">
        <v>0</v>
      </c>
      <c r="BZ11" s="16">
        <v>0</v>
      </c>
      <c r="CA11" s="16">
        <v>0</v>
      </c>
      <c r="CB11" s="16">
        <v>0</v>
      </c>
      <c r="CC11" s="16">
        <v>0</v>
      </c>
    </row>
    <row r="12" spans="1:81">
      <c r="A12" t="s">
        <v>122</v>
      </c>
      <c r="B12" s="16">
        <v>0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0</v>
      </c>
      <c r="AV12" s="16">
        <v>0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16">
        <v>0</v>
      </c>
      <c r="BC12" s="16">
        <v>0</v>
      </c>
      <c r="BD12" s="16">
        <v>0</v>
      </c>
      <c r="BE12" s="16">
        <v>0</v>
      </c>
      <c r="BF12" s="16">
        <v>0</v>
      </c>
      <c r="BG12" s="16">
        <v>0</v>
      </c>
      <c r="BH12" s="16">
        <v>0</v>
      </c>
      <c r="BI12" s="16">
        <v>0</v>
      </c>
      <c r="BJ12" s="16">
        <v>0</v>
      </c>
      <c r="BK12" s="16">
        <v>0</v>
      </c>
      <c r="BL12" s="16">
        <v>0</v>
      </c>
      <c r="BM12" s="16">
        <v>0</v>
      </c>
      <c r="BN12" s="16">
        <v>0</v>
      </c>
      <c r="BO12" s="16">
        <v>0</v>
      </c>
      <c r="BP12" s="16">
        <v>0</v>
      </c>
      <c r="BQ12" s="16">
        <v>0</v>
      </c>
      <c r="BR12" s="16">
        <v>0</v>
      </c>
      <c r="BS12" s="16">
        <v>0</v>
      </c>
      <c r="BT12" s="16">
        <v>0</v>
      </c>
      <c r="BU12" s="16">
        <v>0</v>
      </c>
      <c r="BV12" s="16">
        <v>0</v>
      </c>
      <c r="BW12" s="16">
        <v>0</v>
      </c>
      <c r="BX12" s="16">
        <v>0</v>
      </c>
      <c r="BY12" s="16">
        <v>0</v>
      </c>
      <c r="BZ12" s="16">
        <v>0</v>
      </c>
      <c r="CA12" s="16">
        <v>0</v>
      </c>
      <c r="CB12" s="16">
        <v>0</v>
      </c>
      <c r="CC12" s="16">
        <v>0</v>
      </c>
    </row>
    <row r="13" spans="1:81">
      <c r="A13" t="s">
        <v>123</v>
      </c>
      <c r="B13" s="16">
        <v>0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6">
        <v>0</v>
      </c>
      <c r="AV13" s="16">
        <v>0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16">
        <v>0</v>
      </c>
      <c r="BC13" s="16">
        <v>0</v>
      </c>
      <c r="BD13" s="16">
        <v>0</v>
      </c>
      <c r="BE13" s="16">
        <v>0</v>
      </c>
      <c r="BF13" s="16">
        <v>0</v>
      </c>
      <c r="BG13" s="16">
        <v>0</v>
      </c>
      <c r="BH13" s="16">
        <v>0</v>
      </c>
      <c r="BI13" s="16">
        <v>0</v>
      </c>
      <c r="BJ13" s="16">
        <v>0</v>
      </c>
      <c r="BK13" s="16">
        <v>0</v>
      </c>
      <c r="BL13" s="16">
        <v>0</v>
      </c>
      <c r="BM13" s="16">
        <v>0</v>
      </c>
      <c r="BN13" s="16">
        <v>0</v>
      </c>
      <c r="BO13" s="16">
        <v>0</v>
      </c>
      <c r="BP13" s="16">
        <v>0</v>
      </c>
      <c r="BQ13" s="16">
        <v>0</v>
      </c>
      <c r="BR13" s="16">
        <v>0</v>
      </c>
      <c r="BS13" s="16">
        <v>0</v>
      </c>
      <c r="BT13" s="16">
        <v>0</v>
      </c>
      <c r="BU13" s="16">
        <v>0</v>
      </c>
      <c r="BV13" s="16">
        <v>0</v>
      </c>
      <c r="BW13" s="16">
        <v>0</v>
      </c>
      <c r="BX13" s="16">
        <v>0</v>
      </c>
      <c r="BY13" s="16">
        <v>0</v>
      </c>
      <c r="BZ13" s="16">
        <v>0</v>
      </c>
      <c r="CA13" s="16">
        <v>0</v>
      </c>
      <c r="CB13" s="16">
        <v>0</v>
      </c>
      <c r="CC13" s="16">
        <v>0</v>
      </c>
    </row>
    <row r="14" spans="1:81">
      <c r="A14" t="s">
        <v>124</v>
      </c>
      <c r="B14" s="16">
        <v>0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6">
        <v>0</v>
      </c>
      <c r="AV14" s="16">
        <v>0</v>
      </c>
      <c r="AW14" s="16">
        <v>0</v>
      </c>
      <c r="AX14" s="16">
        <v>0</v>
      </c>
      <c r="AY14" s="16">
        <v>0</v>
      </c>
      <c r="AZ14" s="16">
        <v>0</v>
      </c>
      <c r="BA14" s="16">
        <v>0</v>
      </c>
      <c r="BB14" s="16">
        <v>0</v>
      </c>
      <c r="BC14" s="16">
        <v>0</v>
      </c>
      <c r="BD14" s="16">
        <v>0</v>
      </c>
      <c r="BE14" s="16">
        <v>0</v>
      </c>
      <c r="BF14" s="16">
        <v>0</v>
      </c>
      <c r="BG14" s="16">
        <v>0</v>
      </c>
      <c r="BH14" s="16">
        <v>0</v>
      </c>
      <c r="BI14" s="16">
        <v>0</v>
      </c>
      <c r="BJ14" s="16">
        <v>0</v>
      </c>
      <c r="BK14" s="16">
        <v>0</v>
      </c>
      <c r="BL14" s="16">
        <v>0</v>
      </c>
      <c r="BM14" s="16">
        <v>0</v>
      </c>
      <c r="BN14" s="16">
        <v>0</v>
      </c>
      <c r="BO14" s="16">
        <v>0</v>
      </c>
      <c r="BP14" s="16">
        <v>0</v>
      </c>
      <c r="BQ14" s="16">
        <v>0</v>
      </c>
      <c r="BR14" s="16">
        <v>0</v>
      </c>
      <c r="BS14" s="16">
        <v>0</v>
      </c>
      <c r="BT14" s="16">
        <v>0</v>
      </c>
      <c r="BU14" s="16">
        <v>0</v>
      </c>
      <c r="BV14" s="16">
        <v>0</v>
      </c>
      <c r="BW14" s="16">
        <v>0</v>
      </c>
      <c r="BX14" s="16">
        <v>0</v>
      </c>
      <c r="BY14" s="16">
        <v>0</v>
      </c>
      <c r="BZ14" s="16">
        <v>0</v>
      </c>
      <c r="CA14" s="16">
        <v>0</v>
      </c>
      <c r="CB14" s="16">
        <v>0</v>
      </c>
      <c r="CC14" s="16">
        <v>0</v>
      </c>
    </row>
    <row r="15" spans="1:81">
      <c r="A15" t="s">
        <v>125</v>
      </c>
      <c r="B15" s="16">
        <v>0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16">
        <v>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6">
        <v>0</v>
      </c>
      <c r="AV15" s="16">
        <v>0</v>
      </c>
      <c r="AW15" s="16">
        <v>0</v>
      </c>
      <c r="AX15" s="16">
        <v>0</v>
      </c>
      <c r="AY15" s="16">
        <v>0</v>
      </c>
      <c r="AZ15" s="16">
        <v>0</v>
      </c>
      <c r="BA15" s="16">
        <v>0</v>
      </c>
      <c r="BB15" s="16">
        <v>0</v>
      </c>
      <c r="BC15" s="16">
        <v>0</v>
      </c>
      <c r="BD15" s="16">
        <v>0</v>
      </c>
      <c r="BE15" s="16">
        <v>0</v>
      </c>
      <c r="BF15" s="16">
        <v>0</v>
      </c>
      <c r="BG15" s="16">
        <v>0</v>
      </c>
      <c r="BH15" s="16">
        <v>0</v>
      </c>
      <c r="BI15" s="16">
        <v>0</v>
      </c>
      <c r="BJ15" s="16">
        <v>0</v>
      </c>
      <c r="BK15" s="16">
        <v>0</v>
      </c>
      <c r="BL15" s="16">
        <v>0</v>
      </c>
      <c r="BM15" s="16">
        <v>0</v>
      </c>
      <c r="BN15" s="16">
        <v>0</v>
      </c>
      <c r="BO15" s="16">
        <v>0</v>
      </c>
      <c r="BP15" s="16">
        <v>0</v>
      </c>
      <c r="BQ15" s="16">
        <v>0</v>
      </c>
      <c r="BR15" s="16">
        <v>0</v>
      </c>
      <c r="BS15" s="16">
        <v>0</v>
      </c>
      <c r="BT15" s="16">
        <v>0</v>
      </c>
      <c r="BU15" s="16">
        <v>0</v>
      </c>
      <c r="BV15" s="16">
        <v>0</v>
      </c>
      <c r="BW15" s="16">
        <v>0</v>
      </c>
      <c r="BX15" s="16">
        <v>0</v>
      </c>
      <c r="BY15" s="16">
        <v>0</v>
      </c>
      <c r="BZ15" s="16">
        <v>0</v>
      </c>
      <c r="CA15" s="16">
        <v>0</v>
      </c>
      <c r="CB15" s="16">
        <v>0</v>
      </c>
      <c r="CC15" s="16">
        <v>0</v>
      </c>
    </row>
    <row r="16" spans="1:81">
      <c r="A16" t="s">
        <v>126</v>
      </c>
      <c r="B16" s="16">
        <v>0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6">
        <v>0</v>
      </c>
      <c r="AV16" s="16">
        <v>0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16">
        <v>0</v>
      </c>
      <c r="BC16" s="16">
        <v>0</v>
      </c>
      <c r="BD16" s="16">
        <v>0</v>
      </c>
      <c r="BE16" s="16">
        <v>0</v>
      </c>
      <c r="BF16" s="16">
        <v>0</v>
      </c>
      <c r="BG16" s="16">
        <v>0</v>
      </c>
      <c r="BH16" s="16">
        <v>0</v>
      </c>
      <c r="BI16" s="16">
        <v>0</v>
      </c>
      <c r="BJ16" s="16">
        <v>0</v>
      </c>
      <c r="BK16" s="16">
        <v>0</v>
      </c>
      <c r="BL16" s="16">
        <v>0</v>
      </c>
      <c r="BM16" s="16">
        <v>0</v>
      </c>
      <c r="BN16" s="16">
        <v>0</v>
      </c>
      <c r="BO16" s="16">
        <v>0</v>
      </c>
      <c r="BP16" s="16">
        <v>0</v>
      </c>
      <c r="BQ16" s="16">
        <v>0</v>
      </c>
      <c r="BR16" s="16">
        <v>0</v>
      </c>
      <c r="BS16" s="16">
        <v>0</v>
      </c>
      <c r="BT16" s="16">
        <v>0</v>
      </c>
      <c r="BU16" s="16">
        <v>0</v>
      </c>
      <c r="BV16" s="16">
        <v>0</v>
      </c>
      <c r="BW16" s="16">
        <v>0</v>
      </c>
      <c r="BX16" s="16">
        <v>0</v>
      </c>
      <c r="BY16" s="16">
        <v>0</v>
      </c>
      <c r="BZ16" s="16">
        <v>0</v>
      </c>
      <c r="CA16" s="16">
        <v>0</v>
      </c>
      <c r="CB16" s="16">
        <v>0</v>
      </c>
      <c r="CC16" s="16">
        <v>0</v>
      </c>
    </row>
    <row r="17" spans="1:81">
      <c r="A17" t="s">
        <v>127</v>
      </c>
      <c r="B17" s="16">
        <v>0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6">
        <v>0</v>
      </c>
      <c r="Z17" s="16">
        <v>0</v>
      </c>
      <c r="AA17" s="16">
        <v>0</v>
      </c>
      <c r="AB17" s="16">
        <v>0</v>
      </c>
      <c r="AC17" s="16">
        <v>0</v>
      </c>
      <c r="AD17" s="16">
        <v>0</v>
      </c>
      <c r="AE17" s="16">
        <v>0</v>
      </c>
      <c r="AF17" s="16">
        <v>0</v>
      </c>
      <c r="AG17" s="16">
        <v>0</v>
      </c>
      <c r="AH17" s="16">
        <v>0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6">
        <v>0</v>
      </c>
      <c r="AV17" s="16">
        <v>0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16">
        <v>0</v>
      </c>
      <c r="BC17" s="16">
        <v>0</v>
      </c>
      <c r="BD17" s="16">
        <v>0</v>
      </c>
      <c r="BE17" s="16">
        <v>0</v>
      </c>
      <c r="BF17" s="16">
        <v>0</v>
      </c>
      <c r="BG17" s="16">
        <v>0</v>
      </c>
      <c r="BH17" s="16">
        <v>0</v>
      </c>
      <c r="BI17" s="16">
        <v>0</v>
      </c>
      <c r="BJ17" s="16">
        <v>0</v>
      </c>
      <c r="BK17" s="16">
        <v>0</v>
      </c>
      <c r="BL17" s="16">
        <v>0</v>
      </c>
      <c r="BM17" s="16">
        <v>0</v>
      </c>
      <c r="BN17" s="16">
        <v>0</v>
      </c>
      <c r="BO17" s="16">
        <v>0</v>
      </c>
      <c r="BP17" s="16">
        <v>0</v>
      </c>
      <c r="BQ17" s="16">
        <v>0</v>
      </c>
      <c r="BR17" s="16">
        <v>0</v>
      </c>
      <c r="BS17" s="16">
        <v>0</v>
      </c>
      <c r="BT17" s="16">
        <v>0</v>
      </c>
      <c r="BU17" s="16">
        <v>0</v>
      </c>
      <c r="BV17" s="16">
        <v>0</v>
      </c>
      <c r="BW17" s="16">
        <v>0</v>
      </c>
      <c r="BX17" s="16">
        <v>0</v>
      </c>
      <c r="BY17" s="16">
        <v>0</v>
      </c>
      <c r="BZ17" s="16">
        <v>0</v>
      </c>
      <c r="CA17" s="16">
        <v>0</v>
      </c>
      <c r="CB17" s="16">
        <v>0</v>
      </c>
      <c r="CC17" s="16">
        <v>0</v>
      </c>
    </row>
    <row r="18" spans="1:81">
      <c r="A18" t="s">
        <v>128</v>
      </c>
      <c r="B18" s="16">
        <v>0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6">
        <v>0</v>
      </c>
      <c r="AV18" s="16">
        <v>0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16">
        <v>0</v>
      </c>
      <c r="BC18" s="16">
        <v>0</v>
      </c>
      <c r="BD18" s="16">
        <v>0</v>
      </c>
      <c r="BE18" s="16">
        <v>0</v>
      </c>
      <c r="BF18" s="16">
        <v>0</v>
      </c>
      <c r="BG18" s="16">
        <v>0</v>
      </c>
      <c r="BH18" s="16">
        <v>0</v>
      </c>
      <c r="BI18" s="16">
        <v>0</v>
      </c>
      <c r="BJ18" s="16">
        <v>0</v>
      </c>
      <c r="BK18" s="16">
        <v>0</v>
      </c>
      <c r="BL18" s="16">
        <v>0</v>
      </c>
      <c r="BM18" s="16">
        <v>0</v>
      </c>
      <c r="BN18" s="16">
        <v>0</v>
      </c>
      <c r="BO18" s="16">
        <v>0</v>
      </c>
      <c r="BP18" s="16">
        <v>0</v>
      </c>
      <c r="BQ18" s="16">
        <v>0</v>
      </c>
      <c r="BR18" s="16">
        <v>0</v>
      </c>
      <c r="BS18" s="16">
        <v>0</v>
      </c>
      <c r="BT18" s="16">
        <v>0</v>
      </c>
      <c r="BU18" s="16">
        <v>0</v>
      </c>
      <c r="BV18" s="16">
        <v>0</v>
      </c>
      <c r="BW18" s="16">
        <v>0</v>
      </c>
      <c r="BX18" s="16">
        <v>0</v>
      </c>
      <c r="BY18" s="16">
        <v>0</v>
      </c>
      <c r="BZ18" s="16">
        <v>0</v>
      </c>
      <c r="CA18" s="16">
        <v>0</v>
      </c>
      <c r="CB18" s="16">
        <v>0</v>
      </c>
      <c r="CC18" s="16">
        <v>0</v>
      </c>
    </row>
    <row r="19" spans="1:81">
      <c r="A19" t="s">
        <v>129</v>
      </c>
      <c r="B19" s="16">
        <v>0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6">
        <v>0</v>
      </c>
      <c r="AV19" s="16">
        <v>0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16">
        <v>0</v>
      </c>
      <c r="BC19" s="16">
        <v>0</v>
      </c>
      <c r="BD19" s="16">
        <v>0</v>
      </c>
      <c r="BE19" s="16">
        <v>0</v>
      </c>
      <c r="BF19" s="16">
        <v>0</v>
      </c>
      <c r="BG19" s="16">
        <v>0</v>
      </c>
      <c r="BH19" s="16">
        <v>0</v>
      </c>
      <c r="BI19" s="16">
        <v>0</v>
      </c>
      <c r="BJ19" s="16">
        <v>0</v>
      </c>
      <c r="BK19" s="16">
        <v>0</v>
      </c>
      <c r="BL19" s="16">
        <v>0</v>
      </c>
      <c r="BM19" s="16">
        <v>0</v>
      </c>
      <c r="BN19" s="16">
        <v>0</v>
      </c>
      <c r="BO19" s="16">
        <v>0</v>
      </c>
      <c r="BP19" s="16">
        <v>0</v>
      </c>
      <c r="BQ19" s="16">
        <v>0</v>
      </c>
      <c r="BR19" s="16">
        <v>0</v>
      </c>
      <c r="BS19" s="16">
        <v>0</v>
      </c>
      <c r="BT19" s="16">
        <v>0</v>
      </c>
      <c r="BU19" s="16">
        <v>0</v>
      </c>
      <c r="BV19" s="16">
        <v>0</v>
      </c>
      <c r="BW19" s="16">
        <v>0</v>
      </c>
      <c r="BX19" s="16">
        <v>0</v>
      </c>
      <c r="BY19" s="16">
        <v>0</v>
      </c>
      <c r="BZ19" s="16">
        <v>0</v>
      </c>
      <c r="CA19" s="16">
        <v>0</v>
      </c>
      <c r="CB19" s="16">
        <v>0</v>
      </c>
      <c r="CC19" s="16">
        <v>0</v>
      </c>
    </row>
    <row r="20" spans="1:81">
      <c r="A20" t="s">
        <v>130</v>
      </c>
      <c r="B20" s="16">
        <v>0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6">
        <v>0</v>
      </c>
      <c r="AV20" s="16">
        <v>0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16">
        <v>0</v>
      </c>
      <c r="BC20" s="16">
        <v>0</v>
      </c>
      <c r="BD20" s="16">
        <v>0</v>
      </c>
      <c r="BE20" s="16">
        <v>0</v>
      </c>
      <c r="BF20" s="16">
        <v>0</v>
      </c>
      <c r="BG20" s="16">
        <v>0</v>
      </c>
      <c r="BH20" s="16">
        <v>0</v>
      </c>
      <c r="BI20" s="16">
        <v>0</v>
      </c>
      <c r="BJ20" s="16">
        <v>0</v>
      </c>
      <c r="BK20" s="16">
        <v>0</v>
      </c>
      <c r="BL20" s="16">
        <v>0</v>
      </c>
      <c r="BM20" s="16">
        <v>0</v>
      </c>
      <c r="BN20" s="16">
        <v>0</v>
      </c>
      <c r="BO20" s="16">
        <v>0</v>
      </c>
      <c r="BP20" s="16">
        <v>0</v>
      </c>
      <c r="BQ20" s="16">
        <v>0</v>
      </c>
      <c r="BR20" s="16">
        <v>0</v>
      </c>
      <c r="BS20" s="16">
        <v>0</v>
      </c>
      <c r="BT20" s="16">
        <v>0</v>
      </c>
      <c r="BU20" s="16">
        <v>0</v>
      </c>
      <c r="BV20" s="16">
        <v>0</v>
      </c>
      <c r="BW20" s="16">
        <v>0</v>
      </c>
      <c r="BX20" s="16">
        <v>0</v>
      </c>
      <c r="BY20" s="16">
        <v>0</v>
      </c>
      <c r="BZ20" s="16">
        <v>0</v>
      </c>
      <c r="CA20" s="16">
        <v>0</v>
      </c>
      <c r="CB20" s="16">
        <v>0</v>
      </c>
      <c r="CC20" s="16">
        <v>0</v>
      </c>
    </row>
    <row r="21" spans="1:81">
      <c r="A21" t="s">
        <v>131</v>
      </c>
      <c r="B21" s="16">
        <v>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0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6">
        <v>0</v>
      </c>
      <c r="AV21" s="16">
        <v>0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16">
        <v>0</v>
      </c>
      <c r="BC21" s="16">
        <v>0</v>
      </c>
      <c r="BD21" s="16">
        <v>0</v>
      </c>
      <c r="BE21" s="16">
        <v>0</v>
      </c>
      <c r="BF21" s="16">
        <v>0</v>
      </c>
      <c r="BG21" s="16">
        <v>0</v>
      </c>
      <c r="BH21" s="16">
        <v>0</v>
      </c>
      <c r="BI21" s="16">
        <v>0</v>
      </c>
      <c r="BJ21" s="16">
        <v>0</v>
      </c>
      <c r="BK21" s="16">
        <v>0</v>
      </c>
      <c r="BL21" s="16">
        <v>0</v>
      </c>
      <c r="BM21" s="16">
        <v>0</v>
      </c>
      <c r="BN21" s="16">
        <v>0</v>
      </c>
      <c r="BO21" s="16">
        <v>0</v>
      </c>
      <c r="BP21" s="16">
        <v>0</v>
      </c>
      <c r="BQ21" s="16">
        <v>0</v>
      </c>
      <c r="BR21" s="16">
        <v>0</v>
      </c>
      <c r="BS21" s="16">
        <v>0</v>
      </c>
      <c r="BT21" s="16">
        <v>0</v>
      </c>
      <c r="BU21" s="16">
        <v>0</v>
      </c>
      <c r="BV21" s="16">
        <v>0</v>
      </c>
      <c r="BW21" s="16">
        <v>0</v>
      </c>
      <c r="BX21" s="16">
        <v>0</v>
      </c>
      <c r="BY21" s="16">
        <v>0</v>
      </c>
      <c r="BZ21" s="16">
        <v>0</v>
      </c>
      <c r="CA21" s="16">
        <v>0</v>
      </c>
      <c r="CB21" s="16">
        <v>0</v>
      </c>
      <c r="CC21" s="16">
        <v>0</v>
      </c>
    </row>
    <row r="22" spans="1:81">
      <c r="A22" t="s">
        <v>132</v>
      </c>
      <c r="B22" s="16">
        <v>0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0</v>
      </c>
      <c r="BM22" s="16">
        <v>0</v>
      </c>
      <c r="BN22" s="16">
        <v>0</v>
      </c>
      <c r="BO22" s="16">
        <v>0</v>
      </c>
      <c r="BP22" s="16">
        <v>0</v>
      </c>
      <c r="BQ22" s="16">
        <v>0</v>
      </c>
      <c r="BR22" s="16">
        <v>0</v>
      </c>
      <c r="BS22" s="16">
        <v>0</v>
      </c>
      <c r="BT22" s="16">
        <v>0</v>
      </c>
      <c r="BU22" s="16">
        <v>0</v>
      </c>
      <c r="BV22" s="16">
        <v>0</v>
      </c>
      <c r="BW22" s="16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0</v>
      </c>
      <c r="CC22" s="16">
        <v>0</v>
      </c>
    </row>
    <row r="23" spans="1:81">
      <c r="A23" t="s">
        <v>133</v>
      </c>
      <c r="B23" s="16">
        <v>0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6">
        <v>0</v>
      </c>
      <c r="AV23" s="16">
        <v>0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16">
        <v>0</v>
      </c>
      <c r="BC23" s="16">
        <v>0</v>
      </c>
      <c r="BD23" s="16">
        <v>0</v>
      </c>
      <c r="BE23" s="16">
        <v>0</v>
      </c>
      <c r="BF23" s="16">
        <v>0</v>
      </c>
      <c r="BG23" s="16">
        <v>0</v>
      </c>
      <c r="BH23" s="16">
        <v>0</v>
      </c>
      <c r="BI23" s="16">
        <v>0</v>
      </c>
      <c r="BJ23" s="16">
        <v>0</v>
      </c>
      <c r="BK23" s="16">
        <v>0</v>
      </c>
      <c r="BL23" s="16">
        <v>0</v>
      </c>
      <c r="BM23" s="16">
        <v>0</v>
      </c>
      <c r="BN23" s="16">
        <v>0</v>
      </c>
      <c r="BO23" s="16">
        <v>0</v>
      </c>
      <c r="BP23" s="16">
        <v>0</v>
      </c>
      <c r="BQ23" s="16">
        <v>0</v>
      </c>
      <c r="BR23" s="16">
        <v>0</v>
      </c>
      <c r="BS23" s="16">
        <v>0</v>
      </c>
      <c r="BT23" s="16">
        <v>0</v>
      </c>
      <c r="BU23" s="16">
        <v>0</v>
      </c>
      <c r="BV23" s="16">
        <v>0</v>
      </c>
      <c r="BW23" s="16">
        <v>0</v>
      </c>
      <c r="BX23" s="16">
        <v>0</v>
      </c>
      <c r="BY23" s="16">
        <v>0</v>
      </c>
      <c r="BZ23" s="16">
        <v>0</v>
      </c>
      <c r="CA23" s="16">
        <v>0</v>
      </c>
      <c r="CB23" s="16">
        <v>0</v>
      </c>
      <c r="CC23" s="16">
        <v>0</v>
      </c>
    </row>
    <row r="24" spans="1:81">
      <c r="A24" t="s">
        <v>134</v>
      </c>
      <c r="B24" s="16">
        <v>0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16">
        <v>0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16">
        <v>0</v>
      </c>
      <c r="BC24" s="16">
        <v>0</v>
      </c>
      <c r="BD24" s="16">
        <v>0</v>
      </c>
      <c r="BE24" s="16">
        <v>0</v>
      </c>
      <c r="BF24" s="16">
        <v>0</v>
      </c>
      <c r="BG24" s="16">
        <v>0</v>
      </c>
      <c r="BH24" s="16">
        <v>0</v>
      </c>
      <c r="BI24" s="16">
        <v>0</v>
      </c>
      <c r="BJ24" s="16">
        <v>0</v>
      </c>
      <c r="BK24" s="16">
        <v>0</v>
      </c>
      <c r="BL24" s="16">
        <v>0</v>
      </c>
      <c r="BM24" s="16">
        <v>0</v>
      </c>
      <c r="BN24" s="16">
        <v>0</v>
      </c>
      <c r="BO24" s="16">
        <v>0</v>
      </c>
      <c r="BP24" s="16">
        <v>0</v>
      </c>
      <c r="BQ24" s="16">
        <v>0</v>
      </c>
      <c r="BR24" s="16">
        <v>0</v>
      </c>
      <c r="BS24" s="16">
        <v>0</v>
      </c>
      <c r="BT24" s="16">
        <v>0</v>
      </c>
      <c r="BU24" s="16">
        <v>0</v>
      </c>
      <c r="BV24" s="16">
        <v>0</v>
      </c>
      <c r="BW24" s="16">
        <v>0</v>
      </c>
      <c r="BX24" s="16">
        <v>0</v>
      </c>
      <c r="BY24" s="16">
        <v>0</v>
      </c>
      <c r="BZ24" s="16">
        <v>0</v>
      </c>
      <c r="CA24" s="16">
        <v>0</v>
      </c>
      <c r="CB24" s="16">
        <v>0</v>
      </c>
      <c r="CC24" s="16">
        <v>0</v>
      </c>
    </row>
    <row r="25" spans="1:81">
      <c r="A25" t="s">
        <v>135</v>
      </c>
      <c r="B25" s="16">
        <v>0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16">
        <v>0</v>
      </c>
      <c r="BC25" s="16">
        <v>0</v>
      </c>
      <c r="BD25" s="16">
        <v>0</v>
      </c>
      <c r="BE25" s="16">
        <v>0</v>
      </c>
      <c r="BF25" s="16">
        <v>0</v>
      </c>
      <c r="BG25" s="16">
        <v>0</v>
      </c>
      <c r="BH25" s="16">
        <v>0</v>
      </c>
      <c r="BI25" s="16">
        <v>0</v>
      </c>
      <c r="BJ25" s="16">
        <v>0</v>
      </c>
      <c r="BK25" s="16">
        <v>0</v>
      </c>
      <c r="BL25" s="16">
        <v>0</v>
      </c>
      <c r="BM25" s="16">
        <v>0</v>
      </c>
      <c r="BN25" s="16">
        <v>0</v>
      </c>
      <c r="BO25" s="16">
        <v>0</v>
      </c>
      <c r="BP25" s="16">
        <v>0</v>
      </c>
      <c r="BQ25" s="16">
        <v>0</v>
      </c>
      <c r="BR25" s="16">
        <v>0</v>
      </c>
      <c r="BS25" s="16">
        <v>0</v>
      </c>
      <c r="BT25" s="16">
        <v>0</v>
      </c>
      <c r="BU25" s="16">
        <v>0</v>
      </c>
      <c r="BV25" s="16">
        <v>0</v>
      </c>
      <c r="BW25" s="16">
        <v>0</v>
      </c>
      <c r="BX25" s="16">
        <v>0</v>
      </c>
      <c r="BY25" s="16">
        <v>0</v>
      </c>
      <c r="BZ25" s="16">
        <v>0</v>
      </c>
      <c r="CA25" s="16">
        <v>0</v>
      </c>
      <c r="CB25" s="16">
        <v>0</v>
      </c>
      <c r="CC25" s="16">
        <v>0</v>
      </c>
    </row>
    <row r="26" spans="1:81">
      <c r="A26" t="s">
        <v>136</v>
      </c>
      <c r="B26" s="16">
        <v>0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16">
        <v>0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0</v>
      </c>
      <c r="BE26" s="16">
        <v>0</v>
      </c>
      <c r="BF26" s="16">
        <v>0</v>
      </c>
      <c r="BG26" s="16">
        <v>0</v>
      </c>
      <c r="BH26" s="16">
        <v>0</v>
      </c>
      <c r="BI26" s="16">
        <v>0</v>
      </c>
      <c r="BJ26" s="16">
        <v>0</v>
      </c>
      <c r="BK26" s="16">
        <v>0</v>
      </c>
      <c r="BL26" s="16">
        <v>0</v>
      </c>
      <c r="BM26" s="16">
        <v>0</v>
      </c>
      <c r="BN26" s="16">
        <v>0</v>
      </c>
      <c r="BO26" s="16">
        <v>0</v>
      </c>
      <c r="BP26" s="16">
        <v>0</v>
      </c>
      <c r="BQ26" s="16">
        <v>0</v>
      </c>
      <c r="BR26" s="16">
        <v>0</v>
      </c>
      <c r="BS26" s="16">
        <v>0</v>
      </c>
      <c r="BT26" s="16">
        <v>0</v>
      </c>
      <c r="BU26" s="16">
        <v>0</v>
      </c>
      <c r="BV26" s="16">
        <v>0</v>
      </c>
      <c r="BW26" s="16">
        <v>0</v>
      </c>
      <c r="BX26" s="16">
        <v>0</v>
      </c>
      <c r="BY26" s="16">
        <v>0</v>
      </c>
      <c r="BZ26" s="16">
        <v>0</v>
      </c>
      <c r="CA26" s="16">
        <v>0</v>
      </c>
      <c r="CB26" s="16">
        <v>0</v>
      </c>
      <c r="CC26" s="16">
        <v>0</v>
      </c>
    </row>
    <row r="27" spans="1:81">
      <c r="A27" t="s">
        <v>137</v>
      </c>
      <c r="B27" s="16">
        <v>0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16">
        <v>0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16">
        <v>0</v>
      </c>
      <c r="BD27" s="16">
        <v>0</v>
      </c>
      <c r="BE27" s="16">
        <v>0</v>
      </c>
      <c r="BF27" s="16">
        <v>0</v>
      </c>
      <c r="BG27" s="16">
        <v>0</v>
      </c>
      <c r="BH27" s="16">
        <v>0</v>
      </c>
      <c r="BI27" s="16">
        <v>0</v>
      </c>
      <c r="BJ27" s="16">
        <v>0</v>
      </c>
      <c r="BK27" s="16">
        <v>0</v>
      </c>
      <c r="BL27" s="16">
        <v>0</v>
      </c>
      <c r="BM27" s="16">
        <v>0</v>
      </c>
      <c r="BN27" s="16">
        <v>0</v>
      </c>
      <c r="BO27" s="16">
        <v>0</v>
      </c>
      <c r="BP27" s="16">
        <v>0</v>
      </c>
      <c r="BQ27" s="16">
        <v>0</v>
      </c>
      <c r="BR27" s="16">
        <v>0</v>
      </c>
      <c r="BS27" s="16">
        <v>0</v>
      </c>
      <c r="BT27" s="16">
        <v>0</v>
      </c>
      <c r="BU27" s="16">
        <v>0</v>
      </c>
      <c r="BV27" s="16">
        <v>0</v>
      </c>
      <c r="BW27" s="16">
        <v>0</v>
      </c>
      <c r="BX27" s="16">
        <v>0</v>
      </c>
      <c r="BY27" s="16">
        <v>0</v>
      </c>
      <c r="BZ27" s="16">
        <v>0</v>
      </c>
      <c r="CA27" s="16">
        <v>0</v>
      </c>
      <c r="CB27" s="16">
        <v>0</v>
      </c>
      <c r="CC27" s="16">
        <v>0</v>
      </c>
    </row>
    <row r="28" spans="1:81">
      <c r="A28" t="s">
        <v>138</v>
      </c>
      <c r="B28" s="16">
        <v>0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16">
        <v>0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16">
        <v>0</v>
      </c>
      <c r="BL28" s="16">
        <v>0</v>
      </c>
      <c r="BM28" s="16">
        <v>0</v>
      </c>
      <c r="BN28" s="16">
        <v>0</v>
      </c>
      <c r="BO28" s="16">
        <v>0</v>
      </c>
      <c r="BP28" s="16">
        <v>0</v>
      </c>
      <c r="BQ28" s="16">
        <v>0</v>
      </c>
      <c r="BR28" s="16">
        <v>0</v>
      </c>
      <c r="BS28" s="16">
        <v>0</v>
      </c>
      <c r="BT28" s="16">
        <v>0</v>
      </c>
      <c r="BU28" s="16">
        <v>0</v>
      </c>
      <c r="BV28" s="16">
        <v>0</v>
      </c>
      <c r="BW28" s="16">
        <v>0</v>
      </c>
      <c r="BX28" s="16">
        <v>0</v>
      </c>
      <c r="BY28" s="16">
        <v>0</v>
      </c>
      <c r="BZ28" s="16">
        <v>0</v>
      </c>
      <c r="CA28" s="16">
        <v>0</v>
      </c>
      <c r="CB28" s="16">
        <v>0</v>
      </c>
      <c r="CC28" s="16">
        <v>0</v>
      </c>
    </row>
    <row r="29" spans="1:81">
      <c r="A29" t="s">
        <v>139</v>
      </c>
      <c r="B29" s="16">
        <v>0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16">
        <v>0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16">
        <v>0</v>
      </c>
      <c r="BD29" s="16">
        <v>0</v>
      </c>
      <c r="BE29" s="16">
        <v>0</v>
      </c>
      <c r="BF29" s="16">
        <v>0</v>
      </c>
      <c r="BG29" s="16">
        <v>0</v>
      </c>
      <c r="BH29" s="16">
        <v>0</v>
      </c>
      <c r="BI29" s="16">
        <v>0</v>
      </c>
      <c r="BJ29" s="16">
        <v>0</v>
      </c>
      <c r="BK29" s="16">
        <v>0</v>
      </c>
      <c r="BL29" s="16">
        <v>0</v>
      </c>
      <c r="BM29" s="16">
        <v>0</v>
      </c>
      <c r="BN29" s="16">
        <v>0</v>
      </c>
      <c r="BO29" s="16">
        <v>0</v>
      </c>
      <c r="BP29" s="16">
        <v>0</v>
      </c>
      <c r="BQ29" s="16">
        <v>0</v>
      </c>
      <c r="BR29" s="16">
        <v>0</v>
      </c>
      <c r="BS29" s="16">
        <v>0</v>
      </c>
      <c r="BT29" s="16">
        <v>0</v>
      </c>
      <c r="BU29" s="16">
        <v>0</v>
      </c>
      <c r="BV29" s="16">
        <v>0</v>
      </c>
      <c r="BW29" s="16">
        <v>0</v>
      </c>
      <c r="BX29" s="16">
        <v>0</v>
      </c>
      <c r="BY29" s="16">
        <v>0</v>
      </c>
      <c r="BZ29" s="16">
        <v>0</v>
      </c>
      <c r="CA29" s="16">
        <v>0</v>
      </c>
      <c r="CB29" s="16">
        <v>0</v>
      </c>
      <c r="CC29" s="16">
        <v>0</v>
      </c>
    </row>
    <row r="30" spans="1:81">
      <c r="A30" t="s">
        <v>140</v>
      </c>
      <c r="B30" s="16">
        <v>0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16">
        <v>0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16">
        <v>0</v>
      </c>
      <c r="BD30" s="16">
        <v>0</v>
      </c>
      <c r="BE30" s="16">
        <v>0</v>
      </c>
      <c r="BF30" s="16">
        <v>0</v>
      </c>
      <c r="BG30" s="16">
        <v>0</v>
      </c>
      <c r="BH30" s="16">
        <v>0</v>
      </c>
      <c r="BI30" s="16">
        <v>0</v>
      </c>
      <c r="BJ30" s="16">
        <v>0</v>
      </c>
      <c r="BK30" s="16">
        <v>0</v>
      </c>
      <c r="BL30" s="16">
        <v>0</v>
      </c>
      <c r="BM30" s="16">
        <v>0</v>
      </c>
      <c r="BN30" s="16">
        <v>0</v>
      </c>
      <c r="BO30" s="16">
        <v>0</v>
      </c>
      <c r="BP30" s="16">
        <v>0</v>
      </c>
      <c r="BQ30" s="16">
        <v>0</v>
      </c>
      <c r="BR30" s="16">
        <v>0</v>
      </c>
      <c r="BS30" s="16">
        <v>0</v>
      </c>
      <c r="BT30" s="16">
        <v>0</v>
      </c>
      <c r="BU30" s="16">
        <v>0</v>
      </c>
      <c r="BV30" s="16">
        <v>0</v>
      </c>
      <c r="BW30" s="16">
        <v>0</v>
      </c>
      <c r="BX30" s="16">
        <v>0</v>
      </c>
      <c r="BY30" s="16">
        <v>0</v>
      </c>
      <c r="BZ30" s="16">
        <v>0</v>
      </c>
      <c r="CA30" s="16">
        <v>0</v>
      </c>
      <c r="CB30" s="16">
        <v>0</v>
      </c>
      <c r="CC30" s="16">
        <v>0</v>
      </c>
    </row>
    <row r="31" spans="1:81">
      <c r="A31" t="s">
        <v>141</v>
      </c>
      <c r="B31" s="16">
        <v>0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6">
        <v>0</v>
      </c>
      <c r="AV31" s="16">
        <v>0</v>
      </c>
      <c r="AW31" s="16">
        <v>0</v>
      </c>
      <c r="AX31" s="16">
        <v>0</v>
      </c>
      <c r="AY31" s="16">
        <v>0</v>
      </c>
      <c r="AZ31" s="16">
        <v>0</v>
      </c>
      <c r="BA31" s="16">
        <v>0</v>
      </c>
      <c r="BB31" s="16">
        <v>0</v>
      </c>
      <c r="BC31" s="16">
        <v>0</v>
      </c>
      <c r="BD31" s="16">
        <v>0</v>
      </c>
      <c r="BE31" s="16">
        <v>0</v>
      </c>
      <c r="BF31" s="16">
        <v>0</v>
      </c>
      <c r="BG31" s="16">
        <v>0</v>
      </c>
      <c r="BH31" s="16">
        <v>0</v>
      </c>
      <c r="BI31" s="16">
        <v>0</v>
      </c>
      <c r="BJ31" s="16">
        <v>0</v>
      </c>
      <c r="BK31" s="16">
        <v>0</v>
      </c>
      <c r="BL31" s="16">
        <v>0</v>
      </c>
      <c r="BM31" s="16">
        <v>0</v>
      </c>
      <c r="BN31" s="16">
        <v>0</v>
      </c>
      <c r="BO31" s="16">
        <v>0</v>
      </c>
      <c r="BP31" s="16">
        <v>0</v>
      </c>
      <c r="BQ31" s="16">
        <v>0</v>
      </c>
      <c r="BR31" s="16">
        <v>0</v>
      </c>
      <c r="BS31" s="16">
        <v>0</v>
      </c>
      <c r="BT31" s="16">
        <v>0</v>
      </c>
      <c r="BU31" s="16">
        <v>0</v>
      </c>
      <c r="BV31" s="16">
        <v>0</v>
      </c>
      <c r="BW31" s="16">
        <v>0</v>
      </c>
      <c r="BX31" s="16">
        <v>0</v>
      </c>
      <c r="BY31" s="16">
        <v>0</v>
      </c>
      <c r="BZ31" s="16">
        <v>0</v>
      </c>
      <c r="CA31" s="16">
        <v>0</v>
      </c>
      <c r="CB31" s="16">
        <v>0</v>
      </c>
      <c r="CC31" s="16">
        <v>0</v>
      </c>
    </row>
    <row r="32" spans="1:81">
      <c r="A32" t="s">
        <v>142</v>
      </c>
      <c r="B32" s="16">
        <v>0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6">
        <v>0</v>
      </c>
      <c r="AV32" s="16">
        <v>0</v>
      </c>
      <c r="AW32" s="16">
        <v>0</v>
      </c>
      <c r="AX32" s="16">
        <v>0</v>
      </c>
      <c r="AY32" s="16">
        <v>0</v>
      </c>
      <c r="AZ32" s="16">
        <v>0</v>
      </c>
      <c r="BA32" s="16">
        <v>0</v>
      </c>
      <c r="BB32" s="16">
        <v>0</v>
      </c>
      <c r="BC32" s="16">
        <v>0</v>
      </c>
      <c r="BD32" s="16">
        <v>0</v>
      </c>
      <c r="BE32" s="16">
        <v>0</v>
      </c>
      <c r="BF32" s="16">
        <v>0</v>
      </c>
      <c r="BG32" s="16">
        <v>0</v>
      </c>
      <c r="BH32" s="16">
        <v>0</v>
      </c>
      <c r="BI32" s="16">
        <v>0</v>
      </c>
      <c r="BJ32" s="16">
        <v>0</v>
      </c>
      <c r="BK32" s="16">
        <v>0</v>
      </c>
      <c r="BL32" s="16">
        <v>0</v>
      </c>
      <c r="BM32" s="16">
        <v>0</v>
      </c>
      <c r="BN32" s="16">
        <v>0</v>
      </c>
      <c r="BO32" s="16">
        <v>0</v>
      </c>
      <c r="BP32" s="16">
        <v>0</v>
      </c>
      <c r="BQ32" s="16">
        <v>0</v>
      </c>
      <c r="BR32" s="16">
        <v>0</v>
      </c>
      <c r="BS32" s="16">
        <v>0</v>
      </c>
      <c r="BT32" s="16">
        <v>0</v>
      </c>
      <c r="BU32" s="16">
        <v>0</v>
      </c>
      <c r="BV32" s="16">
        <v>0</v>
      </c>
      <c r="BW32" s="16">
        <v>0</v>
      </c>
      <c r="BX32" s="16">
        <v>0</v>
      </c>
      <c r="BY32" s="16">
        <v>0</v>
      </c>
      <c r="BZ32" s="16">
        <v>0</v>
      </c>
      <c r="CA32" s="16">
        <v>0</v>
      </c>
      <c r="CB32" s="16">
        <v>0</v>
      </c>
      <c r="CC32" s="16">
        <v>0</v>
      </c>
    </row>
    <row r="33" spans="1:81">
      <c r="A33" t="s">
        <v>143</v>
      </c>
      <c r="B33" s="16">
        <v>0</v>
      </c>
      <c r="C33" s="16"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6">
        <v>0</v>
      </c>
      <c r="AV33" s="16">
        <v>0</v>
      </c>
      <c r="AW33" s="16">
        <v>0</v>
      </c>
      <c r="AX33" s="16">
        <v>0</v>
      </c>
      <c r="AY33" s="16">
        <v>0</v>
      </c>
      <c r="AZ33" s="16">
        <v>0</v>
      </c>
      <c r="BA33" s="16">
        <v>0</v>
      </c>
      <c r="BB33" s="16">
        <v>0</v>
      </c>
      <c r="BC33" s="16">
        <v>0</v>
      </c>
      <c r="BD33" s="16">
        <v>0</v>
      </c>
      <c r="BE33" s="16">
        <v>0</v>
      </c>
      <c r="BF33" s="16">
        <v>0</v>
      </c>
      <c r="BG33" s="16">
        <v>0</v>
      </c>
      <c r="BH33" s="16">
        <v>0</v>
      </c>
      <c r="BI33" s="16">
        <v>0</v>
      </c>
      <c r="BJ33" s="16">
        <v>0</v>
      </c>
      <c r="BK33" s="16">
        <v>0</v>
      </c>
      <c r="BL33" s="16">
        <v>0</v>
      </c>
      <c r="BM33" s="16">
        <v>0</v>
      </c>
      <c r="BN33" s="16">
        <v>0</v>
      </c>
      <c r="BO33" s="16">
        <v>0</v>
      </c>
      <c r="BP33" s="16">
        <v>0</v>
      </c>
      <c r="BQ33" s="16">
        <v>0</v>
      </c>
      <c r="BR33" s="16">
        <v>0</v>
      </c>
      <c r="BS33" s="16">
        <v>0</v>
      </c>
      <c r="BT33" s="16">
        <v>0</v>
      </c>
      <c r="BU33" s="16">
        <v>0</v>
      </c>
      <c r="BV33" s="16">
        <v>0</v>
      </c>
      <c r="BW33" s="16">
        <v>0</v>
      </c>
      <c r="BX33" s="16">
        <v>0</v>
      </c>
      <c r="BY33" s="16">
        <v>0</v>
      </c>
      <c r="BZ33" s="16">
        <v>0</v>
      </c>
      <c r="CA33" s="16">
        <v>0</v>
      </c>
      <c r="CB33" s="16">
        <v>0</v>
      </c>
      <c r="CC33" s="16">
        <v>0</v>
      </c>
    </row>
    <row r="34" spans="1:81">
      <c r="A34" t="s">
        <v>144</v>
      </c>
      <c r="B34" s="16">
        <v>0</v>
      </c>
      <c r="C34" s="16">
        <v>0</v>
      </c>
      <c r="D34" s="16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6">
        <v>0</v>
      </c>
      <c r="AV34" s="16">
        <v>0</v>
      </c>
      <c r="AW34" s="16">
        <v>0</v>
      </c>
      <c r="AX34" s="16">
        <v>0</v>
      </c>
      <c r="AY34" s="16">
        <v>0</v>
      </c>
      <c r="AZ34" s="16">
        <v>0</v>
      </c>
      <c r="BA34" s="16">
        <v>0</v>
      </c>
      <c r="BB34" s="16">
        <v>0</v>
      </c>
      <c r="BC34" s="16">
        <v>0</v>
      </c>
      <c r="BD34" s="16">
        <v>0</v>
      </c>
      <c r="BE34" s="16">
        <v>0</v>
      </c>
      <c r="BF34" s="16">
        <v>0</v>
      </c>
      <c r="BG34" s="16">
        <v>0</v>
      </c>
      <c r="BH34" s="16">
        <v>0</v>
      </c>
      <c r="BI34" s="16">
        <v>0</v>
      </c>
      <c r="BJ34" s="16">
        <v>0</v>
      </c>
      <c r="BK34" s="16">
        <v>0</v>
      </c>
      <c r="BL34" s="16">
        <v>0</v>
      </c>
      <c r="BM34" s="16">
        <v>0</v>
      </c>
      <c r="BN34" s="16">
        <v>0</v>
      </c>
      <c r="BO34" s="16">
        <v>0</v>
      </c>
      <c r="BP34" s="16">
        <v>0</v>
      </c>
      <c r="BQ34" s="16">
        <v>0</v>
      </c>
      <c r="BR34" s="16">
        <v>0</v>
      </c>
      <c r="BS34" s="16">
        <v>0</v>
      </c>
      <c r="BT34" s="16">
        <v>0</v>
      </c>
      <c r="BU34" s="16">
        <v>0</v>
      </c>
      <c r="BV34" s="16">
        <v>0</v>
      </c>
      <c r="BW34" s="16">
        <v>0</v>
      </c>
      <c r="BX34" s="16">
        <v>0</v>
      </c>
      <c r="BY34" s="16">
        <v>0</v>
      </c>
      <c r="BZ34" s="16">
        <v>0</v>
      </c>
      <c r="CA34" s="16">
        <v>0</v>
      </c>
      <c r="CB34" s="16">
        <v>0</v>
      </c>
      <c r="CC34" s="16">
        <v>0</v>
      </c>
    </row>
    <row r="35" spans="1:81">
      <c r="A35" t="s">
        <v>145</v>
      </c>
      <c r="B35" s="16">
        <v>0</v>
      </c>
      <c r="C35" s="16">
        <v>0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0</v>
      </c>
      <c r="AU35" s="16">
        <v>0</v>
      </c>
      <c r="AV35" s="16">
        <v>0</v>
      </c>
      <c r="AW35" s="16">
        <v>0</v>
      </c>
      <c r="AX35" s="16">
        <v>0</v>
      </c>
      <c r="AY35" s="16">
        <v>0</v>
      </c>
      <c r="AZ35" s="16">
        <v>0</v>
      </c>
      <c r="BA35" s="16">
        <v>0</v>
      </c>
      <c r="BB35" s="16">
        <v>0</v>
      </c>
      <c r="BC35" s="16">
        <v>0</v>
      </c>
      <c r="BD35" s="16">
        <v>0</v>
      </c>
      <c r="BE35" s="16">
        <v>0</v>
      </c>
      <c r="BF35" s="16">
        <v>0</v>
      </c>
      <c r="BG35" s="16">
        <v>0</v>
      </c>
      <c r="BH35" s="16">
        <v>0</v>
      </c>
      <c r="BI35" s="16">
        <v>0</v>
      </c>
      <c r="BJ35" s="16">
        <v>0</v>
      </c>
      <c r="BK35" s="16">
        <v>0</v>
      </c>
      <c r="BL35" s="16">
        <v>0</v>
      </c>
      <c r="BM35" s="16">
        <v>0</v>
      </c>
      <c r="BN35" s="16">
        <v>0</v>
      </c>
      <c r="BO35" s="16">
        <v>0</v>
      </c>
      <c r="BP35" s="16">
        <v>0</v>
      </c>
      <c r="BQ35" s="16">
        <v>0</v>
      </c>
      <c r="BR35" s="16">
        <v>0</v>
      </c>
      <c r="BS35" s="16">
        <v>0</v>
      </c>
      <c r="BT35" s="16">
        <v>0</v>
      </c>
      <c r="BU35" s="16">
        <v>0</v>
      </c>
      <c r="BV35" s="16">
        <v>0</v>
      </c>
      <c r="BW35" s="16">
        <v>0</v>
      </c>
      <c r="BX35" s="16">
        <v>0</v>
      </c>
      <c r="BY35" s="16">
        <v>0</v>
      </c>
      <c r="BZ35" s="16">
        <v>0</v>
      </c>
      <c r="CA35" s="16">
        <v>0</v>
      </c>
      <c r="CB35" s="16">
        <v>0</v>
      </c>
      <c r="CC35" s="16">
        <v>0</v>
      </c>
    </row>
    <row r="36" spans="1:81">
      <c r="A36" t="s">
        <v>146</v>
      </c>
      <c r="B36" s="16">
        <v>0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6">
        <v>0</v>
      </c>
      <c r="AV36" s="16">
        <v>0</v>
      </c>
      <c r="AW36" s="16">
        <v>0</v>
      </c>
      <c r="AX36" s="16">
        <v>0</v>
      </c>
      <c r="AY36" s="16">
        <v>0</v>
      </c>
      <c r="AZ36" s="16">
        <v>0</v>
      </c>
      <c r="BA36" s="16">
        <v>0</v>
      </c>
      <c r="BB36" s="16">
        <v>0</v>
      </c>
      <c r="BC36" s="16">
        <v>0</v>
      </c>
      <c r="BD36" s="16">
        <v>0</v>
      </c>
      <c r="BE36" s="16">
        <v>0</v>
      </c>
      <c r="BF36" s="16">
        <v>0</v>
      </c>
      <c r="BG36" s="16">
        <v>0</v>
      </c>
      <c r="BH36" s="16">
        <v>0</v>
      </c>
      <c r="BI36" s="16">
        <v>0</v>
      </c>
      <c r="BJ36" s="16">
        <v>0</v>
      </c>
      <c r="BK36" s="16">
        <v>0</v>
      </c>
      <c r="BL36" s="16">
        <v>0</v>
      </c>
      <c r="BM36" s="16">
        <v>0</v>
      </c>
      <c r="BN36" s="16">
        <v>0</v>
      </c>
      <c r="BO36" s="16">
        <v>0</v>
      </c>
      <c r="BP36" s="16">
        <v>0</v>
      </c>
      <c r="BQ36" s="16">
        <v>0</v>
      </c>
      <c r="BR36" s="16">
        <v>0</v>
      </c>
      <c r="BS36" s="16">
        <v>0</v>
      </c>
      <c r="BT36" s="16">
        <v>0</v>
      </c>
      <c r="BU36" s="16">
        <v>0</v>
      </c>
      <c r="BV36" s="16">
        <v>0</v>
      </c>
      <c r="BW36" s="16">
        <v>0</v>
      </c>
      <c r="BX36" s="16">
        <v>0</v>
      </c>
      <c r="BY36" s="16">
        <v>0</v>
      </c>
      <c r="BZ36" s="16">
        <v>0</v>
      </c>
      <c r="CA36" s="16">
        <v>0</v>
      </c>
      <c r="CB36" s="16">
        <v>0</v>
      </c>
      <c r="CC36" s="16">
        <v>0</v>
      </c>
    </row>
    <row r="37" spans="1:81">
      <c r="A37" t="s">
        <v>147</v>
      </c>
      <c r="B37" s="16">
        <v>0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0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6">
        <v>0</v>
      </c>
      <c r="AV37" s="16">
        <v>0</v>
      </c>
      <c r="AW37" s="16">
        <v>0</v>
      </c>
      <c r="AX37" s="16">
        <v>0</v>
      </c>
      <c r="AY37" s="16">
        <v>0</v>
      </c>
      <c r="AZ37" s="16">
        <v>0</v>
      </c>
      <c r="BA37" s="16">
        <v>0</v>
      </c>
      <c r="BB37" s="16">
        <v>0</v>
      </c>
      <c r="BC37" s="16">
        <v>0</v>
      </c>
      <c r="BD37" s="16">
        <v>0</v>
      </c>
      <c r="BE37" s="16">
        <v>0</v>
      </c>
      <c r="BF37" s="16">
        <v>0</v>
      </c>
      <c r="BG37" s="16">
        <v>0</v>
      </c>
      <c r="BH37" s="16">
        <v>0</v>
      </c>
      <c r="BI37" s="16">
        <v>0</v>
      </c>
      <c r="BJ37" s="16">
        <v>0</v>
      </c>
      <c r="BK37" s="16">
        <v>0</v>
      </c>
      <c r="BL37" s="16">
        <v>0</v>
      </c>
      <c r="BM37" s="16">
        <v>0</v>
      </c>
      <c r="BN37" s="16">
        <v>0</v>
      </c>
      <c r="BO37" s="16">
        <v>0</v>
      </c>
      <c r="BP37" s="16">
        <v>0</v>
      </c>
      <c r="BQ37" s="16">
        <v>0</v>
      </c>
      <c r="BR37" s="16">
        <v>0</v>
      </c>
      <c r="BS37" s="16">
        <v>0</v>
      </c>
      <c r="BT37" s="16">
        <v>0</v>
      </c>
      <c r="BU37" s="16">
        <v>0</v>
      </c>
      <c r="BV37" s="16">
        <v>0</v>
      </c>
      <c r="BW37" s="16">
        <v>0</v>
      </c>
      <c r="BX37" s="16">
        <v>0</v>
      </c>
      <c r="BY37" s="16">
        <v>0</v>
      </c>
      <c r="BZ37" s="16">
        <v>0</v>
      </c>
      <c r="CA37" s="16">
        <v>0</v>
      </c>
      <c r="CB37" s="16">
        <v>0</v>
      </c>
      <c r="CC37" s="16">
        <v>0</v>
      </c>
    </row>
    <row r="38" spans="1:81">
      <c r="A38" t="s">
        <v>148</v>
      </c>
      <c r="B38" s="16">
        <v>0</v>
      </c>
      <c r="C38" s="16">
        <v>0</v>
      </c>
      <c r="D38" s="16">
        <v>0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6">
        <v>0</v>
      </c>
      <c r="AV38" s="16">
        <v>0</v>
      </c>
      <c r="AW38" s="16">
        <v>0</v>
      </c>
      <c r="AX38" s="16">
        <v>0</v>
      </c>
      <c r="AY38" s="16">
        <v>0</v>
      </c>
      <c r="AZ38" s="16">
        <v>0</v>
      </c>
      <c r="BA38" s="16">
        <v>0</v>
      </c>
      <c r="BB38" s="16">
        <v>0</v>
      </c>
      <c r="BC38" s="16">
        <v>0</v>
      </c>
      <c r="BD38" s="16">
        <v>0</v>
      </c>
      <c r="BE38" s="16">
        <v>0</v>
      </c>
      <c r="BF38" s="16">
        <v>0</v>
      </c>
      <c r="BG38" s="16">
        <v>0</v>
      </c>
      <c r="BH38" s="16">
        <v>0</v>
      </c>
      <c r="BI38" s="16">
        <v>0</v>
      </c>
      <c r="BJ38" s="16">
        <v>0</v>
      </c>
      <c r="BK38" s="16">
        <v>0</v>
      </c>
      <c r="BL38" s="16">
        <v>0</v>
      </c>
      <c r="BM38" s="16">
        <v>0</v>
      </c>
      <c r="BN38" s="16">
        <v>0</v>
      </c>
      <c r="BO38" s="16">
        <v>0</v>
      </c>
      <c r="BP38" s="16">
        <v>0</v>
      </c>
      <c r="BQ38" s="16">
        <v>0</v>
      </c>
      <c r="BR38" s="16">
        <v>0</v>
      </c>
      <c r="BS38" s="16">
        <v>0</v>
      </c>
      <c r="BT38" s="16">
        <v>0</v>
      </c>
      <c r="BU38" s="16">
        <v>0</v>
      </c>
      <c r="BV38" s="16">
        <v>0</v>
      </c>
      <c r="BW38" s="16">
        <v>0</v>
      </c>
      <c r="BX38" s="16">
        <v>0</v>
      </c>
      <c r="BY38" s="16">
        <v>0</v>
      </c>
      <c r="BZ38" s="16">
        <v>0</v>
      </c>
      <c r="CA38" s="16">
        <v>0</v>
      </c>
      <c r="CB38" s="16">
        <v>0</v>
      </c>
      <c r="CC38" s="16">
        <v>0</v>
      </c>
    </row>
    <row r="39" spans="1:81">
      <c r="A39" t="s">
        <v>149</v>
      </c>
      <c r="B39" s="16">
        <v>0</v>
      </c>
      <c r="C39" s="16">
        <v>0</v>
      </c>
      <c r="D39" s="16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6">
        <v>0</v>
      </c>
      <c r="AV39" s="16">
        <v>0</v>
      </c>
      <c r="AW39" s="16">
        <v>0</v>
      </c>
      <c r="AX39" s="16">
        <v>0</v>
      </c>
      <c r="AY39" s="16">
        <v>0</v>
      </c>
      <c r="AZ39" s="16">
        <v>0</v>
      </c>
      <c r="BA39" s="16">
        <v>0</v>
      </c>
      <c r="BB39" s="16">
        <v>0</v>
      </c>
      <c r="BC39" s="16">
        <v>0</v>
      </c>
      <c r="BD39" s="16">
        <v>0</v>
      </c>
      <c r="BE39" s="16">
        <v>0</v>
      </c>
      <c r="BF39" s="16">
        <v>0</v>
      </c>
      <c r="BG39" s="16">
        <v>0</v>
      </c>
      <c r="BH39" s="16">
        <v>0</v>
      </c>
      <c r="BI39" s="16">
        <v>0</v>
      </c>
      <c r="BJ39" s="16">
        <v>0</v>
      </c>
      <c r="BK39" s="16">
        <v>0</v>
      </c>
      <c r="BL39" s="16">
        <v>0</v>
      </c>
      <c r="BM39" s="16">
        <v>0</v>
      </c>
      <c r="BN39" s="16">
        <v>0</v>
      </c>
      <c r="BO39" s="16">
        <v>0</v>
      </c>
      <c r="BP39" s="16">
        <v>0</v>
      </c>
      <c r="BQ39" s="16">
        <v>0</v>
      </c>
      <c r="BR39" s="16">
        <v>0</v>
      </c>
      <c r="BS39" s="16">
        <v>0</v>
      </c>
      <c r="BT39" s="16">
        <v>0</v>
      </c>
      <c r="BU39" s="16">
        <v>0</v>
      </c>
      <c r="BV39" s="16">
        <v>0</v>
      </c>
      <c r="BW39" s="16">
        <v>0</v>
      </c>
      <c r="BX39" s="16">
        <v>0</v>
      </c>
      <c r="BY39" s="16">
        <v>0</v>
      </c>
      <c r="BZ39" s="16">
        <v>0</v>
      </c>
      <c r="CA39" s="16">
        <v>0</v>
      </c>
      <c r="CB39" s="16">
        <v>0</v>
      </c>
      <c r="CC39" s="16">
        <v>0</v>
      </c>
    </row>
    <row r="40" spans="1:81">
      <c r="A40" t="s">
        <v>150</v>
      </c>
      <c r="B40" s="16">
        <v>0</v>
      </c>
      <c r="C40" s="16">
        <v>0</v>
      </c>
      <c r="D40" s="16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0</v>
      </c>
      <c r="AD40" s="16">
        <v>0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6">
        <v>0</v>
      </c>
      <c r="AV40" s="16">
        <v>0</v>
      </c>
      <c r="AW40" s="16">
        <v>0</v>
      </c>
      <c r="AX40" s="16">
        <v>0</v>
      </c>
      <c r="AY40" s="16">
        <v>0</v>
      </c>
      <c r="AZ40" s="16">
        <v>0</v>
      </c>
      <c r="BA40" s="16">
        <v>0</v>
      </c>
      <c r="BB40" s="16">
        <v>0</v>
      </c>
      <c r="BC40" s="16">
        <v>0</v>
      </c>
      <c r="BD40" s="16">
        <v>0</v>
      </c>
      <c r="BE40" s="16">
        <v>0</v>
      </c>
      <c r="BF40" s="16">
        <v>0</v>
      </c>
      <c r="BG40" s="16">
        <v>0</v>
      </c>
      <c r="BH40" s="16">
        <v>0</v>
      </c>
      <c r="BI40" s="16">
        <v>0</v>
      </c>
      <c r="BJ40" s="16">
        <v>0</v>
      </c>
      <c r="BK40" s="16">
        <v>0</v>
      </c>
      <c r="BL40" s="16">
        <v>0</v>
      </c>
      <c r="BM40" s="16">
        <v>0</v>
      </c>
      <c r="BN40" s="16">
        <v>0</v>
      </c>
      <c r="BO40" s="16">
        <v>0</v>
      </c>
      <c r="BP40" s="16">
        <v>0</v>
      </c>
      <c r="BQ40" s="16">
        <v>0</v>
      </c>
      <c r="BR40" s="16">
        <v>0</v>
      </c>
      <c r="BS40" s="16">
        <v>0</v>
      </c>
      <c r="BT40" s="16">
        <v>0</v>
      </c>
      <c r="BU40" s="16">
        <v>0</v>
      </c>
      <c r="BV40" s="16">
        <v>0</v>
      </c>
      <c r="BW40" s="16">
        <v>0</v>
      </c>
      <c r="BX40" s="16">
        <v>0</v>
      </c>
      <c r="BY40" s="16">
        <v>0</v>
      </c>
      <c r="BZ40" s="16">
        <v>0</v>
      </c>
      <c r="CA40" s="16">
        <v>0</v>
      </c>
      <c r="CB40" s="16">
        <v>0</v>
      </c>
      <c r="CC40" s="16">
        <v>0</v>
      </c>
    </row>
    <row r="41" spans="1:81">
      <c r="A41" t="s">
        <v>151</v>
      </c>
      <c r="B41" s="16">
        <v>0</v>
      </c>
      <c r="C41" s="16">
        <v>0</v>
      </c>
      <c r="D41" s="16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0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6">
        <v>0</v>
      </c>
      <c r="AV41" s="16">
        <v>0</v>
      </c>
      <c r="AW41" s="16">
        <v>0</v>
      </c>
      <c r="AX41" s="16">
        <v>0</v>
      </c>
      <c r="AY41" s="16">
        <v>0</v>
      </c>
      <c r="AZ41" s="16">
        <v>0</v>
      </c>
      <c r="BA41" s="16">
        <v>0</v>
      </c>
      <c r="BB41" s="16">
        <v>0</v>
      </c>
      <c r="BC41" s="16">
        <v>0</v>
      </c>
      <c r="BD41" s="16">
        <v>0</v>
      </c>
      <c r="BE41" s="16">
        <v>0</v>
      </c>
      <c r="BF41" s="16">
        <v>0</v>
      </c>
      <c r="BG41" s="16">
        <v>0</v>
      </c>
      <c r="BH41" s="16">
        <v>0</v>
      </c>
      <c r="BI41" s="16">
        <v>0</v>
      </c>
      <c r="BJ41" s="16">
        <v>0</v>
      </c>
      <c r="BK41" s="16">
        <v>0</v>
      </c>
      <c r="BL41" s="16">
        <v>0</v>
      </c>
      <c r="BM41" s="16">
        <v>0</v>
      </c>
      <c r="BN41" s="16">
        <v>0</v>
      </c>
      <c r="BO41" s="16">
        <v>0</v>
      </c>
      <c r="BP41" s="16">
        <v>0</v>
      </c>
      <c r="BQ41" s="16">
        <v>0</v>
      </c>
      <c r="BR41" s="16">
        <v>0</v>
      </c>
      <c r="BS41" s="16">
        <v>0</v>
      </c>
      <c r="BT41" s="16">
        <v>0</v>
      </c>
      <c r="BU41" s="16">
        <v>0</v>
      </c>
      <c r="BV41" s="16">
        <v>0</v>
      </c>
      <c r="BW41" s="16">
        <v>0</v>
      </c>
      <c r="BX41" s="16">
        <v>0</v>
      </c>
      <c r="BY41" s="16">
        <v>0</v>
      </c>
      <c r="BZ41" s="16">
        <v>0</v>
      </c>
      <c r="CA41" s="16">
        <v>0</v>
      </c>
      <c r="CB41" s="16">
        <v>0</v>
      </c>
      <c r="CC41" s="16">
        <v>0</v>
      </c>
    </row>
    <row r="42" spans="1:81">
      <c r="A42" t="s">
        <v>152</v>
      </c>
      <c r="B42" s="16">
        <v>0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6">
        <v>0</v>
      </c>
      <c r="AV42" s="16">
        <v>0</v>
      </c>
      <c r="AW42" s="16">
        <v>0</v>
      </c>
      <c r="AX42" s="16">
        <v>0</v>
      </c>
      <c r="AY42" s="16">
        <v>0</v>
      </c>
      <c r="AZ42" s="16">
        <v>0</v>
      </c>
      <c r="BA42" s="16">
        <v>0</v>
      </c>
      <c r="BB42" s="16">
        <v>0</v>
      </c>
      <c r="BC42" s="16">
        <v>0</v>
      </c>
      <c r="BD42" s="16">
        <v>0</v>
      </c>
      <c r="BE42" s="16">
        <v>0</v>
      </c>
      <c r="BF42" s="16">
        <v>0</v>
      </c>
      <c r="BG42" s="16">
        <v>0</v>
      </c>
      <c r="BH42" s="16">
        <v>0</v>
      </c>
      <c r="BI42" s="16">
        <v>0</v>
      </c>
      <c r="BJ42" s="16">
        <v>0</v>
      </c>
      <c r="BK42" s="16">
        <v>0</v>
      </c>
      <c r="BL42" s="16">
        <v>0</v>
      </c>
      <c r="BM42" s="16">
        <v>0</v>
      </c>
      <c r="BN42" s="16">
        <v>0</v>
      </c>
      <c r="BO42" s="16">
        <v>0</v>
      </c>
      <c r="BP42" s="16">
        <v>0</v>
      </c>
      <c r="BQ42" s="16">
        <v>0</v>
      </c>
      <c r="BR42" s="16">
        <v>0</v>
      </c>
      <c r="BS42" s="16">
        <v>0</v>
      </c>
      <c r="BT42" s="16">
        <v>0</v>
      </c>
      <c r="BU42" s="16">
        <v>0</v>
      </c>
      <c r="BV42" s="16">
        <v>0</v>
      </c>
      <c r="BW42" s="16">
        <v>0</v>
      </c>
      <c r="BX42" s="16">
        <v>0</v>
      </c>
      <c r="BY42" s="16">
        <v>0</v>
      </c>
      <c r="BZ42" s="16">
        <v>0</v>
      </c>
      <c r="CA42" s="16">
        <v>0</v>
      </c>
      <c r="CB42" s="16">
        <v>0</v>
      </c>
      <c r="CC42" s="16">
        <v>0</v>
      </c>
    </row>
    <row r="43" spans="1:81">
      <c r="A43" t="s">
        <v>153</v>
      </c>
      <c r="B43" s="16">
        <v>0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16">
        <v>0</v>
      </c>
      <c r="Q43" s="16">
        <v>0</v>
      </c>
      <c r="R43" s="16">
        <v>0</v>
      </c>
      <c r="S43" s="16">
        <v>0</v>
      </c>
      <c r="T43" s="16">
        <v>0</v>
      </c>
      <c r="U43" s="16">
        <v>0</v>
      </c>
      <c r="V43" s="16">
        <v>0</v>
      </c>
      <c r="W43" s="16">
        <v>0</v>
      </c>
      <c r="X43" s="16">
        <v>0</v>
      </c>
      <c r="Y43" s="16">
        <v>0</v>
      </c>
      <c r="Z43" s="16">
        <v>0</v>
      </c>
      <c r="AA43" s="16">
        <v>0</v>
      </c>
      <c r="AB43" s="16">
        <v>0</v>
      </c>
      <c r="AC43" s="16">
        <v>0</v>
      </c>
      <c r="AD43" s="16">
        <v>0</v>
      </c>
      <c r="AE43" s="16">
        <v>0</v>
      </c>
      <c r="AF43" s="16">
        <v>0</v>
      </c>
      <c r="AG43" s="16">
        <v>0</v>
      </c>
      <c r="AH43" s="16">
        <v>0</v>
      </c>
      <c r="AI43" s="16">
        <v>0</v>
      </c>
      <c r="AJ43" s="16">
        <v>0</v>
      </c>
      <c r="AK43" s="16">
        <v>0</v>
      </c>
      <c r="AL43" s="16">
        <v>0</v>
      </c>
      <c r="AM43" s="16">
        <v>0</v>
      </c>
      <c r="AN43" s="16">
        <v>0</v>
      </c>
      <c r="AO43" s="16">
        <v>0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6">
        <v>0</v>
      </c>
      <c r="AV43" s="16">
        <v>0</v>
      </c>
      <c r="AW43" s="16">
        <v>0</v>
      </c>
      <c r="AX43" s="16">
        <v>0</v>
      </c>
      <c r="AY43" s="16">
        <v>0</v>
      </c>
      <c r="AZ43" s="16">
        <v>0</v>
      </c>
      <c r="BA43" s="16">
        <v>0</v>
      </c>
      <c r="BB43" s="16">
        <v>0</v>
      </c>
      <c r="BC43" s="16">
        <v>0</v>
      </c>
      <c r="BD43" s="16">
        <v>0</v>
      </c>
      <c r="BE43" s="16">
        <v>0</v>
      </c>
      <c r="BF43" s="16">
        <v>0</v>
      </c>
      <c r="BG43" s="16">
        <v>0</v>
      </c>
      <c r="BH43" s="16">
        <v>0</v>
      </c>
      <c r="BI43" s="16">
        <v>0</v>
      </c>
      <c r="BJ43" s="16">
        <v>0</v>
      </c>
      <c r="BK43" s="16">
        <v>0</v>
      </c>
      <c r="BL43" s="16">
        <v>0</v>
      </c>
      <c r="BM43" s="16">
        <v>0</v>
      </c>
      <c r="BN43" s="16">
        <v>0</v>
      </c>
      <c r="BO43" s="16">
        <v>0</v>
      </c>
      <c r="BP43" s="16">
        <v>0</v>
      </c>
      <c r="BQ43" s="16">
        <v>0</v>
      </c>
      <c r="BR43" s="16">
        <v>0</v>
      </c>
      <c r="BS43" s="16">
        <v>0</v>
      </c>
      <c r="BT43" s="16">
        <v>0</v>
      </c>
      <c r="BU43" s="16">
        <v>0</v>
      </c>
      <c r="BV43" s="16">
        <v>0</v>
      </c>
      <c r="BW43" s="16">
        <v>0</v>
      </c>
      <c r="BX43" s="16">
        <v>0</v>
      </c>
      <c r="BY43" s="16">
        <v>0</v>
      </c>
      <c r="BZ43" s="16">
        <v>0</v>
      </c>
      <c r="CA43" s="16">
        <v>0</v>
      </c>
      <c r="CB43" s="16">
        <v>0</v>
      </c>
      <c r="CC43" s="16">
        <v>0</v>
      </c>
    </row>
    <row r="44" spans="1:81">
      <c r="A44" t="s">
        <v>154</v>
      </c>
      <c r="B44" s="16">
        <v>0</v>
      </c>
      <c r="C44" s="16">
        <v>0</v>
      </c>
      <c r="D44" s="16">
        <v>0</v>
      </c>
      <c r="E44" s="16">
        <v>0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6">
        <v>0</v>
      </c>
      <c r="AV44" s="16">
        <v>0</v>
      </c>
      <c r="AW44" s="16">
        <v>0</v>
      </c>
      <c r="AX44" s="16">
        <v>0</v>
      </c>
      <c r="AY44" s="16">
        <v>0</v>
      </c>
      <c r="AZ44" s="16">
        <v>0</v>
      </c>
      <c r="BA44" s="16">
        <v>0</v>
      </c>
      <c r="BB44" s="16">
        <v>0</v>
      </c>
      <c r="BC44" s="16">
        <v>0</v>
      </c>
      <c r="BD44" s="16">
        <v>0</v>
      </c>
      <c r="BE44" s="16">
        <v>0</v>
      </c>
      <c r="BF44" s="16">
        <v>0</v>
      </c>
      <c r="BG44" s="16">
        <v>0</v>
      </c>
      <c r="BH44" s="16">
        <v>0</v>
      </c>
      <c r="BI44" s="16">
        <v>0</v>
      </c>
      <c r="BJ44" s="16">
        <v>0</v>
      </c>
      <c r="BK44" s="16">
        <v>0</v>
      </c>
      <c r="BL44" s="16">
        <v>0</v>
      </c>
      <c r="BM44" s="16">
        <v>0</v>
      </c>
      <c r="BN44" s="16">
        <v>0</v>
      </c>
      <c r="BO44" s="16">
        <v>0</v>
      </c>
      <c r="BP44" s="16">
        <v>0</v>
      </c>
      <c r="BQ44" s="16">
        <v>0</v>
      </c>
      <c r="BR44" s="16">
        <v>0</v>
      </c>
      <c r="BS44" s="16">
        <v>0</v>
      </c>
      <c r="BT44" s="16">
        <v>0</v>
      </c>
      <c r="BU44" s="16">
        <v>0</v>
      </c>
      <c r="BV44" s="16">
        <v>0</v>
      </c>
      <c r="BW44" s="16">
        <v>0</v>
      </c>
      <c r="BX44" s="16">
        <v>0</v>
      </c>
      <c r="BY44" s="16">
        <v>0</v>
      </c>
      <c r="BZ44" s="16">
        <v>0</v>
      </c>
      <c r="CA44" s="16">
        <v>0</v>
      </c>
      <c r="CB44" s="16">
        <v>0</v>
      </c>
      <c r="CC44" s="16">
        <v>0</v>
      </c>
    </row>
    <row r="45" spans="1:81">
      <c r="A45" t="s">
        <v>155</v>
      </c>
      <c r="B45" s="16">
        <v>0</v>
      </c>
      <c r="C45" s="16">
        <v>0</v>
      </c>
      <c r="D45" s="16">
        <v>0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  <c r="J45" s="16">
        <v>0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0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6">
        <v>0</v>
      </c>
      <c r="AV45" s="16">
        <v>0</v>
      </c>
      <c r="AW45" s="16">
        <v>0</v>
      </c>
      <c r="AX45" s="16">
        <v>0</v>
      </c>
      <c r="AY45" s="16">
        <v>0</v>
      </c>
      <c r="AZ45" s="16">
        <v>0</v>
      </c>
      <c r="BA45" s="16">
        <v>0</v>
      </c>
      <c r="BB45" s="16">
        <v>0</v>
      </c>
      <c r="BC45" s="16">
        <v>0</v>
      </c>
      <c r="BD45" s="16">
        <v>0</v>
      </c>
      <c r="BE45" s="16">
        <v>0</v>
      </c>
      <c r="BF45" s="16">
        <v>0</v>
      </c>
      <c r="BG45" s="16">
        <v>0</v>
      </c>
      <c r="BH45" s="16">
        <v>0</v>
      </c>
      <c r="BI45" s="16">
        <v>0</v>
      </c>
      <c r="BJ45" s="16">
        <v>0</v>
      </c>
      <c r="BK45" s="16">
        <v>0</v>
      </c>
      <c r="BL45" s="16">
        <v>0</v>
      </c>
      <c r="BM45" s="16">
        <v>0</v>
      </c>
      <c r="BN45" s="16">
        <v>0</v>
      </c>
      <c r="BO45" s="16">
        <v>0</v>
      </c>
      <c r="BP45" s="16">
        <v>0</v>
      </c>
      <c r="BQ45" s="16">
        <v>0</v>
      </c>
      <c r="BR45" s="16">
        <v>0</v>
      </c>
      <c r="BS45" s="16">
        <v>0</v>
      </c>
      <c r="BT45" s="16">
        <v>0</v>
      </c>
      <c r="BU45" s="16">
        <v>0</v>
      </c>
      <c r="BV45" s="16">
        <v>0</v>
      </c>
      <c r="BW45" s="16">
        <v>0</v>
      </c>
      <c r="BX45" s="16">
        <v>0</v>
      </c>
      <c r="BY45" s="16">
        <v>0</v>
      </c>
      <c r="BZ45" s="16">
        <v>0</v>
      </c>
      <c r="CA45" s="16">
        <v>0</v>
      </c>
      <c r="CB45" s="16">
        <v>0</v>
      </c>
      <c r="CC45" s="16">
        <v>0</v>
      </c>
    </row>
    <row r="46" spans="1:81">
      <c r="A46" t="s">
        <v>156</v>
      </c>
      <c r="B46" s="16">
        <v>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0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6">
        <v>0</v>
      </c>
      <c r="AV46" s="16">
        <v>0</v>
      </c>
      <c r="AW46" s="16">
        <v>0</v>
      </c>
      <c r="AX46" s="16">
        <v>0</v>
      </c>
      <c r="AY46" s="16">
        <v>0</v>
      </c>
      <c r="AZ46" s="16">
        <v>0</v>
      </c>
      <c r="BA46" s="16">
        <v>0</v>
      </c>
      <c r="BB46" s="16">
        <v>0</v>
      </c>
      <c r="BC46" s="16">
        <v>0</v>
      </c>
      <c r="BD46" s="16">
        <v>0</v>
      </c>
      <c r="BE46" s="16">
        <v>0</v>
      </c>
      <c r="BF46" s="16">
        <v>0</v>
      </c>
      <c r="BG46" s="16">
        <v>0</v>
      </c>
      <c r="BH46" s="16">
        <v>0</v>
      </c>
      <c r="BI46" s="16">
        <v>0</v>
      </c>
      <c r="BJ46" s="16">
        <v>0</v>
      </c>
      <c r="BK46" s="16">
        <v>0</v>
      </c>
      <c r="BL46" s="16">
        <v>0</v>
      </c>
      <c r="BM46" s="16">
        <v>0</v>
      </c>
      <c r="BN46" s="16">
        <v>0</v>
      </c>
      <c r="BO46" s="16">
        <v>0</v>
      </c>
      <c r="BP46" s="16">
        <v>0</v>
      </c>
      <c r="BQ46" s="16">
        <v>0</v>
      </c>
      <c r="BR46" s="16">
        <v>0</v>
      </c>
      <c r="BS46" s="16">
        <v>0</v>
      </c>
      <c r="BT46" s="16">
        <v>0</v>
      </c>
      <c r="BU46" s="16">
        <v>0</v>
      </c>
      <c r="BV46" s="16">
        <v>0</v>
      </c>
      <c r="BW46" s="16">
        <v>0</v>
      </c>
      <c r="BX46" s="16">
        <v>0</v>
      </c>
      <c r="BY46" s="16">
        <v>0</v>
      </c>
      <c r="BZ46" s="16">
        <v>0</v>
      </c>
      <c r="CA46" s="16">
        <v>0</v>
      </c>
      <c r="CB46" s="16">
        <v>0</v>
      </c>
      <c r="CC46" s="16">
        <v>0</v>
      </c>
    </row>
    <row r="47" spans="1:81">
      <c r="A47" t="s">
        <v>157</v>
      </c>
      <c r="B47" s="16">
        <v>0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0</v>
      </c>
      <c r="R47" s="16">
        <v>0</v>
      </c>
      <c r="S47" s="16">
        <v>0</v>
      </c>
      <c r="T47" s="16">
        <v>0</v>
      </c>
      <c r="U47" s="16">
        <v>0</v>
      </c>
      <c r="V47" s="16">
        <v>0</v>
      </c>
      <c r="W47" s="16">
        <v>0</v>
      </c>
      <c r="X47" s="16">
        <v>0</v>
      </c>
      <c r="Y47" s="16">
        <v>0</v>
      </c>
      <c r="Z47" s="16">
        <v>0</v>
      </c>
      <c r="AA47" s="16">
        <v>0</v>
      </c>
      <c r="AB47" s="16">
        <v>0</v>
      </c>
      <c r="AC47" s="16">
        <v>0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0</v>
      </c>
      <c r="AK47" s="16">
        <v>0</v>
      </c>
      <c r="AL47" s="16">
        <v>0</v>
      </c>
      <c r="AM47" s="16">
        <v>0</v>
      </c>
      <c r="AN47" s="16">
        <v>0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6">
        <v>0</v>
      </c>
      <c r="AV47" s="16">
        <v>0</v>
      </c>
      <c r="AW47" s="16">
        <v>0</v>
      </c>
      <c r="AX47" s="16">
        <v>0</v>
      </c>
      <c r="AY47" s="16">
        <v>0</v>
      </c>
      <c r="AZ47" s="16">
        <v>0</v>
      </c>
      <c r="BA47" s="16">
        <v>0</v>
      </c>
      <c r="BB47" s="16">
        <v>0</v>
      </c>
      <c r="BC47" s="16">
        <v>0</v>
      </c>
      <c r="BD47" s="16">
        <v>0</v>
      </c>
      <c r="BE47" s="16">
        <v>0</v>
      </c>
      <c r="BF47" s="16">
        <v>0</v>
      </c>
      <c r="BG47" s="16">
        <v>0</v>
      </c>
      <c r="BH47" s="16">
        <v>0</v>
      </c>
      <c r="BI47" s="16">
        <v>0</v>
      </c>
      <c r="BJ47" s="16">
        <v>0</v>
      </c>
      <c r="BK47" s="16">
        <v>0</v>
      </c>
      <c r="BL47" s="16">
        <v>0</v>
      </c>
      <c r="BM47" s="16">
        <v>0</v>
      </c>
      <c r="BN47" s="16">
        <v>0</v>
      </c>
      <c r="BO47" s="16">
        <v>0</v>
      </c>
      <c r="BP47" s="16">
        <v>0</v>
      </c>
      <c r="BQ47" s="16">
        <v>0</v>
      </c>
      <c r="BR47" s="16">
        <v>0</v>
      </c>
      <c r="BS47" s="16">
        <v>0</v>
      </c>
      <c r="BT47" s="16">
        <v>0</v>
      </c>
      <c r="BU47" s="16">
        <v>0</v>
      </c>
      <c r="BV47" s="16">
        <v>0</v>
      </c>
      <c r="BW47" s="16">
        <v>0</v>
      </c>
      <c r="BX47" s="16">
        <v>0</v>
      </c>
      <c r="BY47" s="16">
        <v>0</v>
      </c>
      <c r="BZ47" s="16">
        <v>0</v>
      </c>
      <c r="CA47" s="16">
        <v>0</v>
      </c>
      <c r="CB47" s="16">
        <v>0</v>
      </c>
      <c r="CC47" s="16">
        <v>0</v>
      </c>
    </row>
    <row r="48" spans="1:81">
      <c r="A48" t="s">
        <v>158</v>
      </c>
      <c r="B48" s="16">
        <v>0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0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0</v>
      </c>
      <c r="AA48" s="16">
        <v>0</v>
      </c>
      <c r="AB48" s="16">
        <v>0</v>
      </c>
      <c r="AC48" s="16">
        <v>0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0</v>
      </c>
      <c r="AL48" s="16">
        <v>0</v>
      </c>
      <c r="AM48" s="16">
        <v>0</v>
      </c>
      <c r="AN48" s="16">
        <v>0</v>
      </c>
      <c r="AO48" s="16">
        <v>0</v>
      </c>
      <c r="AP48" s="16">
        <v>0</v>
      </c>
      <c r="AQ48" s="16">
        <v>0</v>
      </c>
      <c r="AR48" s="16">
        <v>0</v>
      </c>
      <c r="AS48" s="16">
        <v>0</v>
      </c>
      <c r="AT48" s="16">
        <v>0</v>
      </c>
      <c r="AU48" s="16">
        <v>0</v>
      </c>
      <c r="AV48" s="16">
        <v>0</v>
      </c>
      <c r="AW48" s="16">
        <v>0</v>
      </c>
      <c r="AX48" s="16">
        <v>0</v>
      </c>
      <c r="AY48" s="16">
        <v>0</v>
      </c>
      <c r="AZ48" s="16">
        <v>0</v>
      </c>
      <c r="BA48" s="16">
        <v>0</v>
      </c>
      <c r="BB48" s="16">
        <v>0</v>
      </c>
      <c r="BC48" s="16">
        <v>0</v>
      </c>
      <c r="BD48" s="16">
        <v>0</v>
      </c>
      <c r="BE48" s="16">
        <v>0</v>
      </c>
      <c r="BF48" s="16">
        <v>0</v>
      </c>
      <c r="BG48" s="16">
        <v>0</v>
      </c>
      <c r="BH48" s="16">
        <v>0</v>
      </c>
      <c r="BI48" s="16">
        <v>0</v>
      </c>
      <c r="BJ48" s="16">
        <v>0</v>
      </c>
      <c r="BK48" s="16">
        <v>0</v>
      </c>
      <c r="BL48" s="16">
        <v>0</v>
      </c>
      <c r="BM48" s="16">
        <v>0</v>
      </c>
      <c r="BN48" s="16">
        <v>0</v>
      </c>
      <c r="BO48" s="16">
        <v>0</v>
      </c>
      <c r="BP48" s="16">
        <v>0</v>
      </c>
      <c r="BQ48" s="16">
        <v>0</v>
      </c>
      <c r="BR48" s="16">
        <v>0</v>
      </c>
      <c r="BS48" s="16">
        <v>0</v>
      </c>
      <c r="BT48" s="16">
        <v>0</v>
      </c>
      <c r="BU48" s="16">
        <v>0</v>
      </c>
      <c r="BV48" s="16">
        <v>0</v>
      </c>
      <c r="BW48" s="16">
        <v>0</v>
      </c>
      <c r="BX48" s="16">
        <v>0</v>
      </c>
      <c r="BY48" s="16">
        <v>0</v>
      </c>
      <c r="BZ48" s="16">
        <v>0</v>
      </c>
      <c r="CA48" s="16">
        <v>0</v>
      </c>
      <c r="CB48" s="16">
        <v>0</v>
      </c>
      <c r="CC48" s="16">
        <v>0</v>
      </c>
    </row>
    <row r="49" spans="1:81">
      <c r="A49" t="s">
        <v>159</v>
      </c>
      <c r="B49" s="16">
        <v>0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>
        <v>0</v>
      </c>
      <c r="AU49" s="16">
        <v>0</v>
      </c>
      <c r="AV49" s="16">
        <v>0</v>
      </c>
      <c r="AW49" s="16">
        <v>0</v>
      </c>
      <c r="AX49" s="16">
        <v>0</v>
      </c>
      <c r="AY49" s="16">
        <v>0</v>
      </c>
      <c r="AZ49" s="16">
        <v>0</v>
      </c>
      <c r="BA49" s="16">
        <v>0</v>
      </c>
      <c r="BB49" s="16">
        <v>0</v>
      </c>
      <c r="BC49" s="16">
        <v>0</v>
      </c>
      <c r="BD49" s="16">
        <v>0</v>
      </c>
      <c r="BE49" s="16">
        <v>0</v>
      </c>
      <c r="BF49" s="16">
        <v>0</v>
      </c>
      <c r="BG49" s="16">
        <v>0</v>
      </c>
      <c r="BH49" s="16">
        <v>0</v>
      </c>
      <c r="BI49" s="16">
        <v>0</v>
      </c>
      <c r="BJ49" s="16">
        <v>0</v>
      </c>
      <c r="BK49" s="16">
        <v>0</v>
      </c>
      <c r="BL49" s="16">
        <v>0</v>
      </c>
      <c r="BM49" s="16">
        <v>0</v>
      </c>
      <c r="BN49" s="16">
        <v>0</v>
      </c>
      <c r="BO49" s="16">
        <v>0</v>
      </c>
      <c r="BP49" s="16">
        <v>0</v>
      </c>
      <c r="BQ49" s="16">
        <v>0</v>
      </c>
      <c r="BR49" s="16">
        <v>0</v>
      </c>
      <c r="BS49" s="16">
        <v>0</v>
      </c>
      <c r="BT49" s="16">
        <v>0</v>
      </c>
      <c r="BU49" s="16">
        <v>0</v>
      </c>
      <c r="BV49" s="16">
        <v>0</v>
      </c>
      <c r="BW49" s="16">
        <v>0</v>
      </c>
      <c r="BX49" s="16">
        <v>0</v>
      </c>
      <c r="BY49" s="16">
        <v>0</v>
      </c>
      <c r="BZ49" s="16">
        <v>0</v>
      </c>
      <c r="CA49" s="16">
        <v>0</v>
      </c>
      <c r="CB49" s="16">
        <v>0</v>
      </c>
      <c r="CC49" s="16">
        <v>0</v>
      </c>
    </row>
    <row r="50" spans="1:81">
      <c r="A50" t="s">
        <v>160</v>
      </c>
      <c r="B50" s="16">
        <v>0</v>
      </c>
      <c r="C50" s="16">
        <v>0</v>
      </c>
      <c r="D50" s="16">
        <v>0</v>
      </c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6">
        <v>0</v>
      </c>
      <c r="AV50" s="16">
        <v>0</v>
      </c>
      <c r="AW50" s="16">
        <v>0</v>
      </c>
      <c r="AX50" s="16">
        <v>0</v>
      </c>
      <c r="AY50" s="16">
        <v>0</v>
      </c>
      <c r="AZ50" s="16">
        <v>0</v>
      </c>
      <c r="BA50" s="16">
        <v>0</v>
      </c>
      <c r="BB50" s="16">
        <v>0</v>
      </c>
      <c r="BC50" s="16">
        <v>0</v>
      </c>
      <c r="BD50" s="16">
        <v>0</v>
      </c>
      <c r="BE50" s="16">
        <v>0</v>
      </c>
      <c r="BF50" s="16">
        <v>0</v>
      </c>
      <c r="BG50" s="16">
        <v>0</v>
      </c>
      <c r="BH50" s="16">
        <v>0</v>
      </c>
      <c r="BI50" s="16">
        <v>0</v>
      </c>
      <c r="BJ50" s="16">
        <v>0</v>
      </c>
      <c r="BK50" s="16">
        <v>0</v>
      </c>
      <c r="BL50" s="16">
        <v>0</v>
      </c>
      <c r="BM50" s="16">
        <v>0</v>
      </c>
      <c r="BN50" s="16">
        <v>0</v>
      </c>
      <c r="BO50" s="16">
        <v>0</v>
      </c>
      <c r="BP50" s="16">
        <v>0</v>
      </c>
      <c r="BQ50" s="16">
        <v>0</v>
      </c>
      <c r="BR50" s="16">
        <v>0</v>
      </c>
      <c r="BS50" s="16">
        <v>0</v>
      </c>
      <c r="BT50" s="16">
        <v>0</v>
      </c>
      <c r="BU50" s="16">
        <v>0</v>
      </c>
      <c r="BV50" s="16">
        <v>0</v>
      </c>
      <c r="BW50" s="16">
        <v>0</v>
      </c>
      <c r="BX50" s="16">
        <v>0</v>
      </c>
      <c r="BY50" s="16">
        <v>0</v>
      </c>
      <c r="BZ50" s="16">
        <v>0</v>
      </c>
      <c r="CA50" s="16">
        <v>0</v>
      </c>
      <c r="CB50" s="16">
        <v>0</v>
      </c>
      <c r="CC50" s="16">
        <v>0</v>
      </c>
    </row>
    <row r="51" spans="1:81">
      <c r="A51" t="s">
        <v>161</v>
      </c>
      <c r="B51" s="16">
        <v>0</v>
      </c>
      <c r="C51" s="16">
        <v>0</v>
      </c>
      <c r="D51" s="16">
        <v>0</v>
      </c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0</v>
      </c>
      <c r="T51" s="16">
        <v>0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0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6">
        <v>0</v>
      </c>
      <c r="AV51" s="16">
        <v>0</v>
      </c>
      <c r="AW51" s="16">
        <v>0</v>
      </c>
      <c r="AX51" s="16">
        <v>0</v>
      </c>
      <c r="AY51" s="16">
        <v>0</v>
      </c>
      <c r="AZ51" s="16">
        <v>0</v>
      </c>
      <c r="BA51" s="16">
        <v>0</v>
      </c>
      <c r="BB51" s="16">
        <v>0</v>
      </c>
      <c r="BC51" s="16">
        <v>0</v>
      </c>
      <c r="BD51" s="16">
        <v>0</v>
      </c>
      <c r="BE51" s="16">
        <v>0</v>
      </c>
      <c r="BF51" s="16">
        <v>0</v>
      </c>
      <c r="BG51" s="16">
        <v>0</v>
      </c>
      <c r="BH51" s="16">
        <v>0</v>
      </c>
      <c r="BI51" s="16">
        <v>0</v>
      </c>
      <c r="BJ51" s="16">
        <v>0</v>
      </c>
      <c r="BK51" s="16">
        <v>0</v>
      </c>
      <c r="BL51" s="16">
        <v>0</v>
      </c>
      <c r="BM51" s="16">
        <v>0</v>
      </c>
      <c r="BN51" s="16">
        <v>0</v>
      </c>
      <c r="BO51" s="16">
        <v>0</v>
      </c>
      <c r="BP51" s="16">
        <v>0</v>
      </c>
      <c r="BQ51" s="16">
        <v>0</v>
      </c>
      <c r="BR51" s="16">
        <v>0</v>
      </c>
      <c r="BS51" s="16">
        <v>0</v>
      </c>
      <c r="BT51" s="16">
        <v>0</v>
      </c>
      <c r="BU51" s="16">
        <v>0</v>
      </c>
      <c r="BV51" s="16">
        <v>0</v>
      </c>
      <c r="BW51" s="16">
        <v>0</v>
      </c>
      <c r="BX51" s="16">
        <v>0</v>
      </c>
      <c r="BY51" s="16">
        <v>0</v>
      </c>
      <c r="BZ51" s="16">
        <v>0</v>
      </c>
      <c r="CA51" s="16">
        <v>0</v>
      </c>
      <c r="CB51" s="16">
        <v>0</v>
      </c>
      <c r="CC51" s="16">
        <v>0</v>
      </c>
    </row>
    <row r="52" spans="1:81">
      <c r="A52" t="s">
        <v>162</v>
      </c>
      <c r="B52" s="16">
        <v>0</v>
      </c>
      <c r="C52" s="16">
        <v>0</v>
      </c>
      <c r="D52" s="16">
        <v>0</v>
      </c>
      <c r="E52" s="16">
        <v>0</v>
      </c>
      <c r="F52" s="16">
        <v>0</v>
      </c>
      <c r="G52" s="16">
        <v>0</v>
      </c>
      <c r="H52" s="16">
        <v>0</v>
      </c>
      <c r="I52" s="16">
        <v>0</v>
      </c>
      <c r="J52" s="16">
        <v>0</v>
      </c>
      <c r="K52" s="16">
        <v>0</v>
      </c>
      <c r="L52" s="16">
        <v>0</v>
      </c>
      <c r="M52" s="16">
        <v>0</v>
      </c>
      <c r="N52" s="16">
        <v>0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0</v>
      </c>
      <c r="V52" s="16">
        <v>0</v>
      </c>
      <c r="W52" s="16">
        <v>0</v>
      </c>
      <c r="X52" s="16">
        <v>0</v>
      </c>
      <c r="Y52" s="16">
        <v>0</v>
      </c>
      <c r="Z52" s="16">
        <v>0</v>
      </c>
      <c r="AA52" s="16">
        <v>0</v>
      </c>
      <c r="AB52" s="16">
        <v>0</v>
      </c>
      <c r="AC52" s="16">
        <v>0</v>
      </c>
      <c r="AD52" s="16">
        <v>0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6">
        <v>0</v>
      </c>
      <c r="AV52" s="16">
        <v>0</v>
      </c>
      <c r="AW52" s="16">
        <v>0</v>
      </c>
      <c r="AX52" s="16">
        <v>0</v>
      </c>
      <c r="AY52" s="16">
        <v>0</v>
      </c>
      <c r="AZ52" s="16">
        <v>0</v>
      </c>
      <c r="BA52" s="16">
        <v>0</v>
      </c>
      <c r="BB52" s="16">
        <v>0</v>
      </c>
      <c r="BC52" s="16">
        <v>0</v>
      </c>
      <c r="BD52" s="16">
        <v>0</v>
      </c>
      <c r="BE52" s="16">
        <v>0</v>
      </c>
      <c r="BF52" s="16">
        <v>0</v>
      </c>
      <c r="BG52" s="16">
        <v>0</v>
      </c>
      <c r="BH52" s="16">
        <v>0</v>
      </c>
      <c r="BI52" s="16">
        <v>0</v>
      </c>
      <c r="BJ52" s="16">
        <v>0</v>
      </c>
      <c r="BK52" s="16">
        <v>0</v>
      </c>
      <c r="BL52" s="16">
        <v>0</v>
      </c>
      <c r="BM52" s="16">
        <v>0</v>
      </c>
      <c r="BN52" s="16">
        <v>0</v>
      </c>
      <c r="BO52" s="16">
        <v>0</v>
      </c>
      <c r="BP52" s="16">
        <v>0</v>
      </c>
      <c r="BQ52" s="16">
        <v>0</v>
      </c>
      <c r="BR52" s="16">
        <v>0</v>
      </c>
      <c r="BS52" s="16">
        <v>0</v>
      </c>
      <c r="BT52" s="16">
        <v>0</v>
      </c>
      <c r="BU52" s="16">
        <v>0</v>
      </c>
      <c r="BV52" s="16">
        <v>0</v>
      </c>
      <c r="BW52" s="16">
        <v>0</v>
      </c>
      <c r="BX52" s="16">
        <v>0</v>
      </c>
      <c r="BY52" s="16">
        <v>0</v>
      </c>
      <c r="BZ52" s="16">
        <v>0</v>
      </c>
      <c r="CA52" s="16">
        <v>0</v>
      </c>
      <c r="CB52" s="16">
        <v>0</v>
      </c>
      <c r="CC52" s="16">
        <v>0</v>
      </c>
    </row>
    <row r="53" spans="1:81">
      <c r="A53" t="s">
        <v>83</v>
      </c>
      <c r="B53" s="16">
        <v>0</v>
      </c>
      <c r="C53" s="16">
        <v>0</v>
      </c>
      <c r="D53" s="16">
        <v>0</v>
      </c>
      <c r="E53" s="16">
        <v>0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6">
        <v>0</v>
      </c>
      <c r="AV53" s="16">
        <v>0</v>
      </c>
      <c r="AW53" s="16">
        <v>0</v>
      </c>
      <c r="AX53" s="16">
        <v>0</v>
      </c>
      <c r="AY53" s="16">
        <v>0</v>
      </c>
      <c r="AZ53" s="16">
        <v>0</v>
      </c>
      <c r="BA53" s="16">
        <v>0</v>
      </c>
      <c r="BB53" s="16">
        <v>0</v>
      </c>
      <c r="BC53" s="16">
        <v>0</v>
      </c>
      <c r="BD53" s="16">
        <v>0</v>
      </c>
      <c r="BE53" s="16">
        <v>0</v>
      </c>
      <c r="BF53" s="16">
        <v>0</v>
      </c>
      <c r="BG53" s="16">
        <v>0</v>
      </c>
      <c r="BH53" s="16">
        <v>0</v>
      </c>
      <c r="BI53" s="16">
        <v>0</v>
      </c>
      <c r="BJ53" s="16">
        <v>0</v>
      </c>
      <c r="BK53" s="16">
        <v>0</v>
      </c>
      <c r="BL53" s="16">
        <v>0</v>
      </c>
      <c r="BM53" s="16">
        <v>0</v>
      </c>
      <c r="BN53" s="16">
        <v>0</v>
      </c>
      <c r="BO53" s="16">
        <v>0</v>
      </c>
      <c r="BP53" s="16">
        <v>0</v>
      </c>
      <c r="BQ53" s="16">
        <v>0</v>
      </c>
      <c r="BR53" s="16">
        <v>0</v>
      </c>
      <c r="BS53" s="16">
        <v>0</v>
      </c>
      <c r="BT53" s="16">
        <v>0</v>
      </c>
      <c r="BU53" s="16">
        <v>0</v>
      </c>
      <c r="BV53" s="16">
        <v>0</v>
      </c>
      <c r="BW53" s="16">
        <v>0</v>
      </c>
      <c r="BX53" s="16">
        <v>0</v>
      </c>
      <c r="BY53" s="16">
        <v>0</v>
      </c>
      <c r="BZ53" s="16">
        <v>0</v>
      </c>
      <c r="CA53" s="16">
        <v>0</v>
      </c>
      <c r="CB53" s="16">
        <v>0</v>
      </c>
      <c r="CC53" s="16">
        <v>0</v>
      </c>
    </row>
    <row r="54" spans="1:81">
      <c r="A54" t="s">
        <v>84</v>
      </c>
      <c r="B54" s="16">
        <v>0</v>
      </c>
      <c r="C54" s="16">
        <v>0</v>
      </c>
      <c r="D54" s="16">
        <v>0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6">
        <v>0</v>
      </c>
      <c r="AV54" s="16">
        <v>0</v>
      </c>
      <c r="AW54" s="16">
        <v>0</v>
      </c>
      <c r="AX54" s="16">
        <v>0</v>
      </c>
      <c r="AY54" s="16">
        <v>0</v>
      </c>
      <c r="AZ54" s="16">
        <v>0</v>
      </c>
      <c r="BA54" s="16">
        <v>0</v>
      </c>
      <c r="BB54" s="16">
        <v>0</v>
      </c>
      <c r="BC54" s="16">
        <v>0</v>
      </c>
      <c r="BD54" s="16">
        <v>0</v>
      </c>
      <c r="BE54" s="16">
        <v>0</v>
      </c>
      <c r="BF54" s="16">
        <v>0</v>
      </c>
      <c r="BG54" s="16">
        <v>0</v>
      </c>
      <c r="BH54" s="16">
        <v>0</v>
      </c>
      <c r="BI54" s="16">
        <v>0</v>
      </c>
      <c r="BJ54" s="16">
        <v>0</v>
      </c>
      <c r="BK54" s="16">
        <v>0</v>
      </c>
      <c r="BL54" s="16">
        <v>0</v>
      </c>
      <c r="BM54" s="16">
        <v>0</v>
      </c>
      <c r="BN54" s="16">
        <v>0</v>
      </c>
      <c r="BO54" s="16">
        <v>0</v>
      </c>
      <c r="BP54" s="16">
        <v>0</v>
      </c>
      <c r="BQ54" s="16">
        <v>0</v>
      </c>
      <c r="BR54" s="16">
        <v>0</v>
      </c>
      <c r="BS54" s="16">
        <v>0</v>
      </c>
      <c r="BT54" s="16">
        <v>0</v>
      </c>
      <c r="BU54" s="16">
        <v>0</v>
      </c>
      <c r="BV54" s="16">
        <v>0</v>
      </c>
      <c r="BW54" s="16">
        <v>0</v>
      </c>
      <c r="BX54" s="16">
        <v>0</v>
      </c>
      <c r="BY54" s="16">
        <v>0</v>
      </c>
      <c r="BZ54" s="16">
        <v>0</v>
      </c>
      <c r="CA54" s="16">
        <v>0</v>
      </c>
      <c r="CB54" s="16">
        <v>0</v>
      </c>
      <c r="CC54" s="16">
        <v>0</v>
      </c>
    </row>
    <row r="55" spans="1:81">
      <c r="A55" t="s">
        <v>85</v>
      </c>
      <c r="B55" s="16">
        <v>0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0</v>
      </c>
      <c r="R55" s="16">
        <v>0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0</v>
      </c>
      <c r="Y55" s="16">
        <v>0</v>
      </c>
      <c r="Z55" s="16">
        <v>0</v>
      </c>
      <c r="AA55" s="16">
        <v>0</v>
      </c>
      <c r="AB55" s="16">
        <v>0</v>
      </c>
      <c r="AC55" s="16">
        <v>0</v>
      </c>
      <c r="AD55" s="16">
        <v>0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6">
        <v>0</v>
      </c>
      <c r="AV55" s="16">
        <v>0</v>
      </c>
      <c r="AW55" s="16">
        <v>0</v>
      </c>
      <c r="AX55" s="16">
        <v>0</v>
      </c>
      <c r="AY55" s="16">
        <v>0</v>
      </c>
      <c r="AZ55" s="16">
        <v>0</v>
      </c>
      <c r="BA55" s="16">
        <v>0</v>
      </c>
      <c r="BB55" s="16">
        <v>0</v>
      </c>
      <c r="BC55" s="16">
        <v>0</v>
      </c>
      <c r="BD55" s="16">
        <v>0</v>
      </c>
      <c r="BE55" s="16">
        <v>0</v>
      </c>
      <c r="BF55" s="16">
        <v>0</v>
      </c>
      <c r="BG55" s="16">
        <v>0</v>
      </c>
      <c r="BH55" s="16">
        <v>0</v>
      </c>
      <c r="BI55" s="16">
        <v>0</v>
      </c>
      <c r="BJ55" s="16">
        <v>0</v>
      </c>
      <c r="BK55" s="16">
        <v>0</v>
      </c>
      <c r="BL55" s="16">
        <v>0</v>
      </c>
      <c r="BM55" s="16">
        <v>0</v>
      </c>
      <c r="BN55" s="16">
        <v>0</v>
      </c>
      <c r="BO55" s="16">
        <v>0</v>
      </c>
      <c r="BP55" s="16">
        <v>0</v>
      </c>
      <c r="BQ55" s="16">
        <v>0</v>
      </c>
      <c r="BR55" s="16">
        <v>0</v>
      </c>
      <c r="BS55" s="16">
        <v>0</v>
      </c>
      <c r="BT55" s="16">
        <v>0</v>
      </c>
      <c r="BU55" s="16">
        <v>0</v>
      </c>
      <c r="BV55" s="16">
        <v>0</v>
      </c>
      <c r="BW55" s="16">
        <v>0</v>
      </c>
      <c r="BX55" s="16">
        <v>0</v>
      </c>
      <c r="BY55" s="16">
        <v>0</v>
      </c>
      <c r="BZ55" s="16">
        <v>0</v>
      </c>
      <c r="CA55" s="16">
        <v>0</v>
      </c>
      <c r="CB55" s="16">
        <v>0</v>
      </c>
      <c r="CC55" s="16">
        <v>0</v>
      </c>
    </row>
    <row r="56" spans="1:81">
      <c r="A56" t="s">
        <v>86</v>
      </c>
      <c r="B56" s="16">
        <v>0</v>
      </c>
      <c r="C56" s="16">
        <v>0</v>
      </c>
      <c r="D56" s="16">
        <v>0</v>
      </c>
      <c r="E56" s="16">
        <v>0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6">
        <v>0</v>
      </c>
      <c r="AV56" s="16">
        <v>0</v>
      </c>
      <c r="AW56" s="16">
        <v>0</v>
      </c>
      <c r="AX56" s="16">
        <v>0</v>
      </c>
      <c r="AY56" s="16">
        <v>0</v>
      </c>
      <c r="AZ56" s="16">
        <v>0</v>
      </c>
      <c r="BA56" s="16">
        <v>0</v>
      </c>
      <c r="BB56" s="16">
        <v>0</v>
      </c>
      <c r="BC56" s="16">
        <v>0</v>
      </c>
      <c r="BD56" s="16">
        <v>0</v>
      </c>
      <c r="BE56" s="16">
        <v>0</v>
      </c>
      <c r="BF56" s="16">
        <v>0</v>
      </c>
      <c r="BG56" s="16">
        <v>0</v>
      </c>
      <c r="BH56" s="16">
        <v>0</v>
      </c>
      <c r="BI56" s="16">
        <v>0</v>
      </c>
      <c r="BJ56" s="16">
        <v>0</v>
      </c>
      <c r="BK56" s="16">
        <v>0</v>
      </c>
      <c r="BL56" s="16">
        <v>0</v>
      </c>
      <c r="BM56" s="16">
        <v>0</v>
      </c>
      <c r="BN56" s="16">
        <v>0</v>
      </c>
      <c r="BO56" s="16">
        <v>0</v>
      </c>
      <c r="BP56" s="16">
        <v>0</v>
      </c>
      <c r="BQ56" s="16">
        <v>0</v>
      </c>
      <c r="BR56" s="16">
        <v>0</v>
      </c>
      <c r="BS56" s="16">
        <v>0</v>
      </c>
      <c r="BT56" s="16">
        <v>0</v>
      </c>
      <c r="BU56" s="16">
        <v>0</v>
      </c>
      <c r="BV56" s="16">
        <v>0</v>
      </c>
      <c r="BW56" s="16">
        <v>0</v>
      </c>
      <c r="BX56" s="16">
        <v>0</v>
      </c>
      <c r="BY56" s="16">
        <v>0</v>
      </c>
      <c r="BZ56" s="16">
        <v>0</v>
      </c>
      <c r="CA56" s="16">
        <v>0</v>
      </c>
      <c r="CB56" s="16">
        <v>0</v>
      </c>
      <c r="CC56" s="16">
        <v>0</v>
      </c>
    </row>
    <row r="57" spans="1:81">
      <c r="A57" t="s">
        <v>87</v>
      </c>
      <c r="B57" s="16">
        <v>0</v>
      </c>
      <c r="C57" s="16">
        <v>0</v>
      </c>
      <c r="D57" s="16">
        <v>0</v>
      </c>
      <c r="E57" s="16">
        <v>0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0</v>
      </c>
      <c r="AH57" s="16">
        <v>0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6">
        <v>0</v>
      </c>
      <c r="AV57" s="16">
        <v>0</v>
      </c>
      <c r="AW57" s="16">
        <v>0</v>
      </c>
      <c r="AX57" s="16">
        <v>0</v>
      </c>
      <c r="AY57" s="16">
        <v>0</v>
      </c>
      <c r="AZ57" s="16">
        <v>0</v>
      </c>
      <c r="BA57" s="16">
        <v>0</v>
      </c>
      <c r="BB57" s="16">
        <v>0</v>
      </c>
      <c r="BC57" s="16">
        <v>0</v>
      </c>
      <c r="BD57" s="16">
        <v>0</v>
      </c>
      <c r="BE57" s="16">
        <v>0</v>
      </c>
      <c r="BF57" s="16">
        <v>0</v>
      </c>
      <c r="BG57" s="16">
        <v>0</v>
      </c>
      <c r="BH57" s="16">
        <v>0</v>
      </c>
      <c r="BI57" s="16">
        <v>0</v>
      </c>
      <c r="BJ57" s="16">
        <v>0</v>
      </c>
      <c r="BK57" s="16">
        <v>0</v>
      </c>
      <c r="BL57" s="16">
        <v>0</v>
      </c>
      <c r="BM57" s="16">
        <v>0</v>
      </c>
      <c r="BN57" s="16">
        <v>0</v>
      </c>
      <c r="BO57" s="16">
        <v>0</v>
      </c>
      <c r="BP57" s="16">
        <v>0</v>
      </c>
      <c r="BQ57" s="16">
        <v>0</v>
      </c>
      <c r="BR57" s="16">
        <v>0</v>
      </c>
      <c r="BS57" s="16">
        <v>0</v>
      </c>
      <c r="BT57" s="16">
        <v>0</v>
      </c>
      <c r="BU57" s="16">
        <v>0</v>
      </c>
      <c r="BV57" s="16">
        <v>0</v>
      </c>
      <c r="BW57" s="16">
        <v>0</v>
      </c>
      <c r="BX57" s="16">
        <v>0</v>
      </c>
      <c r="BY57" s="16">
        <v>0</v>
      </c>
      <c r="BZ57" s="16">
        <v>0</v>
      </c>
      <c r="CA57" s="16">
        <v>0</v>
      </c>
      <c r="CB57" s="16">
        <v>0</v>
      </c>
      <c r="CC57" s="16">
        <v>0</v>
      </c>
    </row>
    <row r="58" spans="1:81">
      <c r="A58" t="s">
        <v>88</v>
      </c>
      <c r="B58" s="16">
        <v>0</v>
      </c>
      <c r="C58" s="16">
        <v>0</v>
      </c>
      <c r="D58" s="16">
        <v>0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v>0</v>
      </c>
      <c r="M58" s="16">
        <v>0</v>
      </c>
      <c r="N58" s="16">
        <v>0</v>
      </c>
      <c r="O58" s="16">
        <v>0</v>
      </c>
      <c r="P58" s="16">
        <v>0</v>
      </c>
      <c r="Q58" s="16">
        <v>0</v>
      </c>
      <c r="R58" s="16">
        <v>0</v>
      </c>
      <c r="S58" s="16">
        <v>0</v>
      </c>
      <c r="T58" s="16">
        <v>0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0</v>
      </c>
      <c r="AA58" s="16">
        <v>0</v>
      </c>
      <c r="AB58" s="16">
        <v>0</v>
      </c>
      <c r="AC58" s="16">
        <v>0</v>
      </c>
      <c r="AD58" s="16">
        <v>0</v>
      </c>
      <c r="AE58" s="16">
        <v>0</v>
      </c>
      <c r="AF58" s="16">
        <v>0</v>
      </c>
      <c r="AG58" s="16">
        <v>0</v>
      </c>
      <c r="AH58" s="16">
        <v>0</v>
      </c>
      <c r="AI58" s="16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16">
        <v>0</v>
      </c>
      <c r="AQ58" s="16">
        <v>0</v>
      </c>
      <c r="AR58" s="16">
        <v>0</v>
      </c>
      <c r="AS58" s="16">
        <v>0</v>
      </c>
      <c r="AT58" s="16">
        <v>0</v>
      </c>
      <c r="AU58" s="16">
        <v>0</v>
      </c>
      <c r="AV58" s="16">
        <v>0</v>
      </c>
      <c r="AW58" s="16">
        <v>0</v>
      </c>
      <c r="AX58" s="16">
        <v>0</v>
      </c>
      <c r="AY58" s="16">
        <v>0</v>
      </c>
      <c r="AZ58" s="16">
        <v>0</v>
      </c>
      <c r="BA58" s="16">
        <v>0</v>
      </c>
      <c r="BB58" s="16">
        <v>0</v>
      </c>
      <c r="BC58" s="16">
        <v>0</v>
      </c>
      <c r="BD58" s="16">
        <v>0</v>
      </c>
      <c r="BE58" s="16">
        <v>0</v>
      </c>
      <c r="BF58" s="16">
        <v>0</v>
      </c>
      <c r="BG58" s="16">
        <v>0</v>
      </c>
      <c r="BH58" s="16">
        <v>0</v>
      </c>
      <c r="BI58" s="16">
        <v>0</v>
      </c>
      <c r="BJ58" s="16">
        <v>0</v>
      </c>
      <c r="BK58" s="16">
        <v>0</v>
      </c>
      <c r="BL58" s="16">
        <v>0</v>
      </c>
      <c r="BM58" s="16">
        <v>0</v>
      </c>
      <c r="BN58" s="16">
        <v>0</v>
      </c>
      <c r="BO58" s="16">
        <v>0</v>
      </c>
      <c r="BP58" s="16">
        <v>0</v>
      </c>
      <c r="BQ58" s="16">
        <v>0</v>
      </c>
      <c r="BR58" s="16">
        <v>0</v>
      </c>
      <c r="BS58" s="16">
        <v>0</v>
      </c>
      <c r="BT58" s="16">
        <v>0</v>
      </c>
      <c r="BU58" s="16">
        <v>0</v>
      </c>
      <c r="BV58" s="16">
        <v>0</v>
      </c>
      <c r="BW58" s="16">
        <v>0</v>
      </c>
      <c r="BX58" s="16">
        <v>0</v>
      </c>
      <c r="BY58" s="16">
        <v>0</v>
      </c>
      <c r="BZ58" s="16">
        <v>0</v>
      </c>
      <c r="CA58" s="16">
        <v>0</v>
      </c>
      <c r="CB58" s="16">
        <v>0</v>
      </c>
      <c r="CC58" s="16">
        <v>0</v>
      </c>
    </row>
    <row r="59" spans="1:81">
      <c r="A59" t="s">
        <v>89</v>
      </c>
      <c r="B59" s="16">
        <v>0</v>
      </c>
      <c r="C59" s="16">
        <v>0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0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0</v>
      </c>
      <c r="S59" s="16">
        <v>0</v>
      </c>
      <c r="T59" s="16">
        <v>0</v>
      </c>
      <c r="U59" s="16">
        <v>0</v>
      </c>
      <c r="V59" s="16">
        <v>0</v>
      </c>
      <c r="W59" s="16">
        <v>0</v>
      </c>
      <c r="X59" s="16">
        <v>0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6">
        <v>0</v>
      </c>
      <c r="AV59" s="16">
        <v>0</v>
      </c>
      <c r="AW59" s="16">
        <v>0</v>
      </c>
      <c r="AX59" s="16">
        <v>0</v>
      </c>
      <c r="AY59" s="16">
        <v>0</v>
      </c>
      <c r="AZ59" s="16">
        <v>0</v>
      </c>
      <c r="BA59" s="16">
        <v>0</v>
      </c>
      <c r="BB59" s="16">
        <v>0</v>
      </c>
      <c r="BC59" s="16">
        <v>0</v>
      </c>
      <c r="BD59" s="16">
        <v>0</v>
      </c>
      <c r="BE59" s="16">
        <v>0</v>
      </c>
      <c r="BF59" s="16">
        <v>0</v>
      </c>
      <c r="BG59" s="16">
        <v>0</v>
      </c>
      <c r="BH59" s="16">
        <v>0</v>
      </c>
      <c r="BI59" s="16">
        <v>0</v>
      </c>
      <c r="BJ59" s="16">
        <v>0</v>
      </c>
      <c r="BK59" s="16">
        <v>0</v>
      </c>
      <c r="BL59" s="16">
        <v>0</v>
      </c>
      <c r="BM59" s="16">
        <v>0</v>
      </c>
      <c r="BN59" s="16">
        <v>0</v>
      </c>
      <c r="BO59" s="16">
        <v>0</v>
      </c>
      <c r="BP59" s="16">
        <v>0</v>
      </c>
      <c r="BQ59" s="16">
        <v>0</v>
      </c>
      <c r="BR59" s="16">
        <v>0</v>
      </c>
      <c r="BS59" s="16">
        <v>0</v>
      </c>
      <c r="BT59" s="16">
        <v>0</v>
      </c>
      <c r="BU59" s="16">
        <v>0</v>
      </c>
      <c r="BV59" s="16">
        <v>0</v>
      </c>
      <c r="BW59" s="16">
        <v>0</v>
      </c>
      <c r="BX59" s="16">
        <v>0</v>
      </c>
      <c r="BY59" s="16">
        <v>0</v>
      </c>
      <c r="BZ59" s="16">
        <v>0</v>
      </c>
      <c r="CA59" s="16">
        <v>0</v>
      </c>
      <c r="CB59" s="16">
        <v>0</v>
      </c>
      <c r="CC59" s="16">
        <v>0</v>
      </c>
    </row>
    <row r="60" spans="1:81">
      <c r="A60" t="s">
        <v>90</v>
      </c>
      <c r="B60" s="16">
        <v>0</v>
      </c>
      <c r="C60" s="16">
        <v>0</v>
      </c>
      <c r="D60" s="16">
        <v>0</v>
      </c>
      <c r="E60" s="16">
        <v>0</v>
      </c>
      <c r="F60" s="16">
        <v>0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6">
        <v>0</v>
      </c>
      <c r="AI60" s="16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6">
        <v>0</v>
      </c>
      <c r="AV60" s="16">
        <v>0</v>
      </c>
      <c r="AW60" s="16">
        <v>0</v>
      </c>
      <c r="AX60" s="16">
        <v>0</v>
      </c>
      <c r="AY60" s="16">
        <v>0</v>
      </c>
      <c r="AZ60" s="16">
        <v>0</v>
      </c>
      <c r="BA60" s="16">
        <v>0</v>
      </c>
      <c r="BB60" s="16">
        <v>0</v>
      </c>
      <c r="BC60" s="16">
        <v>0</v>
      </c>
      <c r="BD60" s="16">
        <v>0</v>
      </c>
      <c r="BE60" s="16">
        <v>0</v>
      </c>
      <c r="BF60" s="16">
        <v>0</v>
      </c>
      <c r="BG60" s="16">
        <v>0</v>
      </c>
      <c r="BH60" s="16">
        <v>0</v>
      </c>
      <c r="BI60" s="16">
        <v>0</v>
      </c>
      <c r="BJ60" s="16">
        <v>0</v>
      </c>
      <c r="BK60" s="16">
        <v>0</v>
      </c>
      <c r="BL60" s="16">
        <v>0</v>
      </c>
      <c r="BM60" s="16">
        <v>0</v>
      </c>
      <c r="BN60" s="16">
        <v>0</v>
      </c>
      <c r="BO60" s="16">
        <v>0</v>
      </c>
      <c r="BP60" s="16">
        <v>0</v>
      </c>
      <c r="BQ60" s="16">
        <v>0</v>
      </c>
      <c r="BR60" s="16">
        <v>0</v>
      </c>
      <c r="BS60" s="16">
        <v>0</v>
      </c>
      <c r="BT60" s="16">
        <v>0</v>
      </c>
      <c r="BU60" s="16">
        <v>0</v>
      </c>
      <c r="BV60" s="16">
        <v>0</v>
      </c>
      <c r="BW60" s="16">
        <v>0</v>
      </c>
      <c r="BX60" s="16">
        <v>0</v>
      </c>
      <c r="BY60" s="16">
        <v>0</v>
      </c>
      <c r="BZ60" s="16">
        <v>0</v>
      </c>
      <c r="CA60" s="16">
        <v>0</v>
      </c>
      <c r="CB60" s="16">
        <v>0</v>
      </c>
      <c r="CC60" s="16">
        <v>0</v>
      </c>
    </row>
    <row r="61" spans="1:81">
      <c r="A61" t="s">
        <v>91</v>
      </c>
      <c r="B61" s="16">
        <v>0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>
        <v>0</v>
      </c>
      <c r="K61" s="16">
        <v>0</v>
      </c>
      <c r="L61" s="16">
        <v>0</v>
      </c>
      <c r="M61" s="16">
        <v>0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0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0</v>
      </c>
      <c r="AB61" s="16">
        <v>0</v>
      </c>
      <c r="AC61" s="16">
        <v>0</v>
      </c>
      <c r="AD61" s="16">
        <v>0</v>
      </c>
      <c r="AE61" s="16">
        <v>0</v>
      </c>
      <c r="AF61" s="16">
        <v>0</v>
      </c>
      <c r="AG61" s="16">
        <v>0</v>
      </c>
      <c r="AH61" s="16">
        <v>0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6">
        <v>0</v>
      </c>
      <c r="AV61" s="16">
        <v>0</v>
      </c>
      <c r="AW61" s="16">
        <v>0</v>
      </c>
      <c r="AX61" s="16">
        <v>0</v>
      </c>
      <c r="AY61" s="16">
        <v>0</v>
      </c>
      <c r="AZ61" s="16">
        <v>0</v>
      </c>
      <c r="BA61" s="16">
        <v>0</v>
      </c>
      <c r="BB61" s="16">
        <v>0</v>
      </c>
      <c r="BC61" s="16">
        <v>0</v>
      </c>
      <c r="BD61" s="16">
        <v>0</v>
      </c>
      <c r="BE61" s="16">
        <v>0</v>
      </c>
      <c r="BF61" s="16">
        <v>0</v>
      </c>
      <c r="BG61" s="16">
        <v>0</v>
      </c>
      <c r="BH61" s="16">
        <v>0</v>
      </c>
      <c r="BI61" s="16">
        <v>0</v>
      </c>
      <c r="BJ61" s="16">
        <v>0</v>
      </c>
      <c r="BK61" s="16">
        <v>0</v>
      </c>
      <c r="BL61" s="16">
        <v>0</v>
      </c>
      <c r="BM61" s="16">
        <v>0</v>
      </c>
      <c r="BN61" s="16">
        <v>0</v>
      </c>
      <c r="BO61" s="16">
        <v>0</v>
      </c>
      <c r="BP61" s="16">
        <v>0</v>
      </c>
      <c r="BQ61" s="16">
        <v>0</v>
      </c>
      <c r="BR61" s="16">
        <v>0</v>
      </c>
      <c r="BS61" s="16">
        <v>0</v>
      </c>
      <c r="BT61" s="16">
        <v>0</v>
      </c>
      <c r="BU61" s="16">
        <v>0</v>
      </c>
      <c r="BV61" s="16">
        <v>0</v>
      </c>
      <c r="BW61" s="16">
        <v>0</v>
      </c>
      <c r="BX61" s="16">
        <v>0</v>
      </c>
      <c r="BY61" s="16">
        <v>0</v>
      </c>
      <c r="BZ61" s="16">
        <v>0</v>
      </c>
      <c r="CA61" s="16">
        <v>0</v>
      </c>
      <c r="CB61" s="16">
        <v>0</v>
      </c>
      <c r="CC61" s="16">
        <v>0</v>
      </c>
    </row>
  </sheetData>
  <phoneticPr fontId="2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39EC-09AE-44C2-9AF5-0FE7EA4D095A}">
  <sheetPr>
    <tabColor theme="3"/>
  </sheetPr>
  <dimension ref="A1:CC61"/>
  <sheetViews>
    <sheetView workbookViewId="0">
      <selection activeCell="B1" sqref="B1"/>
    </sheetView>
  </sheetViews>
  <sheetFormatPr defaultRowHeight="14.4"/>
  <cols>
    <col min="1" max="1" width="20" customWidth="1"/>
    <col min="2" max="2" width="20.33203125" bestFit="1" customWidth="1"/>
  </cols>
  <sheetData>
    <row r="1" spans="1:81">
      <c r="A1" s="7" t="s">
        <v>163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38</v>
      </c>
      <c r="AL1" s="5" t="s">
        <v>39</v>
      </c>
      <c r="AM1" s="5" t="s">
        <v>40</v>
      </c>
      <c r="AN1" s="5" t="s">
        <v>41</v>
      </c>
      <c r="AO1" s="5" t="s">
        <v>42</v>
      </c>
      <c r="AP1" s="5" t="s">
        <v>43</v>
      </c>
      <c r="AQ1" s="5" t="s">
        <v>44</v>
      </c>
      <c r="AR1" s="5" t="s">
        <v>45</v>
      </c>
      <c r="AS1" s="5" t="s">
        <v>46</v>
      </c>
      <c r="AT1" s="5" t="s">
        <v>47</v>
      </c>
      <c r="AU1" s="5" t="s">
        <v>48</v>
      </c>
      <c r="AV1" s="5" t="s">
        <v>49</v>
      </c>
      <c r="AW1" s="5" t="s">
        <v>50</v>
      </c>
      <c r="AX1" s="5" t="s">
        <v>51</v>
      </c>
      <c r="AY1" s="5" t="s">
        <v>52</v>
      </c>
      <c r="AZ1" s="5" t="s">
        <v>53</v>
      </c>
      <c r="BA1" s="5" t="s">
        <v>54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  <c r="BJ1" s="5" t="s">
        <v>63</v>
      </c>
      <c r="BK1" s="5" t="s">
        <v>64</v>
      </c>
      <c r="BL1" s="5" t="s">
        <v>65</v>
      </c>
      <c r="BM1" s="5" t="s">
        <v>66</v>
      </c>
      <c r="BN1" s="5" t="s">
        <v>67</v>
      </c>
      <c r="BO1" s="5" t="s">
        <v>68</v>
      </c>
      <c r="BP1" s="5" t="s">
        <v>69</v>
      </c>
      <c r="BQ1" s="5" t="s">
        <v>70</v>
      </c>
      <c r="BR1" s="5" t="s">
        <v>71</v>
      </c>
      <c r="BS1" s="5" t="s">
        <v>72</v>
      </c>
      <c r="BT1" s="5" t="s">
        <v>73</v>
      </c>
      <c r="BU1" s="5" t="s">
        <v>74</v>
      </c>
      <c r="BV1" s="5" t="s">
        <v>75</v>
      </c>
      <c r="BW1" s="5" t="s">
        <v>76</v>
      </c>
      <c r="BX1" s="5" t="s">
        <v>77</v>
      </c>
      <c r="BY1" s="5" t="s">
        <v>78</v>
      </c>
      <c r="BZ1" s="5" t="s">
        <v>79</v>
      </c>
      <c r="CA1" s="5" t="s">
        <v>80</v>
      </c>
      <c r="CB1" s="5" t="s">
        <v>81</v>
      </c>
      <c r="CC1" s="5" t="s">
        <v>82</v>
      </c>
    </row>
    <row r="2" spans="1:81">
      <c r="A2" t="s">
        <v>112</v>
      </c>
      <c r="B2" s="12">
        <f>RPS_basis!B15</f>
        <v>5.3308997197454321E-2</v>
      </c>
      <c r="C2" s="12">
        <f>RPS_basis!C15</f>
        <v>7.4040273885353225E-2</v>
      </c>
      <c r="D2" s="12">
        <f>RPS_basis!D15</f>
        <v>7.7001884840767351E-2</v>
      </c>
      <c r="E2" s="12">
        <f>RPS_basis!E15</f>
        <v>7.9963495796181491E-2</v>
      </c>
      <c r="F2" s="12">
        <f>RPS_basis!F15</f>
        <v>8.2925106751595618E-2</v>
      </c>
      <c r="G2" s="12">
        <f>RPS_basis!G15</f>
        <v>8.884832866242387E-2</v>
      </c>
      <c r="H2" s="12">
        <f>RPS_basis!H15</f>
        <v>0.10069477248408039</v>
      </c>
      <c r="I2" s="12">
        <f>RPS_basis!I15</f>
        <v>0.11254121630573691</v>
      </c>
      <c r="J2" s="12">
        <f>RPS_basis!J15</f>
        <v>0.1332724929936358</v>
      </c>
      <c r="K2" s="12">
        <f>RPS_basis!K15</f>
        <v>0.14808054777070645</v>
      </c>
      <c r="L2" s="12">
        <f>RPS_basis!L15</f>
        <v>0.14808054777070645</v>
      </c>
      <c r="M2" s="12">
        <f>RPS_basis!M15</f>
        <v>0.14808054777070645</v>
      </c>
      <c r="N2" s="12">
        <f>RPS_basis!N15</f>
        <v>0.14808054777070645</v>
      </c>
      <c r="O2" s="12">
        <f>RPS_basis!O15</f>
        <v>0.14808054777070645</v>
      </c>
      <c r="P2" s="12">
        <f>RPS_basis!P15</f>
        <v>0.14808054777070645</v>
      </c>
      <c r="Q2" s="12">
        <f>RPS_basis!Q15</f>
        <v>0.14808054777070645</v>
      </c>
      <c r="R2" s="12">
        <f>RPS_basis!R15</f>
        <v>0.14808054777070645</v>
      </c>
      <c r="S2" s="12">
        <f>RPS_basis!S15</f>
        <v>0.14808054777070645</v>
      </c>
      <c r="T2" s="12">
        <f>RPS_basis!T15</f>
        <v>0.14808054777070645</v>
      </c>
      <c r="U2" s="12">
        <f>RPS_basis!U15</f>
        <v>0.14808054777070645</v>
      </c>
      <c r="V2" s="12">
        <f>RPS_basis!V15</f>
        <v>0.14808054777070645</v>
      </c>
      <c r="W2" s="12">
        <f>RPS_basis!W15</f>
        <v>0.14808054777070645</v>
      </c>
      <c r="X2" s="12">
        <f>RPS_basis!X15</f>
        <v>0.14808054777070645</v>
      </c>
      <c r="Y2" s="12">
        <f>RPS_basis!Y15</f>
        <v>0.14808054777070645</v>
      </c>
      <c r="Z2" s="12">
        <f>RPS_basis!Z15</f>
        <v>0.14808054777070645</v>
      </c>
      <c r="AA2" s="12">
        <f>RPS_basis!AA15</f>
        <v>0.14808054777070645</v>
      </c>
      <c r="AB2" s="12">
        <f>RPS_basis!AB15</f>
        <v>0.14808054777070645</v>
      </c>
      <c r="AC2" s="12">
        <f>RPS_basis!AC15</f>
        <v>0.14808054777070645</v>
      </c>
      <c r="AD2" s="12">
        <f>RPS_basis!AD15</f>
        <v>0.14808054777070645</v>
      </c>
      <c r="AE2" s="12">
        <f>RPS_basis!AE15</f>
        <v>0.14808054777070645</v>
      </c>
      <c r="AF2" s="12">
        <f>RPS_basis!AF15</f>
        <v>0.14808054777070645</v>
      </c>
      <c r="AG2" s="12">
        <f>RPS_basis!AG15</f>
        <v>0.14808054777070645</v>
      </c>
      <c r="AH2" s="12">
        <f>RPS_basis!AH15</f>
        <v>0.14808054777070645</v>
      </c>
      <c r="AI2" s="12">
        <f>RPS_basis!AI15</f>
        <v>0.14808054777070645</v>
      </c>
      <c r="AJ2" s="12">
        <f>RPS_basis!AJ15</f>
        <v>0.14808054777070645</v>
      </c>
      <c r="AK2" s="12">
        <f>RPS_basis!AK15</f>
        <v>0.14808054777070645</v>
      </c>
      <c r="AL2" s="12">
        <f>RPS_basis!AL15</f>
        <v>0.14808054777070645</v>
      </c>
      <c r="AM2" s="12">
        <f>RPS_basis!AM15</f>
        <v>0.14808054777070645</v>
      </c>
      <c r="AN2" s="12">
        <f>RPS_basis!AN15</f>
        <v>0.14808054777070645</v>
      </c>
      <c r="AO2" s="12">
        <f>RPS_basis!AO15</f>
        <v>0.14808054777070645</v>
      </c>
      <c r="AP2" s="12">
        <f>RPS_basis!AP15</f>
        <v>0.14808054777070645</v>
      </c>
      <c r="AQ2" s="12">
        <f>RPS_basis!AQ15</f>
        <v>0.14808054777070645</v>
      </c>
      <c r="AR2" s="12">
        <f>RPS_basis!AR15</f>
        <v>0.14808054777070645</v>
      </c>
      <c r="AS2" s="12">
        <f>RPS_basis!AS15</f>
        <v>0.14808054777070645</v>
      </c>
      <c r="AT2" s="12">
        <f>RPS_basis!AT15</f>
        <v>0.14808054777070645</v>
      </c>
      <c r="AU2" s="12">
        <f>RPS_basis!AU15</f>
        <v>0.14808054777070645</v>
      </c>
      <c r="AV2" s="12">
        <f>RPS_basis!AV15</f>
        <v>0.14808054777070645</v>
      </c>
      <c r="AW2" s="12">
        <f>RPS_basis!AW15</f>
        <v>0.14808054777070645</v>
      </c>
      <c r="AX2" s="12">
        <f>RPS_basis!AX15</f>
        <v>0.14808054777070645</v>
      </c>
      <c r="AY2" s="12">
        <f>RPS_basis!AY15</f>
        <v>0.14808054777070645</v>
      </c>
      <c r="AZ2" s="12">
        <f>RPS_basis!AZ15</f>
        <v>0.14808054777070645</v>
      </c>
      <c r="BA2" s="12">
        <f>RPS_basis!BA15</f>
        <v>0.14808054777070645</v>
      </c>
      <c r="BB2" s="12">
        <f>RPS_basis!BB15</f>
        <v>0.14808054777070645</v>
      </c>
      <c r="BC2" s="12">
        <f>RPS_basis!BC15</f>
        <v>0.14808054777070645</v>
      </c>
      <c r="BD2" s="12">
        <f>RPS_basis!BD15</f>
        <v>0.14808054777070645</v>
      </c>
      <c r="BE2" s="12">
        <f>RPS_basis!BE15</f>
        <v>0.14808054777070645</v>
      </c>
      <c r="BF2" s="12">
        <f>RPS_basis!BF15</f>
        <v>0.14808054777070645</v>
      </c>
      <c r="BG2" s="12">
        <f>RPS_basis!BG15</f>
        <v>0.14808054777070645</v>
      </c>
      <c r="BH2" s="12">
        <f>RPS_basis!BH15</f>
        <v>0.14808054777070645</v>
      </c>
      <c r="BI2" s="12">
        <f>RPS_basis!BI15</f>
        <v>0.14808054777070645</v>
      </c>
      <c r="BJ2" s="12">
        <f>RPS_basis!BJ15</f>
        <v>0.14808054777070645</v>
      </c>
      <c r="BK2" s="12">
        <f>RPS_basis!BK15</f>
        <v>0.14808054777070645</v>
      </c>
      <c r="BL2" s="12">
        <f>RPS_basis!BL15</f>
        <v>0.14808054777070645</v>
      </c>
      <c r="BM2" s="12">
        <f>RPS_basis!BM15</f>
        <v>0.14808054777070645</v>
      </c>
      <c r="BN2" s="12">
        <f>RPS_basis!BN15</f>
        <v>0.14808054777070645</v>
      </c>
      <c r="BO2" s="12">
        <f>RPS_basis!BO15</f>
        <v>0.14808054777070645</v>
      </c>
      <c r="BP2" s="12">
        <f>RPS_basis!BP15</f>
        <v>0.14808054777070645</v>
      </c>
      <c r="BQ2" s="12">
        <f>RPS_basis!BQ15</f>
        <v>0.14808054777070645</v>
      </c>
      <c r="BR2" s="12">
        <f>RPS_basis!BR15</f>
        <v>0.14808054777070645</v>
      </c>
      <c r="BS2" s="12">
        <f>RPS_basis!BS15</f>
        <v>0.14808054777070645</v>
      </c>
      <c r="BT2" s="12">
        <f>RPS_basis!BT15</f>
        <v>0.14808054777070645</v>
      </c>
      <c r="BU2" s="12">
        <f>RPS_basis!BU15</f>
        <v>0.14808054777070645</v>
      </c>
      <c r="BV2" s="12">
        <f>RPS_basis!BV15</f>
        <v>0.14808054777070645</v>
      </c>
      <c r="BW2" s="12">
        <f>RPS_basis!BW15</f>
        <v>0.14808054777070645</v>
      </c>
      <c r="BX2" s="12">
        <f>RPS_basis!BX15</f>
        <v>0.14808054777070645</v>
      </c>
      <c r="BY2" s="12">
        <f>RPS_basis!BY15</f>
        <v>0.14808054777070645</v>
      </c>
      <c r="BZ2" s="12">
        <f>RPS_basis!BZ15</f>
        <v>0.14808054777070645</v>
      </c>
      <c r="CA2" s="12">
        <f>RPS_basis!CA15</f>
        <v>0.14808054777070645</v>
      </c>
      <c r="CB2" s="12">
        <f>RPS_basis!CB15</f>
        <v>0.14808054777070645</v>
      </c>
      <c r="CC2" s="12">
        <f>RPS_basis!CC15</f>
        <v>0.14808054777070645</v>
      </c>
    </row>
    <row r="3" spans="1:81">
      <c r="A3" t="s">
        <v>113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</row>
    <row r="4" spans="1:81">
      <c r="A4" t="s">
        <v>114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</row>
    <row r="5" spans="1:81">
      <c r="A5" t="s">
        <v>115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</row>
    <row r="6" spans="1:81">
      <c r="A6" t="s">
        <v>116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</row>
    <row r="7" spans="1:81">
      <c r="A7" t="s">
        <v>117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</row>
    <row r="8" spans="1:81">
      <c r="A8" t="s">
        <v>118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</row>
    <row r="9" spans="1:81">
      <c r="A9" t="s">
        <v>119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</row>
    <row r="10" spans="1:81">
      <c r="A10" t="s">
        <v>120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</row>
    <row r="11" spans="1:81">
      <c r="A11" t="s">
        <v>121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</row>
    <row r="12" spans="1:81">
      <c r="A12" t="s">
        <v>122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</row>
    <row r="13" spans="1:81">
      <c r="A13" t="s">
        <v>123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</row>
    <row r="14" spans="1:81">
      <c r="A14" t="s">
        <v>124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</row>
    <row r="15" spans="1:81">
      <c r="A15" t="s">
        <v>125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</row>
    <row r="16" spans="1:81">
      <c r="A16" t="s">
        <v>126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</row>
    <row r="17" spans="1:81">
      <c r="A17" t="s">
        <v>127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</row>
    <row r="18" spans="1:81">
      <c r="A18" t="s">
        <v>128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</row>
    <row r="19" spans="1:81">
      <c r="A19" t="s">
        <v>129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</row>
    <row r="20" spans="1:81">
      <c r="A20" t="s">
        <v>130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</row>
    <row r="21" spans="1:81">
      <c r="A21" t="s">
        <v>131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</row>
    <row r="22" spans="1:81">
      <c r="A22" t="s">
        <v>132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</row>
    <row r="23" spans="1:81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</row>
    <row r="24" spans="1:81">
      <c r="A24" t="s">
        <v>134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</row>
    <row r="25" spans="1:81">
      <c r="A25" t="s">
        <v>135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</row>
    <row r="26" spans="1:81">
      <c r="A26" t="s">
        <v>136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</row>
    <row r="27" spans="1:81">
      <c r="A27" t="s">
        <v>137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</row>
    <row r="28" spans="1:81">
      <c r="A28" t="s">
        <v>138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</row>
    <row r="29" spans="1:81">
      <c r="A29" t="s">
        <v>139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</row>
    <row r="30" spans="1:81">
      <c r="A30" t="s">
        <v>140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</row>
    <row r="31" spans="1:81">
      <c r="A31" t="s">
        <v>141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</row>
    <row r="32" spans="1:81">
      <c r="A32" t="s">
        <v>142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</row>
    <row r="33" spans="1:81">
      <c r="A33" t="s">
        <v>143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</row>
    <row r="34" spans="1:81">
      <c r="A34" t="s">
        <v>144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</row>
    <row r="35" spans="1:81">
      <c r="A35" t="s">
        <v>145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</row>
    <row r="36" spans="1:81">
      <c r="A36" t="s">
        <v>146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</row>
    <row r="37" spans="1:81">
      <c r="A37" t="s">
        <v>147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</row>
    <row r="38" spans="1:81">
      <c r="A38" t="s">
        <v>148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</row>
    <row r="39" spans="1:81">
      <c r="A39" t="s">
        <v>149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</row>
    <row r="40" spans="1:81">
      <c r="A40" t="s">
        <v>150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</row>
    <row r="41" spans="1:81">
      <c r="A41" t="s">
        <v>151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</row>
    <row r="42" spans="1:81">
      <c r="A42" t="s">
        <v>152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</row>
    <row r="43" spans="1:81">
      <c r="A43" t="s">
        <v>153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</row>
    <row r="44" spans="1:81">
      <c r="A44" t="s">
        <v>154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</row>
    <row r="45" spans="1:81">
      <c r="A45" t="s">
        <v>155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</row>
    <row r="46" spans="1:81">
      <c r="A46" t="s">
        <v>156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</row>
    <row r="47" spans="1:81">
      <c r="A47" t="s">
        <v>157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</row>
    <row r="48" spans="1:81">
      <c r="A48" t="s">
        <v>158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</row>
    <row r="49" spans="1:81">
      <c r="A49" t="s">
        <v>159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</row>
    <row r="50" spans="1:81">
      <c r="A50" t="s">
        <v>160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</row>
    <row r="51" spans="1:81">
      <c r="A51" t="s">
        <v>161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</row>
    <row r="52" spans="1:81">
      <c r="A52" t="s">
        <v>162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</row>
    <row r="53" spans="1:81">
      <c r="A53" t="s">
        <v>83</v>
      </c>
      <c r="B53" s="6"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0</v>
      </c>
      <c r="AV53" s="6">
        <v>0</v>
      </c>
      <c r="AW53" s="6">
        <v>0</v>
      </c>
      <c r="AX53" s="6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</row>
    <row r="54" spans="1:81">
      <c r="A54" t="s">
        <v>84</v>
      </c>
      <c r="B54" s="6"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  <c r="AS54" s="6">
        <v>0</v>
      </c>
      <c r="AT54" s="6">
        <v>0</v>
      </c>
      <c r="AU54" s="6">
        <v>0</v>
      </c>
      <c r="AV54" s="6">
        <v>0</v>
      </c>
      <c r="AW54" s="6">
        <v>0</v>
      </c>
      <c r="AX54" s="6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</row>
    <row r="55" spans="1:81">
      <c r="A55" t="s">
        <v>85</v>
      </c>
      <c r="B55" s="6"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  <c r="AV55" s="6">
        <v>0</v>
      </c>
      <c r="AW55" s="6">
        <v>0</v>
      </c>
      <c r="AX55" s="6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</row>
    <row r="56" spans="1:81">
      <c r="A56" t="s">
        <v>86</v>
      </c>
      <c r="B56" s="6"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0</v>
      </c>
      <c r="AV56" s="6">
        <v>0</v>
      </c>
      <c r="AW56" s="6">
        <v>0</v>
      </c>
      <c r="AX56" s="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</row>
    <row r="57" spans="1:81">
      <c r="A57" t="s">
        <v>87</v>
      </c>
      <c r="B57" s="6"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0</v>
      </c>
      <c r="AV57" s="6">
        <v>0</v>
      </c>
      <c r="AW57" s="6">
        <v>0</v>
      </c>
      <c r="AX57" s="6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</row>
    <row r="58" spans="1:81">
      <c r="A58" t="s">
        <v>88</v>
      </c>
      <c r="B58" s="6"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>
        <v>0</v>
      </c>
      <c r="AU58" s="6">
        <v>0</v>
      </c>
      <c r="AV58" s="6">
        <v>0</v>
      </c>
      <c r="AW58" s="6">
        <v>0</v>
      </c>
      <c r="AX58" s="6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</row>
    <row r="59" spans="1:81">
      <c r="A59" t="s">
        <v>89</v>
      </c>
      <c r="B59" s="6">
        <v>0</v>
      </c>
      <c r="C59" s="6">
        <v>0</v>
      </c>
      <c r="D59" s="6">
        <v>0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0</v>
      </c>
      <c r="Z59" s="6">
        <v>0</v>
      </c>
      <c r="AA59" s="6">
        <v>0</v>
      </c>
      <c r="AB59" s="6">
        <v>0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>
        <v>0</v>
      </c>
      <c r="AJ59" s="6">
        <v>0</v>
      </c>
      <c r="AK59" s="6">
        <v>0</v>
      </c>
      <c r="AL59" s="6">
        <v>0</v>
      </c>
      <c r="AM59" s="6">
        <v>0</v>
      </c>
      <c r="AN59" s="6">
        <v>0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>
        <v>0</v>
      </c>
      <c r="AU59" s="6">
        <v>0</v>
      </c>
      <c r="AV59" s="6">
        <v>0</v>
      </c>
      <c r="AW59" s="6">
        <v>0</v>
      </c>
      <c r="AX59" s="6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</row>
    <row r="60" spans="1:81">
      <c r="A60" t="s">
        <v>90</v>
      </c>
      <c r="B60" s="6">
        <v>0</v>
      </c>
      <c r="C60" s="6">
        <v>0</v>
      </c>
      <c r="D60" s="6">
        <v>0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6">
        <v>0</v>
      </c>
      <c r="Y60" s="6">
        <v>0</v>
      </c>
      <c r="Z60" s="6">
        <v>0</v>
      </c>
      <c r="AA60" s="6">
        <v>0</v>
      </c>
      <c r="AB60" s="6">
        <v>0</v>
      </c>
      <c r="AC60" s="6">
        <v>0</v>
      </c>
      <c r="AD60" s="6">
        <v>0</v>
      </c>
      <c r="AE60" s="6">
        <v>0</v>
      </c>
      <c r="AF60" s="6">
        <v>0</v>
      </c>
      <c r="AG60" s="6">
        <v>0</v>
      </c>
      <c r="AH60" s="6">
        <v>0</v>
      </c>
      <c r="AI60" s="6">
        <v>0</v>
      </c>
      <c r="AJ60" s="6">
        <v>0</v>
      </c>
      <c r="AK60" s="6">
        <v>0</v>
      </c>
      <c r="AL60" s="6">
        <v>0</v>
      </c>
      <c r="AM60" s="6">
        <v>0</v>
      </c>
      <c r="AN60" s="6">
        <v>0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0</v>
      </c>
      <c r="AV60" s="6">
        <v>0</v>
      </c>
      <c r="AW60" s="6">
        <v>0</v>
      </c>
      <c r="AX60" s="6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</row>
    <row r="61" spans="1:81">
      <c r="A61" t="s">
        <v>91</v>
      </c>
      <c r="B61" s="6">
        <v>0</v>
      </c>
      <c r="C61" s="6">
        <v>0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0</v>
      </c>
      <c r="AV61" s="6">
        <v>0</v>
      </c>
      <c r="AW61" s="6">
        <v>0</v>
      </c>
      <c r="AX61" s="6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</row>
  </sheetData>
  <phoneticPr fontId="2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DDD9-F469-4382-A6A6-67E0266F5961}">
  <sheetPr>
    <tabColor theme="3"/>
  </sheetPr>
  <dimension ref="A1:B61"/>
  <sheetViews>
    <sheetView workbookViewId="0"/>
  </sheetViews>
  <sheetFormatPr defaultRowHeight="14.4"/>
  <cols>
    <col min="1" max="1" width="20" customWidth="1"/>
    <col min="2" max="2" width="14.33203125" style="11" customWidth="1"/>
  </cols>
  <sheetData>
    <row r="1" spans="1:2">
      <c r="A1" s="7" t="s">
        <v>95</v>
      </c>
      <c r="B1" s="9" t="s">
        <v>110</v>
      </c>
    </row>
    <row r="2" spans="1:2">
      <c r="A2" t="s">
        <v>112</v>
      </c>
      <c r="B2" s="10">
        <v>1</v>
      </c>
    </row>
    <row r="3" spans="1:2">
      <c r="A3" t="s">
        <v>113</v>
      </c>
      <c r="B3" s="10">
        <v>0</v>
      </c>
    </row>
    <row r="4" spans="1:2">
      <c r="A4" t="s">
        <v>114</v>
      </c>
      <c r="B4" s="10">
        <v>0</v>
      </c>
    </row>
    <row r="5" spans="1:2">
      <c r="A5" t="s">
        <v>115</v>
      </c>
      <c r="B5" s="10">
        <v>0</v>
      </c>
    </row>
    <row r="6" spans="1:2">
      <c r="A6" t="s">
        <v>116</v>
      </c>
      <c r="B6" s="10">
        <v>0</v>
      </c>
    </row>
    <row r="7" spans="1:2">
      <c r="A7" t="s">
        <v>117</v>
      </c>
      <c r="B7" s="10">
        <v>0</v>
      </c>
    </row>
    <row r="8" spans="1:2">
      <c r="A8" t="s">
        <v>118</v>
      </c>
      <c r="B8" s="10">
        <v>0</v>
      </c>
    </row>
    <row r="9" spans="1:2">
      <c r="A9" t="s">
        <v>119</v>
      </c>
      <c r="B9" s="10">
        <v>0</v>
      </c>
    </row>
    <row r="10" spans="1:2">
      <c r="A10" t="s">
        <v>120</v>
      </c>
      <c r="B10" s="10">
        <v>0</v>
      </c>
    </row>
    <row r="11" spans="1:2">
      <c r="A11" t="s">
        <v>121</v>
      </c>
      <c r="B11" s="10">
        <v>0</v>
      </c>
    </row>
    <row r="12" spans="1:2">
      <c r="A12" t="s">
        <v>122</v>
      </c>
      <c r="B12" s="10">
        <v>0</v>
      </c>
    </row>
    <row r="13" spans="1:2">
      <c r="A13" t="s">
        <v>123</v>
      </c>
      <c r="B13" s="10">
        <v>0</v>
      </c>
    </row>
    <row r="14" spans="1:2">
      <c r="A14" t="s">
        <v>124</v>
      </c>
      <c r="B14" s="10">
        <v>0</v>
      </c>
    </row>
    <row r="15" spans="1:2">
      <c r="A15" t="s">
        <v>125</v>
      </c>
      <c r="B15" s="10">
        <v>0</v>
      </c>
    </row>
    <row r="16" spans="1:2">
      <c r="A16" t="s">
        <v>126</v>
      </c>
      <c r="B16" s="10">
        <v>0</v>
      </c>
    </row>
    <row r="17" spans="1:2">
      <c r="A17" t="s">
        <v>127</v>
      </c>
      <c r="B17" s="10">
        <v>0</v>
      </c>
    </row>
    <row r="18" spans="1:2">
      <c r="A18" t="s">
        <v>128</v>
      </c>
      <c r="B18" s="10">
        <v>0</v>
      </c>
    </row>
    <row r="19" spans="1:2">
      <c r="A19" t="s">
        <v>129</v>
      </c>
      <c r="B19" s="10">
        <v>0</v>
      </c>
    </row>
    <row r="20" spans="1:2">
      <c r="A20" t="s">
        <v>130</v>
      </c>
      <c r="B20" s="10">
        <v>0</v>
      </c>
    </row>
    <row r="21" spans="1:2">
      <c r="A21" t="s">
        <v>131</v>
      </c>
      <c r="B21" s="10">
        <v>0</v>
      </c>
    </row>
    <row r="22" spans="1:2">
      <c r="A22" t="s">
        <v>132</v>
      </c>
      <c r="B22" s="10">
        <v>0</v>
      </c>
    </row>
    <row r="23" spans="1:2">
      <c r="A23" t="s">
        <v>133</v>
      </c>
      <c r="B23" s="10">
        <v>0</v>
      </c>
    </row>
    <row r="24" spans="1:2">
      <c r="A24" t="s">
        <v>134</v>
      </c>
      <c r="B24" s="10">
        <v>0</v>
      </c>
    </row>
    <row r="25" spans="1:2">
      <c r="A25" t="s">
        <v>135</v>
      </c>
      <c r="B25" s="10">
        <v>0</v>
      </c>
    </row>
    <row r="26" spans="1:2">
      <c r="A26" t="s">
        <v>136</v>
      </c>
      <c r="B26" s="10">
        <v>0</v>
      </c>
    </row>
    <row r="27" spans="1:2">
      <c r="A27" t="s">
        <v>137</v>
      </c>
      <c r="B27" s="10">
        <v>0</v>
      </c>
    </row>
    <row r="28" spans="1:2">
      <c r="A28" t="s">
        <v>138</v>
      </c>
      <c r="B28" s="10">
        <v>0</v>
      </c>
    </row>
    <row r="29" spans="1:2">
      <c r="A29" t="s">
        <v>139</v>
      </c>
      <c r="B29" s="10">
        <v>0</v>
      </c>
    </row>
    <row r="30" spans="1:2">
      <c r="A30" t="s">
        <v>140</v>
      </c>
      <c r="B30" s="10">
        <v>0</v>
      </c>
    </row>
    <row r="31" spans="1:2">
      <c r="A31" t="s">
        <v>141</v>
      </c>
      <c r="B31" s="10">
        <v>0</v>
      </c>
    </row>
    <row r="32" spans="1:2">
      <c r="A32" t="s">
        <v>142</v>
      </c>
      <c r="B32" s="10">
        <v>0</v>
      </c>
    </row>
    <row r="33" spans="1:2">
      <c r="A33" t="s">
        <v>143</v>
      </c>
      <c r="B33" s="10">
        <v>0</v>
      </c>
    </row>
    <row r="34" spans="1:2">
      <c r="A34" t="s">
        <v>144</v>
      </c>
      <c r="B34" s="10">
        <v>0</v>
      </c>
    </row>
    <row r="35" spans="1:2">
      <c r="A35" t="s">
        <v>145</v>
      </c>
      <c r="B35" s="10">
        <v>0</v>
      </c>
    </row>
    <row r="36" spans="1:2">
      <c r="A36" t="s">
        <v>146</v>
      </c>
      <c r="B36" s="10">
        <v>0</v>
      </c>
    </row>
    <row r="37" spans="1:2">
      <c r="A37" t="s">
        <v>147</v>
      </c>
      <c r="B37" s="10">
        <v>0</v>
      </c>
    </row>
    <row r="38" spans="1:2">
      <c r="A38" t="s">
        <v>148</v>
      </c>
      <c r="B38" s="10">
        <v>0</v>
      </c>
    </row>
    <row r="39" spans="1:2">
      <c r="A39" t="s">
        <v>149</v>
      </c>
      <c r="B39" s="10">
        <v>0</v>
      </c>
    </row>
    <row r="40" spans="1:2">
      <c r="A40" t="s">
        <v>150</v>
      </c>
      <c r="B40" s="10">
        <v>0</v>
      </c>
    </row>
    <row r="41" spans="1:2">
      <c r="A41" t="s">
        <v>151</v>
      </c>
      <c r="B41" s="10">
        <v>0</v>
      </c>
    </row>
    <row r="42" spans="1:2">
      <c r="A42" t="s">
        <v>152</v>
      </c>
      <c r="B42" s="10">
        <v>0</v>
      </c>
    </row>
    <row r="43" spans="1:2">
      <c r="A43" t="s">
        <v>153</v>
      </c>
      <c r="B43" s="10">
        <v>0</v>
      </c>
    </row>
    <row r="44" spans="1:2">
      <c r="A44" t="s">
        <v>154</v>
      </c>
      <c r="B44" s="10">
        <v>0</v>
      </c>
    </row>
    <row r="45" spans="1:2">
      <c r="A45" t="s">
        <v>155</v>
      </c>
      <c r="B45" s="10">
        <v>0</v>
      </c>
    </row>
    <row r="46" spans="1:2">
      <c r="A46" t="s">
        <v>156</v>
      </c>
      <c r="B46" s="10">
        <v>0</v>
      </c>
    </row>
    <row r="47" spans="1:2">
      <c r="A47" t="s">
        <v>157</v>
      </c>
      <c r="B47" s="10">
        <v>0</v>
      </c>
    </row>
    <row r="48" spans="1:2">
      <c r="A48" t="s">
        <v>158</v>
      </c>
      <c r="B48" s="10">
        <v>0</v>
      </c>
    </row>
    <row r="49" spans="1:2">
      <c r="A49" t="s">
        <v>159</v>
      </c>
      <c r="B49" s="10">
        <v>0</v>
      </c>
    </row>
    <row r="50" spans="1:2">
      <c r="A50" t="s">
        <v>160</v>
      </c>
      <c r="B50" s="10">
        <v>0</v>
      </c>
    </row>
    <row r="51" spans="1:2">
      <c r="A51" t="s">
        <v>161</v>
      </c>
      <c r="B51" s="10">
        <v>0</v>
      </c>
    </row>
    <row r="52" spans="1:2">
      <c r="A52" t="s">
        <v>162</v>
      </c>
      <c r="B52" s="10">
        <v>0</v>
      </c>
    </row>
    <row r="53" spans="1:2">
      <c r="A53" t="s">
        <v>83</v>
      </c>
      <c r="B53" s="10">
        <v>0</v>
      </c>
    </row>
    <row r="54" spans="1:2">
      <c r="A54" t="s">
        <v>84</v>
      </c>
      <c r="B54" s="10">
        <v>0</v>
      </c>
    </row>
    <row r="55" spans="1:2">
      <c r="A55" t="s">
        <v>85</v>
      </c>
      <c r="B55" s="10">
        <v>0</v>
      </c>
    </row>
    <row r="56" spans="1:2">
      <c r="A56" t="s">
        <v>86</v>
      </c>
      <c r="B56" s="10">
        <v>0</v>
      </c>
    </row>
    <row r="57" spans="1:2">
      <c r="A57" t="s">
        <v>87</v>
      </c>
      <c r="B57" s="10">
        <v>0</v>
      </c>
    </row>
    <row r="58" spans="1:2">
      <c r="A58" t="s">
        <v>88</v>
      </c>
      <c r="B58" s="10">
        <v>0</v>
      </c>
    </row>
    <row r="59" spans="1:2">
      <c r="A59" t="s">
        <v>89</v>
      </c>
      <c r="B59" s="10">
        <v>0</v>
      </c>
    </row>
    <row r="60" spans="1:2">
      <c r="A60" t="s">
        <v>90</v>
      </c>
      <c r="B60" s="10">
        <v>0</v>
      </c>
    </row>
    <row r="61" spans="1:2">
      <c r="A61" t="s">
        <v>91</v>
      </c>
      <c r="B61" s="10">
        <v>0</v>
      </c>
    </row>
  </sheetData>
  <phoneticPr fontId="2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26A6D2-559B-4381-A873-3D2325889C2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715CECE-326A-4BF6-A74C-9A54CD69F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4DC507-1B00-4182-8466-350123371AC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New n Renewable</vt:lpstr>
      <vt:lpstr>Power Generation by ES</vt:lpstr>
      <vt:lpstr>CES_kor</vt:lpstr>
      <vt:lpstr>RPS_basis</vt:lpstr>
      <vt:lpstr>RPS_kor</vt:lpstr>
      <vt:lpstr>BRPSDbS-CES-percentages</vt:lpstr>
      <vt:lpstr>BRPSDbS-RPS-percentages</vt:lpstr>
      <vt:lpstr>BRPSDbS-electricity-shares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2016-01-06T02:12:13Z</dcterms:created>
  <dcterms:modified xsi:type="dcterms:W3CDTF">2026-09-08T18:04:27Z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