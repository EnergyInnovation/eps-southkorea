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BRPSDbS\"/>
    </mc:Choice>
  </mc:AlternateContent>
  <xr:revisionPtr revIDLastSave="0" documentId="13_ncr:1_{26881B1B-E315-45FF-84CB-456DA879815C}" xr6:coauthVersionLast="47" xr6:coauthVersionMax="47" xr10:uidLastSave="{00000000-0000-0000-0000-000000000000}"/>
  <bookViews>
    <workbookView xWindow="1520" yWindow="1520" windowWidth="28800" windowHeight="15450" tabRatio="787" activeTab="4" xr2:uid="{00000000-000D-0000-FFFF-FFFF00000000}"/>
  </bookViews>
  <sheets>
    <sheet name="About" sheetId="1" r:id="rId1"/>
    <sheet name="New n Renewable" sheetId="32" r:id="rId2"/>
    <sheet name="Power Generation by ES" sheetId="34" r:id="rId3"/>
    <sheet name="CES_kor" sheetId="30" r:id="rId4"/>
    <sheet name="RPS_basis" sheetId="35" r:id="rId5"/>
    <sheet name="RPS_kor" sheetId="29" r:id="rId6"/>
    <sheet name="BRPSDbS-CES-percentages" sheetId="31" r:id="rId7"/>
    <sheet name="BRPSDbS-RPS-percentages" sheetId="24" r:id="rId8"/>
    <sheet name="BRPSDbS-electricity-shares" sheetId="25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" i="24" l="1"/>
  <c r="CC20" i="35"/>
  <c r="CB2" i="24"/>
  <c r="CB20" i="35"/>
  <c r="CA2" i="24"/>
  <c r="CA20" i="35"/>
  <c r="BZ2" i="24"/>
  <c r="BZ20" i="35"/>
  <c r="BY2" i="24"/>
  <c r="BY20" i="35"/>
  <c r="BX2" i="24"/>
  <c r="BX20" i="35"/>
  <c r="BW2" i="24"/>
  <c r="BW20" i="35"/>
  <c r="BV2" i="24"/>
  <c r="BV20" i="35"/>
  <c r="BU2" i="24"/>
  <c r="BU20" i="35"/>
  <c r="BT2" i="24"/>
  <c r="BT20" i="35"/>
  <c r="BS2" i="24"/>
  <c r="BS20" i="35"/>
  <c r="BR2" i="24"/>
  <c r="BR20" i="35"/>
  <c r="BQ2" i="24"/>
  <c r="BQ20" i="35"/>
  <c r="BP2" i="24"/>
  <c r="BP20" i="35"/>
  <c r="BO2" i="24"/>
  <c r="BO20" i="35"/>
  <c r="BN2" i="24"/>
  <c r="BN20" i="35"/>
  <c r="BM2" i="24"/>
  <c r="BM20" i="35"/>
  <c r="BL2" i="24"/>
  <c r="BL20" i="35"/>
  <c r="BK2" i="24"/>
  <c r="BK20" i="35"/>
  <c r="BJ2" i="24"/>
  <c r="BJ20" i="35"/>
  <c r="BI2" i="24"/>
  <c r="BI20" i="35"/>
  <c r="BH2" i="24"/>
  <c r="BH20" i="35"/>
  <c r="BG2" i="24"/>
  <c r="BG20" i="35"/>
  <c r="BF2" i="24"/>
  <c r="BF20" i="35"/>
  <c r="BE2" i="24"/>
  <c r="BE20" i="35"/>
  <c r="BD2" i="24"/>
  <c r="BD20" i="35"/>
  <c r="BC2" i="24"/>
  <c r="BC20" i="35"/>
  <c r="BB2" i="24"/>
  <c r="BB20" i="35"/>
  <c r="BA2" i="24"/>
  <c r="BA20" i="35"/>
  <c r="AZ2" i="24"/>
  <c r="AZ20" i="35"/>
  <c r="AY2" i="24"/>
  <c r="AY20" i="35"/>
  <c r="AX2" i="24"/>
  <c r="AX20" i="35"/>
  <c r="AW2" i="24"/>
  <c r="AW20" i="35"/>
  <c r="AV2" i="24"/>
  <c r="AV20" i="35"/>
  <c r="AU2" i="24"/>
  <c r="AU20" i="35"/>
  <c r="AT2" i="24"/>
  <c r="AT20" i="35"/>
  <c r="AS2" i="24"/>
  <c r="AS20" i="35"/>
  <c r="AR2" i="24"/>
  <c r="AR20" i="35"/>
  <c r="AQ2" i="24"/>
  <c r="AQ20" i="35"/>
  <c r="AP2" i="24"/>
  <c r="AP20" i="35"/>
  <c r="AO2" i="24"/>
  <c r="AO20" i="35"/>
  <c r="AN2" i="24"/>
  <c r="AN20" i="35"/>
  <c r="AM2" i="24"/>
  <c r="AM20" i="35"/>
  <c r="AL2" i="24"/>
  <c r="AL20" i="35"/>
  <c r="AK2" i="24"/>
  <c r="AK20" i="35"/>
  <c r="AJ2" i="24"/>
  <c r="AJ20" i="35"/>
  <c r="AI2" i="24"/>
  <c r="AI20" i="35"/>
  <c r="AH2" i="24"/>
  <c r="AH20" i="35"/>
  <c r="AG2" i="24"/>
  <c r="AG20" i="35"/>
  <c r="AF2" i="24"/>
  <c r="AF20" i="35"/>
  <c r="AE2" i="24"/>
  <c r="AE20" i="35"/>
  <c r="AD2" i="24"/>
  <c r="AD20" i="35"/>
  <c r="AC2" i="24"/>
  <c r="AC20" i="35"/>
  <c r="AB2" i="24"/>
  <c r="AB20" i="35"/>
  <c r="AA2" i="24"/>
  <c r="AA20" i="35"/>
  <c r="Z2" i="24"/>
  <c r="Z20" i="35"/>
  <c r="Y2" i="24"/>
  <c r="Y20" i="35"/>
  <c r="X2" i="24"/>
  <c r="X20" i="35"/>
  <c r="W2" i="24"/>
  <c r="W20" i="35"/>
  <c r="V2" i="24"/>
  <c r="V20" i="35"/>
  <c r="U2" i="24"/>
  <c r="U20" i="35"/>
  <c r="T2" i="24"/>
  <c r="T20" i="35"/>
  <c r="S2" i="24"/>
  <c r="S20" i="35"/>
  <c r="R2" i="24"/>
  <c r="R20" i="35"/>
  <c r="Q2" i="24"/>
  <c r="Q20" i="35"/>
  <c r="P2" i="24"/>
  <c r="P20" i="35"/>
  <c r="O2" i="24"/>
  <c r="O20" i="35"/>
  <c r="N2" i="24"/>
  <c r="N20" i="35"/>
  <c r="M2" i="24"/>
  <c r="M20" i="35"/>
  <c r="L2" i="24"/>
  <c r="L20" i="35"/>
  <c r="K2" i="24"/>
  <c r="K20" i="35"/>
  <c r="J2" i="24"/>
  <c r="J20" i="35"/>
  <c r="I2" i="24"/>
  <c r="I20" i="35"/>
  <c r="H2" i="24"/>
  <c r="H20" i="35"/>
  <c r="G2" i="24"/>
  <c r="G20" i="35"/>
  <c r="F2" i="24"/>
  <c r="F20" i="35"/>
  <c r="E2" i="24"/>
  <c r="E20" i="35"/>
  <c r="D2" i="24"/>
  <c r="D20" i="35"/>
  <c r="C2" i="24"/>
  <c r="C20" i="35"/>
  <c r="B2" i="24"/>
  <c r="B20" i="35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CC15" i="35"/>
  <c r="CB15" i="35"/>
  <c r="CA15" i="35"/>
  <c r="BZ15" i="35"/>
  <c r="BY15" i="35"/>
  <c r="BX15" i="35"/>
  <c r="BW15" i="35"/>
  <c r="BV15" i="35"/>
  <c r="BU15" i="35"/>
  <c r="BT15" i="35"/>
  <c r="BS15" i="35"/>
  <c r="BR15" i="35"/>
  <c r="BQ15" i="35"/>
  <c r="BP15" i="35"/>
  <c r="BO15" i="35"/>
  <c r="BN15" i="35"/>
  <c r="BM15" i="35"/>
  <c r="BL15" i="35"/>
  <c r="BK15" i="35"/>
  <c r="BJ15" i="35"/>
  <c r="BI15" i="35"/>
  <c r="BH15" i="35"/>
  <c r="BG15" i="35"/>
  <c r="BF15" i="35"/>
  <c r="BE15" i="35"/>
  <c r="BD15" i="35"/>
  <c r="BC15" i="35"/>
  <c r="BB15" i="35"/>
  <c r="BA15" i="35"/>
  <c r="AZ15" i="35"/>
  <c r="AY15" i="35"/>
  <c r="AX15" i="35"/>
  <c r="AW15" i="35"/>
  <c r="AV15" i="35"/>
  <c r="AU15" i="35"/>
  <c r="AT15" i="35"/>
  <c r="AS15" i="35"/>
  <c r="AR15" i="35"/>
  <c r="AQ15" i="35"/>
  <c r="AP15" i="35"/>
  <c r="AO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B10" i="35"/>
  <c r="B8" i="35"/>
  <c r="B7" i="35"/>
  <c r="B6" i="35"/>
  <c r="F5" i="30"/>
  <c r="F4" i="30"/>
  <c r="C5" i="30"/>
  <c r="D5" i="30"/>
  <c r="B5" i="30"/>
  <c r="C4" i="30"/>
  <c r="D4" i="30"/>
  <c r="B4" i="30"/>
  <c r="F3" i="30"/>
  <c r="C3" i="30"/>
  <c r="D3" i="30"/>
  <c r="B3" i="30"/>
  <c r="F6" i="30"/>
  <c r="C6" i="30"/>
  <c r="D6" i="30"/>
  <c r="E18" i="34"/>
  <c r="F18" i="34"/>
  <c r="G18" i="34"/>
  <c r="H18" i="34"/>
  <c r="E19" i="34"/>
  <c r="F19" i="34"/>
  <c r="G19" i="34"/>
  <c r="H19" i="34"/>
  <c r="E20" i="34"/>
  <c r="F20" i="34"/>
  <c r="G20" i="34"/>
  <c r="H20" i="34"/>
  <c r="E21" i="34"/>
  <c r="F21" i="34"/>
  <c r="G21" i="34"/>
  <c r="H21" i="34"/>
  <c r="E22" i="34"/>
  <c r="F22" i="34"/>
  <c r="G22" i="34"/>
  <c r="H22" i="34"/>
  <c r="E23" i="34"/>
  <c r="F23" i="34"/>
  <c r="G23" i="34"/>
  <c r="H23" i="34"/>
  <c r="E24" i="34"/>
  <c r="F24" i="34"/>
  <c r="G24" i="34"/>
  <c r="H24" i="34"/>
  <c r="E25" i="34"/>
  <c r="F25" i="34"/>
  <c r="G25" i="34"/>
  <c r="H25" i="34"/>
  <c r="E26" i="34"/>
  <c r="F26" i="34"/>
  <c r="G26" i="34"/>
  <c r="H26" i="34"/>
  <c r="E27" i="34"/>
  <c r="F27" i="34"/>
  <c r="G27" i="34"/>
  <c r="H27" i="34"/>
  <c r="D19" i="34"/>
  <c r="D20" i="34"/>
  <c r="D21" i="34"/>
  <c r="D22" i="34"/>
  <c r="D23" i="34"/>
  <c r="D24" i="34"/>
  <c r="D25" i="34"/>
  <c r="D26" i="34"/>
  <c r="D27" i="34"/>
  <c r="D18" i="34"/>
  <c r="B6" i="30"/>
  <c r="T8" i="30"/>
  <c r="Q8" i="30"/>
  <c r="L8" i="30"/>
  <c r="E8" i="30"/>
  <c r="T7" i="30"/>
  <c r="Q7" i="30"/>
  <c r="L7" i="30"/>
  <c r="M7" i="30" s="1" a="1"/>
  <c r="M7" i="30" s="1"/>
  <c r="E7" i="30"/>
  <c r="J7" i="30" s="1" a="1"/>
  <c r="J7" i="30" s="1"/>
  <c r="E6" i="30"/>
  <c r="T6" i="30"/>
  <c r="Q6" i="30"/>
  <c r="S6" i="30" s="1" a="1"/>
  <c r="S6" i="30" s="1"/>
  <c r="L6" i="30"/>
  <c r="O6" i="30" s="1" a="1"/>
  <c r="O6" i="30" s="1"/>
  <c r="T5" i="30"/>
  <c r="S5" i="30"/>
  <c r="R5" i="30"/>
  <c r="Q5" i="30"/>
  <c r="P5" i="30"/>
  <c r="O5" i="30"/>
  <c r="N5" i="30"/>
  <c r="M5" i="30"/>
  <c r="L5" i="30"/>
  <c r="K5" i="30"/>
  <c r="J5" i="30"/>
  <c r="I5" i="30"/>
  <c r="T4" i="30"/>
  <c r="S4" i="30"/>
  <c r="R4" i="30"/>
  <c r="Q4" i="30"/>
  <c r="P4" i="30"/>
  <c r="O4" i="30"/>
  <c r="N4" i="30"/>
  <c r="M4" i="30"/>
  <c r="L4" i="30"/>
  <c r="K4" i="30"/>
  <c r="J4" i="30"/>
  <c r="I4" i="30"/>
  <c r="H5" i="30"/>
  <c r="H4" i="30"/>
  <c r="G5" i="30"/>
  <c r="G4" i="30"/>
  <c r="G3" i="30" s="1"/>
  <c r="E5" i="30"/>
  <c r="E4" i="30"/>
  <c r="AF2" i="31" l="1"/>
  <c r="AG2" i="31" s="1"/>
  <c r="AH2" i="31" s="1"/>
  <c r="AI2" i="31" s="1"/>
  <c r="AJ2" i="31" s="1"/>
  <c r="AK2" i="31" s="1"/>
  <c r="AL2" i="31" s="1"/>
  <c r="AM2" i="31" s="1"/>
  <c r="AN2" i="31" s="1"/>
  <c r="AO2" i="31" s="1"/>
  <c r="AP2" i="31" s="1"/>
  <c r="AQ2" i="31" s="1"/>
  <c r="AR2" i="31" s="1"/>
  <c r="AS2" i="31" s="1"/>
  <c r="AT2" i="31" s="1"/>
  <c r="AU2" i="31" s="1"/>
  <c r="AV2" i="31" s="1"/>
  <c r="AW2" i="31" s="1"/>
  <c r="AX2" i="31" s="1"/>
  <c r="AY2" i="31" s="1"/>
  <c r="AZ2" i="31" s="1"/>
  <c r="BA2" i="31" s="1"/>
  <c r="BB2" i="31" s="1"/>
  <c r="BC2" i="31" s="1"/>
  <c r="BD2" i="31" s="1"/>
  <c r="BE2" i="31" s="1"/>
  <c r="BF2" i="31" s="1"/>
  <c r="BG2" i="31" s="1"/>
  <c r="BH2" i="31" s="1"/>
  <c r="BI2" i="31" s="1"/>
  <c r="BJ2" i="31" s="1"/>
  <c r="BK2" i="31" s="1"/>
  <c r="BL2" i="31" s="1"/>
  <c r="BM2" i="31" s="1"/>
  <c r="BN2" i="31" s="1"/>
  <c r="BO2" i="31" s="1"/>
  <c r="BP2" i="31" s="1"/>
  <c r="BQ2" i="31" s="1"/>
  <c r="BR2" i="31" s="1"/>
  <c r="BS2" i="31" s="1"/>
  <c r="BT2" i="31" s="1"/>
  <c r="BU2" i="31" s="1"/>
  <c r="BV2" i="31" s="1"/>
  <c r="BW2" i="31" s="1"/>
  <c r="BX2" i="31" s="1"/>
  <c r="BY2" i="31" s="1"/>
  <c r="BZ2" i="31" s="1"/>
  <c r="CA2" i="31" s="1"/>
  <c r="CB2" i="31" s="1"/>
  <c r="CC2" i="31" s="1"/>
  <c r="R7" i="30" a="1"/>
  <c r="R7" i="30" s="1"/>
  <c r="B8" i="30"/>
  <c r="C8" i="30"/>
  <c r="G6" i="30" a="1"/>
  <c r="G6" i="30" s="1"/>
  <c r="M6" i="30" a="1"/>
  <c r="M6" i="30" s="1"/>
  <c r="M8" i="30" s="1"/>
  <c r="N6" i="30" a="1"/>
  <c r="N6" i="30" s="1"/>
  <c r="R6" i="30" a="1"/>
  <c r="R6" i="30" s="1"/>
  <c r="R8" i="30" s="1"/>
  <c r="O3" i="30"/>
  <c r="D8" i="30"/>
  <c r="I3" i="30"/>
  <c r="Q3" i="30"/>
  <c r="I7" i="30" a="1"/>
  <c r="I7" i="30" s="1"/>
  <c r="H7" i="30" a="1"/>
  <c r="H7" i="30" s="1"/>
  <c r="G7" i="30" a="1"/>
  <c r="G7" i="30" s="1"/>
  <c r="P6" i="30" a="1"/>
  <c r="P6" i="30" s="1"/>
  <c r="P7" i="30" a="1"/>
  <c r="P7" i="30" s="1"/>
  <c r="K6" i="30" a="1"/>
  <c r="K6" i="30" s="1"/>
  <c r="J6" i="30" a="1"/>
  <c r="J6" i="30" s="1"/>
  <c r="J8" i="30" s="1"/>
  <c r="O7" i="30" a="1"/>
  <c r="O7" i="30" s="1"/>
  <c r="O8" i="30" s="1"/>
  <c r="I6" i="30" a="1"/>
  <c r="I6" i="30" s="1"/>
  <c r="N7" i="30" a="1"/>
  <c r="N7" i="30" s="1"/>
  <c r="H6" i="30" a="1"/>
  <c r="H6" i="30" s="1"/>
  <c r="F7" i="30" a="1"/>
  <c r="F7" i="30" s="1"/>
  <c r="F8" i="30" s="1"/>
  <c r="K7" i="30" a="1"/>
  <c r="K7" i="30" s="1"/>
  <c r="S7" i="30" a="1"/>
  <c r="S7" i="30" s="1"/>
  <c r="S8" i="30" s="1"/>
  <c r="P3" i="30"/>
  <c r="M3" i="30"/>
  <c r="S3" i="30"/>
  <c r="L3" i="30"/>
  <c r="R3" i="30"/>
  <c r="N3" i="30"/>
  <c r="T3" i="30"/>
  <c r="H3" i="30"/>
  <c r="J3" i="30"/>
  <c r="K3" i="30"/>
  <c r="E3" i="30"/>
  <c r="K2" i="29"/>
  <c r="J2" i="29"/>
  <c r="I2" i="29"/>
  <c r="H2" i="29"/>
  <c r="G2" i="29"/>
  <c r="F2" i="29"/>
  <c r="E2" i="29"/>
  <c r="D2" i="29"/>
  <c r="C2" i="29"/>
  <c r="B2" i="29"/>
  <c r="H8" i="30" l="1"/>
  <c r="I8" i="30"/>
  <c r="N8" i="30"/>
  <c r="G8" i="30"/>
  <c r="K8" i="30"/>
  <c r="P8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<sst xmlns="http://schemas.openxmlformats.org/spreadsheetml/2006/main" count="1307" uniqueCount="453">
  <si>
    <t>Note:</t>
  </si>
  <si>
    <t>via a policy lever, affecting the policy case).</t>
  </si>
  <si>
    <t>Sources:</t>
  </si>
  <si>
    <t>Year2021</t>
  </si>
  <si>
    <t>Year2022</t>
  </si>
  <si>
    <t>Year2023</t>
  </si>
  <si>
    <t>Year2024</t>
  </si>
  <si>
    <t>Year2025</t>
  </si>
  <si>
    <t>Year2026</t>
  </si>
  <si>
    <t>Year2027</t>
  </si>
  <si>
    <t>Year2028</t>
  </si>
  <si>
    <t>Year2029</t>
  </si>
  <si>
    <t>Year2030</t>
  </si>
  <si>
    <t>Year2031</t>
  </si>
  <si>
    <t>Year2032</t>
  </si>
  <si>
    <t>Year2033</t>
  </si>
  <si>
    <t>Year2034</t>
  </si>
  <si>
    <t>Year2035</t>
  </si>
  <si>
    <t>Year2036</t>
  </si>
  <si>
    <t>Year2037</t>
  </si>
  <si>
    <t>Year2038</t>
  </si>
  <si>
    <t>Year2039</t>
  </si>
  <si>
    <t>Year2040</t>
  </si>
  <si>
    <t>Year2041</t>
  </si>
  <si>
    <t>Year2042</t>
  </si>
  <si>
    <t>Year2043</t>
  </si>
  <si>
    <t>Year2044</t>
  </si>
  <si>
    <t>Year2045</t>
  </si>
  <si>
    <t>Year2046</t>
  </si>
  <si>
    <t>Year2047</t>
  </si>
  <si>
    <t>Year2048</t>
  </si>
  <si>
    <t>Year2049</t>
  </si>
  <si>
    <t>Year2050</t>
  </si>
  <si>
    <t>Year2051</t>
  </si>
  <si>
    <t>Year2052</t>
  </si>
  <si>
    <t>Year2053</t>
  </si>
  <si>
    <t>Year2054</t>
  </si>
  <si>
    <t>Year2055</t>
  </si>
  <si>
    <t>Year2056</t>
  </si>
  <si>
    <t>Year2057</t>
  </si>
  <si>
    <t>Year2058</t>
  </si>
  <si>
    <t>Year2059</t>
  </si>
  <si>
    <t>Year2060</t>
  </si>
  <si>
    <t>Year2061</t>
  </si>
  <si>
    <t>Year2062</t>
  </si>
  <si>
    <t>Year2063</t>
  </si>
  <si>
    <t>Year2064</t>
  </si>
  <si>
    <t>Year2065</t>
  </si>
  <si>
    <t>Year2066</t>
  </si>
  <si>
    <t>Year2067</t>
  </si>
  <si>
    <t>Year2068</t>
  </si>
  <si>
    <t>Year2069</t>
  </si>
  <si>
    <t>Year2070</t>
  </si>
  <si>
    <t>Year2071</t>
  </si>
  <si>
    <t>Year2072</t>
  </si>
  <si>
    <t>Year2073</t>
  </si>
  <si>
    <t>Year2074</t>
  </si>
  <si>
    <t>Year2075</t>
  </si>
  <si>
    <t>Year2076</t>
  </si>
  <si>
    <t>Year2077</t>
  </si>
  <si>
    <t>Year2078</t>
  </si>
  <si>
    <t>Year2079</t>
  </si>
  <si>
    <t>Year2080</t>
  </si>
  <si>
    <t>Year2081</t>
  </si>
  <si>
    <t>Year2082</t>
  </si>
  <si>
    <t>Year2083</t>
  </si>
  <si>
    <t>Year2084</t>
  </si>
  <si>
    <t>Year2085</t>
  </si>
  <si>
    <t>Year2086</t>
  </si>
  <si>
    <t>Year2087</t>
  </si>
  <si>
    <t>Year2088</t>
  </si>
  <si>
    <t>Year2089</t>
  </si>
  <si>
    <t>Year2090</t>
  </si>
  <si>
    <t>Year2091</t>
  </si>
  <si>
    <t>Year2092</t>
  </si>
  <si>
    <t>Year2093</t>
  </si>
  <si>
    <t>Year2094</t>
  </si>
  <si>
    <t>Year2095</t>
  </si>
  <si>
    <t>Year2096</t>
  </si>
  <si>
    <t>Year2097</t>
  </si>
  <si>
    <t>Year2098</t>
  </si>
  <si>
    <t>Year2099</t>
  </si>
  <si>
    <t>Year2100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</si>
  <si>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</si>
  <si>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</si>
  <si>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</si>
  <si>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</si>
  <si>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</si>
  <si>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</si>
  <si>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</si>
  <si>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</si>
  <si>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</si>
  <si>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Therefore, it must include a value for every year that exists in the Future Year subscript (and no other years should be present).</t>
  </si>
  <si>
    <t>It is designed this way for compatibility with the RPS foresight option (enabled via a control setting).</t>
  </si>
  <si>
    <t>BRPSDbS BAU Renewable Portfolio Std Percentage by Subregion</t>
  </si>
  <si>
    <t>Unit: dimensionless (share of RPS-qualifying electricity)</t>
  </si>
  <si>
    <t>Note that the blue output tab "BRPSDbS-RPS-percentages" is populating the "Future Year" subscript.  It is not a normal time-series variable.</t>
  </si>
  <si>
    <t>The purpose of this variable is to specify the renewable portfolio standard requirement that must be met in the BAU case (which the user may increase</t>
  </si>
  <si>
    <t>Notes on Output Data Formatting</t>
  </si>
  <si>
    <t>The data in this tab must sum to 1.</t>
  </si>
  <si>
    <t>Notes on Nuclear and Hydro Adjustment</t>
  </si>
  <si>
    <t>Some subregions may include nuclear and hydro electricity output in their definition of RPS-qualifying output.</t>
  </si>
  <si>
    <t>Some subregions may exclude these types.</t>
  </si>
  <si>
    <t>At the national scale, the EPS can simulate any combination of resources as RPS-qualifying, defined in elec/RQSD.</t>
  </si>
  <si>
    <t>In the U.S. model, nationally, nuclear and hydro are specified as qualifying in elec/RQSD.</t>
  </si>
  <si>
    <t>To harmonize state-level definitions with this national policy definition, we adjust states' targets (even states with no RPS targets)</t>
  </si>
  <si>
    <t>based on their start-year share of nuclear and hydro capacity if they don't include these sources in the state-level RPS policy definition.</t>
  </si>
  <si>
    <t>If you are adapting the model to a different region where the subregional targets define "RPS-qualifying sources" uniformly, and you</t>
  </si>
  <si>
    <t>use the same definitions in elec/RQSD, you can zero out the nuclear + hydro adjustment.</t>
  </si>
  <si>
    <t>BRPSDbS BAU Electricity Shares by Subregion</t>
  </si>
  <si>
    <t>Share of electricity</t>
  </si>
  <si>
    <t>The blue output tab "BRPSDbS-electricity-shares" contains the share of electricity sales in each subregion.</t>
  </si>
  <si>
    <t>South Korea</t>
    <phoneticPr fontId="26" type="noConversion"/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</si>
  <si>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</si>
  <si>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</si>
  <si>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</si>
  <si>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</si>
  <si>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</si>
  <si>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</si>
  <si>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</si>
  <si>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</si>
  <si>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</si>
  <si>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</si>
  <si>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</si>
  <si>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</si>
  <si>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</si>
  <si>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</si>
  <si>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</si>
  <si>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</si>
  <si>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</si>
  <si>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</si>
  <si>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</si>
  <si>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</si>
  <si>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</si>
  <si>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</si>
  <si>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</si>
  <si>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</si>
  <si>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</si>
  <si>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</si>
  <si>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</si>
  <si>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</si>
  <si>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</si>
  <si>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</si>
  <si>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</si>
  <si>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</si>
  <si>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</si>
  <si>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</si>
  <si>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</si>
  <si>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</si>
  <si>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</si>
  <si>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</si>
  <si>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</si>
  <si>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</si>
  <si>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</si>
  <si>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</si>
  <si>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</si>
  <si>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</si>
  <si>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</si>
  <si>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</si>
  <si>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</si>
  <si>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</si>
  <si>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</si>
  <si>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</si>
  <si>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Unit: dimensionless (share of RPS-qualifying electricity)</t>
    <phoneticPr fontId="26" type="noConversion"/>
  </si>
  <si>
    <t>Year2015</t>
  </si>
  <si>
    <t>Year2016</t>
  </si>
  <si>
    <t>Year2017</t>
  </si>
  <si>
    <t>Year2018</t>
  </si>
  <si>
    <t>Year2019</t>
  </si>
  <si>
    <t>Year2020</t>
  </si>
  <si>
    <t/>
  </si>
  <si>
    <t>원자력</t>
  </si>
  <si>
    <t>석탄</t>
  </si>
  <si>
    <t>LNG</t>
  </si>
  <si>
    <t>유류</t>
  </si>
  <si>
    <t>양수</t>
  </si>
  <si>
    <t>2015</t>
  </si>
  <si>
    <t>528,091</t>
  </si>
  <si>
    <t>164,762</t>
  </si>
  <si>
    <t>207,334</t>
  </si>
  <si>
    <t>100,749</t>
  </si>
  <si>
    <t>19,464</t>
  </si>
  <si>
    <t>9,537</t>
  </si>
  <si>
    <t>3,650</t>
  </si>
  <si>
    <t>22,595</t>
  </si>
  <si>
    <t>100.0</t>
  </si>
  <si>
    <t>31.2</t>
  </si>
  <si>
    <t>39.3</t>
  </si>
  <si>
    <t>19.1</t>
  </si>
  <si>
    <t>3.7</t>
  </si>
  <si>
    <t>1.8</t>
  </si>
  <si>
    <t>0.7</t>
  </si>
  <si>
    <t>4.3</t>
  </si>
  <si>
    <t>2016</t>
  </si>
  <si>
    <t>540,441</t>
  </si>
  <si>
    <t>161,995</t>
  </si>
  <si>
    <t>213,803</t>
  </si>
  <si>
    <t>121,018</t>
  </si>
  <si>
    <t>25,836</t>
  </si>
  <si>
    <t>14,001</t>
  </si>
  <si>
    <t>3,787</t>
  </si>
  <si>
    <t>-</t>
  </si>
  <si>
    <t>30.0</t>
  </si>
  <si>
    <t>39.6</t>
  </si>
  <si>
    <t>22.4</t>
  </si>
  <si>
    <t>4.8</t>
  </si>
  <si>
    <t>2.6</t>
  </si>
  <si>
    <t>2017</t>
  </si>
  <si>
    <t>553,530</t>
  </si>
  <si>
    <t>148,427</t>
  </si>
  <si>
    <t>238,799</t>
  </si>
  <si>
    <t>126,039</t>
  </si>
  <si>
    <t>30,817</t>
  </si>
  <si>
    <t>5,263</t>
  </si>
  <si>
    <t>4,186</t>
  </si>
  <si>
    <t>26.8</t>
  </si>
  <si>
    <t>43.1</t>
  </si>
  <si>
    <t>22.8</t>
  </si>
  <si>
    <t>5.6</t>
  </si>
  <si>
    <t>1.0</t>
  </si>
  <si>
    <t>0.8</t>
  </si>
  <si>
    <t>2018</t>
  </si>
  <si>
    <t>570,647</t>
  </si>
  <si>
    <t>133,505</t>
  </si>
  <si>
    <t>238,967</t>
  </si>
  <si>
    <t>152,925</t>
  </si>
  <si>
    <t>35,598</t>
  </si>
  <si>
    <t>5,740</t>
  </si>
  <si>
    <t>3,911</t>
  </si>
  <si>
    <t>0</t>
  </si>
  <si>
    <t>23.4</t>
  </si>
  <si>
    <t>41.9</t>
  </si>
  <si>
    <t>6.2</t>
  </si>
  <si>
    <t>0.0</t>
  </si>
  <si>
    <t>2019</t>
  </si>
  <si>
    <t>563,040</t>
  </si>
  <si>
    <t>145,910</t>
  </si>
  <si>
    <t>227,384</t>
  </si>
  <si>
    <t>144,355</t>
  </si>
  <si>
    <t>36,392</t>
  </si>
  <si>
    <t>3,292</t>
  </si>
  <si>
    <t>3,458</t>
  </si>
  <si>
    <t>2,249</t>
  </si>
  <si>
    <t>25.9</t>
  </si>
  <si>
    <t>40.4</t>
  </si>
  <si>
    <t>25.6</t>
  </si>
  <si>
    <t>6.5</t>
  </si>
  <si>
    <t>0.6</t>
  </si>
  <si>
    <t>0.4</t>
  </si>
  <si>
    <t>2020</t>
  </si>
  <si>
    <t>552,162</t>
  </si>
  <si>
    <t>160,184</t>
  </si>
  <si>
    <t>196,333</t>
  </si>
  <si>
    <t>145,911</t>
  </si>
  <si>
    <t>36,527</t>
  </si>
  <si>
    <t>2,255</t>
  </si>
  <si>
    <t>3,271</t>
  </si>
  <si>
    <t>7,681</t>
  </si>
  <si>
    <t>29.0</t>
  </si>
  <si>
    <t>35.6</t>
  </si>
  <si>
    <t>26.4</t>
  </si>
  <si>
    <t>6.6</t>
  </si>
  <si>
    <t>1.4</t>
  </si>
  <si>
    <t>2021</t>
  </si>
  <si>
    <t>576,810</t>
  </si>
  <si>
    <t>158,015</t>
  </si>
  <si>
    <t>197,966</t>
  </si>
  <si>
    <t>168,378</t>
  </si>
  <si>
    <t>43,096</t>
  </si>
  <si>
    <t>2,355</t>
  </si>
  <si>
    <t>3,683</t>
  </si>
  <si>
    <t>3,316</t>
  </si>
  <si>
    <t>27.4</t>
  </si>
  <si>
    <t>34.3</t>
  </si>
  <si>
    <t>29.2</t>
  </si>
  <si>
    <t>7.5</t>
  </si>
  <si>
    <t>2022</t>
  </si>
  <si>
    <t>594,400</t>
  </si>
  <si>
    <t>176,054</t>
  </si>
  <si>
    <t>193,231</t>
  </si>
  <si>
    <t>163,575</t>
  </si>
  <si>
    <t>53,182</t>
  </si>
  <si>
    <t>1,966</t>
  </si>
  <si>
    <t>3,715</t>
  </si>
  <si>
    <t>2,678</t>
  </si>
  <si>
    <t>29.6</t>
  </si>
  <si>
    <t>32.5</t>
  </si>
  <si>
    <t>27.5</t>
  </si>
  <si>
    <t>8.9</t>
  </si>
  <si>
    <t>0.3</t>
  </si>
  <si>
    <t>0.5</t>
  </si>
  <si>
    <t>2023</t>
  </si>
  <si>
    <t>588,047</t>
  </si>
  <si>
    <t>180,494</t>
  </si>
  <si>
    <t>184,927</t>
  </si>
  <si>
    <t>157,749</t>
  </si>
  <si>
    <t>56,562</t>
  </si>
  <si>
    <t>1,487</t>
  </si>
  <si>
    <t>3,784</t>
  </si>
  <si>
    <t>3,044</t>
  </si>
  <si>
    <t>30.7</t>
  </si>
  <si>
    <t>31.4</t>
  </si>
  <si>
    <t>9.6</t>
  </si>
  <si>
    <t>2024</t>
  </si>
  <si>
    <t>595,568</t>
  </si>
  <si>
    <t>188,754</t>
  </si>
  <si>
    <t>167,160</t>
  </si>
  <si>
    <t>167,205</t>
  </si>
  <si>
    <t>63,155</t>
  </si>
  <si>
    <t>1,204</t>
  </si>
  <si>
    <t>4,677</t>
  </si>
  <si>
    <t>3,413</t>
  </si>
  <si>
    <t>31.7</t>
  </si>
  <si>
    <t>28.1</t>
  </si>
  <si>
    <t>10.5</t>
  </si>
  <si>
    <t>0.2</t>
  </si>
  <si>
    <t>합계</t>
  </si>
  <si>
    <t>BRPSDbS BAU CES Percentage by Subregion</t>
    <phoneticPr fontId="26" type="noConversion"/>
  </si>
  <si>
    <t>CES &amp; RPS Target</t>
    <phoneticPr fontId="26" type="noConversion"/>
  </si>
  <si>
    <t>신에너지</t>
  </si>
  <si>
    <t xml:space="preserve">[년] 2020~2024  </t>
  </si>
  <si>
    <t>에너지원별(1)</t>
  </si>
  <si>
    <t>에너지원별(2)</t>
  </si>
  <si>
    <t>에너지원별(3)</t>
  </si>
  <si>
    <t>에너지원별(4)</t>
  </si>
  <si>
    <t>총발전량 (MWh)</t>
  </si>
  <si>
    <t>소계</t>
  </si>
  <si>
    <t>양수발전</t>
  </si>
  <si>
    <t>신재생에너지 공급비중 (%)</t>
  </si>
  <si>
    <t>재생에너지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</si>
  <si>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</si>
  <si>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</si>
  <si>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</si>
  <si>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</si>
  <si>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</si>
  <si>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</si>
  <si>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</si>
  <si>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</si>
  <si>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</si>
  <si>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</si>
  <si>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</si>
  <si>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</si>
  <si>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</si>
  <si>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목재칩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</si>
  <si>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</si>
  <si>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</si>
  <si>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</si>
  <si>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</si>
  <si>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</si>
  <si>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</si>
  <si>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</si>
  <si>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</si>
  <si>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사업장폐기물</t>
  </si>
  <si>
    <t>생활폐기물</t>
  </si>
  <si>
    <t>대형도시쓰레기</t>
  </si>
  <si>
    <t>RDF/RPF/TDF</t>
  </si>
  <si>
    <t>SRF</t>
  </si>
  <si>
    <t>시멘트소성로 보조연료</t>
  </si>
  <si>
    <t>정제연료유</t>
  </si>
  <si>
    <t>② 신에너지</t>
  </si>
  <si>
    <t>연료전지 (MWh)</t>
  </si>
  <si>
    <t>IGCC (MWh)</t>
  </si>
  <si>
    <t>IGCC</t>
  </si>
  <si>
    <t>https://kosis.kr/statHtml/statHtml.do?orgId=337&amp;tblId=DT_337N_A002&amp;conn_path=I3</t>
    <phoneticPr fontId="26" type="noConversion"/>
  </si>
  <si>
    <t>화력</t>
  </si>
  <si>
    <t>유연탄</t>
  </si>
  <si>
    <t>무연탄</t>
  </si>
  <si>
    <t>신재생 및 기타</t>
  </si>
  <si>
    <t>(Reference)</t>
    <phoneticPr fontId="26" type="noConversion"/>
  </si>
  <si>
    <t>https://kosis.kr/statHtml/statHtml.do?orgId=388&amp;tblId=TX_38803_A016A&amp;conn_path=I3</t>
    <phoneticPr fontId="26" type="noConversion"/>
  </si>
  <si>
    <t>Total</t>
  </si>
  <si>
    <t>Nuclear</t>
  </si>
  <si>
    <t>Coal</t>
  </si>
  <si>
    <t>Renewable</t>
  </si>
  <si>
    <t>Oil</t>
  </si>
  <si>
    <t>Pumped Storage</t>
  </si>
  <si>
    <t>Other</t>
  </si>
  <si>
    <t>Generation (GWh)</t>
  </si>
  <si>
    <t>Share (%)</t>
  </si>
  <si>
    <t>Year</t>
  </si>
  <si>
    <t>Category</t>
  </si>
  <si>
    <t>New Energy</t>
  </si>
  <si>
    <t>Clean H₂/Ammonia</t>
  </si>
  <si>
    <t>Carbon</t>
  </si>
  <si>
    <t>Carbon-Free*</t>
  </si>
  <si>
    <t>Generation (TWh)</t>
  </si>
  <si>
    <t>(Actual)</t>
  </si>
  <si>
    <t>8. Renewable Energy Capacity and Generation Outlook</t>
  </si>
  <si>
    <t>B. Annual Renewable Energy Generation Outlook (2024–2038)</t>
  </si>
  <si>
    <t>Commercial</t>
  </si>
  <si>
    <t>Self-Use</t>
  </si>
  <si>
    <t>Renewable Energy</t>
  </si>
  <si>
    <t>(Share, %)</t>
  </si>
  <si>
    <t>Solar PV</t>
  </si>
  <si>
    <t>Wind</t>
  </si>
  <si>
    <t>Hydro</t>
  </si>
  <si>
    <t>Marine</t>
  </si>
  <si>
    <t>Bio</t>
  </si>
  <si>
    <t>Subtotal</t>
  </si>
  <si>
    <t>Fuel Cell</t>
  </si>
  <si>
    <t>KOSIS Generation by Energy Source</t>
  </si>
  <si>
    <t>Path: Energy / Power Facility Status / Generation Results / Generation by Energy Source</t>
  </si>
  <si>
    <t>Energy Source (1)</t>
  </si>
  <si>
    <t>Energy Source (2)</t>
  </si>
  <si>
    <t>Energy Source (3)</t>
  </si>
  <si>
    <t>Thermal</t>
  </si>
  <si>
    <t>Bituminous</t>
  </si>
  <si>
    <t>Anthracite</t>
  </si>
  <si>
    <t>Renewables &amp; Other</t>
  </si>
  <si>
    <t>23</t>
  </si>
  <si>
    <t>30</t>
  </si>
  <si>
    <t>35</t>
  </si>
  <si>
    <t>38</t>
  </si>
  <si>
    <t>11th Basic Plan for Electricity Supply and Demand (제11차 전력수급기본계획)</t>
  </si>
  <si>
    <t>Power Generation Status by Energy Source — Nuclear (에너지원별 발전량 현황(원전))</t>
  </si>
  <si>
    <t>「Power Facility Status」, Korea Power Exchange (「발전설비현황」, 한국전력거래소)</t>
  </si>
  <si>
    <t>「Survey on Renewable Energy Dissemination Results」, Korea Energy Agency (「신재생에너지보급실적조사」, 한국에너지공단)</t>
  </si>
  <si>
    <t>Annual Mandatory Supply Ratio (연도별 의무공급량의 비율)</t>
  </si>
  <si>
    <t>Enforcement Decree of the Act on the Promotion of the Development, Use and Diffusion of New and Renewable Energy (신에너지 및 재생에너지 개발이용보급 촉진법 시행령)</t>
  </si>
  <si>
    <t>New &amp; Renewable Energy Generation (excl. non-renewable waste, from Q4 2019) (신·재생에너지 발전량(비재생폐기물 제외, 2019년 4/4분기~))</t>
    <phoneticPr fontId="26" type="noConversion"/>
  </si>
  <si>
    <t>New &amp; Renewable Energy</t>
  </si>
  <si>
    <t>New &amp; Renewable Energy Generation</t>
    <phoneticPr fontId="26" type="noConversion"/>
  </si>
  <si>
    <t xml:space="preserve">11th Basic Plan for Electricity Supply and Demand </t>
    <phoneticPr fontId="26" type="noConversion"/>
  </si>
  <si>
    <t>11th Basic Plan for Electricity Supply and Demand</t>
    <phoneticPr fontId="26" type="noConversion"/>
  </si>
  <si>
    <t xml:space="preserve"> 6. Generation Outlook</t>
    <phoneticPr fontId="26" type="noConversion"/>
  </si>
  <si>
    <t>Carbon-Free*</t>
    <phoneticPr fontId="26" type="noConversion"/>
  </si>
  <si>
    <t>Clean Hydrogen &amp; Ammonia</t>
    <phoneticPr fontId="26" type="noConversion"/>
  </si>
  <si>
    <t>* Carbon-Free = Renewable Energy + Nuclear + Clean Hydrogen &amp; Ammonia</t>
    <phoneticPr fontId="26" type="noConversion"/>
  </si>
  <si>
    <t>https://www.law.go.kr/lsSc.do?menuId=1&amp;subMenuId=15&amp;query=%EC%8B%A0%EC%9E%AC%EC%83%9D%EC%97%90%EB%84%88%EC%A7%80%EB%B2%95&amp;dt=20201211#undefined</t>
    <phoneticPr fontId="26" type="noConversion"/>
  </si>
  <si>
    <t>https://www.motir.go.kr/kor/article/ATCLc01b2801b/70152/view</t>
    <phoneticPr fontId="26" type="noConversion"/>
  </si>
  <si>
    <t>에너지워별 발전량 현황(e-나라지표)</t>
    <phoneticPr fontId="26" type="noConversion"/>
  </si>
  <si>
    <t>https://www.index.go.kr/unity/potal/main/EachDtlPageDetail.do?idx_cd=1339</t>
  </si>
  <si>
    <t>Power Generation Status by Energy Source — Renewable(에너지원별 발전량 현황(재생에너지))</t>
    <phoneticPr fontId="26" type="noConversion"/>
  </si>
  <si>
    <t>Power Generation Status by Energy Source  - New &amp; Renewable(에너지원별 발전량 현황)</t>
    <phoneticPr fontId="26" type="noConversion"/>
  </si>
  <si>
    <t>Power Generation Status by Energy Source (에너지원별 발전량 현황, 지표누리 E-나라지표)</t>
    <phoneticPr fontId="26" type="noConversion"/>
  </si>
  <si>
    <t>KOREA RPS REQUIREMENT ON THE MODEL'S BASIS (2026-09-08). The legal mandatory supply ratio applies to obligated suppliers' non-renewable generation and is met in weighted RECs; the EPS applies its RPS percentage to ALL generation in physical MWh of qualifying sources. Rebased requirement = legal ratio x (obligated base / national generation) / REC-per-MWh conversion.</t>
  </si>
  <si>
    <t>Inputs</t>
  </si>
  <si>
    <t>2024 obligation quantity, MWh basis (MOTIE announcement of 2024 obligations; reported by Solarconnect 2024-01 and EPJ 2025-01)</t>
  </si>
  <si>
    <t>2024 legal mandatory supply ratio</t>
  </si>
  <si>
    <t>Implied obligated-supplier base, MWh (= B4 / B5)</t>
  </si>
  <si>
    <t>National generation 2024, MWh (KPX via 'Power Generation by ES' tab, GWh x 1000)</t>
  </si>
  <si>
    <t>Obligated share of national generation (= B6 / B7)</t>
  </si>
  <si>
    <t>REC-per-MWh conversion (MOTIE 환산비율 used for the 2025 obligation; 2024 REC/MWh obligation ratio = 1.35)</t>
  </si>
  <si>
    <t>REBASE FACTOR applied to the legal ratio (= B8 / B9)</t>
  </si>
  <si>
    <t>Legal mandatory supply ratio by year (Enforcement Decree, Annex 3, as amended 2023; 25% from 2030 onward)</t>
  </si>
  <si>
    <t>Legal ratio</t>
  </si>
  <si>
    <t>REBASED RPS REQUIREMENT USED IN THE OUTPUT FILE (= legal x $B$10)</t>
  </si>
  <si>
    <t>Check: model-qualifying share (hydro+wind+solar+geothermal+biomass+H2) in 2024 is ~8.6% of national generation (KEA/KESIS), i.e. compliant against the rebased 8.0%, consistent with Korea's ~100% RPS fulfilment incl. deferrals. Sources: Electimes 2023-01 (ratio path), law.go.kr 시행령 별표3, Solarconnect/EPJ (obligation quantities), KNREC (penalty 1.5x REC price).</t>
  </si>
  <si>
    <t>2026-09-08 partner round 1: RPS percentages for South Korea now come from the new RPS_basis tab: legal ratio (9% 2021 -&gt; 25% 2030+) x rebase factor (~0.59 = obligated share 0.79 / REC conversion 1.34). Before, 2021-24 used actual renewable shares and 2025+ the nominal legal ratio, which the model (physical share of all generation, biomass excluded) could not meet: RPS credit price sat at the compliance cap 2021-28 and drove ~8 GW of economic wind in 2026-30. CES percentages unchanged.</t>
  </si>
  <si>
    <t>BAU CES switch (1 = CES in BAU, 0 = removed). 2026-09-14: set to 0 - partner round 2 decision: the 11th Plan buildout is already in BPMCCS, so a BAU CES double counts; CES becomes a policy lever. Rows 3-8 kept for reference.</t>
  </si>
  <si>
    <t>RPS REQUIREMENT USED IN THE OUTPUT FILE (= row 15, 0 from the abolition year)</t>
  </si>
  <si>
    <t>RPS abolition year (partner round 2/3, confirmed 2026-09-15: REC issuance for new facilities ends in 2027 under the legislative reform, new projects move to long-term fixed-price contracts; the existing-facility REC market runs to end-2029 under transitional rules, but zeroing the requirement from 2027 is most consistent with the reform). Requirement = 0 from this year; later renewables enter via the RPS/auction policy levers. Change B19 only.</t>
  </si>
  <si>
    <t>2026-09-14 partner round 2: (1) CES removed from the BAU - CES_kor!B10 switch = 0 multiplies the CES output row, so BRPSDbS-CES-percentages is all zeros (partner confirmed a zero-CES run converges to the mandated capacity; the 11th Plan buildout in BPMCCS would otherwise be double counted). (2) RPS requirement set to 0 from the RPS abolition year (RPS_basis!B19, 2027, confirmed by the partner 2026-09-15: new-facility REC issuance ends 2027) via RPS_basis row 20; 2021-2026 keep the rebased legal ratio. Neither change moves BAU results: the RPS credit price was already 0 in every year, and the CES only bound at the cap in 2021-25 and mildly in 2030-35 (~3 GW solar).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</si>
</sst>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0.000000000"/>
    <numFmt numFmtId="166" formatCode="0.000000"/>
    <numFmt numFmtId="167" formatCode="#,##0.000"/>
    <numFmt numFmtId="168" formatCode="_-* #,##0.0_-;\-* #,##0.0_-;_-* &quot;-&quot;_-;_-@_-"/>
    <numFmt numFmtId="169" formatCode="_-* #,##0.000_-;\-* #,##0.000_-;_-* &quot;-&quot;_-;_-@_-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name val="MS Sans Serif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3"/>
      <charset val="129"/>
      <scheme val="minor"/>
    </font>
    <font>
      <b/>
      <sz val="1"/>
      <color rgb="FF000000"/>
      <name val="Calibri"/>
      <family val="3"/>
      <charset val="129"/>
      <scheme val="minor"/>
    </font>
    <font>
      <b/>
      <vertAlign val="superscript"/>
      <sz val="12"/>
      <color rgb="FF000000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2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2"/>
      <color rgb="FFFF0000"/>
      <name val="Calibri"/>
      <family val="3"/>
      <charset val="129"/>
      <scheme val="minor"/>
    </font>
    <font>
      <sz val="12"/>
      <color rgb="FFFF0000"/>
      <name val="Calibri"/>
      <family val="3"/>
      <charset val="129"/>
      <scheme val="minor"/>
    </font>
    <font>
      <b/>
      <i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rgb="FFDFE6F7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56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Protection="0">
      <alignment wrapText="1"/>
    </xf>
    <xf numFmtId="0" fontId="20" fillId="0" borderId="0" applyNumberFormat="0" applyProtection="0">
      <alignment horizontal="left"/>
    </xf>
    <xf numFmtId="0" fontId="19" fillId="0" borderId="12" applyNumberFormat="0" applyProtection="0">
      <alignment wrapText="1"/>
    </xf>
    <xf numFmtId="0" fontId="18" fillId="0" borderId="13" applyNumberFormat="0" applyFont="0" applyProtection="0">
      <alignment wrapText="1"/>
    </xf>
    <xf numFmtId="0" fontId="18" fillId="0" borderId="0"/>
    <xf numFmtId="0" fontId="18" fillId="0" borderId="14" applyNumberFormat="0" applyProtection="0">
      <alignment wrapText="1"/>
    </xf>
    <xf numFmtId="0" fontId="21" fillId="0" borderId="0"/>
    <xf numFmtId="0" fontId="23" fillId="0" borderId="0" applyNumberFormat="0" applyFill="0" applyBorder="0" applyAlignment="0" applyProtection="0"/>
    <xf numFmtId="0" fontId="22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1" applyNumberFormat="1" applyFont="1"/>
    <xf numFmtId="0" fontId="24" fillId="0" borderId="0" xfId="0" applyFont="1"/>
    <xf numFmtId="0" fontId="1" fillId="3" borderId="0" xfId="0" applyFont="1" applyFill="1"/>
    <xf numFmtId="165" fontId="0" fillId="0" borderId="0" xfId="0" applyNumberFormat="1" applyAlignment="1">
      <alignment horizontal="left"/>
    </xf>
    <xf numFmtId="165" fontId="0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0" fontId="27" fillId="0" borderId="0" xfId="54">
      <alignment vertical="center"/>
    </xf>
    <xf numFmtId="0" fontId="28" fillId="35" borderId="1" xfId="54" applyFont="1" applyFill="1" applyBorder="1" applyAlignment="1">
      <alignment horizontal="center" vertical="center"/>
    </xf>
    <xf numFmtId="0" fontId="27" fillId="0" borderId="1" xfId="54" applyBorder="1" applyAlignment="1">
      <alignment horizontal="right" vertical="center"/>
    </xf>
    <xf numFmtId="0" fontId="2" fillId="0" borderId="0" xfId="1" applyNumberFormat="1" applyFont="1"/>
    <xf numFmtId="0" fontId="30" fillId="36" borderId="26" xfId="0" applyFont="1" applyFill="1" applyBorder="1" applyAlignment="1">
      <alignment horizontal="center" vertical="center" wrapText="1"/>
    </xf>
    <xf numFmtId="0" fontId="31" fillId="36" borderId="23" xfId="0" applyFont="1" applyFill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27" fillId="37" borderId="1" xfId="54" applyFill="1" applyBorder="1">
      <alignment vertical="center"/>
    </xf>
    <xf numFmtId="0" fontId="27" fillId="38" borderId="1" xfId="54" applyFill="1" applyBorder="1" applyAlignment="1"/>
    <xf numFmtId="0" fontId="27" fillId="39" borderId="16" xfId="54" applyFill="1" applyBorder="1" applyAlignment="1"/>
    <xf numFmtId="3" fontId="27" fillId="0" borderId="1" xfId="54" applyNumberFormat="1" applyBorder="1" applyAlignment="1">
      <alignment horizontal="right"/>
    </xf>
    <xf numFmtId="0" fontId="27" fillId="39" borderId="17" xfId="54" applyFill="1" applyBorder="1" applyAlignment="1"/>
    <xf numFmtId="4" fontId="27" fillId="0" borderId="1" xfId="54" applyNumberFormat="1" applyBorder="1" applyAlignment="1">
      <alignment horizontal="right"/>
    </xf>
    <xf numFmtId="0" fontId="27" fillId="39" borderId="15" xfId="54" applyFill="1" applyBorder="1" applyAlignment="1"/>
    <xf numFmtId="0" fontId="27" fillId="39" borderId="1" xfId="54" applyFill="1" applyBorder="1" applyAlignment="1"/>
    <xf numFmtId="4" fontId="0" fillId="0" borderId="0" xfId="0" applyNumberFormat="1"/>
    <xf numFmtId="0" fontId="32" fillId="36" borderId="21" xfId="0" applyFont="1" applyFill="1" applyBorder="1" applyAlignment="1">
      <alignment horizontal="center" vertical="center" wrapText="1"/>
    </xf>
    <xf numFmtId="0" fontId="32" fillId="36" borderId="24" xfId="0" applyFont="1" applyFill="1" applyBorder="1" applyAlignment="1">
      <alignment horizontal="center" vertical="center" wrapText="1"/>
    </xf>
    <xf numFmtId="0" fontId="34" fillId="36" borderId="35" xfId="0" applyFont="1" applyFill="1" applyBorder="1" applyAlignment="1">
      <alignment horizontal="center" vertical="center" wrapText="1"/>
    </xf>
    <xf numFmtId="0" fontId="0" fillId="36" borderId="35" xfId="0" applyFill="1" applyBorder="1" applyAlignment="1">
      <alignment vertical="center" wrapText="1"/>
    </xf>
    <xf numFmtId="0" fontId="0" fillId="36" borderId="25" xfId="0" applyFill="1" applyBorder="1" applyAlignment="1">
      <alignment vertical="center" wrapText="1"/>
    </xf>
    <xf numFmtId="0" fontId="34" fillId="36" borderId="34" xfId="0" applyFont="1" applyFill="1" applyBorder="1" applyAlignment="1">
      <alignment horizontal="center" vertical="center" wrapText="1"/>
    </xf>
    <xf numFmtId="0" fontId="0" fillId="36" borderId="22" xfId="0" applyFill="1" applyBorder="1" applyAlignment="1">
      <alignment vertical="center" wrapText="1"/>
    </xf>
    <xf numFmtId="0" fontId="34" fillId="36" borderId="22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3" fontId="34" fillId="0" borderId="21" xfId="0" applyNumberFormat="1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3" fontId="34" fillId="0" borderId="24" xfId="0" applyNumberFormat="1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3" fontId="34" fillId="0" borderId="22" xfId="0" applyNumberFormat="1" applyFont="1" applyBorder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0" fontId="23" fillId="0" borderId="0" xfId="51" applyAlignment="1">
      <alignment horizontal="left"/>
    </xf>
    <xf numFmtId="167" fontId="27" fillId="0" borderId="1" xfId="54" applyNumberFormat="1" applyBorder="1" applyAlignment="1">
      <alignment horizontal="right"/>
    </xf>
    <xf numFmtId="0" fontId="15" fillId="39" borderId="16" xfId="54" applyFont="1" applyFill="1" applyBorder="1" applyAlignment="1"/>
    <xf numFmtId="0" fontId="35" fillId="39" borderId="16" xfId="54" applyFont="1" applyFill="1" applyBorder="1" applyAlignment="1"/>
    <xf numFmtId="167" fontId="35" fillId="0" borderId="1" xfId="54" applyNumberFormat="1" applyFont="1" applyBorder="1" applyAlignment="1">
      <alignment horizontal="right"/>
    </xf>
    <xf numFmtId="0" fontId="36" fillId="41" borderId="0" xfId="54" applyFont="1" applyFill="1">
      <alignment vertical="center"/>
    </xf>
    <xf numFmtId="0" fontId="27" fillId="42" borderId="0" xfId="54" applyFill="1">
      <alignment vertical="center"/>
    </xf>
    <xf numFmtId="4" fontId="0" fillId="42" borderId="0" xfId="0" applyNumberFormat="1" applyFill="1"/>
    <xf numFmtId="0" fontId="0" fillId="0" borderId="1" xfId="0" applyBorder="1"/>
    <xf numFmtId="168" fontId="0" fillId="0" borderId="1" xfId="55" applyNumberFormat="1" applyFont="1" applyBorder="1" applyAlignment="1"/>
    <xf numFmtId="168" fontId="27" fillId="0" borderId="1" xfId="55" applyNumberFormat="1" applyFont="1" applyBorder="1">
      <alignment vertical="center"/>
    </xf>
    <xf numFmtId="0" fontId="27" fillId="0" borderId="1" xfId="54" applyBorder="1" applyAlignment="1">
      <alignment horizontal="left" vertical="center" indent="1"/>
    </xf>
    <xf numFmtId="0" fontId="36" fillId="41" borderId="1" xfId="54" applyFont="1" applyFill="1" applyBorder="1">
      <alignment vertical="center"/>
    </xf>
    <xf numFmtId="168" fontId="36" fillId="41" borderId="1" xfId="55" applyNumberFormat="1" applyFont="1" applyFill="1" applyBorder="1" applyAlignment="1"/>
    <xf numFmtId="0" fontId="27" fillId="44" borderId="0" xfId="54" quotePrefix="1" applyFill="1">
      <alignment vertical="center"/>
    </xf>
    <xf numFmtId="0" fontId="27" fillId="44" borderId="0" xfId="54" applyFill="1">
      <alignment vertical="center"/>
    </xf>
    <xf numFmtId="4" fontId="27" fillId="3" borderId="1" xfId="54" applyNumberFormat="1" applyFill="1" applyBorder="1" applyAlignment="1">
      <alignment horizontal="right"/>
    </xf>
    <xf numFmtId="167" fontId="27" fillId="3" borderId="1" xfId="54" applyNumberFormat="1" applyFill="1" applyBorder="1" applyAlignment="1">
      <alignment horizontal="right"/>
    </xf>
    <xf numFmtId="169" fontId="2" fillId="0" borderId="0" xfId="55" applyNumberFormat="1" applyFont="1" applyAlignment="1"/>
    <xf numFmtId="0" fontId="29" fillId="0" borderId="19" xfId="0" quotePrefix="1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37" fillId="43" borderId="0" xfId="0" applyFont="1" applyFill="1"/>
    <xf numFmtId="0" fontId="27" fillId="43" borderId="0" xfId="54" applyFill="1">
      <alignment vertical="center"/>
    </xf>
    <xf numFmtId="4" fontId="0" fillId="44" borderId="0" xfId="0" applyNumberFormat="1" applyFill="1"/>
    <xf numFmtId="0" fontId="27" fillId="45" borderId="0" xfId="54" applyFill="1">
      <alignment vertical="center"/>
    </xf>
    <xf numFmtId="168" fontId="0" fillId="44" borderId="1" xfId="55" applyNumberFormat="1" applyFont="1" applyFill="1" applyBorder="1" applyAlignment="1"/>
    <xf numFmtId="168" fontId="27" fillId="44" borderId="1" xfId="55" applyNumberFormat="1" applyFont="1" applyFill="1" applyBorder="1">
      <alignment vertical="center"/>
    </xf>
    <xf numFmtId="0" fontId="42" fillId="0" borderId="0" xfId="54" applyFont="1">
      <alignment vertical="center"/>
    </xf>
    <xf numFmtId="0" fontId="42" fillId="40" borderId="1" xfId="54" applyFont="1" applyFill="1" applyBorder="1" applyAlignment="1">
      <alignment horizontal="left" vertical="center" indent="1"/>
    </xf>
    <xf numFmtId="168" fontId="41" fillId="0" borderId="1" xfId="55" applyNumberFormat="1" applyFont="1" applyBorder="1" applyAlignment="1"/>
    <xf numFmtId="168" fontId="41" fillId="44" borderId="1" xfId="55" applyNumberFormat="1" applyFont="1" applyFill="1" applyBorder="1" applyAlignment="1"/>
    <xf numFmtId="168" fontId="42" fillId="0" borderId="1" xfId="55" applyNumberFormat="1" applyFont="1" applyBorder="1">
      <alignment vertical="center"/>
    </xf>
    <xf numFmtId="168" fontId="42" fillId="44" borderId="1" xfId="55" applyNumberFormat="1" applyFont="1" applyFill="1" applyBorder="1">
      <alignment vertical="center"/>
    </xf>
    <xf numFmtId="0" fontId="42" fillId="45" borderId="1" xfId="54" applyFont="1" applyFill="1" applyBorder="1">
      <alignment vertical="center"/>
    </xf>
    <xf numFmtId="168" fontId="41" fillId="45" borderId="1" xfId="55" applyNumberFormat="1" applyFont="1" applyFill="1" applyBorder="1" applyAlignment="1"/>
    <xf numFmtId="168" fontId="42" fillId="45" borderId="1" xfId="55" applyNumberFormat="1" applyFont="1" applyFill="1" applyBorder="1">
      <alignment vertical="center"/>
    </xf>
    <xf numFmtId="0" fontId="42" fillId="40" borderId="1" xfId="54" applyFont="1" applyFill="1" applyBorder="1">
      <alignment vertical="center"/>
    </xf>
    <xf numFmtId="0" fontId="15" fillId="0" borderId="0" xfId="54" applyFont="1">
      <alignment vertical="center"/>
    </xf>
    <xf numFmtId="168" fontId="41" fillId="43" borderId="1" xfId="55" applyNumberFormat="1" applyFont="1" applyFill="1" applyBorder="1" applyAlignment="1"/>
    <xf numFmtId="168" fontId="0" fillId="43" borderId="1" xfId="55" applyNumberFormat="1" applyFont="1" applyFill="1" applyBorder="1" applyAlignment="1"/>
    <xf numFmtId="0" fontId="40" fillId="42" borderId="1" xfId="0" applyFont="1" applyFill="1" applyBorder="1"/>
    <xf numFmtId="0" fontId="41" fillId="42" borderId="1" xfId="0" applyFont="1" applyFill="1" applyBorder="1" applyAlignment="1">
      <alignment horizontal="right"/>
    </xf>
    <xf numFmtId="0" fontId="23" fillId="0" borderId="0" xfId="51"/>
    <xf numFmtId="3" fontId="34" fillId="0" borderId="21" xfId="0" applyNumberFormat="1" applyFont="1" applyBorder="1" applyAlignment="1">
      <alignment horizontal="center" vertical="center" wrapText="1"/>
    </xf>
    <xf numFmtId="3" fontId="34" fillId="0" borderId="22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32" fillId="36" borderId="19" xfId="0" applyFont="1" applyFill="1" applyBorder="1" applyAlignment="1">
      <alignment horizontal="center" vertical="center" wrapText="1"/>
    </xf>
    <xf numFmtId="0" fontId="32" fillId="36" borderId="33" xfId="0" applyFont="1" applyFill="1" applyBorder="1" applyAlignment="1">
      <alignment horizontal="center" vertical="center" wrapText="1"/>
    </xf>
    <xf numFmtId="0" fontId="32" fillId="36" borderId="20" xfId="0" applyFont="1" applyFill="1" applyBorder="1" applyAlignment="1">
      <alignment horizontal="center" vertical="center" wrapText="1"/>
    </xf>
    <xf numFmtId="0" fontId="32" fillId="36" borderId="23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6" borderId="18" xfId="0" applyFont="1" applyFill="1" applyBorder="1" applyAlignment="1">
      <alignment horizontal="center" vertical="center" wrapText="1"/>
    </xf>
    <xf numFmtId="0" fontId="32" fillId="36" borderId="21" xfId="0" applyFont="1" applyFill="1" applyBorder="1" applyAlignment="1">
      <alignment horizontal="center" vertical="center" wrapText="1"/>
    </xf>
    <xf numFmtId="0" fontId="32" fillId="36" borderId="34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 wrapText="1"/>
    </xf>
    <xf numFmtId="0" fontId="29" fillId="0" borderId="19" xfId="0" quotePrefix="1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27" fillId="43" borderId="36" xfId="54" applyFill="1" applyBorder="1" applyAlignment="1">
      <alignment horizontal="center" vertical="center"/>
    </xf>
    <xf numFmtId="0" fontId="29" fillId="36" borderId="19" xfId="0" applyFont="1" applyFill="1" applyBorder="1" applyAlignment="1">
      <alignment horizontal="center" vertical="center" wrapText="1"/>
    </xf>
    <xf numFmtId="0" fontId="29" fillId="36" borderId="20" xfId="0" applyFont="1" applyFill="1" applyBorder="1" applyAlignment="1">
      <alignment horizontal="center" vertical="center" wrapText="1"/>
    </xf>
    <xf numFmtId="0" fontId="29" fillId="36" borderId="21" xfId="0" applyFont="1" applyFill="1" applyBorder="1" applyAlignment="1">
      <alignment horizontal="center" vertical="center" wrapText="1"/>
    </xf>
    <xf numFmtId="0" fontId="29" fillId="36" borderId="22" xfId="0" applyFont="1" applyFill="1" applyBorder="1" applyAlignment="1">
      <alignment horizontal="center" vertical="center" wrapText="1"/>
    </xf>
    <xf numFmtId="0" fontId="38" fillId="36" borderId="21" xfId="0" applyFont="1" applyFill="1" applyBorder="1" applyAlignment="1">
      <alignment horizontal="center" vertical="center" wrapText="1"/>
    </xf>
    <xf numFmtId="0" fontId="38" fillId="36" borderId="22" xfId="0" applyFont="1" applyFill="1" applyBorder="1" applyAlignment="1">
      <alignment horizontal="center" vertical="center" wrapText="1"/>
    </xf>
    <xf numFmtId="0" fontId="29" fillId="36" borderId="24" xfId="0" applyFont="1" applyFill="1" applyBorder="1" applyAlignment="1">
      <alignment horizontal="center" vertical="center" wrapText="1"/>
    </xf>
    <xf numFmtId="0" fontId="29" fillId="36" borderId="25" xfId="0" applyFont="1" applyFill="1" applyBorder="1" applyAlignment="1">
      <alignment horizontal="center" vertical="center" wrapText="1"/>
    </xf>
    <xf numFmtId="0" fontId="30" fillId="36" borderId="26" xfId="0" applyFont="1" applyFill="1" applyBorder="1" applyAlignment="1">
      <alignment horizontal="center" vertical="center" wrapText="1"/>
    </xf>
    <xf numFmtId="0" fontId="29" fillId="36" borderId="23" xfId="0" applyFont="1" applyFill="1" applyBorder="1" applyAlignment="1">
      <alignment horizontal="center" vertical="center" wrapText="1"/>
    </xf>
    <xf numFmtId="0" fontId="29" fillId="36" borderId="18" xfId="0" applyFont="1" applyFill="1" applyBorder="1" applyAlignment="1">
      <alignment horizontal="center" vertical="center" wrapText="1"/>
    </xf>
    <xf numFmtId="0" fontId="28" fillId="35" borderId="1" xfId="54" applyFont="1" applyFill="1" applyBorder="1" applyAlignment="1">
      <alignment horizontal="center" vertical="center"/>
    </xf>
  </cellXfs>
  <cellStyles count="5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ody: normal cell" xfId="47" xr:uid="{00000000-0005-0000-0000-000019000000}"/>
    <cellStyle name="Calculation" xfId="12" builtinId="22" customBuiltin="1"/>
    <cellStyle name="Check Cell" xfId="14" builtinId="23" customBuiltin="1"/>
    <cellStyle name="Comma [0]" xfId="55" builtinId="6"/>
    <cellStyle name="Explanatory Text" xfId="17" builtinId="53" customBuiltin="1"/>
    <cellStyle name="Font: Calibri, 9pt regular" xfId="43" xr:uid="{00000000-0005-0000-0000-00001D000000}"/>
    <cellStyle name="Footnotes: top row" xfId="49" xr:uid="{00000000-0005-0000-0000-00001E000000}"/>
    <cellStyle name="Good" xfId="7" builtinId="26" customBuiltin="1"/>
    <cellStyle name="Header: bottom row" xfId="44" xr:uid="{00000000-0005-0000-0000-00002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1" builtinId="8"/>
    <cellStyle name="Hyperlink 2" xfId="53" xr:uid="{3E570BD1-2286-4F24-98B4-EC5A36EE9CD9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8" xr:uid="{00000000-0005-0000-0000-00002A000000}"/>
    <cellStyle name="Normal 3" xfId="50" xr:uid="{00000000-0005-0000-0000-00002B000000}"/>
    <cellStyle name="Normal 4" xfId="52" xr:uid="{2C2F2FB6-4991-4D89-A670-0BB8E1A8AD64}"/>
    <cellStyle name="Note" xfId="16" builtinId="10" customBuiltin="1"/>
    <cellStyle name="Output" xfId="11" builtinId="21" customBuiltin="1"/>
    <cellStyle name="Parent row" xfId="46" xr:uid="{00000000-0005-0000-0000-00002E000000}"/>
    <cellStyle name="Percent" xfId="1" builtinId="5"/>
    <cellStyle name="Table title" xfId="45" xr:uid="{00000000-0005-0000-0000-000030000000}"/>
    <cellStyle name="Title" xfId="2" builtinId="15" customBuiltin="1"/>
    <cellStyle name="Total" xfId="18" builtinId="25" customBuiltin="1"/>
    <cellStyle name="Warning Text" xfId="15" builtinId="11" customBuiltin="1"/>
    <cellStyle name="표준 2" xfId="54" xr:uid="{34B8AD03-98A7-4074-B5AE-46C09C9A6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436096</xdr:colOff>
      <xdr:row>19</xdr:row>
      <xdr:rowOff>106269</xdr:rowOff>
    </xdr:from>
    <xdr:to>
      <xdr:col>20</xdr:col>
      <xdr:colOff>588862</xdr:colOff>
      <xdr:row>32</xdr:row>
      <xdr:rowOff>9249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E748C1-6187-ED66-A615-62241FAE9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5203" y="4678269"/>
          <a:ext cx="5037730" cy="3005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111125</xdr:colOff>
      <xdr:row>4</xdr:row>
      <xdr:rowOff>120650</xdr:rowOff>
    </xdr:from>
    <xdr:to>
      <xdr:col>20</xdr:col>
      <xdr:colOff>543815</xdr:colOff>
      <xdr:row>40</xdr:row>
      <xdr:rowOff>45523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8BE268-ED2A-B19E-4358-935BF223A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9200" y="1654175"/>
          <a:ext cx="6347714" cy="7811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1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17304B-F423-4A85-BB5C-CA01DAA62AD2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w.go.kr/lsSc.do?menuId=1&amp;subMenuId=15&amp;query=%EC%8B%A0%EC%9E%AC%EC%83%9D%EC%97%90%EB%84%88%EC%A7%80%EB%B2%95&amp;dt=20201211" TargetMode="External"/><Relationship Id="rId2" Type="http://schemas.openxmlformats.org/officeDocument/2006/relationships/hyperlink" Target="https://kosis.kr/statHtml/statHtml.do?orgId=388&amp;tblId=TX_38803_A016A&amp;conn_path=I3" TargetMode="External"/><Relationship Id="rId1" Type="http://schemas.openxmlformats.org/officeDocument/2006/relationships/hyperlink" Target="https://kosis.kr/statHtml/statHtml.do?orgId=337&amp;tblId=DT_337N_A002&amp;conn_path=I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tir.go.kr/kor/article/ATCLc01b2801b/70152/vie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>
      <selection activeCell="B19" sqref="B19"/>
    </sheetView>
  </sheetViews>
  <sheetFormatPr defaultRowHeight="14.5"/>
  <cols>
    <col min="1" max="1" width="16" customWidth="1"/>
    <col min="2" max="2" width="122.7265625" customWidth="1"/>
  </cols>
  <sheetData>
    <row r="1" spans="1:2">
      <c r="A1" s="1" t="s">
        <v>94</v>
      </c>
    </row>
    <row r="2" spans="1:2">
      <c r="A2" s="1" t="s">
        <v>109</v>
      </c>
    </row>
    <row r="3" spans="1:2" ht="17.149999999999999" customHeight="1">
      <c r="A3" s="1" t="s">
        <v>317</v>
      </c>
    </row>
    <row r="5" spans="1:2">
      <c r="A5" s="1" t="s">
        <v>2</v>
      </c>
      <c r="B5" s="3" t="s">
        <v>318</v>
      </c>
    </row>
    <row r="6" spans="1:2">
      <c r="B6" t="s">
        <v>413</v>
      </c>
    </row>
    <row r="7" spans="1:2">
      <c r="B7" s="2">
        <v>2025</v>
      </c>
    </row>
    <row r="8" spans="1:2">
      <c r="B8" s="52" t="s">
        <v>429</v>
      </c>
    </row>
    <row r="9" spans="1:2">
      <c r="B9" s="2"/>
    </row>
    <row r="11" spans="1:2">
      <c r="B11" s="3" t="s">
        <v>414</v>
      </c>
    </row>
    <row r="12" spans="1:2">
      <c r="B12" s="2" t="s">
        <v>415</v>
      </c>
    </row>
    <row r="13" spans="1:2">
      <c r="B13" s="2">
        <v>2025</v>
      </c>
    </row>
    <row r="14" spans="1:2">
      <c r="B14" s="52" t="s">
        <v>369</v>
      </c>
    </row>
    <row r="17" spans="2:2">
      <c r="B17" s="3" t="s">
        <v>432</v>
      </c>
    </row>
    <row r="18" spans="2:2">
      <c r="B18" t="s">
        <v>434</v>
      </c>
    </row>
    <row r="19" spans="2:2">
      <c r="B19" s="2">
        <v>2025</v>
      </c>
    </row>
    <row r="20" spans="2:2">
      <c r="B20" t="s">
        <v>431</v>
      </c>
    </row>
    <row r="23" spans="2:2">
      <c r="B23" s="3" t="s">
        <v>433</v>
      </c>
    </row>
    <row r="24" spans="2:2">
      <c r="B24" s="1" t="s">
        <v>419</v>
      </c>
    </row>
    <row r="25" spans="2:2">
      <c r="B25" s="2" t="s">
        <v>416</v>
      </c>
    </row>
    <row r="26" spans="2:2">
      <c r="B26" s="2" t="s">
        <v>320</v>
      </c>
    </row>
    <row r="27" spans="2:2">
      <c r="B27" s="52" t="s">
        <v>363</v>
      </c>
    </row>
    <row r="30" spans="2:2">
      <c r="B30" s="3" t="s">
        <v>417</v>
      </c>
    </row>
    <row r="31" spans="2:2">
      <c r="B31" t="s">
        <v>418</v>
      </c>
    </row>
    <row r="32" spans="2:2">
      <c r="B32" s="2">
        <v>2025</v>
      </c>
    </row>
    <row r="33" spans="1:2">
      <c r="B33" s="95" t="s">
        <v>428</v>
      </c>
    </row>
    <row r="36" spans="1:2">
      <c r="A36" s="1" t="s">
        <v>0</v>
      </c>
    </row>
    <row r="37" spans="1:2">
      <c r="A37" t="s">
        <v>97</v>
      </c>
    </row>
    <row r="38" spans="1:2">
      <c r="A38" t="s">
        <v>1</v>
      </c>
    </row>
    <row r="40" spans="1:2">
      <c r="A40" s="8" t="s">
        <v>100</v>
      </c>
      <c r="B40" s="4"/>
    </row>
    <row r="41" spans="1:2">
      <c r="A41" t="s">
        <v>101</v>
      </c>
    </row>
    <row r="42" spans="1:2">
      <c r="A42" t="s">
        <v>102</v>
      </c>
    </row>
    <row r="43" spans="1:2">
      <c r="A43" t="s">
        <v>103</v>
      </c>
    </row>
    <row r="44" spans="1:2">
      <c r="A44" t="s">
        <v>104</v>
      </c>
    </row>
    <row r="45" spans="1:2">
      <c r="A45" t="s">
        <v>105</v>
      </c>
    </row>
    <row r="46" spans="1:2">
      <c r="A46" t="s">
        <v>106</v>
      </c>
    </row>
    <row r="47" spans="1:2">
      <c r="A47" t="s">
        <v>107</v>
      </c>
    </row>
    <row r="48" spans="1:2">
      <c r="A48" t="s">
        <v>108</v>
      </c>
    </row>
    <row r="50" spans="1:2">
      <c r="A50" s="8" t="s">
        <v>98</v>
      </c>
      <c r="B50" s="8"/>
    </row>
    <row r="51" spans="1:2">
      <c r="A51" s="1" t="s">
        <v>96</v>
      </c>
    </row>
    <row r="52" spans="1:2">
      <c r="A52" s="1" t="s">
        <v>92</v>
      </c>
    </row>
    <row r="53" spans="1:2">
      <c r="A53" t="s">
        <v>93</v>
      </c>
    </row>
    <row r="55" spans="1:2">
      <c r="A55" t="s">
        <v>111</v>
      </c>
    </row>
    <row r="56" spans="1:2">
      <c r="A56" s="1" t="s">
        <v>99</v>
      </c>
    </row>
    <row r="58" spans="1:2">
      <c r="A58" t="s">
        <v>448</v>
      </c>
    </row>
    <row r="60" spans="1:2">
      <c r="A60" t="s">
        <v>452</v>
      </c>
    </row>
  </sheetData>
  <phoneticPr fontId="26" type="noConversion"/>
  <hyperlinks>
    <hyperlink ref="B27" r:id="rId1" xr:uid="{1AB29CEA-7EC4-4E4D-B9B4-019F5F0FF819}"/>
    <hyperlink ref="B14" r:id="rId2" xr:uid="{353AD36F-5BDA-4D1E-80EE-DCB2AB2BDE4B}"/>
    <hyperlink ref="B33" r:id="rId3" location="undefined" xr:uid="{1FD1EC85-2343-4F93-815B-8DFC9B4DFE45}"/>
    <hyperlink ref="B8" r:id="rId4" xr:uid="{930A7987-4386-494C-B967-718D98C224A5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CBCD-AD0F-4CC9-AC7B-9D4067D1C400}">
  <dimension ref="A1:I82"/>
  <sheetViews>
    <sheetView workbookViewId="0">
      <selection activeCell="B28" sqref="B28"/>
    </sheetView>
  </sheetViews>
  <sheetFormatPr defaultColWidth="20.54296875" defaultRowHeight="14.5"/>
  <cols>
    <col min="1" max="1" width="33.7265625" style="13" customWidth="1"/>
    <col min="2" max="2" width="13.1796875" style="13" customWidth="1"/>
    <col min="3" max="3" width="8.7265625" style="13" customWidth="1"/>
    <col min="4" max="4" width="8" style="13" customWidth="1"/>
    <col min="5" max="16384" width="20.54296875" style="13"/>
  </cols>
  <sheetData>
    <row r="1" spans="1:9" ht="20.149999999999999" customHeight="1">
      <c r="A1" s="26" t="s">
        <v>321</v>
      </c>
      <c r="B1" s="26" t="s">
        <v>322</v>
      </c>
      <c r="C1" s="26" t="s">
        <v>323</v>
      </c>
      <c r="D1" s="26" t="s">
        <v>324</v>
      </c>
      <c r="E1" s="27" t="s">
        <v>249</v>
      </c>
      <c r="F1" s="27" t="s">
        <v>263</v>
      </c>
      <c r="G1" s="27" t="s">
        <v>276</v>
      </c>
      <c r="H1" s="27" t="s">
        <v>291</v>
      </c>
      <c r="I1" s="27" t="s">
        <v>303</v>
      </c>
    </row>
    <row r="2" spans="1:9" ht="20.149999999999999" customHeight="1">
      <c r="A2" s="28" t="s">
        <v>325</v>
      </c>
      <c r="B2" s="28" t="s">
        <v>326</v>
      </c>
      <c r="C2" s="28" t="s">
        <v>326</v>
      </c>
      <c r="D2" s="28" t="s">
        <v>326</v>
      </c>
      <c r="E2" s="29">
        <v>579999196</v>
      </c>
      <c r="F2" s="29">
        <v>611015325</v>
      </c>
      <c r="G2" s="29">
        <v>626448138</v>
      </c>
      <c r="H2" s="29">
        <v>624883407</v>
      </c>
      <c r="I2" s="29">
        <v>637103809</v>
      </c>
    </row>
    <row r="3" spans="1:9" ht="20.149999999999999" customHeight="1">
      <c r="A3" s="30" t="s">
        <v>170</v>
      </c>
      <c r="B3" s="28" t="s">
        <v>327</v>
      </c>
      <c r="C3" s="28" t="s">
        <v>326</v>
      </c>
      <c r="D3" s="28" t="s">
        <v>326</v>
      </c>
      <c r="E3" s="29">
        <v>3271019</v>
      </c>
      <c r="F3" s="29">
        <v>3682932</v>
      </c>
      <c r="G3" s="29">
        <v>3715049</v>
      </c>
      <c r="H3" s="29">
        <v>3783877</v>
      </c>
      <c r="I3" s="29">
        <v>4677237</v>
      </c>
    </row>
    <row r="4" spans="1:9" ht="20.149999999999999" customHeight="1">
      <c r="A4" s="28" t="s">
        <v>328</v>
      </c>
      <c r="B4" s="28" t="s">
        <v>326</v>
      </c>
      <c r="C4" s="28" t="s">
        <v>326</v>
      </c>
      <c r="D4" s="28" t="s">
        <v>326</v>
      </c>
      <c r="E4" s="68">
        <v>7.44</v>
      </c>
      <c r="F4" s="68">
        <v>8.2899999999999991</v>
      </c>
      <c r="G4" s="68">
        <v>9.2200000000000006</v>
      </c>
      <c r="H4" s="68">
        <v>9.67</v>
      </c>
      <c r="I4" s="68">
        <v>11</v>
      </c>
    </row>
    <row r="5" spans="1:9" ht="20.149999999999999" customHeight="1">
      <c r="A5" s="30" t="s">
        <v>170</v>
      </c>
      <c r="B5" s="28" t="s">
        <v>329</v>
      </c>
      <c r="C5" s="28" t="s">
        <v>326</v>
      </c>
      <c r="D5" s="28" t="s">
        <v>326</v>
      </c>
      <c r="E5" s="68">
        <v>6.41</v>
      </c>
      <c r="F5" s="68">
        <v>7.15</v>
      </c>
      <c r="G5" s="68">
        <v>8.0500000000000007</v>
      </c>
      <c r="H5" s="68">
        <v>8.5</v>
      </c>
      <c r="I5" s="68">
        <v>9</v>
      </c>
    </row>
    <row r="6" spans="1:9" ht="20.149999999999999" customHeight="1">
      <c r="A6" s="30" t="s">
        <v>170</v>
      </c>
      <c r="B6" s="28" t="s">
        <v>319</v>
      </c>
      <c r="C6" s="28" t="s">
        <v>326</v>
      </c>
      <c r="D6" s="28" t="s">
        <v>326</v>
      </c>
      <c r="E6" s="68">
        <v>1.02</v>
      </c>
      <c r="F6" s="68">
        <v>1.1399999999999999</v>
      </c>
      <c r="G6" s="68">
        <v>1.18</v>
      </c>
      <c r="H6" s="68">
        <v>1.1599999999999999</v>
      </c>
      <c r="I6" s="68">
        <v>2</v>
      </c>
    </row>
    <row r="7" spans="1:9" ht="20.149999999999999" customHeight="1">
      <c r="A7" s="28" t="s">
        <v>330</v>
      </c>
      <c r="B7" s="28" t="s">
        <v>326</v>
      </c>
      <c r="C7" s="28" t="s">
        <v>326</v>
      </c>
      <c r="D7" s="28" t="s">
        <v>326</v>
      </c>
      <c r="E7" s="29">
        <v>43123776</v>
      </c>
      <c r="F7" s="29">
        <v>50657393</v>
      </c>
      <c r="G7" s="29">
        <v>57779999</v>
      </c>
      <c r="H7" s="29">
        <v>60399865</v>
      </c>
      <c r="I7" s="29">
        <v>68115782</v>
      </c>
    </row>
    <row r="8" spans="1:9" ht="20.149999999999999" customHeight="1">
      <c r="A8" s="30" t="s">
        <v>170</v>
      </c>
      <c r="B8" s="28" t="s">
        <v>331</v>
      </c>
      <c r="C8" s="28" t="s">
        <v>326</v>
      </c>
      <c r="D8" s="28" t="s">
        <v>326</v>
      </c>
      <c r="E8" s="29">
        <v>39791354</v>
      </c>
      <c r="F8" s="29">
        <v>46856560</v>
      </c>
      <c r="G8" s="29">
        <v>53154366</v>
      </c>
      <c r="H8" s="29">
        <v>55593383</v>
      </c>
      <c r="I8" s="29">
        <v>62487770</v>
      </c>
    </row>
    <row r="9" spans="1:9" ht="20.149999999999999" customHeight="1">
      <c r="A9" s="30" t="s">
        <v>170</v>
      </c>
      <c r="B9" s="28" t="s">
        <v>332</v>
      </c>
      <c r="C9" s="28" t="s">
        <v>326</v>
      </c>
      <c r="D9" s="28" t="s">
        <v>326</v>
      </c>
      <c r="E9" s="29">
        <v>3332422</v>
      </c>
      <c r="F9" s="29">
        <v>3800833</v>
      </c>
      <c r="G9" s="29">
        <v>4625634</v>
      </c>
      <c r="H9" s="29">
        <v>4806483</v>
      </c>
      <c r="I9" s="29">
        <v>5628012</v>
      </c>
    </row>
    <row r="10" spans="1:9" ht="20.149999999999999" customHeight="1">
      <c r="A10" s="30" t="s">
        <v>170</v>
      </c>
      <c r="B10" s="28" t="s">
        <v>333</v>
      </c>
      <c r="C10" s="28" t="s">
        <v>326</v>
      </c>
      <c r="D10" s="28" t="s">
        <v>326</v>
      </c>
      <c r="E10" s="29">
        <v>37202048</v>
      </c>
      <c r="F10" s="29">
        <v>43668518</v>
      </c>
      <c r="G10" s="29">
        <v>50405547</v>
      </c>
      <c r="H10" s="29">
        <v>53146000</v>
      </c>
      <c r="I10" s="29">
        <v>58460649</v>
      </c>
    </row>
    <row r="11" spans="1:9" ht="20.149999999999999" customHeight="1">
      <c r="A11" s="30" t="s">
        <v>170</v>
      </c>
      <c r="B11" s="30" t="s">
        <v>170</v>
      </c>
      <c r="C11" s="28" t="s">
        <v>331</v>
      </c>
      <c r="D11" s="28" t="s">
        <v>326</v>
      </c>
      <c r="E11" s="29">
        <v>33928372</v>
      </c>
      <c r="F11" s="29">
        <v>39938435</v>
      </c>
      <c r="G11" s="29">
        <v>45859855</v>
      </c>
      <c r="H11" s="29">
        <v>48432407</v>
      </c>
      <c r="I11" s="29">
        <v>52953466</v>
      </c>
    </row>
    <row r="12" spans="1:9" ht="20.149999999999999" customHeight="1">
      <c r="A12" s="30" t="s">
        <v>170</v>
      </c>
      <c r="B12" s="30" t="s">
        <v>170</v>
      </c>
      <c r="C12" s="28" t="s">
        <v>332</v>
      </c>
      <c r="D12" s="28" t="s">
        <v>326</v>
      </c>
      <c r="E12" s="29">
        <v>3273676</v>
      </c>
      <c r="F12" s="29">
        <v>3730083</v>
      </c>
      <c r="G12" s="29">
        <v>4545692</v>
      </c>
      <c r="H12" s="29">
        <v>4713593</v>
      </c>
      <c r="I12" s="29">
        <v>5507183</v>
      </c>
    </row>
    <row r="13" spans="1:9" ht="20.149999999999999" customHeight="1">
      <c r="A13" s="30" t="s">
        <v>170</v>
      </c>
      <c r="B13" s="28" t="s">
        <v>334</v>
      </c>
      <c r="C13" s="28" t="s">
        <v>326</v>
      </c>
      <c r="D13" s="28" t="s">
        <v>326</v>
      </c>
      <c r="E13" s="29">
        <v>5921728</v>
      </c>
      <c r="F13" s="29">
        <v>6988875</v>
      </c>
      <c r="G13" s="29">
        <v>7374452</v>
      </c>
      <c r="H13" s="29">
        <v>7253865</v>
      </c>
      <c r="I13" s="29">
        <v>9655133</v>
      </c>
    </row>
    <row r="14" spans="1:9" ht="20.149999999999999" customHeight="1">
      <c r="A14" s="30" t="s">
        <v>170</v>
      </c>
      <c r="B14" s="30" t="s">
        <v>170</v>
      </c>
      <c r="C14" s="28" t="s">
        <v>331</v>
      </c>
      <c r="D14" s="28" t="s">
        <v>326</v>
      </c>
      <c r="E14" s="29">
        <v>5862982</v>
      </c>
      <c r="F14" s="29">
        <v>6918125</v>
      </c>
      <c r="G14" s="29">
        <v>7294511</v>
      </c>
      <c r="H14" s="29">
        <v>7160976</v>
      </c>
      <c r="I14" s="29">
        <v>9534304</v>
      </c>
    </row>
    <row r="15" spans="1:9" ht="20.149999999999999" customHeight="1">
      <c r="A15" s="30" t="s">
        <v>170</v>
      </c>
      <c r="B15" s="30" t="s">
        <v>170</v>
      </c>
      <c r="C15" s="28" t="s">
        <v>332</v>
      </c>
      <c r="D15" s="28" t="s">
        <v>326</v>
      </c>
      <c r="E15" s="29">
        <v>58746</v>
      </c>
      <c r="F15" s="29">
        <v>70750</v>
      </c>
      <c r="G15" s="29">
        <v>79942</v>
      </c>
      <c r="H15" s="29">
        <v>92889</v>
      </c>
      <c r="I15" s="29">
        <v>120828</v>
      </c>
    </row>
    <row r="16" spans="1:9" ht="20.149999999999999" customHeight="1">
      <c r="A16" s="28" t="s">
        <v>335</v>
      </c>
      <c r="B16" s="28" t="s">
        <v>336</v>
      </c>
      <c r="C16" s="28" t="s">
        <v>326</v>
      </c>
      <c r="D16" s="28" t="s">
        <v>326</v>
      </c>
      <c r="E16" s="29">
        <v>19337964</v>
      </c>
      <c r="F16" s="29">
        <v>24717623</v>
      </c>
      <c r="G16" s="29">
        <v>30726260</v>
      </c>
      <c r="H16" s="29">
        <v>33236447</v>
      </c>
      <c r="I16" s="29">
        <v>37449731</v>
      </c>
    </row>
    <row r="17" spans="1:9" ht="20.149999999999999" customHeight="1">
      <c r="A17" s="30" t="s">
        <v>170</v>
      </c>
      <c r="B17" s="30" t="s">
        <v>170</v>
      </c>
      <c r="C17" s="28" t="s">
        <v>331</v>
      </c>
      <c r="D17" s="28" t="s">
        <v>326</v>
      </c>
      <c r="E17" s="29">
        <v>16452484</v>
      </c>
      <c r="F17" s="29">
        <v>21444281</v>
      </c>
      <c r="G17" s="29">
        <v>26682924</v>
      </c>
      <c r="H17" s="29">
        <v>28912204</v>
      </c>
      <c r="I17" s="29">
        <v>32334925</v>
      </c>
    </row>
    <row r="18" spans="1:9" ht="20.149999999999999" customHeight="1">
      <c r="A18" s="30" t="s">
        <v>170</v>
      </c>
      <c r="B18" s="30" t="s">
        <v>170</v>
      </c>
      <c r="C18" s="28" t="s">
        <v>332</v>
      </c>
      <c r="D18" s="28" t="s">
        <v>326</v>
      </c>
      <c r="E18" s="29">
        <v>2885480</v>
      </c>
      <c r="F18" s="29">
        <v>3273342</v>
      </c>
      <c r="G18" s="29">
        <v>4043336</v>
      </c>
      <c r="H18" s="29">
        <v>4324243</v>
      </c>
      <c r="I18" s="29">
        <v>5114806</v>
      </c>
    </row>
    <row r="19" spans="1:9" ht="20.149999999999999" customHeight="1">
      <c r="A19" s="30" t="s">
        <v>170</v>
      </c>
      <c r="B19" s="28" t="s">
        <v>337</v>
      </c>
      <c r="C19" s="28" t="s">
        <v>326</v>
      </c>
      <c r="D19" s="28" t="s">
        <v>326</v>
      </c>
      <c r="E19" s="29">
        <v>3149948</v>
      </c>
      <c r="F19" s="29">
        <v>3180017</v>
      </c>
      <c r="G19" s="29">
        <v>3369458</v>
      </c>
      <c r="H19" s="29">
        <v>3392165</v>
      </c>
      <c r="I19" s="29">
        <v>3736569</v>
      </c>
    </row>
    <row r="20" spans="1:9" ht="20.149999999999999" customHeight="1">
      <c r="A20" s="30" t="s">
        <v>170</v>
      </c>
      <c r="B20" s="30" t="s">
        <v>170</v>
      </c>
      <c r="C20" s="28" t="s">
        <v>331</v>
      </c>
      <c r="D20" s="28" t="s">
        <v>326</v>
      </c>
      <c r="E20" s="29">
        <v>3139475</v>
      </c>
      <c r="F20" s="29">
        <v>3169833</v>
      </c>
      <c r="G20" s="29">
        <v>3358850</v>
      </c>
      <c r="H20" s="29">
        <v>3382397</v>
      </c>
      <c r="I20" s="29">
        <v>3723163</v>
      </c>
    </row>
    <row r="21" spans="1:9" ht="20.149999999999999" customHeight="1">
      <c r="A21" s="30" t="s">
        <v>170</v>
      </c>
      <c r="B21" s="30" t="s">
        <v>170</v>
      </c>
      <c r="C21" s="28" t="s">
        <v>332</v>
      </c>
      <c r="D21" s="28" t="s">
        <v>326</v>
      </c>
      <c r="E21" s="29">
        <v>10474</v>
      </c>
      <c r="F21" s="29">
        <v>10184</v>
      </c>
      <c r="G21" s="29">
        <v>10608</v>
      </c>
      <c r="H21" s="29">
        <v>9768</v>
      </c>
      <c r="I21" s="29">
        <v>13406</v>
      </c>
    </row>
    <row r="22" spans="1:9" ht="20.149999999999999" customHeight="1">
      <c r="A22" s="30" t="s">
        <v>170</v>
      </c>
      <c r="B22" s="28" t="s">
        <v>338</v>
      </c>
      <c r="C22" s="28" t="s">
        <v>326</v>
      </c>
      <c r="D22" s="28" t="s">
        <v>326</v>
      </c>
      <c r="E22" s="29">
        <v>3879383</v>
      </c>
      <c r="F22" s="29">
        <v>3057210</v>
      </c>
      <c r="G22" s="29">
        <v>3544866</v>
      </c>
      <c r="H22" s="29">
        <v>3718015</v>
      </c>
      <c r="I22" s="29">
        <v>4313488</v>
      </c>
    </row>
    <row r="23" spans="1:9" ht="20.149999999999999" customHeight="1">
      <c r="A23" s="30" t="s">
        <v>170</v>
      </c>
      <c r="B23" s="30" t="s">
        <v>170</v>
      </c>
      <c r="C23" s="28" t="s">
        <v>331</v>
      </c>
      <c r="D23" s="28" t="s">
        <v>326</v>
      </c>
      <c r="E23" s="29">
        <v>3877175</v>
      </c>
      <c r="F23" s="29">
        <v>3054616</v>
      </c>
      <c r="G23" s="29">
        <v>3541073</v>
      </c>
      <c r="H23" s="29">
        <v>3716390</v>
      </c>
      <c r="I23" s="29">
        <v>4311955</v>
      </c>
    </row>
    <row r="24" spans="1:9" ht="20.149999999999999" customHeight="1">
      <c r="A24" s="30" t="s">
        <v>170</v>
      </c>
      <c r="B24" s="30" t="s">
        <v>170</v>
      </c>
      <c r="C24" s="28" t="s">
        <v>332</v>
      </c>
      <c r="D24" s="28" t="s">
        <v>326</v>
      </c>
      <c r="E24" s="29">
        <v>2208</v>
      </c>
      <c r="F24" s="29">
        <v>2595</v>
      </c>
      <c r="G24" s="29">
        <v>3793</v>
      </c>
      <c r="H24" s="29">
        <v>1625</v>
      </c>
      <c r="I24" s="29">
        <v>1532</v>
      </c>
    </row>
    <row r="25" spans="1:9" ht="20.149999999999999" customHeight="1">
      <c r="A25" s="30" t="s">
        <v>170</v>
      </c>
      <c r="B25" s="28" t="s">
        <v>339</v>
      </c>
      <c r="C25" s="28" t="s">
        <v>326</v>
      </c>
      <c r="D25" s="28" t="s">
        <v>326</v>
      </c>
      <c r="E25" s="29">
        <v>457263</v>
      </c>
      <c r="F25" s="29">
        <v>454980</v>
      </c>
      <c r="G25" s="29">
        <v>423843</v>
      </c>
      <c r="H25" s="29">
        <v>437567</v>
      </c>
      <c r="I25" s="29">
        <v>418483</v>
      </c>
    </row>
    <row r="26" spans="1:9" ht="20.149999999999999" customHeight="1">
      <c r="A26" s="30" t="s">
        <v>170</v>
      </c>
      <c r="B26" s="30" t="s">
        <v>170</v>
      </c>
      <c r="C26" s="28" t="s">
        <v>331</v>
      </c>
      <c r="D26" s="28" t="s">
        <v>326</v>
      </c>
      <c r="E26" s="29">
        <v>457263</v>
      </c>
      <c r="F26" s="29">
        <v>454980</v>
      </c>
      <c r="G26" s="29">
        <v>423843</v>
      </c>
      <c r="H26" s="29">
        <v>437567</v>
      </c>
      <c r="I26" s="29">
        <v>418483</v>
      </c>
    </row>
    <row r="27" spans="1:9" ht="20.149999999999999" customHeight="1">
      <c r="A27" s="30" t="s">
        <v>170</v>
      </c>
      <c r="B27" s="28" t="s">
        <v>340</v>
      </c>
      <c r="C27" s="28" t="s">
        <v>326</v>
      </c>
      <c r="D27" s="28" t="s">
        <v>326</v>
      </c>
      <c r="E27" s="29">
        <v>9938354</v>
      </c>
      <c r="F27" s="29">
        <v>11788068</v>
      </c>
      <c r="G27" s="29">
        <v>11927592</v>
      </c>
      <c r="H27" s="29">
        <v>11918038</v>
      </c>
      <c r="I27" s="29">
        <v>12117654</v>
      </c>
    </row>
    <row r="28" spans="1:9" ht="20.149999999999999" customHeight="1">
      <c r="A28" s="30" t="s">
        <v>170</v>
      </c>
      <c r="B28" s="30" t="s">
        <v>170</v>
      </c>
      <c r="C28" s="28" t="s">
        <v>331</v>
      </c>
      <c r="D28" s="28" t="s">
        <v>326</v>
      </c>
      <c r="E28" s="29">
        <v>9664364</v>
      </c>
      <c r="F28" s="29">
        <v>11454757</v>
      </c>
      <c r="G28" s="29">
        <v>11503337</v>
      </c>
      <c r="H28" s="29">
        <v>11652459</v>
      </c>
      <c r="I28" s="29">
        <v>11823889</v>
      </c>
    </row>
    <row r="29" spans="1:9" ht="20.149999999999999" customHeight="1">
      <c r="A29" s="30" t="s">
        <v>170</v>
      </c>
      <c r="B29" s="30" t="s">
        <v>170</v>
      </c>
      <c r="C29" s="28" t="s">
        <v>332</v>
      </c>
      <c r="D29" s="28" t="s">
        <v>326</v>
      </c>
      <c r="E29" s="29">
        <v>273990</v>
      </c>
      <c r="F29" s="29">
        <v>333310</v>
      </c>
      <c r="G29" s="29">
        <v>424255</v>
      </c>
      <c r="H29" s="29">
        <v>265579</v>
      </c>
      <c r="I29" s="29">
        <v>293765</v>
      </c>
    </row>
    <row r="30" spans="1:9" ht="20.149999999999999" customHeight="1">
      <c r="A30" s="30" t="s">
        <v>170</v>
      </c>
      <c r="B30" s="30" t="s">
        <v>170</v>
      </c>
      <c r="C30" s="28" t="s">
        <v>341</v>
      </c>
      <c r="D30" s="28" t="s">
        <v>326</v>
      </c>
      <c r="E30" s="29">
        <v>179046</v>
      </c>
      <c r="F30" s="29">
        <v>191081</v>
      </c>
      <c r="G30" s="29">
        <v>152742</v>
      </c>
      <c r="H30" s="29">
        <v>160550</v>
      </c>
      <c r="I30" s="29">
        <v>194068</v>
      </c>
    </row>
    <row r="31" spans="1:9" ht="20.149999999999999" customHeight="1">
      <c r="A31" s="30" t="s">
        <v>170</v>
      </c>
      <c r="B31" s="30" t="s">
        <v>170</v>
      </c>
      <c r="C31" s="30" t="s">
        <v>170</v>
      </c>
      <c r="D31" s="28" t="s">
        <v>331</v>
      </c>
      <c r="E31" s="29">
        <v>149710</v>
      </c>
      <c r="F31" s="29">
        <v>174406</v>
      </c>
      <c r="G31" s="29">
        <v>135429</v>
      </c>
      <c r="H31" s="29">
        <v>126303</v>
      </c>
      <c r="I31" s="29">
        <v>152244</v>
      </c>
    </row>
    <row r="32" spans="1:9" ht="20.149999999999999" customHeight="1">
      <c r="A32" s="30" t="s">
        <v>170</v>
      </c>
      <c r="B32" s="30" t="s">
        <v>170</v>
      </c>
      <c r="C32" s="30" t="s">
        <v>170</v>
      </c>
      <c r="D32" s="28" t="s">
        <v>332</v>
      </c>
      <c r="E32" s="29">
        <v>29336</v>
      </c>
      <c r="F32" s="29">
        <v>16675</v>
      </c>
      <c r="G32" s="29">
        <v>17312</v>
      </c>
      <c r="H32" s="29">
        <v>34247</v>
      </c>
      <c r="I32" s="29">
        <v>41823</v>
      </c>
    </row>
    <row r="33" spans="1:9" ht="20.149999999999999" customHeight="1">
      <c r="A33" s="30" t="s">
        <v>170</v>
      </c>
      <c r="B33" s="30" t="s">
        <v>170</v>
      </c>
      <c r="C33" s="28" t="s">
        <v>342</v>
      </c>
      <c r="D33" s="28" t="s">
        <v>326</v>
      </c>
      <c r="E33" s="29">
        <v>180043</v>
      </c>
      <c r="F33" s="29">
        <v>187485</v>
      </c>
      <c r="G33" s="29">
        <v>206760</v>
      </c>
      <c r="H33" s="29">
        <v>218741</v>
      </c>
      <c r="I33" s="29">
        <v>179394</v>
      </c>
    </row>
    <row r="34" spans="1:9" ht="20.149999999999999" customHeight="1">
      <c r="A34" s="30" t="s">
        <v>170</v>
      </c>
      <c r="B34" s="30" t="s">
        <v>170</v>
      </c>
      <c r="C34" s="30" t="s">
        <v>170</v>
      </c>
      <c r="D34" s="28" t="s">
        <v>331</v>
      </c>
      <c r="E34" s="29">
        <v>180043</v>
      </c>
      <c r="F34" s="29">
        <v>187485</v>
      </c>
      <c r="G34" s="29">
        <v>206760</v>
      </c>
      <c r="H34" s="29">
        <v>218741</v>
      </c>
      <c r="I34" s="29">
        <v>179394</v>
      </c>
    </row>
    <row r="35" spans="1:9" ht="20.149999999999999" customHeight="1">
      <c r="A35" s="30" t="s">
        <v>170</v>
      </c>
      <c r="B35" s="30" t="s">
        <v>170</v>
      </c>
      <c r="C35" s="30" t="s">
        <v>170</v>
      </c>
      <c r="D35" s="28" t="s">
        <v>332</v>
      </c>
      <c r="E35" s="29" t="s">
        <v>201</v>
      </c>
      <c r="F35" s="29" t="s">
        <v>201</v>
      </c>
      <c r="G35" s="29" t="s">
        <v>201</v>
      </c>
      <c r="H35" s="29" t="s">
        <v>201</v>
      </c>
      <c r="I35" s="29" t="s">
        <v>201</v>
      </c>
    </row>
    <row r="36" spans="1:9" ht="20.149999999999999" customHeight="1">
      <c r="A36" s="30" t="s">
        <v>170</v>
      </c>
      <c r="B36" s="30" t="s">
        <v>170</v>
      </c>
      <c r="C36" s="28" t="s">
        <v>343</v>
      </c>
      <c r="D36" s="28" t="s">
        <v>326</v>
      </c>
      <c r="E36" s="29">
        <v>99242</v>
      </c>
      <c r="F36" s="29">
        <v>222248</v>
      </c>
      <c r="G36" s="29">
        <v>319428</v>
      </c>
      <c r="H36" s="29">
        <v>423195</v>
      </c>
      <c r="I36" s="29">
        <v>559688</v>
      </c>
    </row>
    <row r="37" spans="1:9" ht="20.149999999999999" customHeight="1">
      <c r="A37" s="30" t="s">
        <v>170</v>
      </c>
      <c r="B37" s="30" t="s">
        <v>170</v>
      </c>
      <c r="C37" s="30" t="s">
        <v>170</v>
      </c>
      <c r="D37" s="28" t="s">
        <v>331</v>
      </c>
      <c r="E37" s="29">
        <v>95538</v>
      </c>
      <c r="F37" s="29">
        <v>167583</v>
      </c>
      <c r="G37" s="29">
        <v>319428</v>
      </c>
      <c r="H37" s="29">
        <v>423195</v>
      </c>
      <c r="I37" s="29">
        <v>559688</v>
      </c>
    </row>
    <row r="38" spans="1:9" ht="20.149999999999999" customHeight="1">
      <c r="A38" s="30" t="s">
        <v>170</v>
      </c>
      <c r="B38" s="30" t="s">
        <v>170</v>
      </c>
      <c r="C38" s="30" t="s">
        <v>170</v>
      </c>
      <c r="D38" s="28" t="s">
        <v>332</v>
      </c>
      <c r="E38" s="29">
        <v>3704</v>
      </c>
      <c r="F38" s="29">
        <v>54665</v>
      </c>
      <c r="G38" s="29" t="s">
        <v>201</v>
      </c>
      <c r="H38" s="29" t="s">
        <v>201</v>
      </c>
      <c r="I38" s="29" t="s">
        <v>201</v>
      </c>
    </row>
    <row r="39" spans="1:9" ht="20.149999999999999" customHeight="1">
      <c r="A39" s="30" t="s">
        <v>170</v>
      </c>
      <c r="B39" s="30" t="s">
        <v>170</v>
      </c>
      <c r="C39" s="28" t="s">
        <v>344</v>
      </c>
      <c r="D39" s="28" t="s">
        <v>326</v>
      </c>
      <c r="E39" s="29">
        <v>4926845</v>
      </c>
      <c r="F39" s="29">
        <v>6794232</v>
      </c>
      <c r="G39" s="29">
        <v>7393419</v>
      </c>
      <c r="H39" s="29">
        <v>6597030</v>
      </c>
      <c r="I39" s="29">
        <v>7245849</v>
      </c>
    </row>
    <row r="40" spans="1:9" ht="20.149999999999999" customHeight="1">
      <c r="A40" s="30" t="s">
        <v>170</v>
      </c>
      <c r="B40" s="30" t="s">
        <v>170</v>
      </c>
      <c r="C40" s="30" t="s">
        <v>170</v>
      </c>
      <c r="D40" s="28" t="s">
        <v>331</v>
      </c>
      <c r="E40" s="29">
        <v>4926845</v>
      </c>
      <c r="F40" s="29">
        <v>6794232</v>
      </c>
      <c r="G40" s="29">
        <v>7393419</v>
      </c>
      <c r="H40" s="29">
        <v>6597030</v>
      </c>
      <c r="I40" s="29">
        <v>7245849</v>
      </c>
    </row>
    <row r="41" spans="1:9" ht="20.149999999999999" customHeight="1">
      <c r="A41" s="30" t="s">
        <v>170</v>
      </c>
      <c r="B41" s="30" t="s">
        <v>170</v>
      </c>
      <c r="C41" s="30" t="s">
        <v>170</v>
      </c>
      <c r="D41" s="28" t="s">
        <v>332</v>
      </c>
      <c r="E41" s="29" t="s">
        <v>201</v>
      </c>
      <c r="F41" s="29" t="s">
        <v>201</v>
      </c>
      <c r="G41" s="29" t="s">
        <v>201</v>
      </c>
      <c r="H41" s="29" t="s">
        <v>201</v>
      </c>
      <c r="I41" s="29" t="s">
        <v>201</v>
      </c>
    </row>
    <row r="42" spans="1:9" ht="20.149999999999999" customHeight="1">
      <c r="A42" s="30" t="s">
        <v>170</v>
      </c>
      <c r="B42" s="30" t="s">
        <v>170</v>
      </c>
      <c r="C42" s="28" t="s">
        <v>345</v>
      </c>
      <c r="D42" s="28" t="s">
        <v>326</v>
      </c>
      <c r="E42" s="29" t="s">
        <v>201</v>
      </c>
      <c r="F42" s="29" t="s">
        <v>201</v>
      </c>
      <c r="G42" s="29" t="s">
        <v>201</v>
      </c>
      <c r="H42" s="29" t="s">
        <v>201</v>
      </c>
      <c r="I42" s="29" t="s">
        <v>201</v>
      </c>
    </row>
    <row r="43" spans="1:9" ht="20.149999999999999" customHeight="1">
      <c r="A43" s="30" t="s">
        <v>170</v>
      </c>
      <c r="B43" s="30" t="s">
        <v>170</v>
      </c>
      <c r="C43" s="30" t="s">
        <v>170</v>
      </c>
      <c r="D43" s="28" t="s">
        <v>331</v>
      </c>
      <c r="E43" s="29" t="s">
        <v>201</v>
      </c>
      <c r="F43" s="29" t="s">
        <v>201</v>
      </c>
      <c r="G43" s="29" t="s">
        <v>201</v>
      </c>
      <c r="H43" s="29" t="s">
        <v>201</v>
      </c>
      <c r="I43" s="29" t="s">
        <v>201</v>
      </c>
    </row>
    <row r="44" spans="1:9" ht="20.149999999999999" customHeight="1">
      <c r="A44" s="30" t="s">
        <v>170</v>
      </c>
      <c r="B44" s="30" t="s">
        <v>170</v>
      </c>
      <c r="C44" s="30" t="s">
        <v>170</v>
      </c>
      <c r="D44" s="28" t="s">
        <v>332</v>
      </c>
      <c r="E44" s="29" t="s">
        <v>201</v>
      </c>
      <c r="F44" s="29" t="s">
        <v>201</v>
      </c>
      <c r="G44" s="29" t="s">
        <v>201</v>
      </c>
      <c r="H44" s="29" t="s">
        <v>201</v>
      </c>
      <c r="I44" s="29" t="s">
        <v>201</v>
      </c>
    </row>
    <row r="45" spans="1:9" ht="20.149999999999999" customHeight="1">
      <c r="A45" s="30" t="s">
        <v>170</v>
      </c>
      <c r="B45" s="30" t="s">
        <v>170</v>
      </c>
      <c r="C45" s="28" t="s">
        <v>346</v>
      </c>
      <c r="D45" s="28" t="s">
        <v>326</v>
      </c>
      <c r="E45" s="29">
        <v>240950</v>
      </c>
      <c r="F45" s="29">
        <v>261970</v>
      </c>
      <c r="G45" s="29">
        <v>234792</v>
      </c>
      <c r="H45" s="29">
        <v>231332</v>
      </c>
      <c r="I45" s="29">
        <v>251942</v>
      </c>
    </row>
    <row r="46" spans="1:9" ht="20.149999999999999" customHeight="1">
      <c r="A46" s="30" t="s">
        <v>170</v>
      </c>
      <c r="B46" s="30" t="s">
        <v>170</v>
      </c>
      <c r="C46" s="30" t="s">
        <v>170</v>
      </c>
      <c r="D46" s="28" t="s">
        <v>332</v>
      </c>
      <c r="E46" s="29">
        <v>240950</v>
      </c>
      <c r="F46" s="29">
        <v>261970</v>
      </c>
      <c r="G46" s="29">
        <v>234792</v>
      </c>
      <c r="H46" s="29">
        <v>231332</v>
      </c>
      <c r="I46" s="29">
        <v>251942</v>
      </c>
    </row>
    <row r="47" spans="1:9" ht="20.149999999999999" customHeight="1">
      <c r="A47" s="30" t="s">
        <v>170</v>
      </c>
      <c r="B47" s="30" t="s">
        <v>170</v>
      </c>
      <c r="C47" s="28" t="s">
        <v>347</v>
      </c>
      <c r="D47" s="28" t="s">
        <v>326</v>
      </c>
      <c r="E47" s="29">
        <v>410193</v>
      </c>
      <c r="F47" s="29">
        <v>406146</v>
      </c>
      <c r="G47" s="29">
        <v>73784</v>
      </c>
      <c r="H47" s="29">
        <v>94512</v>
      </c>
      <c r="I47" s="29">
        <v>159149</v>
      </c>
    </row>
    <row r="48" spans="1:9" ht="20.149999999999999" customHeight="1">
      <c r="A48" s="30" t="s">
        <v>170</v>
      </c>
      <c r="B48" s="30" t="s">
        <v>170</v>
      </c>
      <c r="C48" s="30" t="s">
        <v>170</v>
      </c>
      <c r="D48" s="28" t="s">
        <v>331</v>
      </c>
      <c r="E48" s="29">
        <v>410193</v>
      </c>
      <c r="F48" s="29">
        <v>406146</v>
      </c>
      <c r="G48" s="29">
        <v>73784</v>
      </c>
      <c r="H48" s="29">
        <v>94512</v>
      </c>
      <c r="I48" s="29">
        <v>159149</v>
      </c>
    </row>
    <row r="49" spans="1:9" ht="20.149999999999999" customHeight="1">
      <c r="A49" s="30" t="s">
        <v>170</v>
      </c>
      <c r="B49" s="30" t="s">
        <v>170</v>
      </c>
      <c r="C49" s="28" t="s">
        <v>348</v>
      </c>
      <c r="D49" s="28" t="s">
        <v>326</v>
      </c>
      <c r="E49" s="29">
        <v>1983916</v>
      </c>
      <c r="F49" s="29">
        <v>1892499</v>
      </c>
      <c r="G49" s="29">
        <v>1892487</v>
      </c>
      <c r="H49" s="29">
        <v>2515600</v>
      </c>
      <c r="I49" s="29">
        <v>2159997</v>
      </c>
    </row>
    <row r="50" spans="1:9" ht="20.149999999999999" customHeight="1">
      <c r="A50" s="30" t="s">
        <v>170</v>
      </c>
      <c r="B50" s="30" t="s">
        <v>170</v>
      </c>
      <c r="C50" s="30" t="s">
        <v>170</v>
      </c>
      <c r="D50" s="28" t="s">
        <v>331</v>
      </c>
      <c r="E50" s="29">
        <v>1983916</v>
      </c>
      <c r="F50" s="29">
        <v>1892499</v>
      </c>
      <c r="G50" s="29">
        <v>1720336</v>
      </c>
      <c r="H50" s="29">
        <v>2515600</v>
      </c>
      <c r="I50" s="29">
        <v>2159997</v>
      </c>
    </row>
    <row r="51" spans="1:9" ht="20.149999999999999" customHeight="1">
      <c r="A51" s="30" t="s">
        <v>170</v>
      </c>
      <c r="B51" s="30" t="s">
        <v>170</v>
      </c>
      <c r="C51" s="30" t="s">
        <v>170</v>
      </c>
      <c r="D51" s="28" t="s">
        <v>332</v>
      </c>
      <c r="E51" s="29" t="s">
        <v>201</v>
      </c>
      <c r="F51" s="29" t="s">
        <v>201</v>
      </c>
      <c r="G51" s="29">
        <v>172150</v>
      </c>
      <c r="H51" s="29" t="s">
        <v>201</v>
      </c>
      <c r="I51" s="29">
        <v>0</v>
      </c>
    </row>
    <row r="52" spans="1:9" ht="20.149999999999999" customHeight="1">
      <c r="A52" s="30" t="s">
        <v>170</v>
      </c>
      <c r="B52" s="30" t="s">
        <v>170</v>
      </c>
      <c r="C52" s="28" t="s">
        <v>349</v>
      </c>
      <c r="D52" s="28" t="s">
        <v>326</v>
      </c>
      <c r="E52" s="29">
        <v>1918119</v>
      </c>
      <c r="F52" s="29">
        <v>1832406</v>
      </c>
      <c r="G52" s="29">
        <v>1654179</v>
      </c>
      <c r="H52" s="29">
        <v>1677077</v>
      </c>
      <c r="I52" s="29">
        <v>1367568</v>
      </c>
    </row>
    <row r="53" spans="1:9" ht="20.149999999999999" customHeight="1">
      <c r="A53" s="30" t="s">
        <v>170</v>
      </c>
      <c r="B53" s="30" t="s">
        <v>170</v>
      </c>
      <c r="C53" s="30" t="s">
        <v>170</v>
      </c>
      <c r="D53" s="28" t="s">
        <v>331</v>
      </c>
      <c r="E53" s="29">
        <v>1918119</v>
      </c>
      <c r="F53" s="29">
        <v>1832406</v>
      </c>
      <c r="G53" s="29">
        <v>1654179</v>
      </c>
      <c r="H53" s="29">
        <v>1677077</v>
      </c>
      <c r="I53" s="29">
        <v>1367568</v>
      </c>
    </row>
    <row r="54" spans="1:9" ht="20.149999999999999" customHeight="1">
      <c r="A54" s="30" t="s">
        <v>170</v>
      </c>
      <c r="B54" s="28" t="s">
        <v>350</v>
      </c>
      <c r="C54" s="28" t="s">
        <v>326</v>
      </c>
      <c r="D54" s="28" t="s">
        <v>326</v>
      </c>
      <c r="E54" s="29">
        <v>439137</v>
      </c>
      <c r="F54" s="29">
        <v>470620</v>
      </c>
      <c r="G54" s="29">
        <v>413529</v>
      </c>
      <c r="H54" s="29">
        <v>443769</v>
      </c>
      <c r="I54" s="29">
        <v>424724</v>
      </c>
    </row>
    <row r="55" spans="1:9" ht="20.149999999999999" customHeight="1">
      <c r="A55" s="30" t="s">
        <v>170</v>
      </c>
      <c r="B55" s="30" t="s">
        <v>170</v>
      </c>
      <c r="C55" s="28" t="s">
        <v>331</v>
      </c>
      <c r="D55" s="28" t="s">
        <v>326</v>
      </c>
      <c r="E55" s="29">
        <v>337612</v>
      </c>
      <c r="F55" s="29">
        <v>359968</v>
      </c>
      <c r="G55" s="29">
        <v>349828</v>
      </c>
      <c r="H55" s="29">
        <v>331391</v>
      </c>
      <c r="I55" s="29">
        <v>341051</v>
      </c>
    </row>
    <row r="56" spans="1:9" ht="20.149999999999999" customHeight="1">
      <c r="A56" s="30" t="s">
        <v>170</v>
      </c>
      <c r="B56" s="30" t="s">
        <v>170</v>
      </c>
      <c r="C56" s="28" t="s">
        <v>332</v>
      </c>
      <c r="D56" s="28" t="s">
        <v>326</v>
      </c>
      <c r="E56" s="29">
        <v>101525</v>
      </c>
      <c r="F56" s="29">
        <v>110652</v>
      </c>
      <c r="G56" s="29">
        <v>63701</v>
      </c>
      <c r="H56" s="29">
        <v>112378</v>
      </c>
      <c r="I56" s="29">
        <v>83673</v>
      </c>
    </row>
    <row r="57" spans="1:9" ht="20.149999999999999" customHeight="1">
      <c r="A57" s="30" t="s">
        <v>170</v>
      </c>
      <c r="B57" s="30" t="s">
        <v>170</v>
      </c>
      <c r="C57" s="28" t="s">
        <v>351</v>
      </c>
      <c r="D57" s="28" t="s">
        <v>326</v>
      </c>
      <c r="E57" s="29" t="s">
        <v>201</v>
      </c>
      <c r="F57" s="29" t="s">
        <v>201</v>
      </c>
      <c r="G57" s="29" t="s">
        <v>201</v>
      </c>
      <c r="H57" s="29" t="s">
        <v>201</v>
      </c>
      <c r="I57" s="29" t="s">
        <v>201</v>
      </c>
    </row>
    <row r="58" spans="1:9" ht="20.149999999999999" customHeight="1">
      <c r="A58" s="30" t="s">
        <v>170</v>
      </c>
      <c r="B58" s="30" t="s">
        <v>170</v>
      </c>
      <c r="C58" s="30" t="s">
        <v>170</v>
      </c>
      <c r="D58" s="28" t="s">
        <v>331</v>
      </c>
      <c r="E58" s="29" t="s">
        <v>201</v>
      </c>
      <c r="F58" s="29" t="s">
        <v>201</v>
      </c>
      <c r="G58" s="29" t="s">
        <v>201</v>
      </c>
      <c r="H58" s="29" t="s">
        <v>201</v>
      </c>
      <c r="I58" s="29" t="s">
        <v>201</v>
      </c>
    </row>
    <row r="59" spans="1:9" ht="20.149999999999999" customHeight="1">
      <c r="A59" s="30" t="s">
        <v>170</v>
      </c>
      <c r="B59" s="30" t="s">
        <v>170</v>
      </c>
      <c r="C59" s="30" t="s">
        <v>170</v>
      </c>
      <c r="D59" s="28" t="s">
        <v>332</v>
      </c>
      <c r="E59" s="29" t="s">
        <v>201</v>
      </c>
      <c r="F59" s="29" t="s">
        <v>201</v>
      </c>
      <c r="G59" s="29" t="s">
        <v>201</v>
      </c>
      <c r="H59" s="29" t="s">
        <v>201</v>
      </c>
      <c r="I59" s="29" t="s">
        <v>201</v>
      </c>
    </row>
    <row r="60" spans="1:9" ht="20.149999999999999" customHeight="1">
      <c r="A60" s="30" t="s">
        <v>170</v>
      </c>
      <c r="B60" s="30" t="s">
        <v>170</v>
      </c>
      <c r="C60" s="28" t="s">
        <v>352</v>
      </c>
      <c r="D60" s="28" t="s">
        <v>326</v>
      </c>
      <c r="E60" s="29">
        <v>91821</v>
      </c>
      <c r="F60" s="29">
        <v>108574</v>
      </c>
      <c r="G60" s="29">
        <v>142400</v>
      </c>
      <c r="H60" s="29">
        <v>116131</v>
      </c>
      <c r="I60" s="29">
        <v>91722</v>
      </c>
    </row>
    <row r="61" spans="1:9" ht="20.149999999999999" customHeight="1">
      <c r="A61" s="30" t="s">
        <v>170</v>
      </c>
      <c r="B61" s="30" t="s">
        <v>170</v>
      </c>
      <c r="C61" s="30" t="s">
        <v>170</v>
      </c>
      <c r="D61" s="28" t="s">
        <v>331</v>
      </c>
      <c r="E61" s="29">
        <v>90776</v>
      </c>
      <c r="F61" s="29">
        <v>98312</v>
      </c>
      <c r="G61" s="29">
        <v>139179</v>
      </c>
      <c r="H61" s="29">
        <v>95987</v>
      </c>
      <c r="I61" s="29">
        <v>87605</v>
      </c>
    </row>
    <row r="62" spans="1:9" ht="20.149999999999999" customHeight="1">
      <c r="A62" s="30" t="s">
        <v>170</v>
      </c>
      <c r="B62" s="30" t="s">
        <v>170</v>
      </c>
      <c r="C62" s="30" t="s">
        <v>170</v>
      </c>
      <c r="D62" s="28" t="s">
        <v>332</v>
      </c>
      <c r="E62" s="29">
        <v>1045</v>
      </c>
      <c r="F62" s="29">
        <v>10263</v>
      </c>
      <c r="G62" s="29">
        <v>3221</v>
      </c>
      <c r="H62" s="29">
        <v>20144</v>
      </c>
      <c r="I62" s="29">
        <v>4117</v>
      </c>
    </row>
    <row r="63" spans="1:9" ht="20.149999999999999" customHeight="1">
      <c r="A63" s="30" t="s">
        <v>170</v>
      </c>
      <c r="B63" s="30" t="s">
        <v>170</v>
      </c>
      <c r="C63" s="28" t="s">
        <v>353</v>
      </c>
      <c r="D63" s="28" t="s">
        <v>326</v>
      </c>
      <c r="E63" s="29">
        <v>187677</v>
      </c>
      <c r="F63" s="29">
        <v>222835</v>
      </c>
      <c r="G63" s="29">
        <v>173702</v>
      </c>
      <c r="H63" s="29">
        <v>206264</v>
      </c>
      <c r="I63" s="29">
        <v>212389</v>
      </c>
    </row>
    <row r="64" spans="1:9" ht="20.149999999999999" customHeight="1">
      <c r="A64" s="30" t="s">
        <v>170</v>
      </c>
      <c r="B64" s="30" t="s">
        <v>170</v>
      </c>
      <c r="C64" s="30" t="s">
        <v>170</v>
      </c>
      <c r="D64" s="28" t="s">
        <v>331</v>
      </c>
      <c r="E64" s="29">
        <v>91181</v>
      </c>
      <c r="F64" s="29">
        <v>128370</v>
      </c>
      <c r="G64" s="29">
        <v>116984</v>
      </c>
      <c r="H64" s="29">
        <v>116895</v>
      </c>
      <c r="I64" s="29">
        <v>132833</v>
      </c>
    </row>
    <row r="65" spans="1:9" ht="20.149999999999999" customHeight="1">
      <c r="A65" s="30" t="s">
        <v>170</v>
      </c>
      <c r="B65" s="30" t="s">
        <v>170</v>
      </c>
      <c r="C65" s="30" t="s">
        <v>170</v>
      </c>
      <c r="D65" s="28" t="s">
        <v>332</v>
      </c>
      <c r="E65" s="29">
        <v>96496</v>
      </c>
      <c r="F65" s="29">
        <v>94465</v>
      </c>
      <c r="G65" s="29">
        <v>56718</v>
      </c>
      <c r="H65" s="29">
        <v>89369</v>
      </c>
      <c r="I65" s="29">
        <v>79556</v>
      </c>
    </row>
    <row r="66" spans="1:9" ht="20.149999999999999" customHeight="1">
      <c r="A66" s="30" t="s">
        <v>170</v>
      </c>
      <c r="B66" s="30" t="s">
        <v>170</v>
      </c>
      <c r="C66" s="28" t="s">
        <v>354</v>
      </c>
      <c r="D66" s="28" t="s">
        <v>326</v>
      </c>
      <c r="E66" s="29" t="s">
        <v>201</v>
      </c>
      <c r="F66" s="29" t="s">
        <v>201</v>
      </c>
      <c r="G66" s="29" t="s">
        <v>201</v>
      </c>
      <c r="H66" s="29" t="s">
        <v>201</v>
      </c>
      <c r="I66" s="29" t="s">
        <v>201</v>
      </c>
    </row>
    <row r="67" spans="1:9" ht="20.149999999999999" customHeight="1">
      <c r="A67" s="30" t="s">
        <v>170</v>
      </c>
      <c r="B67" s="30" t="s">
        <v>170</v>
      </c>
      <c r="C67" s="30" t="s">
        <v>170</v>
      </c>
      <c r="D67" s="28" t="s">
        <v>331</v>
      </c>
      <c r="E67" s="29" t="s">
        <v>201</v>
      </c>
      <c r="F67" s="29" t="s">
        <v>201</v>
      </c>
      <c r="G67" s="29" t="s">
        <v>201</v>
      </c>
      <c r="H67" s="29" t="s">
        <v>201</v>
      </c>
      <c r="I67" s="29" t="s">
        <v>201</v>
      </c>
    </row>
    <row r="68" spans="1:9" ht="20.149999999999999" customHeight="1">
      <c r="A68" s="30" t="s">
        <v>170</v>
      </c>
      <c r="B68" s="30" t="s">
        <v>170</v>
      </c>
      <c r="C68" s="30" t="s">
        <v>170</v>
      </c>
      <c r="D68" s="28" t="s">
        <v>332</v>
      </c>
      <c r="E68" s="29" t="s">
        <v>201</v>
      </c>
      <c r="F68" s="29" t="s">
        <v>201</v>
      </c>
      <c r="G68" s="29" t="s">
        <v>201</v>
      </c>
      <c r="H68" s="29" t="s">
        <v>201</v>
      </c>
      <c r="I68" s="29" t="s">
        <v>201</v>
      </c>
    </row>
    <row r="69" spans="1:9" ht="20.149999999999999" customHeight="1">
      <c r="A69" s="30" t="s">
        <v>170</v>
      </c>
      <c r="B69" s="30" t="s">
        <v>170</v>
      </c>
      <c r="C69" s="28" t="s">
        <v>355</v>
      </c>
      <c r="D69" s="28" t="s">
        <v>326</v>
      </c>
      <c r="E69" s="29" t="s">
        <v>201</v>
      </c>
      <c r="F69" s="29" t="s">
        <v>201</v>
      </c>
      <c r="G69" s="29" t="s">
        <v>201</v>
      </c>
      <c r="H69" s="29" t="s">
        <v>201</v>
      </c>
      <c r="I69" s="29" t="s">
        <v>201</v>
      </c>
    </row>
    <row r="70" spans="1:9" ht="20.149999999999999" customHeight="1">
      <c r="A70" s="30" t="s">
        <v>170</v>
      </c>
      <c r="B70" s="30" t="s">
        <v>170</v>
      </c>
      <c r="C70" s="30" t="s">
        <v>170</v>
      </c>
      <c r="D70" s="28" t="s">
        <v>331</v>
      </c>
      <c r="E70" s="29" t="s">
        <v>201</v>
      </c>
      <c r="F70" s="29" t="s">
        <v>201</v>
      </c>
      <c r="G70" s="29" t="s">
        <v>201</v>
      </c>
      <c r="H70" s="29" t="s">
        <v>201</v>
      </c>
      <c r="I70" s="29" t="s">
        <v>201</v>
      </c>
    </row>
    <row r="71" spans="1:9" ht="20.149999999999999" customHeight="1">
      <c r="A71" s="30" t="s">
        <v>170</v>
      </c>
      <c r="B71" s="30" t="s">
        <v>170</v>
      </c>
      <c r="C71" s="28" t="s">
        <v>356</v>
      </c>
      <c r="D71" s="28" t="s">
        <v>326</v>
      </c>
      <c r="E71" s="29">
        <v>159639</v>
      </c>
      <c r="F71" s="29">
        <v>139211</v>
      </c>
      <c r="G71" s="29">
        <v>97427</v>
      </c>
      <c r="H71" s="29">
        <v>121373</v>
      </c>
      <c r="I71" s="29">
        <v>120613</v>
      </c>
    </row>
    <row r="72" spans="1:9" ht="20.149999999999999" customHeight="1">
      <c r="A72" s="30" t="s">
        <v>170</v>
      </c>
      <c r="B72" s="30" t="s">
        <v>170</v>
      </c>
      <c r="C72" s="30" t="s">
        <v>170</v>
      </c>
      <c r="D72" s="28" t="s">
        <v>331</v>
      </c>
      <c r="E72" s="29">
        <v>155654</v>
      </c>
      <c r="F72" s="29">
        <v>133286</v>
      </c>
      <c r="G72" s="29">
        <v>93665</v>
      </c>
      <c r="H72" s="29">
        <v>118509</v>
      </c>
      <c r="I72" s="29">
        <v>120613</v>
      </c>
    </row>
    <row r="73" spans="1:9" ht="20.149999999999999" customHeight="1">
      <c r="A73" s="30" t="s">
        <v>170</v>
      </c>
      <c r="B73" s="30" t="s">
        <v>170</v>
      </c>
      <c r="C73" s="30" t="s">
        <v>170</v>
      </c>
      <c r="D73" s="28" t="s">
        <v>332</v>
      </c>
      <c r="E73" s="29">
        <v>3984</v>
      </c>
      <c r="F73" s="29">
        <v>5924</v>
      </c>
      <c r="G73" s="29">
        <v>3762</v>
      </c>
      <c r="H73" s="29">
        <v>2865</v>
      </c>
      <c r="I73" s="29">
        <v>0</v>
      </c>
    </row>
    <row r="74" spans="1:9" ht="20.149999999999999" customHeight="1">
      <c r="A74" s="30" t="s">
        <v>170</v>
      </c>
      <c r="B74" s="30" t="s">
        <v>170</v>
      </c>
      <c r="C74" s="28" t="s">
        <v>357</v>
      </c>
      <c r="D74" s="28" t="s">
        <v>326</v>
      </c>
      <c r="E74" s="29" t="s">
        <v>201</v>
      </c>
      <c r="F74" s="29" t="s">
        <v>201</v>
      </c>
      <c r="G74" s="29" t="s">
        <v>201</v>
      </c>
      <c r="H74" s="29" t="s">
        <v>201</v>
      </c>
      <c r="I74" s="29">
        <v>0</v>
      </c>
    </row>
    <row r="75" spans="1:9" ht="20.149999999999999" customHeight="1">
      <c r="A75" s="30" t="s">
        <v>170</v>
      </c>
      <c r="B75" s="30" t="s">
        <v>170</v>
      </c>
      <c r="C75" s="30" t="s">
        <v>170</v>
      </c>
      <c r="D75" s="28" t="s">
        <v>332</v>
      </c>
      <c r="E75" s="29" t="s">
        <v>201</v>
      </c>
      <c r="F75" s="29" t="s">
        <v>201</v>
      </c>
      <c r="G75" s="29" t="s">
        <v>201</v>
      </c>
      <c r="H75" s="29" t="s">
        <v>201</v>
      </c>
      <c r="I75" s="29">
        <v>0</v>
      </c>
    </row>
    <row r="76" spans="1:9" ht="20.149999999999999" customHeight="1">
      <c r="A76" s="30" t="s">
        <v>170</v>
      </c>
      <c r="B76" s="30" t="s">
        <v>170</v>
      </c>
      <c r="C76" s="28" t="s">
        <v>358</v>
      </c>
      <c r="D76" s="28" t="s">
        <v>326</v>
      </c>
      <c r="E76" s="29" t="s">
        <v>201</v>
      </c>
      <c r="F76" s="29" t="s">
        <v>201</v>
      </c>
      <c r="G76" s="29" t="s">
        <v>201</v>
      </c>
      <c r="H76" s="29" t="s">
        <v>201</v>
      </c>
      <c r="I76" s="29" t="s">
        <v>201</v>
      </c>
    </row>
    <row r="77" spans="1:9" ht="20.149999999999999" customHeight="1">
      <c r="A77" s="30" t="s">
        <v>170</v>
      </c>
      <c r="B77" s="30" t="s">
        <v>170</v>
      </c>
      <c r="C77" s="30" t="s">
        <v>170</v>
      </c>
      <c r="D77" s="28" t="s">
        <v>331</v>
      </c>
      <c r="E77" s="29" t="s">
        <v>201</v>
      </c>
      <c r="F77" s="29" t="s">
        <v>201</v>
      </c>
      <c r="G77" s="29" t="s">
        <v>201</v>
      </c>
      <c r="H77" s="29" t="s">
        <v>201</v>
      </c>
      <c r="I77" s="29" t="s">
        <v>201</v>
      </c>
    </row>
    <row r="78" spans="1:9" ht="20.149999999999999" customHeight="1">
      <c r="A78" s="28" t="s">
        <v>359</v>
      </c>
      <c r="B78" s="28" t="s">
        <v>360</v>
      </c>
      <c r="C78" s="28" t="s">
        <v>326</v>
      </c>
      <c r="D78" s="28" t="s">
        <v>326</v>
      </c>
      <c r="E78" s="29">
        <v>3544354</v>
      </c>
      <c r="F78" s="29">
        <v>4798120</v>
      </c>
      <c r="G78" s="29">
        <v>5409625</v>
      </c>
      <c r="H78" s="29">
        <v>6257348</v>
      </c>
      <c r="I78" s="29">
        <v>7583357</v>
      </c>
    </row>
    <row r="79" spans="1:9" ht="20.149999999999999" customHeight="1">
      <c r="A79" s="30" t="s">
        <v>170</v>
      </c>
      <c r="B79" s="30" t="s">
        <v>170</v>
      </c>
      <c r="C79" s="28" t="s">
        <v>331</v>
      </c>
      <c r="D79" s="28" t="s">
        <v>326</v>
      </c>
      <c r="E79" s="29">
        <v>3485608</v>
      </c>
      <c r="F79" s="29">
        <v>4727370</v>
      </c>
      <c r="G79" s="29">
        <v>5329684</v>
      </c>
      <c r="H79" s="29">
        <v>6164458</v>
      </c>
      <c r="I79" s="29">
        <v>7462529</v>
      </c>
    </row>
    <row r="80" spans="1:9" ht="20.149999999999999" customHeight="1">
      <c r="A80" s="30" t="s">
        <v>170</v>
      </c>
      <c r="B80" s="30" t="s">
        <v>170</v>
      </c>
      <c r="C80" s="28" t="s">
        <v>332</v>
      </c>
      <c r="D80" s="28" t="s">
        <v>326</v>
      </c>
      <c r="E80" s="29">
        <v>58746</v>
      </c>
      <c r="F80" s="29">
        <v>70750</v>
      </c>
      <c r="G80" s="29">
        <v>79942</v>
      </c>
      <c r="H80" s="29">
        <v>92889</v>
      </c>
      <c r="I80" s="29">
        <v>120828</v>
      </c>
    </row>
    <row r="81" spans="1:9" ht="20.149999999999999" customHeight="1">
      <c r="A81" s="30" t="s">
        <v>170</v>
      </c>
      <c r="B81" s="28" t="s">
        <v>361</v>
      </c>
      <c r="C81" s="28" t="s">
        <v>326</v>
      </c>
      <c r="D81" s="28" t="s">
        <v>326</v>
      </c>
      <c r="E81" s="29">
        <v>2377374</v>
      </c>
      <c r="F81" s="29">
        <v>2190755</v>
      </c>
      <c r="G81" s="29">
        <v>1964827</v>
      </c>
      <c r="H81" s="29">
        <v>996517</v>
      </c>
      <c r="I81" s="29">
        <v>2071775</v>
      </c>
    </row>
    <row r="82" spans="1:9" ht="20.149999999999999" customHeight="1">
      <c r="A82" s="32" t="s">
        <v>170</v>
      </c>
      <c r="B82" s="32" t="s">
        <v>170</v>
      </c>
      <c r="C82" s="33" t="s">
        <v>331</v>
      </c>
      <c r="D82" s="33" t="s">
        <v>326</v>
      </c>
      <c r="E82" s="29">
        <v>2377374</v>
      </c>
      <c r="F82" s="29">
        <v>2190755</v>
      </c>
      <c r="G82" s="29">
        <v>1964827</v>
      </c>
      <c r="H82" s="29">
        <v>996517</v>
      </c>
      <c r="I82" s="29">
        <v>2071775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AFFB-16B7-4DBB-8DC6-20B8594B3331}">
  <dimension ref="A3:H27"/>
  <sheetViews>
    <sheetView workbookViewId="0">
      <selection sqref="A1:XFD1"/>
    </sheetView>
  </sheetViews>
  <sheetFormatPr defaultColWidth="21" defaultRowHeight="14.5"/>
  <cols>
    <col min="1" max="16384" width="21" style="13"/>
  </cols>
  <sheetData>
    <row r="3" spans="1:8" ht="20.149999999999999" customHeight="1">
      <c r="A3" s="26" t="s">
        <v>321</v>
      </c>
      <c r="B3" s="26" t="s">
        <v>322</v>
      </c>
      <c r="C3" s="26" t="s">
        <v>323</v>
      </c>
      <c r="D3" s="27" t="s">
        <v>249</v>
      </c>
      <c r="E3" s="27" t="s">
        <v>263</v>
      </c>
      <c r="F3" s="27" t="s">
        <v>276</v>
      </c>
      <c r="G3" s="27" t="s">
        <v>291</v>
      </c>
      <c r="H3" s="27" t="s">
        <v>303</v>
      </c>
    </row>
    <row r="4" spans="1:8" ht="20.149999999999999" customHeight="1">
      <c r="A4" s="28" t="s">
        <v>316</v>
      </c>
      <c r="B4" s="28" t="s">
        <v>326</v>
      </c>
      <c r="C4" s="28" t="s">
        <v>326</v>
      </c>
      <c r="D4" s="29">
        <v>547797</v>
      </c>
      <c r="E4" s="29">
        <v>576809</v>
      </c>
      <c r="F4" s="29">
        <v>594400</v>
      </c>
      <c r="G4" s="29">
        <v>588047</v>
      </c>
      <c r="H4" s="29">
        <v>595601</v>
      </c>
    </row>
    <row r="5" spans="1:8" ht="20.149999999999999" customHeight="1">
      <c r="A5" s="28" t="s">
        <v>171</v>
      </c>
      <c r="B5" s="28" t="s">
        <v>326</v>
      </c>
      <c r="C5" s="28" t="s">
        <v>326</v>
      </c>
      <c r="D5" s="29">
        <v>160184</v>
      </c>
      <c r="E5" s="29">
        <v>158015</v>
      </c>
      <c r="F5" s="29">
        <v>176054</v>
      </c>
      <c r="G5" s="29">
        <v>180494</v>
      </c>
      <c r="H5" s="29">
        <v>188754</v>
      </c>
    </row>
    <row r="6" spans="1:8" ht="20.149999999999999" customHeight="1">
      <c r="A6" s="28" t="s">
        <v>364</v>
      </c>
      <c r="B6" s="28" t="s">
        <v>326</v>
      </c>
      <c r="C6" s="28" t="s">
        <v>326</v>
      </c>
      <c r="D6" s="29">
        <v>344499</v>
      </c>
      <c r="E6" s="29">
        <v>368699</v>
      </c>
      <c r="F6" s="29">
        <v>358772</v>
      </c>
      <c r="G6" s="29">
        <v>344163</v>
      </c>
      <c r="H6" s="29">
        <v>335561</v>
      </c>
    </row>
    <row r="7" spans="1:8" ht="20.149999999999999" customHeight="1">
      <c r="A7" s="30" t="s">
        <v>170</v>
      </c>
      <c r="B7" s="28" t="s">
        <v>172</v>
      </c>
      <c r="C7" s="28" t="s">
        <v>326</v>
      </c>
      <c r="D7" s="29">
        <v>196333</v>
      </c>
      <c r="E7" s="29">
        <v>197966</v>
      </c>
      <c r="F7" s="29">
        <v>193231</v>
      </c>
      <c r="G7" s="29">
        <v>184927</v>
      </c>
      <c r="H7" s="29">
        <v>167152</v>
      </c>
    </row>
    <row r="8" spans="1:8" ht="20.149999999999999" customHeight="1">
      <c r="A8" s="30" t="s">
        <v>170</v>
      </c>
      <c r="B8" s="30" t="s">
        <v>170</v>
      </c>
      <c r="C8" s="28" t="s">
        <v>365</v>
      </c>
      <c r="D8" s="29">
        <v>194257</v>
      </c>
      <c r="E8" s="29">
        <v>196105</v>
      </c>
      <c r="F8" s="29">
        <v>191413</v>
      </c>
      <c r="G8" s="29">
        <v>183038</v>
      </c>
      <c r="H8" s="29">
        <v>165241</v>
      </c>
    </row>
    <row r="9" spans="1:8" ht="20.149999999999999" customHeight="1">
      <c r="A9" s="30" t="s">
        <v>170</v>
      </c>
      <c r="B9" s="30" t="s">
        <v>170</v>
      </c>
      <c r="C9" s="28" t="s">
        <v>366</v>
      </c>
      <c r="D9" s="29">
        <v>2076</v>
      </c>
      <c r="E9" s="29">
        <v>1861</v>
      </c>
      <c r="F9" s="29">
        <v>1819</v>
      </c>
      <c r="G9" s="29">
        <v>1889</v>
      </c>
      <c r="H9" s="29">
        <v>1911</v>
      </c>
    </row>
    <row r="10" spans="1:8" ht="20.149999999999999" customHeight="1">
      <c r="A10" s="30" t="s">
        <v>170</v>
      </c>
      <c r="B10" s="28" t="s">
        <v>174</v>
      </c>
      <c r="C10" s="28" t="s">
        <v>326</v>
      </c>
      <c r="D10" s="29">
        <v>2255</v>
      </c>
      <c r="E10" s="29">
        <v>2354</v>
      </c>
      <c r="F10" s="29">
        <v>1966</v>
      </c>
      <c r="G10" s="29">
        <v>1487</v>
      </c>
      <c r="H10" s="29">
        <v>1204</v>
      </c>
    </row>
    <row r="11" spans="1:8" ht="20.149999999999999" customHeight="1">
      <c r="A11" s="30" t="s">
        <v>170</v>
      </c>
      <c r="B11" s="28" t="s">
        <v>173</v>
      </c>
      <c r="C11" s="28" t="s">
        <v>326</v>
      </c>
      <c r="D11" s="29">
        <v>145911</v>
      </c>
      <c r="E11" s="29">
        <v>168378</v>
      </c>
      <c r="F11" s="29">
        <v>163575</v>
      </c>
      <c r="G11" s="29">
        <v>157749</v>
      </c>
      <c r="H11" s="29">
        <v>167205</v>
      </c>
    </row>
    <row r="12" spans="1:8" ht="20.149999999999999" customHeight="1">
      <c r="A12" s="28" t="s">
        <v>175</v>
      </c>
      <c r="B12" s="28" t="s">
        <v>326</v>
      </c>
      <c r="C12" s="28" t="s">
        <v>326</v>
      </c>
      <c r="D12" s="29">
        <v>3271</v>
      </c>
      <c r="E12" s="29">
        <v>3683</v>
      </c>
      <c r="F12" s="29">
        <v>3715</v>
      </c>
      <c r="G12" s="29">
        <v>3784</v>
      </c>
      <c r="H12" s="29">
        <v>4677</v>
      </c>
    </row>
    <row r="13" spans="1:8" ht="20.149999999999999" customHeight="1">
      <c r="A13" s="33" t="s">
        <v>367</v>
      </c>
      <c r="B13" s="33" t="s">
        <v>326</v>
      </c>
      <c r="C13" s="33" t="s">
        <v>326</v>
      </c>
      <c r="D13" s="29">
        <v>39843</v>
      </c>
      <c r="E13" s="29">
        <v>46412</v>
      </c>
      <c r="F13" s="29">
        <v>55860</v>
      </c>
      <c r="G13" s="29">
        <v>59606</v>
      </c>
      <c r="H13" s="29">
        <v>66608</v>
      </c>
    </row>
    <row r="17" spans="1:8">
      <c r="A17" s="26" t="s">
        <v>321</v>
      </c>
      <c r="B17" s="26" t="s">
        <v>322</v>
      </c>
      <c r="C17" s="26" t="s">
        <v>323</v>
      </c>
      <c r="D17" s="27" t="s">
        <v>249</v>
      </c>
      <c r="E17" s="27" t="s">
        <v>263</v>
      </c>
      <c r="F17" s="27" t="s">
        <v>276</v>
      </c>
      <c r="G17" s="27" t="s">
        <v>291</v>
      </c>
      <c r="H17" s="27" t="s">
        <v>303</v>
      </c>
    </row>
    <row r="18" spans="1:8">
      <c r="A18" s="28" t="s">
        <v>316</v>
      </c>
      <c r="B18" s="28" t="s">
        <v>326</v>
      </c>
      <c r="C18" s="28" t="s">
        <v>326</v>
      </c>
      <c r="D18" s="53">
        <f>D4/D$4*100</f>
        <v>100</v>
      </c>
      <c r="E18" s="53">
        <f t="shared" ref="E18:H18" si="0">E4/E$4*100</f>
        <v>100</v>
      </c>
      <c r="F18" s="53">
        <f t="shared" si="0"/>
        <v>100</v>
      </c>
      <c r="G18" s="53">
        <f t="shared" si="0"/>
        <v>100</v>
      </c>
      <c r="H18" s="53">
        <f t="shared" si="0"/>
        <v>100</v>
      </c>
    </row>
    <row r="19" spans="1:8">
      <c r="A19" s="28" t="s">
        <v>171</v>
      </c>
      <c r="B19" s="28" t="s">
        <v>326</v>
      </c>
      <c r="C19" s="28" t="s">
        <v>326</v>
      </c>
      <c r="D19" s="69">
        <f t="shared" ref="D19:H27" si="1">D5/D$4*100</f>
        <v>29.241489091762098</v>
      </c>
      <c r="E19" s="69">
        <f t="shared" si="1"/>
        <v>27.394683508752465</v>
      </c>
      <c r="F19" s="69">
        <f t="shared" si="1"/>
        <v>29.618775235531629</v>
      </c>
      <c r="G19" s="69">
        <f t="shared" si="1"/>
        <v>30.693805087008354</v>
      </c>
      <c r="H19" s="69">
        <f t="shared" si="1"/>
        <v>31.691350417477469</v>
      </c>
    </row>
    <row r="20" spans="1:8">
      <c r="A20" s="28" t="s">
        <v>364</v>
      </c>
      <c r="B20" s="28" t="s">
        <v>326</v>
      </c>
      <c r="C20" s="28" t="s">
        <v>326</v>
      </c>
      <c r="D20" s="53">
        <f t="shared" si="1"/>
        <v>62.888077152667861</v>
      </c>
      <c r="E20" s="53">
        <f t="shared" si="1"/>
        <v>63.920465873452045</v>
      </c>
      <c r="F20" s="53">
        <f t="shared" si="1"/>
        <v>60.358681022880212</v>
      </c>
      <c r="G20" s="53">
        <f t="shared" si="1"/>
        <v>58.526444314825177</v>
      </c>
      <c r="H20" s="53">
        <f t="shared" si="1"/>
        <v>56.339898690566336</v>
      </c>
    </row>
    <row r="21" spans="1:8">
      <c r="A21" s="30" t="s">
        <v>170</v>
      </c>
      <c r="B21" s="28" t="s">
        <v>172</v>
      </c>
      <c r="C21" s="28" t="s">
        <v>326</v>
      </c>
      <c r="D21" s="53">
        <f t="shared" si="1"/>
        <v>35.840466450163106</v>
      </c>
      <c r="E21" s="53">
        <f t="shared" si="1"/>
        <v>34.320893051252668</v>
      </c>
      <c r="F21" s="53">
        <f t="shared" si="1"/>
        <v>32.508580080753703</v>
      </c>
      <c r="G21" s="53">
        <f t="shared" si="1"/>
        <v>31.447656394811979</v>
      </c>
      <c r="H21" s="53">
        <f t="shared" si="1"/>
        <v>28.064425680950837</v>
      </c>
    </row>
    <row r="22" spans="1:8">
      <c r="A22" s="30" t="s">
        <v>170</v>
      </c>
      <c r="B22" s="30" t="s">
        <v>170</v>
      </c>
      <c r="C22" s="28" t="s">
        <v>365</v>
      </c>
      <c r="D22" s="53">
        <f t="shared" si="1"/>
        <v>35.461493947575477</v>
      </c>
      <c r="E22" s="53">
        <f t="shared" si="1"/>
        <v>33.998255921804272</v>
      </c>
      <c r="F22" s="53">
        <f t="shared" si="1"/>
        <v>32.202725437415879</v>
      </c>
      <c r="G22" s="53">
        <f t="shared" si="1"/>
        <v>31.126423568184176</v>
      </c>
      <c r="H22" s="53">
        <f t="shared" si="1"/>
        <v>27.743573298231532</v>
      </c>
    </row>
    <row r="23" spans="1:8">
      <c r="A23" s="30" t="s">
        <v>170</v>
      </c>
      <c r="B23" s="30" t="s">
        <v>170</v>
      </c>
      <c r="C23" s="28" t="s">
        <v>366</v>
      </c>
      <c r="D23" s="53">
        <f t="shared" si="1"/>
        <v>0.37897250258763737</v>
      </c>
      <c r="E23" s="53">
        <f t="shared" si="1"/>
        <v>0.32263712944839629</v>
      </c>
      <c r="F23" s="53">
        <f t="shared" si="1"/>
        <v>0.30602288021534318</v>
      </c>
      <c r="G23" s="53">
        <f t="shared" si="1"/>
        <v>0.32123282662780356</v>
      </c>
      <c r="H23" s="53">
        <f t="shared" si="1"/>
        <v>0.32085238271930366</v>
      </c>
    </row>
    <row r="24" spans="1:8">
      <c r="A24" s="30" t="s">
        <v>170</v>
      </c>
      <c r="B24" s="28" t="s">
        <v>174</v>
      </c>
      <c r="C24" s="28" t="s">
        <v>326</v>
      </c>
      <c r="D24" s="53">
        <f t="shared" si="1"/>
        <v>0.41164884072019375</v>
      </c>
      <c r="E24" s="53">
        <f t="shared" si="1"/>
        <v>0.40810736309592954</v>
      </c>
      <c r="F24" s="53">
        <f t="shared" si="1"/>
        <v>0.33075370121130548</v>
      </c>
      <c r="G24" s="53">
        <f t="shared" si="1"/>
        <v>0.25287094398917093</v>
      </c>
      <c r="H24" s="53">
        <f t="shared" si="1"/>
        <v>0.20214875394769316</v>
      </c>
    </row>
    <row r="25" spans="1:8">
      <c r="A25" s="30" t="s">
        <v>170</v>
      </c>
      <c r="B25" s="28" t="s">
        <v>173</v>
      </c>
      <c r="C25" s="28" t="s">
        <v>326</v>
      </c>
      <c r="D25" s="53">
        <f t="shared" si="1"/>
        <v>26.635961861784569</v>
      </c>
      <c r="E25" s="53">
        <f t="shared" si="1"/>
        <v>29.191292091489558</v>
      </c>
      <c r="F25" s="53">
        <f t="shared" si="1"/>
        <v>27.519347240915209</v>
      </c>
      <c r="G25" s="53">
        <f t="shared" si="1"/>
        <v>26.825916976024029</v>
      </c>
      <c r="H25" s="53">
        <f t="shared" si="1"/>
        <v>28.073324255667803</v>
      </c>
    </row>
    <row r="26" spans="1:8">
      <c r="A26" s="28" t="s">
        <v>175</v>
      </c>
      <c r="B26" s="28" t="s">
        <v>326</v>
      </c>
      <c r="C26" s="28" t="s">
        <v>326</v>
      </c>
      <c r="D26" s="53">
        <f t="shared" si="1"/>
        <v>0.59711900576308374</v>
      </c>
      <c r="E26" s="53">
        <f t="shared" si="1"/>
        <v>0.63851292195510123</v>
      </c>
      <c r="F26" s="53">
        <f t="shared" si="1"/>
        <v>0.625</v>
      </c>
      <c r="G26" s="53">
        <f t="shared" si="1"/>
        <v>0.64348597986215395</v>
      </c>
      <c r="H26" s="53">
        <f t="shared" si="1"/>
        <v>0.78525724436325672</v>
      </c>
    </row>
    <row r="27" spans="1:8">
      <c r="A27" s="33" t="s">
        <v>367</v>
      </c>
      <c r="B27" s="33" t="s">
        <v>326</v>
      </c>
      <c r="C27" s="33" t="s">
        <v>326</v>
      </c>
      <c r="D27" s="53">
        <f t="shared" si="1"/>
        <v>7.2733147498069544</v>
      </c>
      <c r="E27" s="53">
        <f t="shared" si="1"/>
        <v>8.0463376958403909</v>
      </c>
      <c r="F27" s="53">
        <f t="shared" si="1"/>
        <v>9.3977119784656793</v>
      </c>
      <c r="G27" s="53">
        <f t="shared" si="1"/>
        <v>10.136264618304319</v>
      </c>
      <c r="H27" s="53">
        <f t="shared" si="1"/>
        <v>11.183325749956767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E301-1DF3-46BD-A777-073878B6935A}">
  <dimension ref="A1:T81"/>
  <sheetViews>
    <sheetView zoomScale="85" zoomScaleNormal="85" workbookViewId="0">
      <selection activeCell="F6" sqref="F6"/>
    </sheetView>
  </sheetViews>
  <sheetFormatPr defaultColWidth="8.54296875" defaultRowHeight="14.5"/>
  <cols>
    <col min="1" max="1" width="15.26953125" style="13" customWidth="1"/>
    <col min="2" max="2" width="11.1796875" style="13" customWidth="1"/>
    <col min="3" max="3" width="16.453125" style="13" bestFit="1" customWidth="1"/>
    <col min="4" max="4" width="16.26953125" style="13" bestFit="1" customWidth="1"/>
    <col min="5" max="5" width="16.453125" style="13" bestFit="1" customWidth="1"/>
    <col min="6" max="6" width="16.26953125" style="13" bestFit="1" customWidth="1"/>
    <col min="7" max="8" width="15.26953125" style="13" bestFit="1" customWidth="1"/>
    <col min="9" max="9" width="14.1796875" style="13" bestFit="1" customWidth="1"/>
    <col min="10" max="10" width="15.26953125" style="13" bestFit="1" customWidth="1"/>
    <col min="11" max="17" width="8.54296875" style="13"/>
    <col min="18" max="18" width="12.7265625" style="13" bestFit="1" customWidth="1"/>
    <col min="19" max="16384" width="8.54296875" style="13"/>
  </cols>
  <sheetData>
    <row r="1" spans="1:20">
      <c r="B1" s="117" t="s">
        <v>421</v>
      </c>
      <c r="C1" s="117"/>
      <c r="D1" s="117"/>
      <c r="E1" s="117"/>
      <c r="F1" s="117"/>
      <c r="G1" s="66" t="s">
        <v>422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</row>
    <row r="2" spans="1:20" s="80" customFormat="1">
      <c r="A2" s="93" t="s">
        <v>95</v>
      </c>
      <c r="B2" s="94">
        <v>2020</v>
      </c>
      <c r="C2" s="94">
        <v>2021</v>
      </c>
      <c r="D2" s="94">
        <v>2022</v>
      </c>
      <c r="E2" s="94">
        <v>2023</v>
      </c>
      <c r="F2" s="94">
        <v>2024</v>
      </c>
      <c r="G2" s="94">
        <v>2025</v>
      </c>
      <c r="H2" s="94">
        <v>2026</v>
      </c>
      <c r="I2" s="94">
        <v>2027</v>
      </c>
      <c r="J2" s="94">
        <v>2028</v>
      </c>
      <c r="K2" s="94">
        <v>2029</v>
      </c>
      <c r="L2" s="94">
        <v>2030</v>
      </c>
      <c r="M2" s="94">
        <v>2031</v>
      </c>
      <c r="N2" s="94">
        <v>2032</v>
      </c>
      <c r="O2" s="94">
        <v>2033</v>
      </c>
      <c r="P2" s="94">
        <v>2034</v>
      </c>
      <c r="Q2" s="94">
        <v>2035</v>
      </c>
      <c r="R2" s="94">
        <v>2036</v>
      </c>
      <c r="S2" s="94">
        <v>2037</v>
      </c>
      <c r="T2" s="94">
        <v>2038</v>
      </c>
    </row>
    <row r="3" spans="1:20">
      <c r="A3" s="60" t="s">
        <v>420</v>
      </c>
      <c r="B3" s="61">
        <f>E15</f>
        <v>7.44</v>
      </c>
      <c r="C3" s="61">
        <f t="shared" ref="C3:D3" si="0">F15</f>
        <v>8.2899999999999991</v>
      </c>
      <c r="D3" s="61">
        <f t="shared" si="0"/>
        <v>9.2200000000000006</v>
      </c>
      <c r="E3" s="78">
        <f>SUM(E4:E5)</f>
        <v>9.6</v>
      </c>
      <c r="F3" s="61">
        <f>I15</f>
        <v>11</v>
      </c>
      <c r="G3" s="61">
        <f t="shared" ref="G3:T3" si="1">SUM(G4:G5)</f>
        <v>11.600000000000001</v>
      </c>
      <c r="H3" s="61">
        <f t="shared" si="1"/>
        <v>12.9</v>
      </c>
      <c r="I3" s="61">
        <f t="shared" si="1"/>
        <v>14.3</v>
      </c>
      <c r="J3" s="61">
        <f t="shared" si="1"/>
        <v>16.2</v>
      </c>
      <c r="K3" s="61">
        <f t="shared" si="1"/>
        <v>18.8</v>
      </c>
      <c r="L3" s="78">
        <f t="shared" si="1"/>
        <v>21.7</v>
      </c>
      <c r="M3" s="61">
        <f t="shared" si="1"/>
        <v>23.9</v>
      </c>
      <c r="N3" s="61">
        <f t="shared" si="1"/>
        <v>25.599999999999998</v>
      </c>
      <c r="O3" s="61">
        <f t="shared" si="1"/>
        <v>26.900000000000002</v>
      </c>
      <c r="P3" s="61">
        <f t="shared" si="1"/>
        <v>28.2</v>
      </c>
      <c r="Q3" s="78">
        <f t="shared" si="1"/>
        <v>29.5</v>
      </c>
      <c r="R3" s="61">
        <f t="shared" si="1"/>
        <v>31.1</v>
      </c>
      <c r="S3" s="61">
        <f t="shared" si="1"/>
        <v>32.1</v>
      </c>
      <c r="T3" s="78">
        <f t="shared" si="1"/>
        <v>33</v>
      </c>
    </row>
    <row r="4" spans="1:20" s="80" customFormat="1">
      <c r="A4" s="81" t="s">
        <v>391</v>
      </c>
      <c r="B4" s="91">
        <f>E16</f>
        <v>6.41</v>
      </c>
      <c r="C4" s="91">
        <f t="shared" ref="C4:D4" si="2">F16</f>
        <v>7.15</v>
      </c>
      <c r="D4" s="91">
        <f t="shared" si="2"/>
        <v>8.0500000000000007</v>
      </c>
      <c r="E4" s="83">
        <f>F24</f>
        <v>8.4</v>
      </c>
      <c r="F4" s="91">
        <f>I16</f>
        <v>9</v>
      </c>
      <c r="G4" s="84">
        <f>G41</f>
        <v>9.8000000000000007</v>
      </c>
      <c r="H4" s="84">
        <f>G43</f>
        <v>10.8</v>
      </c>
      <c r="I4" s="84">
        <f>G45</f>
        <v>12</v>
      </c>
      <c r="J4" s="84">
        <f>G47</f>
        <v>13.7</v>
      </c>
      <c r="K4" s="84">
        <f>G49</f>
        <v>16.100000000000001</v>
      </c>
      <c r="L4" s="85">
        <f>G51</f>
        <v>18.8</v>
      </c>
      <c r="M4" s="84">
        <f>G53</f>
        <v>20.9</v>
      </c>
      <c r="N4" s="84">
        <f>G55</f>
        <v>22.4</v>
      </c>
      <c r="O4" s="84">
        <f>G57</f>
        <v>23.6</v>
      </c>
      <c r="P4" s="84">
        <f>G59</f>
        <v>24.8</v>
      </c>
      <c r="Q4" s="85">
        <f>G61</f>
        <v>26</v>
      </c>
      <c r="R4" s="84">
        <f>G63</f>
        <v>27.5</v>
      </c>
      <c r="S4" s="84">
        <f>G65</f>
        <v>28.4</v>
      </c>
      <c r="T4" s="85">
        <f>G67</f>
        <v>29.2</v>
      </c>
    </row>
    <row r="5" spans="1:20">
      <c r="A5" s="63" t="s">
        <v>381</v>
      </c>
      <c r="B5" s="92">
        <f>E17</f>
        <v>1.02</v>
      </c>
      <c r="C5" s="92">
        <f t="shared" ref="C5:D5" si="3">F17</f>
        <v>1.1399999999999999</v>
      </c>
      <c r="D5" s="92">
        <f t="shared" si="3"/>
        <v>1.18</v>
      </c>
      <c r="E5" s="78">
        <f>G24</f>
        <v>1.2</v>
      </c>
      <c r="F5" s="92">
        <f>I17</f>
        <v>2</v>
      </c>
      <c r="G5" s="62">
        <f>J41</f>
        <v>1.8</v>
      </c>
      <c r="H5" s="62">
        <f>J43</f>
        <v>2.1</v>
      </c>
      <c r="I5" s="62">
        <f>J45</f>
        <v>2.2999999999999998</v>
      </c>
      <c r="J5" s="62">
        <f>J47</f>
        <v>2.5</v>
      </c>
      <c r="K5" s="62">
        <f>J49</f>
        <v>2.7</v>
      </c>
      <c r="L5" s="79">
        <f>J51</f>
        <v>2.9</v>
      </c>
      <c r="M5" s="62">
        <f>J53</f>
        <v>3</v>
      </c>
      <c r="N5" s="62">
        <f>J55</f>
        <v>3.2</v>
      </c>
      <c r="O5" s="62">
        <f>J57</f>
        <v>3.3</v>
      </c>
      <c r="P5" s="62">
        <f>J59</f>
        <v>3.4</v>
      </c>
      <c r="Q5" s="79">
        <f>J61</f>
        <v>3.5</v>
      </c>
      <c r="R5" s="62">
        <f>J63</f>
        <v>3.6</v>
      </c>
      <c r="S5" s="62">
        <f>J65</f>
        <v>3.7</v>
      </c>
      <c r="T5" s="79">
        <f>J67</f>
        <v>3.8</v>
      </c>
    </row>
    <row r="6" spans="1:20" s="80" customFormat="1">
      <c r="A6" s="86" t="s">
        <v>371</v>
      </c>
      <c r="B6" s="87">
        <f>D73</f>
        <v>29.241489091762098</v>
      </c>
      <c r="C6" s="87">
        <f t="shared" ref="C6:D6" si="4">E73</f>
        <v>27.394683508752465</v>
      </c>
      <c r="D6" s="87">
        <f t="shared" si="4"/>
        <v>29.618775235531629</v>
      </c>
      <c r="E6" s="83">
        <f>C24</f>
        <v>30.7</v>
      </c>
      <c r="F6" s="87">
        <f>H73</f>
        <v>31.691350417477469</v>
      </c>
      <c r="G6" s="87" cm="1">
        <f t="array" ref="G6">TREND(CHOOSE({1,2}, $F$6, $L$6), CHOOSE({1,2}, $F$2, $L$2), G2)</f>
        <v>31.709458681231222</v>
      </c>
      <c r="H6" s="87" cm="1">
        <f t="array" ref="H6">TREND(CHOOSE({1,2}, $F$6, $L$6), CHOOSE({1,2}, $F$2, $L$2), H2)</f>
        <v>31.727566944984982</v>
      </c>
      <c r="I6" s="87" cm="1">
        <f t="array" ref="I6">TREND(CHOOSE({1,2}, $F$6, $L$6), CHOOSE({1,2}, $F$2, $L$2), I2)</f>
        <v>31.745675208738735</v>
      </c>
      <c r="J6" s="87" cm="1">
        <f t="array" ref="J6">TREND(CHOOSE({1,2}, $F$6, $L$6), CHOOSE({1,2}, $F$2, $L$2), J2)</f>
        <v>31.763783472492488</v>
      </c>
      <c r="K6" s="87" cm="1">
        <f t="array" ref="K6">TREND(CHOOSE({1,2}, $F$6, $L$6), CHOOSE({1,2}, $F$2, $L$2), K2)</f>
        <v>31.781891736246248</v>
      </c>
      <c r="L6" s="85">
        <f>C26</f>
        <v>31.8</v>
      </c>
      <c r="M6" s="88" cm="1">
        <f t="array" ref="M6">TREND(CHOOSE({1,2},$L$6,$Q$6), CHOOSE({1,2},$L$2,$Q$2),M2)</f>
        <v>32.259999999999991</v>
      </c>
      <c r="N6" s="88" cm="1">
        <f t="array" ref="N6">TREND(CHOOSE({1,2},$L$6,$Q$6), CHOOSE({1,2},$L$2,$Q$2),N2)</f>
        <v>32.720000000000027</v>
      </c>
      <c r="O6" s="88" cm="1">
        <f t="array" ref="O6">TREND(CHOOSE({1,2},$L$6,$Q$6), CHOOSE({1,2},$L$2,$Q$2),O2)</f>
        <v>33.180000000000064</v>
      </c>
      <c r="P6" s="88" cm="1">
        <f t="array" ref="P6">TREND(CHOOSE({1,2},$L$6,$Q$6), CHOOSE({1,2},$L$2,$Q$2),P2)</f>
        <v>33.639999999999986</v>
      </c>
      <c r="Q6" s="85">
        <f>C28</f>
        <v>34.1</v>
      </c>
      <c r="R6" s="88" cm="1">
        <f t="array" ref="R6">TREND(CHOOSE({1,2},$Q$6,$T$6), CHOOSE({1,2}, $Q$2,$T$2),R2)</f>
        <v>34.466666666666697</v>
      </c>
      <c r="S6" s="88" cm="1">
        <f t="array" ref="S6">TREND(CHOOSE({1,2},$Q$6,$T$6), CHOOSE({1,2}, $Q$2,$T$2),S2)</f>
        <v>34.833333333333371</v>
      </c>
      <c r="T6" s="85">
        <f>C30</f>
        <v>35.200000000000003</v>
      </c>
    </row>
    <row r="7" spans="1:20" s="80" customFormat="1">
      <c r="A7" s="89" t="s">
        <v>426</v>
      </c>
      <c r="B7" s="82">
        <v>0</v>
      </c>
      <c r="C7" s="82">
        <v>0</v>
      </c>
      <c r="D7" s="82">
        <v>0</v>
      </c>
      <c r="E7" s="83">
        <f>H24</f>
        <v>0</v>
      </c>
      <c r="F7" s="82" cm="1">
        <f t="array" ref="F7">TREND(CHOOSE({1,2},$E$7,$L$7), CHOOSE({1,2},$E$2,$L$2), F2)</f>
        <v>0.34285714285726954</v>
      </c>
      <c r="G7" s="82" cm="1">
        <f t="array" ref="G7">TREND(CHOOSE({1,2},$E$7,$L$7), CHOOSE({1,2},$E$2,$L$2), G2)</f>
        <v>0.68571428571442539</v>
      </c>
      <c r="H7" s="82" cm="1">
        <f t="array" ref="H7">TREND(CHOOSE({1,2},$E$7,$L$7), CHOOSE({1,2},$E$2,$L$2), H2)</f>
        <v>1.0285714285715812</v>
      </c>
      <c r="I7" s="82" cm="1">
        <f t="array" ref="I7">TREND(CHOOSE({1,2},$E$7,$L$7), CHOOSE({1,2},$E$2,$L$2), I2)</f>
        <v>1.3714285714286234</v>
      </c>
      <c r="J7" s="82" cm="1">
        <f t="array" ref="J7">TREND(CHOOSE({1,2},$E$7,$L$7), CHOOSE({1,2},$E$2,$L$2), J2)</f>
        <v>1.7142857142857792</v>
      </c>
      <c r="K7" s="82" cm="1">
        <f t="array" ref="K7">TREND(CHOOSE({1,2},$E$7,$L$7), CHOOSE({1,2},$E$2,$L$2), K2)</f>
        <v>2.0571428571429351</v>
      </c>
      <c r="L7" s="85">
        <f>H26</f>
        <v>2.4</v>
      </c>
      <c r="M7" s="84" cm="1">
        <f t="array" ref="M7">TREND(CHOOSE({1,2},$L$7,$Q$7), CHOOSE({1,2},$L$2,$Q$2),M2)</f>
        <v>2.8599999999999</v>
      </c>
      <c r="N7" s="84" cm="1">
        <f t="array" ref="N7">TREND(CHOOSE({1,2},$L$7,$Q$7), CHOOSE({1,2},$L$2,$Q$2),N2)</f>
        <v>3.3199999999999363</v>
      </c>
      <c r="O7" s="84" cm="1">
        <f t="array" ref="O7">TREND(CHOOSE({1,2},$L$7,$Q$7), CHOOSE({1,2},$L$2,$Q$2),O2)</f>
        <v>3.7799999999999727</v>
      </c>
      <c r="P7" s="84" cm="1">
        <f t="array" ref="P7">TREND(CHOOSE({1,2},$L$7,$Q$7), CHOOSE({1,2},$L$2,$Q$2),P2)</f>
        <v>4.2399999999998954</v>
      </c>
      <c r="Q7" s="85">
        <f>H28</f>
        <v>4.7</v>
      </c>
      <c r="R7" s="84" cm="1">
        <f t="array" ref="R7">TREND(CHOOSE({1,2},$Q$7,$T$7), CHOOSE({1,2}, $Q$2,$T$2),R2)</f>
        <v>5.2000000000000455</v>
      </c>
      <c r="S7" s="84" cm="1">
        <f t="array" ref="S7">TREND(CHOOSE({1,2},$Q$7,$T$7), CHOOSE({1,2}, $Q$2,$T$2),S2)</f>
        <v>5.7000000000000455</v>
      </c>
      <c r="T7" s="85">
        <f>H30</f>
        <v>6.2</v>
      </c>
    </row>
    <row r="8" spans="1:20" s="57" customFormat="1">
      <c r="A8" s="64" t="s">
        <v>425</v>
      </c>
      <c r="B8" s="65">
        <f>SUM(B4,B6,B7)</f>
        <v>35.651489091762102</v>
      </c>
      <c r="C8" s="65">
        <f t="shared" ref="C8:S8" si="5">SUM(C4,C6,C7)</f>
        <v>34.544683508752463</v>
      </c>
      <c r="D8" s="65">
        <f t="shared" si="5"/>
        <v>37.668775235531626</v>
      </c>
      <c r="E8" s="65">
        <f>M24</f>
        <v>39.1</v>
      </c>
      <c r="F8" s="65">
        <f t="shared" si="5"/>
        <v>41.034207560334735</v>
      </c>
      <c r="G8" s="65">
        <f t="shared" si="5"/>
        <v>42.195172966945648</v>
      </c>
      <c r="H8" s="65">
        <f t="shared" si="5"/>
        <v>43.556138373556564</v>
      </c>
      <c r="I8" s="65">
        <f t="shared" si="5"/>
        <v>45.117103780167355</v>
      </c>
      <c r="J8" s="65">
        <f t="shared" si="5"/>
        <v>47.178069186778266</v>
      </c>
      <c r="K8" s="65">
        <f t="shared" si="5"/>
        <v>49.939034593389181</v>
      </c>
      <c r="L8" s="65">
        <f>M26</f>
        <v>53</v>
      </c>
      <c r="M8" s="65">
        <f t="shared" si="5"/>
        <v>56.019999999999889</v>
      </c>
      <c r="N8" s="65">
        <f t="shared" si="5"/>
        <v>58.439999999999962</v>
      </c>
      <c r="O8" s="65">
        <f t="shared" si="5"/>
        <v>60.560000000000038</v>
      </c>
      <c r="P8" s="65">
        <f t="shared" si="5"/>
        <v>62.679999999999879</v>
      </c>
      <c r="Q8" s="65">
        <f>M28</f>
        <v>64.900000000000006</v>
      </c>
      <c r="R8" s="65">
        <f t="shared" si="5"/>
        <v>67.166666666666742</v>
      </c>
      <c r="S8" s="65">
        <f t="shared" si="5"/>
        <v>68.933333333333422</v>
      </c>
      <c r="T8" s="65">
        <f>M30</f>
        <v>70.7</v>
      </c>
    </row>
    <row r="9" spans="1:20">
      <c r="A9" s="90" t="s">
        <v>427</v>
      </c>
      <c r="B9" s="34"/>
      <c r="C9" s="34"/>
      <c r="D9" s="34"/>
      <c r="E9" s="34"/>
      <c r="F9" s="34"/>
    </row>
    <row r="10" spans="1:20">
      <c r="A10" s="13" t="s">
        <v>449</v>
      </c>
      <c r="B10" s="34">
        <v>0</v>
      </c>
      <c r="C10" s="34"/>
      <c r="D10" s="34"/>
      <c r="E10" s="34"/>
      <c r="F10" s="34"/>
    </row>
    <row r="11" spans="1:20" s="58" customFormat="1">
      <c r="A11" s="58" t="s">
        <v>368</v>
      </c>
      <c r="B11" s="59"/>
      <c r="C11" s="59"/>
      <c r="D11" s="59"/>
      <c r="E11" s="59"/>
      <c r="F11" s="59"/>
    </row>
    <row r="12" spans="1:20">
      <c r="B12" s="34"/>
      <c r="C12" s="34"/>
      <c r="D12" s="34"/>
      <c r="E12" s="34"/>
      <c r="F12" s="34"/>
    </row>
    <row r="13" spans="1:20" s="75" customFormat="1">
      <c r="A13" s="74" t="s">
        <v>419</v>
      </c>
    </row>
    <row r="14" spans="1:20">
      <c r="E14" s="27" t="s">
        <v>249</v>
      </c>
      <c r="F14" s="27" t="s">
        <v>263</v>
      </c>
      <c r="G14" s="27" t="s">
        <v>276</v>
      </c>
      <c r="H14" s="27" t="s">
        <v>291</v>
      </c>
      <c r="I14" s="27" t="s">
        <v>303</v>
      </c>
    </row>
    <row r="15" spans="1:20">
      <c r="A15" s="28" t="s">
        <v>328</v>
      </c>
      <c r="B15" s="28" t="s">
        <v>326</v>
      </c>
      <c r="C15" s="28" t="s">
        <v>326</v>
      </c>
      <c r="D15" s="28" t="s">
        <v>326</v>
      </c>
      <c r="E15" s="31">
        <v>7.44</v>
      </c>
      <c r="F15" s="31">
        <v>8.2899999999999991</v>
      </c>
      <c r="G15" s="31">
        <v>9.2200000000000006</v>
      </c>
      <c r="H15" s="31">
        <v>9.67</v>
      </c>
      <c r="I15" s="31">
        <v>11</v>
      </c>
    </row>
    <row r="16" spans="1:20">
      <c r="A16" s="30" t="s">
        <v>170</v>
      </c>
      <c r="B16" s="28" t="s">
        <v>329</v>
      </c>
      <c r="C16" s="28" t="s">
        <v>326</v>
      </c>
      <c r="D16" s="28" t="s">
        <v>326</v>
      </c>
      <c r="E16" s="31">
        <v>6.41</v>
      </c>
      <c r="F16" s="31">
        <v>7.15</v>
      </c>
      <c r="G16" s="31">
        <v>8.0500000000000007</v>
      </c>
      <c r="H16" s="31">
        <v>8.5</v>
      </c>
      <c r="I16" s="31">
        <v>9</v>
      </c>
    </row>
    <row r="17" spans="1:13">
      <c r="A17" s="30" t="s">
        <v>170</v>
      </c>
      <c r="B17" s="28" t="s">
        <v>319</v>
      </c>
      <c r="C17" s="28" t="s">
        <v>326</v>
      </c>
      <c r="D17" s="28" t="s">
        <v>326</v>
      </c>
      <c r="E17" s="31">
        <v>1.02</v>
      </c>
      <c r="F17" s="31">
        <v>1.1399999999999999</v>
      </c>
      <c r="G17" s="31">
        <v>1.18</v>
      </c>
      <c r="H17" s="31">
        <v>1.1599999999999999</v>
      </c>
      <c r="I17" s="31">
        <v>2</v>
      </c>
    </row>
    <row r="18" spans="1:13">
      <c r="B18" s="34"/>
      <c r="C18" s="34"/>
      <c r="D18" s="34"/>
      <c r="E18" s="34"/>
      <c r="F18" s="34"/>
    </row>
    <row r="19" spans="1:13" s="67" customFormat="1">
      <c r="A19" s="67" t="s">
        <v>423</v>
      </c>
      <c r="B19" s="76"/>
      <c r="C19" s="76"/>
      <c r="D19" s="76"/>
      <c r="E19" s="76"/>
      <c r="F19" s="76"/>
    </row>
    <row r="20" spans="1:13">
      <c r="A20" s="13" t="s">
        <v>424</v>
      </c>
      <c r="B20" s="34"/>
      <c r="C20" s="34"/>
      <c r="D20" s="34"/>
      <c r="E20" s="34"/>
      <c r="F20" s="34"/>
    </row>
    <row r="21" spans="1:13" ht="17.149999999999999" customHeight="1">
      <c r="A21" s="118" t="s">
        <v>379</v>
      </c>
      <c r="B21" s="120" t="s">
        <v>380</v>
      </c>
      <c r="C21" s="120" t="s">
        <v>371</v>
      </c>
      <c r="D21" s="120" t="s">
        <v>372</v>
      </c>
      <c r="E21" s="120" t="s">
        <v>173</v>
      </c>
      <c r="F21" s="122" t="s">
        <v>373</v>
      </c>
      <c r="G21" s="122" t="s">
        <v>381</v>
      </c>
      <c r="H21" s="120" t="s">
        <v>382</v>
      </c>
      <c r="I21" s="120" t="s">
        <v>376</v>
      </c>
      <c r="J21" s="124" t="s">
        <v>370</v>
      </c>
      <c r="K21" s="17"/>
      <c r="L21" s="126"/>
      <c r="M21" s="126"/>
    </row>
    <row r="22" spans="1:13" ht="35">
      <c r="A22" s="119"/>
      <c r="B22" s="121"/>
      <c r="C22" s="121"/>
      <c r="D22" s="121"/>
      <c r="E22" s="121"/>
      <c r="F22" s="123"/>
      <c r="G22" s="123"/>
      <c r="H22" s="121"/>
      <c r="I22" s="121"/>
      <c r="J22" s="125"/>
      <c r="K22" s="127" t="s">
        <v>383</v>
      </c>
      <c r="L22" s="128"/>
      <c r="M22" s="18" t="s">
        <v>384</v>
      </c>
    </row>
    <row r="23" spans="1:13" ht="17.649999999999999" customHeight="1">
      <c r="A23" s="71" t="s">
        <v>409</v>
      </c>
      <c r="B23" s="20" t="s">
        <v>385</v>
      </c>
      <c r="C23" s="21">
        <v>180.5</v>
      </c>
      <c r="D23" s="21">
        <v>184.9</v>
      </c>
      <c r="E23" s="21">
        <v>157.69999999999999</v>
      </c>
      <c r="F23" s="72">
        <v>49.4</v>
      </c>
      <c r="G23" s="72">
        <v>7.2</v>
      </c>
      <c r="H23" s="21" t="s">
        <v>201</v>
      </c>
      <c r="I23" s="21">
        <v>8.3000000000000007</v>
      </c>
      <c r="J23" s="21">
        <v>588</v>
      </c>
      <c r="K23" s="113">
        <v>358.2</v>
      </c>
      <c r="L23" s="114"/>
      <c r="M23" s="22">
        <v>229.9</v>
      </c>
    </row>
    <row r="24" spans="1:13" ht="17.649999999999999" customHeight="1">
      <c r="A24" s="19" t="s">
        <v>386</v>
      </c>
      <c r="B24" s="23" t="s">
        <v>378</v>
      </c>
      <c r="C24" s="24">
        <v>30.7</v>
      </c>
      <c r="D24" s="24">
        <v>31.4</v>
      </c>
      <c r="E24" s="24">
        <v>26.8</v>
      </c>
      <c r="F24" s="73">
        <v>8.4</v>
      </c>
      <c r="G24" s="73">
        <v>1.2</v>
      </c>
      <c r="H24" s="24">
        <v>0</v>
      </c>
      <c r="I24" s="24">
        <v>1.4</v>
      </c>
      <c r="J24" s="24">
        <v>100</v>
      </c>
      <c r="K24" s="115">
        <v>60.9</v>
      </c>
      <c r="L24" s="116"/>
      <c r="M24" s="25">
        <v>39.1</v>
      </c>
    </row>
    <row r="25" spans="1:13" ht="17.649999999999999" customHeight="1">
      <c r="A25" s="111" t="s">
        <v>410</v>
      </c>
      <c r="B25" s="20" t="s">
        <v>385</v>
      </c>
      <c r="C25" s="21">
        <v>204.2</v>
      </c>
      <c r="D25" s="21">
        <v>110.5</v>
      </c>
      <c r="E25" s="21">
        <v>161</v>
      </c>
      <c r="F25" s="72">
        <v>120.9</v>
      </c>
      <c r="G25" s="72">
        <v>18.7</v>
      </c>
      <c r="H25" s="21">
        <v>15.5</v>
      </c>
      <c r="I25" s="21">
        <v>11.8</v>
      </c>
      <c r="J25" s="21">
        <v>642.6</v>
      </c>
      <c r="K25" s="113">
        <v>302</v>
      </c>
      <c r="L25" s="114"/>
      <c r="M25" s="22">
        <v>340.6</v>
      </c>
    </row>
    <row r="26" spans="1:13" ht="17.649999999999999" customHeight="1">
      <c r="A26" s="112"/>
      <c r="B26" s="23" t="s">
        <v>378</v>
      </c>
      <c r="C26" s="24">
        <v>31.8</v>
      </c>
      <c r="D26" s="24">
        <v>17.2</v>
      </c>
      <c r="E26" s="24">
        <v>25.1</v>
      </c>
      <c r="F26" s="73">
        <v>18.8</v>
      </c>
      <c r="G26" s="73">
        <v>2.9</v>
      </c>
      <c r="H26" s="24">
        <v>2.4</v>
      </c>
      <c r="I26" s="24">
        <v>1.8</v>
      </c>
      <c r="J26" s="24">
        <v>100</v>
      </c>
      <c r="K26" s="115">
        <v>47</v>
      </c>
      <c r="L26" s="116"/>
      <c r="M26" s="25">
        <v>53</v>
      </c>
    </row>
    <row r="27" spans="1:13" ht="17.649999999999999" customHeight="1">
      <c r="A27" s="111" t="s">
        <v>411</v>
      </c>
      <c r="B27" s="20" t="s">
        <v>385</v>
      </c>
      <c r="C27" s="21">
        <v>236</v>
      </c>
      <c r="D27" s="21">
        <v>88.9</v>
      </c>
      <c r="E27" s="21">
        <v>101.1</v>
      </c>
      <c r="F27" s="72">
        <v>179.9</v>
      </c>
      <c r="G27" s="72">
        <v>24.3</v>
      </c>
      <c r="H27" s="21">
        <v>32.799999999999997</v>
      </c>
      <c r="I27" s="21">
        <v>28.5</v>
      </c>
      <c r="J27" s="21">
        <v>691.5</v>
      </c>
      <c r="K27" s="113">
        <v>242.8</v>
      </c>
      <c r="L27" s="114"/>
      <c r="M27" s="22">
        <v>448.7</v>
      </c>
    </row>
    <row r="28" spans="1:13" ht="17.649999999999999" customHeight="1">
      <c r="A28" s="112"/>
      <c r="B28" s="23" t="s">
        <v>378</v>
      </c>
      <c r="C28" s="24">
        <v>34.1</v>
      </c>
      <c r="D28" s="24">
        <v>12.9</v>
      </c>
      <c r="E28" s="24">
        <v>14.6</v>
      </c>
      <c r="F28" s="73">
        <v>26</v>
      </c>
      <c r="G28" s="73">
        <v>3.5</v>
      </c>
      <c r="H28" s="24">
        <v>4.7</v>
      </c>
      <c r="I28" s="24">
        <v>4.0999999999999996</v>
      </c>
      <c r="J28" s="24">
        <v>100</v>
      </c>
      <c r="K28" s="115">
        <v>35.1</v>
      </c>
      <c r="L28" s="116"/>
      <c r="M28" s="25">
        <v>64.900000000000006</v>
      </c>
    </row>
    <row r="29" spans="1:13" ht="17.649999999999999" customHeight="1">
      <c r="A29" s="111" t="s">
        <v>412</v>
      </c>
      <c r="B29" s="20" t="s">
        <v>385</v>
      </c>
      <c r="C29" s="21">
        <v>248.3</v>
      </c>
      <c r="D29" s="21">
        <v>70.900000000000006</v>
      </c>
      <c r="E29" s="21">
        <v>74.3</v>
      </c>
      <c r="F29" s="72">
        <v>205.7</v>
      </c>
      <c r="G29" s="72">
        <v>26.4</v>
      </c>
      <c r="H29" s="21">
        <v>43.9</v>
      </c>
      <c r="I29" s="21">
        <v>34.9</v>
      </c>
      <c r="J29" s="21">
        <v>704.5</v>
      </c>
      <c r="K29" s="113">
        <v>206.7</v>
      </c>
      <c r="L29" s="114"/>
      <c r="M29" s="22">
        <v>497.8</v>
      </c>
    </row>
    <row r="30" spans="1:13" ht="17.649999999999999" customHeight="1">
      <c r="A30" s="112"/>
      <c r="B30" s="23" t="s">
        <v>378</v>
      </c>
      <c r="C30" s="24">
        <v>35.200000000000003</v>
      </c>
      <c r="D30" s="24">
        <v>10.1</v>
      </c>
      <c r="E30" s="24">
        <v>10.6</v>
      </c>
      <c r="F30" s="73">
        <v>29.2</v>
      </c>
      <c r="G30" s="73">
        <v>3.8</v>
      </c>
      <c r="H30" s="24">
        <v>6.2</v>
      </c>
      <c r="I30" s="24">
        <v>5</v>
      </c>
      <c r="J30" s="24">
        <v>100</v>
      </c>
      <c r="K30" s="115">
        <v>29.3</v>
      </c>
      <c r="L30" s="116"/>
      <c r="M30" s="25">
        <v>70.7</v>
      </c>
    </row>
    <row r="32" spans="1:13">
      <c r="A32" s="13" t="s">
        <v>387</v>
      </c>
    </row>
    <row r="33" spans="1:20">
      <c r="A33" s="13" t="s">
        <v>388</v>
      </c>
    </row>
    <row r="34" spans="1:20">
      <c r="A34" s="102" t="s">
        <v>379</v>
      </c>
      <c r="B34" s="105" t="s">
        <v>389</v>
      </c>
      <c r="C34" s="106"/>
      <c r="D34" s="106"/>
      <c r="E34" s="106"/>
      <c r="F34" s="106"/>
      <c r="G34" s="106"/>
      <c r="H34" s="106"/>
      <c r="I34" s="106"/>
      <c r="J34" s="106"/>
      <c r="K34" s="107"/>
      <c r="L34" s="108" t="s">
        <v>390</v>
      </c>
      <c r="M34" s="36" t="s">
        <v>370</v>
      </c>
    </row>
    <row r="35" spans="1:20">
      <c r="A35" s="103"/>
      <c r="B35" s="105" t="s">
        <v>391</v>
      </c>
      <c r="C35" s="106"/>
      <c r="D35" s="106"/>
      <c r="E35" s="106"/>
      <c r="F35" s="106"/>
      <c r="G35" s="107"/>
      <c r="H35" s="105" t="s">
        <v>381</v>
      </c>
      <c r="I35" s="106"/>
      <c r="J35" s="107"/>
      <c r="K35" s="35" t="s">
        <v>370</v>
      </c>
      <c r="L35" s="109"/>
      <c r="M35" s="37" t="s">
        <v>392</v>
      </c>
    </row>
    <row r="36" spans="1:20">
      <c r="A36" s="103"/>
      <c r="B36" s="108" t="s">
        <v>393</v>
      </c>
      <c r="C36" s="108" t="s">
        <v>394</v>
      </c>
      <c r="D36" s="108" t="s">
        <v>395</v>
      </c>
      <c r="E36" s="108" t="s">
        <v>396</v>
      </c>
      <c r="F36" s="108" t="s">
        <v>397</v>
      </c>
      <c r="G36" s="35" t="s">
        <v>398</v>
      </c>
      <c r="H36" s="35" t="s">
        <v>399</v>
      </c>
      <c r="I36" s="108" t="s">
        <v>362</v>
      </c>
      <c r="J36" s="35" t="s">
        <v>398</v>
      </c>
      <c r="K36" s="40" t="s">
        <v>392</v>
      </c>
      <c r="L36" s="109"/>
      <c r="M36" s="38"/>
    </row>
    <row r="37" spans="1:20">
      <c r="A37" s="104"/>
      <c r="B37" s="110"/>
      <c r="C37" s="110"/>
      <c r="D37" s="110"/>
      <c r="E37" s="110"/>
      <c r="F37" s="110"/>
      <c r="G37" s="42" t="s">
        <v>392</v>
      </c>
      <c r="H37" s="43" t="s">
        <v>399</v>
      </c>
      <c r="I37" s="110"/>
      <c r="J37" s="42" t="s">
        <v>392</v>
      </c>
      <c r="K37" s="41"/>
      <c r="L37" s="110"/>
      <c r="M37" s="39"/>
    </row>
    <row r="38" spans="1:20">
      <c r="A38" s="100">
        <v>2024</v>
      </c>
      <c r="B38" s="96">
        <v>34160</v>
      </c>
      <c r="C38" s="96">
        <v>4330</v>
      </c>
      <c r="D38" s="96">
        <v>3633</v>
      </c>
      <c r="E38" s="98">
        <v>446</v>
      </c>
      <c r="F38" s="96">
        <v>11146</v>
      </c>
      <c r="G38" s="45">
        <v>53716</v>
      </c>
      <c r="H38" s="96">
        <v>7277</v>
      </c>
      <c r="I38" s="96">
        <v>2182</v>
      </c>
      <c r="J38" s="45">
        <v>9459</v>
      </c>
      <c r="K38" s="45">
        <v>63174</v>
      </c>
      <c r="L38" s="96">
        <v>5956</v>
      </c>
      <c r="M38" s="47">
        <v>69130</v>
      </c>
      <c r="N38" s="51"/>
    </row>
    <row r="39" spans="1:20">
      <c r="A39" s="101"/>
      <c r="B39" s="97"/>
      <c r="C39" s="97"/>
      <c r="D39" s="97"/>
      <c r="E39" s="99"/>
      <c r="F39" s="97"/>
      <c r="G39" s="46">
        <v>9</v>
      </c>
      <c r="H39" s="97"/>
      <c r="I39" s="97"/>
      <c r="J39" s="46">
        <v>1.6</v>
      </c>
      <c r="K39" s="46">
        <v>10.5</v>
      </c>
      <c r="L39" s="97"/>
      <c r="M39" s="48">
        <v>10.8</v>
      </c>
      <c r="N39" s="51"/>
    </row>
    <row r="40" spans="1:20">
      <c r="A40" s="100">
        <v>2025</v>
      </c>
      <c r="B40" s="96">
        <v>39140</v>
      </c>
      <c r="C40" s="96">
        <v>5255</v>
      </c>
      <c r="D40" s="96">
        <v>3712</v>
      </c>
      <c r="E40" s="98">
        <v>445</v>
      </c>
      <c r="F40" s="96">
        <v>11164</v>
      </c>
      <c r="G40" s="45">
        <v>59716</v>
      </c>
      <c r="H40" s="96">
        <v>8832</v>
      </c>
      <c r="I40" s="96">
        <v>2176</v>
      </c>
      <c r="J40" s="45">
        <v>11008</v>
      </c>
      <c r="K40" s="45">
        <v>70723</v>
      </c>
      <c r="L40" s="96">
        <v>6549</v>
      </c>
      <c r="M40" s="47">
        <v>77273</v>
      </c>
      <c r="N40" s="51"/>
      <c r="O40" s="51"/>
      <c r="P40" s="51"/>
      <c r="Q40" s="51"/>
      <c r="R40" s="51"/>
      <c r="S40" s="51"/>
      <c r="T40" s="51"/>
    </row>
    <row r="41" spans="1:20">
      <c r="A41" s="101"/>
      <c r="B41" s="97"/>
      <c r="C41" s="97"/>
      <c r="D41" s="97"/>
      <c r="E41" s="99"/>
      <c r="F41" s="97"/>
      <c r="G41" s="46">
        <v>9.8000000000000007</v>
      </c>
      <c r="H41" s="97"/>
      <c r="I41" s="97"/>
      <c r="J41" s="46">
        <v>1.8</v>
      </c>
      <c r="K41" s="46">
        <v>11.7</v>
      </c>
      <c r="L41" s="97"/>
      <c r="M41" s="48">
        <v>11.9</v>
      </c>
      <c r="N41" s="51"/>
      <c r="O41" s="51"/>
      <c r="P41" s="51"/>
      <c r="Q41" s="51"/>
      <c r="R41" s="51"/>
      <c r="S41" s="51"/>
      <c r="T41" s="51"/>
    </row>
    <row r="42" spans="1:20">
      <c r="A42" s="100">
        <v>2026</v>
      </c>
      <c r="B42" s="96">
        <v>44154</v>
      </c>
      <c r="C42" s="96">
        <v>6889</v>
      </c>
      <c r="D42" s="96">
        <v>3712</v>
      </c>
      <c r="E42" s="98">
        <v>445</v>
      </c>
      <c r="F42" s="96">
        <v>10870</v>
      </c>
      <c r="G42" s="45">
        <v>66070</v>
      </c>
      <c r="H42" s="96">
        <v>10631</v>
      </c>
      <c r="I42" s="96">
        <v>2176</v>
      </c>
      <c r="J42" s="45">
        <v>12806</v>
      </c>
      <c r="K42" s="45">
        <v>78877</v>
      </c>
      <c r="L42" s="96">
        <v>7212</v>
      </c>
      <c r="M42" s="47">
        <v>86089</v>
      </c>
      <c r="N42" s="51"/>
      <c r="O42" s="51"/>
      <c r="P42" s="51"/>
      <c r="Q42" s="51"/>
      <c r="R42" s="51"/>
      <c r="S42" s="51"/>
      <c r="T42" s="51"/>
    </row>
    <row r="43" spans="1:20">
      <c r="A43" s="101"/>
      <c r="B43" s="97"/>
      <c r="C43" s="97"/>
      <c r="D43" s="97"/>
      <c r="E43" s="99"/>
      <c r="F43" s="97"/>
      <c r="G43" s="46">
        <v>10.8</v>
      </c>
      <c r="H43" s="97"/>
      <c r="I43" s="97"/>
      <c r="J43" s="46">
        <v>2.1</v>
      </c>
      <c r="K43" s="46">
        <v>12.8</v>
      </c>
      <c r="L43" s="97"/>
      <c r="M43" s="48">
        <v>13.1</v>
      </c>
      <c r="N43" s="51"/>
      <c r="O43" s="51"/>
      <c r="P43" s="51"/>
      <c r="Q43" s="51"/>
      <c r="R43" s="51"/>
      <c r="S43" s="51"/>
      <c r="T43" s="51"/>
    </row>
    <row r="44" spans="1:20">
      <c r="A44" s="100">
        <v>2027</v>
      </c>
      <c r="B44" s="96">
        <v>49055</v>
      </c>
      <c r="C44" s="96">
        <v>10369</v>
      </c>
      <c r="D44" s="96">
        <v>3712</v>
      </c>
      <c r="E44" s="98">
        <v>445</v>
      </c>
      <c r="F44" s="96">
        <v>10863</v>
      </c>
      <c r="G44" s="45">
        <v>74445</v>
      </c>
      <c r="H44" s="96">
        <v>12179</v>
      </c>
      <c r="I44" s="96">
        <v>2176</v>
      </c>
      <c r="J44" s="45">
        <v>14354</v>
      </c>
      <c r="K44" s="45">
        <v>88799</v>
      </c>
      <c r="L44" s="96">
        <v>7896</v>
      </c>
      <c r="M44" s="47">
        <v>96696</v>
      </c>
      <c r="N44" s="51"/>
      <c r="O44" s="51"/>
      <c r="P44" s="51"/>
      <c r="Q44" s="51"/>
      <c r="R44" s="51"/>
      <c r="S44" s="51"/>
      <c r="T44" s="51"/>
    </row>
    <row r="45" spans="1:20">
      <c r="A45" s="101"/>
      <c r="B45" s="97"/>
      <c r="C45" s="97"/>
      <c r="D45" s="97"/>
      <c r="E45" s="99"/>
      <c r="F45" s="97"/>
      <c r="G45" s="46">
        <v>12</v>
      </c>
      <c r="H45" s="97"/>
      <c r="I45" s="97"/>
      <c r="J45" s="46">
        <v>2.2999999999999998</v>
      </c>
      <c r="K45" s="46">
        <v>14.3</v>
      </c>
      <c r="L45" s="97"/>
      <c r="M45" s="48">
        <v>14.5</v>
      </c>
      <c r="N45" s="51"/>
      <c r="O45" s="51"/>
      <c r="P45" s="51"/>
      <c r="Q45" s="51"/>
      <c r="R45" s="51"/>
      <c r="S45" s="51"/>
      <c r="T45" s="51"/>
    </row>
    <row r="46" spans="1:20">
      <c r="A46" s="44">
        <v>2028</v>
      </c>
      <c r="B46" s="45">
        <v>54731</v>
      </c>
      <c r="C46" s="45">
        <v>16223</v>
      </c>
      <c r="D46" s="45">
        <v>3722</v>
      </c>
      <c r="E46" s="98">
        <v>446</v>
      </c>
      <c r="F46" s="96">
        <v>10878</v>
      </c>
      <c r="G46" s="45">
        <v>86001</v>
      </c>
      <c r="H46" s="96">
        <v>13656</v>
      </c>
      <c r="I46" s="96">
        <v>2182</v>
      </c>
      <c r="J46" s="45">
        <v>15838</v>
      </c>
      <c r="K46" s="45">
        <v>101839</v>
      </c>
      <c r="L46" s="96">
        <v>8626</v>
      </c>
      <c r="M46" s="47">
        <v>110465</v>
      </c>
      <c r="N46" s="51"/>
      <c r="O46" s="51"/>
      <c r="P46" s="51"/>
      <c r="Q46" s="51"/>
      <c r="R46" s="51"/>
      <c r="S46" s="51"/>
      <c r="T46" s="51"/>
    </row>
    <row r="47" spans="1:20">
      <c r="A47" s="49"/>
      <c r="B47" s="50"/>
      <c r="C47" s="50"/>
      <c r="D47" s="50"/>
      <c r="E47" s="99"/>
      <c r="F47" s="97"/>
      <c r="G47" s="46">
        <v>13.7</v>
      </c>
      <c r="H47" s="97"/>
      <c r="I47" s="97"/>
      <c r="J47" s="46">
        <v>2.5</v>
      </c>
      <c r="K47" s="46">
        <v>16.2</v>
      </c>
      <c r="L47" s="97"/>
      <c r="M47" s="48">
        <v>16.3</v>
      </c>
      <c r="N47" s="51"/>
      <c r="O47" s="51"/>
      <c r="P47" s="51"/>
      <c r="Q47" s="51"/>
      <c r="R47" s="51"/>
      <c r="S47" s="51"/>
      <c r="T47" s="51"/>
    </row>
    <row r="48" spans="1:20">
      <c r="A48" s="44">
        <v>2029</v>
      </c>
      <c r="B48" s="45">
        <v>60195</v>
      </c>
      <c r="C48" s="45">
        <v>26898</v>
      </c>
      <c r="D48" s="45">
        <v>3712</v>
      </c>
      <c r="E48" s="98">
        <v>445</v>
      </c>
      <c r="F48" s="96">
        <v>10846</v>
      </c>
      <c r="G48" s="45">
        <v>102096</v>
      </c>
      <c r="H48" s="96">
        <v>15059</v>
      </c>
      <c r="I48" s="96">
        <v>2176</v>
      </c>
      <c r="J48" s="45">
        <v>17235</v>
      </c>
      <c r="K48" s="45">
        <v>119331</v>
      </c>
      <c r="L48" s="96">
        <v>9328</v>
      </c>
      <c r="M48" s="47">
        <v>128659</v>
      </c>
      <c r="N48" s="51"/>
      <c r="O48" s="51"/>
      <c r="P48" s="51"/>
      <c r="Q48" s="51"/>
      <c r="R48" s="51"/>
      <c r="S48" s="51"/>
      <c r="T48" s="51"/>
    </row>
    <row r="49" spans="1:20">
      <c r="A49" s="49"/>
      <c r="B49" s="50"/>
      <c r="C49" s="50"/>
      <c r="D49" s="50"/>
      <c r="E49" s="99"/>
      <c r="F49" s="97"/>
      <c r="G49" s="46">
        <v>16.100000000000001</v>
      </c>
      <c r="H49" s="97"/>
      <c r="I49" s="97"/>
      <c r="J49" s="46">
        <v>2.7</v>
      </c>
      <c r="K49" s="46">
        <v>18.8</v>
      </c>
      <c r="L49" s="97"/>
      <c r="M49" s="48">
        <v>18.899999999999999</v>
      </c>
      <c r="N49" s="51"/>
      <c r="O49" s="51"/>
      <c r="P49" s="51"/>
      <c r="Q49" s="51"/>
      <c r="R49" s="51"/>
      <c r="S49" s="51"/>
      <c r="T49" s="51"/>
    </row>
    <row r="50" spans="1:20">
      <c r="A50" s="44">
        <v>2030</v>
      </c>
      <c r="B50" s="45">
        <v>67127</v>
      </c>
      <c r="C50" s="45">
        <v>38822</v>
      </c>
      <c r="D50" s="45">
        <v>3712</v>
      </c>
      <c r="E50" s="98">
        <v>445</v>
      </c>
      <c r="F50" s="96">
        <v>10814</v>
      </c>
      <c r="G50" s="45">
        <v>120920</v>
      </c>
      <c r="H50" s="96">
        <v>16500</v>
      </c>
      <c r="I50" s="96">
        <v>2176</v>
      </c>
      <c r="J50" s="45">
        <v>18675</v>
      </c>
      <c r="K50" s="45">
        <v>139595</v>
      </c>
      <c r="L50" s="96">
        <v>10071</v>
      </c>
      <c r="M50" s="47">
        <v>149666</v>
      </c>
      <c r="N50" s="51"/>
      <c r="O50" s="51"/>
      <c r="P50" s="51"/>
      <c r="Q50" s="51"/>
      <c r="R50" s="51"/>
      <c r="S50" s="51"/>
      <c r="T50" s="51"/>
    </row>
    <row r="51" spans="1:20">
      <c r="A51" s="49"/>
      <c r="B51" s="50"/>
      <c r="C51" s="50"/>
      <c r="D51" s="50"/>
      <c r="E51" s="99"/>
      <c r="F51" s="97"/>
      <c r="G51" s="46">
        <v>18.8</v>
      </c>
      <c r="H51" s="97"/>
      <c r="I51" s="97"/>
      <c r="J51" s="46">
        <v>2.9</v>
      </c>
      <c r="K51" s="46">
        <v>21.7</v>
      </c>
      <c r="L51" s="97"/>
      <c r="M51" s="48">
        <v>21.7</v>
      </c>
      <c r="N51" s="51"/>
      <c r="O51" s="51"/>
      <c r="P51" s="51"/>
      <c r="Q51" s="51"/>
      <c r="R51" s="51"/>
      <c r="S51" s="51"/>
      <c r="T51" s="51"/>
    </row>
    <row r="52" spans="1:20">
      <c r="A52" s="44">
        <v>2031</v>
      </c>
      <c r="B52" s="45">
        <v>73113</v>
      </c>
      <c r="C52" s="45">
        <v>48514</v>
      </c>
      <c r="D52" s="45">
        <v>3712</v>
      </c>
      <c r="E52" s="98">
        <v>445</v>
      </c>
      <c r="F52" s="96">
        <v>10815</v>
      </c>
      <c r="G52" s="45">
        <v>136599</v>
      </c>
      <c r="H52" s="96">
        <v>17760</v>
      </c>
      <c r="I52" s="96">
        <v>2176</v>
      </c>
      <c r="J52" s="45">
        <v>19935</v>
      </c>
      <c r="K52" s="45">
        <v>156535</v>
      </c>
      <c r="L52" s="96">
        <v>10824</v>
      </c>
      <c r="M52" s="47">
        <v>167359</v>
      </c>
      <c r="N52" s="51"/>
      <c r="O52" s="51"/>
      <c r="P52" s="51"/>
      <c r="Q52" s="51"/>
      <c r="R52" s="51"/>
      <c r="S52" s="51"/>
      <c r="T52" s="51"/>
    </row>
    <row r="53" spans="1:20">
      <c r="A53" s="49"/>
      <c r="B53" s="50"/>
      <c r="C53" s="50"/>
      <c r="D53" s="50"/>
      <c r="E53" s="99"/>
      <c r="F53" s="97"/>
      <c r="G53" s="46">
        <v>20.9</v>
      </c>
      <c r="H53" s="97"/>
      <c r="I53" s="97"/>
      <c r="J53" s="46">
        <v>3</v>
      </c>
      <c r="K53" s="46">
        <v>23.9</v>
      </c>
      <c r="L53" s="97"/>
      <c r="M53" s="48">
        <v>23.8</v>
      </c>
      <c r="N53" s="51"/>
      <c r="O53" s="51"/>
      <c r="P53" s="51"/>
      <c r="Q53" s="51"/>
      <c r="R53" s="51"/>
      <c r="S53" s="51"/>
      <c r="T53" s="51"/>
    </row>
    <row r="54" spans="1:20">
      <c r="A54" s="44">
        <v>2032</v>
      </c>
      <c r="B54" s="45">
        <v>77188</v>
      </c>
      <c r="C54" s="45">
        <v>56855</v>
      </c>
      <c r="D54" s="45">
        <v>3722</v>
      </c>
      <c r="E54" s="98">
        <v>446</v>
      </c>
      <c r="F54" s="96">
        <v>10845</v>
      </c>
      <c r="G54" s="45">
        <v>149056</v>
      </c>
      <c r="H54" s="96">
        <v>18892</v>
      </c>
      <c r="I54" s="96">
        <v>2182</v>
      </c>
      <c r="J54" s="45">
        <v>21073</v>
      </c>
      <c r="K54" s="45">
        <v>170130</v>
      </c>
      <c r="L54" s="96">
        <v>11617</v>
      </c>
      <c r="M54" s="47">
        <v>181746</v>
      </c>
      <c r="N54" s="51"/>
      <c r="O54" s="51"/>
      <c r="P54" s="51"/>
      <c r="Q54" s="51"/>
      <c r="R54" s="51"/>
      <c r="S54" s="51"/>
      <c r="T54" s="51"/>
    </row>
    <row r="55" spans="1:20">
      <c r="A55" s="49"/>
      <c r="B55" s="50"/>
      <c r="C55" s="50"/>
      <c r="D55" s="50"/>
      <c r="E55" s="99"/>
      <c r="F55" s="97"/>
      <c r="G55" s="46">
        <v>22.4</v>
      </c>
      <c r="H55" s="97"/>
      <c r="I55" s="97"/>
      <c r="J55" s="46">
        <v>3.2</v>
      </c>
      <c r="K55" s="46">
        <v>25.6</v>
      </c>
      <c r="L55" s="97"/>
      <c r="M55" s="48">
        <v>25.4</v>
      </c>
      <c r="N55" s="51"/>
      <c r="O55" s="51"/>
      <c r="P55" s="51"/>
      <c r="Q55" s="51"/>
      <c r="R55" s="51"/>
      <c r="S55" s="51"/>
      <c r="T55" s="51"/>
    </row>
    <row r="56" spans="1:20">
      <c r="A56" s="44">
        <v>2033</v>
      </c>
      <c r="B56" s="45">
        <v>80846</v>
      </c>
      <c r="C56" s="45">
        <v>63079</v>
      </c>
      <c r="D56" s="45">
        <v>3712</v>
      </c>
      <c r="E56" s="98">
        <v>445</v>
      </c>
      <c r="F56" s="96">
        <v>10803</v>
      </c>
      <c r="G56" s="45">
        <v>158886</v>
      </c>
      <c r="H56" s="96">
        <v>19920</v>
      </c>
      <c r="I56" s="96">
        <v>2176</v>
      </c>
      <c r="J56" s="45">
        <v>22096</v>
      </c>
      <c r="K56" s="45">
        <v>180982</v>
      </c>
      <c r="L56" s="96">
        <v>12363</v>
      </c>
      <c r="M56" s="47">
        <v>193345</v>
      </c>
      <c r="N56" s="51"/>
      <c r="O56" s="51"/>
      <c r="P56" s="51"/>
      <c r="Q56" s="51"/>
      <c r="R56" s="51"/>
      <c r="S56" s="51"/>
      <c r="T56" s="51"/>
    </row>
    <row r="57" spans="1:20">
      <c r="A57" s="49"/>
      <c r="B57" s="50"/>
      <c r="C57" s="50"/>
      <c r="D57" s="50"/>
      <c r="E57" s="99"/>
      <c r="F57" s="97"/>
      <c r="G57" s="46">
        <v>23.6</v>
      </c>
      <c r="H57" s="97"/>
      <c r="I57" s="97"/>
      <c r="J57" s="46">
        <v>3.3</v>
      </c>
      <c r="K57" s="46">
        <v>26.9</v>
      </c>
      <c r="L57" s="97"/>
      <c r="M57" s="48">
        <v>26.7</v>
      </c>
      <c r="N57" s="51"/>
      <c r="O57" s="51"/>
      <c r="P57" s="51"/>
      <c r="Q57" s="51"/>
      <c r="R57" s="51"/>
      <c r="S57" s="51"/>
      <c r="T57" s="51"/>
    </row>
    <row r="58" spans="1:20">
      <c r="A58" s="44">
        <v>2034</v>
      </c>
      <c r="B58" s="45">
        <v>84703</v>
      </c>
      <c r="C58" s="45">
        <v>69431</v>
      </c>
      <c r="D58" s="45">
        <v>3712</v>
      </c>
      <c r="E58" s="98">
        <v>445</v>
      </c>
      <c r="F58" s="96">
        <v>10817</v>
      </c>
      <c r="G58" s="45">
        <v>169108</v>
      </c>
      <c r="H58" s="96">
        <v>21000</v>
      </c>
      <c r="I58" s="96">
        <v>2176</v>
      </c>
      <c r="J58" s="45">
        <v>23176</v>
      </c>
      <c r="K58" s="45">
        <v>192284</v>
      </c>
      <c r="L58" s="96">
        <v>13159</v>
      </c>
      <c r="M58" s="47">
        <v>205443</v>
      </c>
      <c r="N58" s="51"/>
      <c r="O58" s="51"/>
      <c r="P58" s="51"/>
      <c r="Q58" s="51"/>
      <c r="R58" s="51"/>
      <c r="S58" s="51"/>
      <c r="T58" s="51"/>
    </row>
    <row r="59" spans="1:20">
      <c r="A59" s="49"/>
      <c r="B59" s="50"/>
      <c r="C59" s="50"/>
      <c r="D59" s="50"/>
      <c r="E59" s="99"/>
      <c r="F59" s="97"/>
      <c r="G59" s="46">
        <v>24.8</v>
      </c>
      <c r="H59" s="97"/>
      <c r="I59" s="97"/>
      <c r="J59" s="46">
        <v>3.4</v>
      </c>
      <c r="K59" s="46">
        <v>28.2</v>
      </c>
      <c r="L59" s="97"/>
      <c r="M59" s="48">
        <v>28</v>
      </c>
      <c r="N59" s="51"/>
      <c r="O59" s="51"/>
      <c r="P59" s="51"/>
      <c r="Q59" s="51"/>
      <c r="R59" s="51"/>
      <c r="S59" s="51"/>
      <c r="T59" s="51"/>
    </row>
    <row r="60" spans="1:20">
      <c r="A60" s="44">
        <v>2035</v>
      </c>
      <c r="B60" s="45">
        <v>88738</v>
      </c>
      <c r="C60" s="45">
        <v>76243</v>
      </c>
      <c r="D60" s="45">
        <v>3712</v>
      </c>
      <c r="E60" s="98">
        <v>445</v>
      </c>
      <c r="F60" s="96">
        <v>10799</v>
      </c>
      <c r="G60" s="45">
        <v>179937</v>
      </c>
      <c r="H60" s="96">
        <v>22081</v>
      </c>
      <c r="I60" s="96">
        <v>2176</v>
      </c>
      <c r="J60" s="45">
        <v>24256</v>
      </c>
      <c r="K60" s="45">
        <v>204193</v>
      </c>
      <c r="L60" s="96">
        <v>13973</v>
      </c>
      <c r="M60" s="47">
        <v>218166</v>
      </c>
      <c r="N60" s="51"/>
      <c r="O60" s="51"/>
      <c r="P60" s="51"/>
      <c r="Q60" s="51"/>
      <c r="R60" s="51"/>
      <c r="S60" s="51"/>
      <c r="T60" s="51"/>
    </row>
    <row r="61" spans="1:20">
      <c r="A61" s="49"/>
      <c r="B61" s="50"/>
      <c r="C61" s="50"/>
      <c r="D61" s="50"/>
      <c r="E61" s="99"/>
      <c r="F61" s="97"/>
      <c r="G61" s="46">
        <v>26</v>
      </c>
      <c r="H61" s="97"/>
      <c r="I61" s="97"/>
      <c r="J61" s="46">
        <v>3.5</v>
      </c>
      <c r="K61" s="46">
        <v>29.5</v>
      </c>
      <c r="L61" s="97"/>
      <c r="M61" s="48">
        <v>29.3</v>
      </c>
      <c r="N61" s="51"/>
      <c r="O61" s="51"/>
      <c r="P61" s="51"/>
      <c r="Q61" s="51"/>
      <c r="R61" s="51"/>
      <c r="S61" s="51"/>
      <c r="T61" s="51"/>
    </row>
    <row r="62" spans="1:20">
      <c r="A62" s="44">
        <v>2036</v>
      </c>
      <c r="B62" s="45">
        <v>92389</v>
      </c>
      <c r="C62" s="45">
        <v>83207</v>
      </c>
      <c r="D62" s="45">
        <v>3722</v>
      </c>
      <c r="E62" s="98">
        <v>446</v>
      </c>
      <c r="F62" s="96">
        <v>10633</v>
      </c>
      <c r="G62" s="45">
        <v>190398</v>
      </c>
      <c r="H62" s="96">
        <v>22745</v>
      </c>
      <c r="I62" s="96">
        <v>2182</v>
      </c>
      <c r="J62" s="45">
        <v>24927</v>
      </c>
      <c r="K62" s="45">
        <v>215325</v>
      </c>
      <c r="L62" s="96">
        <v>14845</v>
      </c>
      <c r="M62" s="47">
        <v>230170</v>
      </c>
      <c r="N62" s="51"/>
      <c r="O62" s="51"/>
      <c r="P62" s="51"/>
      <c r="Q62" s="51"/>
      <c r="R62" s="51"/>
      <c r="S62" s="51"/>
      <c r="T62" s="51"/>
    </row>
    <row r="63" spans="1:20">
      <c r="A63" s="49"/>
      <c r="B63" s="50"/>
      <c r="C63" s="50"/>
      <c r="D63" s="50"/>
      <c r="E63" s="99"/>
      <c r="F63" s="97"/>
      <c r="G63" s="46">
        <v>27.5</v>
      </c>
      <c r="H63" s="97"/>
      <c r="I63" s="97"/>
      <c r="J63" s="46">
        <v>3.6</v>
      </c>
      <c r="K63" s="46">
        <v>31.1</v>
      </c>
      <c r="L63" s="97"/>
      <c r="M63" s="48">
        <v>30.8</v>
      </c>
      <c r="N63" s="51"/>
      <c r="O63" s="51"/>
      <c r="P63" s="51"/>
      <c r="Q63" s="51"/>
      <c r="R63" s="51"/>
      <c r="S63" s="51"/>
      <c r="T63" s="51"/>
    </row>
    <row r="64" spans="1:20">
      <c r="A64" s="44">
        <v>2037</v>
      </c>
      <c r="B64" s="45">
        <v>94835</v>
      </c>
      <c r="C64" s="45">
        <v>88702</v>
      </c>
      <c r="D64" s="45">
        <v>3712</v>
      </c>
      <c r="E64" s="98">
        <v>445</v>
      </c>
      <c r="F64" s="96">
        <v>10600</v>
      </c>
      <c r="G64" s="45">
        <v>198295</v>
      </c>
      <c r="H64" s="96">
        <v>23565</v>
      </c>
      <c r="I64" s="96">
        <v>2176</v>
      </c>
      <c r="J64" s="45">
        <v>25740</v>
      </c>
      <c r="K64" s="45">
        <v>224035</v>
      </c>
      <c r="L64" s="96">
        <v>15655</v>
      </c>
      <c r="M64" s="47">
        <v>239690</v>
      </c>
      <c r="N64" s="51"/>
      <c r="O64" s="51"/>
      <c r="P64" s="51"/>
      <c r="Q64" s="51"/>
      <c r="R64" s="51"/>
      <c r="S64" s="51"/>
      <c r="T64" s="51"/>
    </row>
    <row r="65" spans="1:20">
      <c r="A65" s="49"/>
      <c r="B65" s="50"/>
      <c r="C65" s="50"/>
      <c r="D65" s="50"/>
      <c r="E65" s="99"/>
      <c r="F65" s="97"/>
      <c r="G65" s="46">
        <v>28.4</v>
      </c>
      <c r="H65" s="97"/>
      <c r="I65" s="97"/>
      <c r="J65" s="46">
        <v>3.7</v>
      </c>
      <c r="K65" s="46">
        <v>32.1</v>
      </c>
      <c r="L65" s="97"/>
      <c r="M65" s="48">
        <v>31.9</v>
      </c>
      <c r="N65" s="51"/>
      <c r="O65" s="51"/>
      <c r="P65" s="51"/>
      <c r="Q65" s="51"/>
      <c r="R65" s="51"/>
      <c r="S65" s="51"/>
      <c r="T65" s="51"/>
    </row>
    <row r="66" spans="1:20">
      <c r="A66" s="44">
        <v>2038</v>
      </c>
      <c r="B66" s="45">
        <v>96560</v>
      </c>
      <c r="C66" s="45">
        <v>94353</v>
      </c>
      <c r="D66" s="45">
        <v>3712</v>
      </c>
      <c r="E66" s="98">
        <v>445</v>
      </c>
      <c r="F66" s="96">
        <v>10602</v>
      </c>
      <c r="G66" s="45">
        <v>205673</v>
      </c>
      <c r="H66" s="96">
        <v>24270</v>
      </c>
      <c r="I66" s="96">
        <v>2176</v>
      </c>
      <c r="J66" s="45">
        <v>26446</v>
      </c>
      <c r="K66" s="45">
        <v>232119</v>
      </c>
      <c r="L66" s="96">
        <v>16523</v>
      </c>
      <c r="M66" s="47">
        <v>248641</v>
      </c>
      <c r="N66" s="51"/>
      <c r="O66" s="51"/>
      <c r="P66" s="51"/>
      <c r="Q66" s="51"/>
      <c r="R66" s="51"/>
      <c r="S66" s="51"/>
      <c r="T66" s="51"/>
    </row>
    <row r="67" spans="1:20">
      <c r="A67" s="49"/>
      <c r="B67" s="50"/>
      <c r="C67" s="50"/>
      <c r="D67" s="50"/>
      <c r="E67" s="99"/>
      <c r="F67" s="97"/>
      <c r="G67" s="46">
        <v>29.2</v>
      </c>
      <c r="H67" s="97"/>
      <c r="I67" s="97"/>
      <c r="J67" s="46">
        <v>3.8</v>
      </c>
      <c r="K67" s="46">
        <v>32.9</v>
      </c>
      <c r="L67" s="97"/>
      <c r="M67" s="48">
        <v>32.700000000000003</v>
      </c>
      <c r="N67" s="51"/>
      <c r="O67" s="51"/>
      <c r="P67" s="51"/>
      <c r="Q67" s="51"/>
      <c r="R67" s="51"/>
      <c r="S67" s="51"/>
      <c r="T67" s="51"/>
    </row>
    <row r="69" spans="1:20" s="77" customFormat="1">
      <c r="A69" s="77" t="s">
        <v>400</v>
      </c>
    </row>
    <row r="70" spans="1:20">
      <c r="A70" s="13" t="s">
        <v>401</v>
      </c>
    </row>
    <row r="71" spans="1:20">
      <c r="A71" s="26" t="s">
        <v>402</v>
      </c>
      <c r="B71" s="26" t="s">
        <v>403</v>
      </c>
      <c r="C71" s="26" t="s">
        <v>404</v>
      </c>
      <c r="D71" s="27" t="s">
        <v>249</v>
      </c>
      <c r="E71" s="27" t="s">
        <v>263</v>
      </c>
      <c r="F71" s="27" t="s">
        <v>276</v>
      </c>
      <c r="G71" s="27" t="s">
        <v>291</v>
      </c>
      <c r="H71" s="27" t="s">
        <v>303</v>
      </c>
    </row>
    <row r="72" spans="1:20">
      <c r="A72" s="28" t="s">
        <v>370</v>
      </c>
      <c r="B72" s="28" t="s">
        <v>398</v>
      </c>
      <c r="C72" s="28" t="s">
        <v>398</v>
      </c>
      <c r="D72" s="53">
        <v>100</v>
      </c>
      <c r="E72" s="53">
        <v>100</v>
      </c>
      <c r="F72" s="53">
        <v>100</v>
      </c>
      <c r="G72" s="53">
        <v>100</v>
      </c>
      <c r="H72" s="53">
        <v>100</v>
      </c>
    </row>
    <row r="73" spans="1:20">
      <c r="A73" s="54" t="s">
        <v>371</v>
      </c>
      <c r="B73" s="55" t="s">
        <v>398</v>
      </c>
      <c r="C73" s="55" t="s">
        <v>398</v>
      </c>
      <c r="D73" s="56">
        <v>29.241489091762098</v>
      </c>
      <c r="E73" s="56">
        <v>27.394683508752465</v>
      </c>
      <c r="F73" s="56">
        <v>29.618775235531629</v>
      </c>
      <c r="G73" s="56">
        <v>30.693805087008354</v>
      </c>
      <c r="H73" s="56">
        <v>31.691350417477469</v>
      </c>
    </row>
    <row r="74" spans="1:20">
      <c r="A74" s="28" t="s">
        <v>405</v>
      </c>
      <c r="B74" s="28" t="s">
        <v>398</v>
      </c>
      <c r="C74" s="28" t="s">
        <v>398</v>
      </c>
      <c r="D74" s="53">
        <v>62.888077152667861</v>
      </c>
      <c r="E74" s="53">
        <v>63.920465873452045</v>
      </c>
      <c r="F74" s="53">
        <v>60.358681022880212</v>
      </c>
      <c r="G74" s="53">
        <v>58.526444314825177</v>
      </c>
      <c r="H74" s="53">
        <v>56.339898690566336</v>
      </c>
    </row>
    <row r="75" spans="1:20">
      <c r="A75" s="30" t="s">
        <v>170</v>
      </c>
      <c r="B75" s="28" t="s">
        <v>372</v>
      </c>
      <c r="C75" s="28" t="s">
        <v>398</v>
      </c>
      <c r="D75" s="53">
        <v>35.840466450163106</v>
      </c>
      <c r="E75" s="53">
        <v>34.320893051252668</v>
      </c>
      <c r="F75" s="53">
        <v>32.508580080753703</v>
      </c>
      <c r="G75" s="53">
        <v>31.447656394811979</v>
      </c>
      <c r="H75" s="53">
        <v>28.064425680950837</v>
      </c>
    </row>
    <row r="76" spans="1:20">
      <c r="A76" s="30" t="s">
        <v>170</v>
      </c>
      <c r="B76" s="30" t="s">
        <v>170</v>
      </c>
      <c r="C76" s="28" t="s">
        <v>406</v>
      </c>
      <c r="D76" s="53">
        <v>35.461493947575477</v>
      </c>
      <c r="E76" s="53">
        <v>33.998255921804272</v>
      </c>
      <c r="F76" s="53">
        <v>32.202725437415879</v>
      </c>
      <c r="G76" s="53">
        <v>31.126423568184176</v>
      </c>
      <c r="H76" s="53">
        <v>27.743573298231532</v>
      </c>
    </row>
    <row r="77" spans="1:20">
      <c r="A77" s="30" t="s">
        <v>170</v>
      </c>
      <c r="B77" s="30" t="s">
        <v>170</v>
      </c>
      <c r="C77" s="28" t="s">
        <v>407</v>
      </c>
      <c r="D77" s="53">
        <v>0.37897250258763737</v>
      </c>
      <c r="E77" s="53">
        <v>0.32263712944839629</v>
      </c>
      <c r="F77" s="53">
        <v>0.30602288021534318</v>
      </c>
      <c r="G77" s="53">
        <v>0.32123282662780356</v>
      </c>
      <c r="H77" s="53">
        <v>0.32085238271930366</v>
      </c>
    </row>
    <row r="78" spans="1:20">
      <c r="A78" s="30" t="s">
        <v>170</v>
      </c>
      <c r="B78" s="28" t="s">
        <v>374</v>
      </c>
      <c r="C78" s="28" t="s">
        <v>398</v>
      </c>
      <c r="D78" s="53">
        <v>0.41164884072019375</v>
      </c>
      <c r="E78" s="53">
        <v>0.40810736309592954</v>
      </c>
      <c r="F78" s="53">
        <v>0.33075370121130548</v>
      </c>
      <c r="G78" s="53">
        <v>0.25287094398917093</v>
      </c>
      <c r="H78" s="53">
        <v>0.20214875394769316</v>
      </c>
    </row>
    <row r="79" spans="1:20">
      <c r="A79" s="30" t="s">
        <v>170</v>
      </c>
      <c r="B79" s="28" t="s">
        <v>173</v>
      </c>
      <c r="C79" s="28" t="s">
        <v>398</v>
      </c>
      <c r="D79" s="53">
        <v>26.635961861784569</v>
      </c>
      <c r="E79" s="53">
        <v>29.191292091489558</v>
      </c>
      <c r="F79" s="53">
        <v>27.519347240915209</v>
      </c>
      <c r="G79" s="53">
        <v>26.825916976024029</v>
      </c>
      <c r="H79" s="53">
        <v>28.073324255667803</v>
      </c>
    </row>
    <row r="80" spans="1:20">
      <c r="A80" s="28" t="s">
        <v>375</v>
      </c>
      <c r="B80" s="28" t="s">
        <v>398</v>
      </c>
      <c r="C80" s="28" t="s">
        <v>398</v>
      </c>
      <c r="D80" s="53">
        <v>0.59711900576308374</v>
      </c>
      <c r="E80" s="53">
        <v>0.63851292195510123</v>
      </c>
      <c r="F80" s="53">
        <v>0.625</v>
      </c>
      <c r="G80" s="53">
        <v>0.64348597986215395</v>
      </c>
      <c r="H80" s="53">
        <v>0.78525724436325672</v>
      </c>
    </row>
    <row r="81" spans="1:8">
      <c r="A81" s="33" t="s">
        <v>408</v>
      </c>
      <c r="B81" s="33" t="s">
        <v>398</v>
      </c>
      <c r="C81" s="33" t="s">
        <v>398</v>
      </c>
      <c r="D81" s="53">
        <v>7.2733147498069544</v>
      </c>
      <c r="E81" s="53">
        <v>8.0463376958403909</v>
      </c>
      <c r="F81" s="53">
        <v>9.3977119784656793</v>
      </c>
      <c r="G81" s="53">
        <v>10.136264618304319</v>
      </c>
      <c r="H81" s="53">
        <v>11.183325749956767</v>
      </c>
    </row>
  </sheetData>
  <mergeCells count="126">
    <mergeCell ref="B1:F1"/>
    <mergeCell ref="A21:A22"/>
    <mergeCell ref="K23:L23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L21:M21"/>
    <mergeCell ref="K22:L22"/>
    <mergeCell ref="A29:A30"/>
    <mergeCell ref="K29:L29"/>
    <mergeCell ref="K30:L30"/>
    <mergeCell ref="K24:L24"/>
    <mergeCell ref="A25:A26"/>
    <mergeCell ref="K25:L25"/>
    <mergeCell ref="K26:L26"/>
    <mergeCell ref="A27:A28"/>
    <mergeCell ref="K27:L27"/>
    <mergeCell ref="K28:L28"/>
    <mergeCell ref="A34:A37"/>
    <mergeCell ref="B34:K34"/>
    <mergeCell ref="L34:L37"/>
    <mergeCell ref="B35:G35"/>
    <mergeCell ref="H35:J35"/>
    <mergeCell ref="B36:B37"/>
    <mergeCell ref="C36:C37"/>
    <mergeCell ref="D36:D37"/>
    <mergeCell ref="E36:E37"/>
    <mergeCell ref="F36:F37"/>
    <mergeCell ref="I36:I37"/>
    <mergeCell ref="F38:F39"/>
    <mergeCell ref="H38:H39"/>
    <mergeCell ref="I38:I39"/>
    <mergeCell ref="L38:L39"/>
    <mergeCell ref="A40:A41"/>
    <mergeCell ref="B40:B41"/>
    <mergeCell ref="C40:C41"/>
    <mergeCell ref="D40:D41"/>
    <mergeCell ref="E40:E41"/>
    <mergeCell ref="F40:F41"/>
    <mergeCell ref="H40:H41"/>
    <mergeCell ref="I40:I41"/>
    <mergeCell ref="L40:L41"/>
    <mergeCell ref="A38:A39"/>
    <mergeCell ref="B38:B39"/>
    <mergeCell ref="C38:C39"/>
    <mergeCell ref="D38:D39"/>
    <mergeCell ref="E38:E39"/>
    <mergeCell ref="F42:F43"/>
    <mergeCell ref="H42:H43"/>
    <mergeCell ref="I42:I43"/>
    <mergeCell ref="L42:L43"/>
    <mergeCell ref="A44:A45"/>
    <mergeCell ref="B44:B45"/>
    <mergeCell ref="C44:C45"/>
    <mergeCell ref="D44:D45"/>
    <mergeCell ref="E44:E45"/>
    <mergeCell ref="F44:F45"/>
    <mergeCell ref="H44:H45"/>
    <mergeCell ref="I44:I45"/>
    <mergeCell ref="L44:L45"/>
    <mergeCell ref="A42:A43"/>
    <mergeCell ref="B42:B43"/>
    <mergeCell ref="C42:C43"/>
    <mergeCell ref="D42:D43"/>
    <mergeCell ref="E42:E43"/>
    <mergeCell ref="F46:F47"/>
    <mergeCell ref="H46:H47"/>
    <mergeCell ref="I46:I47"/>
    <mergeCell ref="L46:L47"/>
    <mergeCell ref="E48:E49"/>
    <mergeCell ref="F48:F49"/>
    <mergeCell ref="H48:H49"/>
    <mergeCell ref="I48:I49"/>
    <mergeCell ref="L48:L49"/>
    <mergeCell ref="E46:E47"/>
    <mergeCell ref="F50:F51"/>
    <mergeCell ref="H50:H51"/>
    <mergeCell ref="I50:I51"/>
    <mergeCell ref="L50:L51"/>
    <mergeCell ref="E52:E53"/>
    <mergeCell ref="F52:F53"/>
    <mergeCell ref="H52:H53"/>
    <mergeCell ref="I52:I53"/>
    <mergeCell ref="L52:L53"/>
    <mergeCell ref="E50:E51"/>
    <mergeCell ref="F54:F55"/>
    <mergeCell ref="H54:H55"/>
    <mergeCell ref="I54:I55"/>
    <mergeCell ref="L54:L55"/>
    <mergeCell ref="E56:E57"/>
    <mergeCell ref="F56:F57"/>
    <mergeCell ref="H56:H57"/>
    <mergeCell ref="I56:I57"/>
    <mergeCell ref="L56:L57"/>
    <mergeCell ref="E54:E55"/>
    <mergeCell ref="F58:F59"/>
    <mergeCell ref="H58:H59"/>
    <mergeCell ref="I58:I59"/>
    <mergeCell ref="L58:L59"/>
    <mergeCell ref="E60:E61"/>
    <mergeCell ref="F60:F61"/>
    <mergeCell ref="H60:H61"/>
    <mergeCell ref="I60:I61"/>
    <mergeCell ref="L60:L61"/>
    <mergeCell ref="E58:E59"/>
    <mergeCell ref="F66:F67"/>
    <mergeCell ref="H66:H67"/>
    <mergeCell ref="I66:I67"/>
    <mergeCell ref="L66:L67"/>
    <mergeCell ref="E66:E67"/>
    <mergeCell ref="F62:F63"/>
    <mergeCell ref="H62:H63"/>
    <mergeCell ref="I62:I63"/>
    <mergeCell ref="L62:L63"/>
    <mergeCell ref="E64:E65"/>
    <mergeCell ref="F64:F65"/>
    <mergeCell ref="H64:H65"/>
    <mergeCell ref="I64:I65"/>
    <mergeCell ref="L64:L65"/>
    <mergeCell ref="E62:E63"/>
  </mergeCells>
  <phoneticPr fontId="2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B7E2-B244-47F8-B566-550E2814D46F}">
  <dimension ref="A1:CC20"/>
  <sheetViews>
    <sheetView tabSelected="1" workbookViewId="0"/>
  </sheetViews>
  <sheetFormatPr defaultRowHeight="14.5"/>
  <cols>
    <col min="1" max="1" width="70.7265625" customWidth="1"/>
  </cols>
  <sheetData>
    <row r="1" spans="1:81">
      <c r="A1" s="1" t="s">
        <v>435</v>
      </c>
    </row>
    <row r="3" spans="1:81">
      <c r="A3" s="1" t="s">
        <v>436</v>
      </c>
    </row>
    <row r="4" spans="1:81">
      <c r="A4" t="s">
        <v>437</v>
      </c>
      <c r="B4">
        <v>63819293</v>
      </c>
    </row>
    <row r="5" spans="1:81">
      <c r="A5" t="s">
        <v>438</v>
      </c>
      <c r="B5">
        <v>0.13500000000000001</v>
      </c>
    </row>
    <row r="6" spans="1:81">
      <c r="A6" t="s">
        <v>439</v>
      </c>
      <c r="B6">
        <f>B4/B5</f>
        <v>472735503.7037037</v>
      </c>
    </row>
    <row r="7" spans="1:81">
      <c r="A7" t="s">
        <v>440</v>
      </c>
      <c r="B7">
        <f>'Power Generation by ES'!H4*1000</f>
        <v>595601000</v>
      </c>
    </row>
    <row r="8" spans="1:81">
      <c r="A8" t="s">
        <v>441</v>
      </c>
      <c r="B8">
        <f>B6/B7</f>
        <v>0.79371173605098666</v>
      </c>
    </row>
    <row r="9" spans="1:81">
      <c r="A9" t="s">
        <v>442</v>
      </c>
      <c r="B9">
        <v>1.34</v>
      </c>
    </row>
    <row r="10" spans="1:81">
      <c r="A10" s="1" t="s">
        <v>443</v>
      </c>
      <c r="B10">
        <f>B8/B9</f>
        <v>0.5923221910828258</v>
      </c>
    </row>
    <row r="12" spans="1:81">
      <c r="A12" s="1" t="s">
        <v>444</v>
      </c>
    </row>
    <row r="13" spans="1:81">
      <c r="A13" t="s">
        <v>379</v>
      </c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  <c r="AF13">
        <v>2051</v>
      </c>
      <c r="AG13">
        <v>2052</v>
      </c>
      <c r="AH13">
        <v>2053</v>
      </c>
      <c r="AI13">
        <v>2054</v>
      </c>
      <c r="AJ13">
        <v>2055</v>
      </c>
      <c r="AK13">
        <v>2056</v>
      </c>
      <c r="AL13">
        <v>2057</v>
      </c>
      <c r="AM13">
        <v>2058</v>
      </c>
      <c r="AN13">
        <v>2059</v>
      </c>
      <c r="AO13">
        <v>2060</v>
      </c>
      <c r="AP13">
        <v>2061</v>
      </c>
      <c r="AQ13">
        <v>2062</v>
      </c>
      <c r="AR13">
        <v>2063</v>
      </c>
      <c r="AS13">
        <v>2064</v>
      </c>
      <c r="AT13">
        <v>2065</v>
      </c>
      <c r="AU13">
        <v>2066</v>
      </c>
      <c r="AV13">
        <v>2067</v>
      </c>
      <c r="AW13">
        <v>2068</v>
      </c>
      <c r="AX13">
        <v>2069</v>
      </c>
      <c r="AY13">
        <v>2070</v>
      </c>
      <c r="AZ13">
        <v>2071</v>
      </c>
      <c r="BA13">
        <v>2072</v>
      </c>
      <c r="BB13">
        <v>2073</v>
      </c>
      <c r="BC13">
        <v>2074</v>
      </c>
      <c r="BD13">
        <v>2075</v>
      </c>
      <c r="BE13">
        <v>2076</v>
      </c>
      <c r="BF13">
        <v>2077</v>
      </c>
      <c r="BG13">
        <v>2078</v>
      </c>
      <c r="BH13">
        <v>2079</v>
      </c>
      <c r="BI13">
        <v>2080</v>
      </c>
      <c r="BJ13">
        <v>2081</v>
      </c>
      <c r="BK13">
        <v>2082</v>
      </c>
      <c r="BL13">
        <v>2083</v>
      </c>
      <c r="BM13">
        <v>2084</v>
      </c>
      <c r="BN13">
        <v>2085</v>
      </c>
      <c r="BO13">
        <v>2086</v>
      </c>
      <c r="BP13">
        <v>2087</v>
      </c>
      <c r="BQ13">
        <v>2088</v>
      </c>
      <c r="BR13">
        <v>2089</v>
      </c>
      <c r="BS13">
        <v>2090</v>
      </c>
      <c r="BT13">
        <v>2091</v>
      </c>
      <c r="BU13">
        <v>2092</v>
      </c>
      <c r="BV13">
        <v>2093</v>
      </c>
      <c r="BW13">
        <v>2094</v>
      </c>
      <c r="BX13">
        <v>2095</v>
      </c>
      <c r="BY13">
        <v>2096</v>
      </c>
      <c r="BZ13">
        <v>2097</v>
      </c>
      <c r="CA13">
        <v>2098</v>
      </c>
      <c r="CB13">
        <v>2099</v>
      </c>
      <c r="CC13">
        <v>2100</v>
      </c>
    </row>
    <row r="14" spans="1:81">
      <c r="A14" t="s">
        <v>445</v>
      </c>
      <c r="B14">
        <v>0.09</v>
      </c>
      <c r="C14">
        <v>0.125</v>
      </c>
      <c r="D14">
        <v>0.13</v>
      </c>
      <c r="E14">
        <v>0.13500000000000001</v>
      </c>
      <c r="F14">
        <v>0.14000000000000001</v>
      </c>
      <c r="G14">
        <v>0.15</v>
      </c>
      <c r="H14">
        <v>0.17</v>
      </c>
      <c r="I14">
        <v>0.19</v>
      </c>
      <c r="J14">
        <v>0.22500000000000001</v>
      </c>
      <c r="K14">
        <v>0.25</v>
      </c>
      <c r="L14">
        <v>0.25</v>
      </c>
      <c r="M14">
        <v>0.25</v>
      </c>
      <c r="N14">
        <v>0.25</v>
      </c>
      <c r="O14">
        <v>0.25</v>
      </c>
      <c r="P14">
        <v>0.25</v>
      </c>
      <c r="Q14">
        <v>0.25</v>
      </c>
      <c r="R14">
        <v>0.25</v>
      </c>
      <c r="S14">
        <v>0.25</v>
      </c>
      <c r="T14">
        <v>0.25</v>
      </c>
      <c r="U14">
        <v>0.25</v>
      </c>
      <c r="V14">
        <v>0.25</v>
      </c>
      <c r="W14">
        <v>0.25</v>
      </c>
      <c r="X14">
        <v>0.25</v>
      </c>
      <c r="Y14">
        <v>0.25</v>
      </c>
      <c r="Z14">
        <v>0.25</v>
      </c>
      <c r="AA14">
        <v>0.25</v>
      </c>
      <c r="AB14">
        <v>0.25</v>
      </c>
      <c r="AC14">
        <v>0.25</v>
      </c>
      <c r="AD14">
        <v>0.25</v>
      </c>
      <c r="AE14">
        <v>0.25</v>
      </c>
      <c r="AF14">
        <v>0.25</v>
      </c>
      <c r="AG14">
        <v>0.25</v>
      </c>
      <c r="AH14">
        <v>0.25</v>
      </c>
      <c r="AI14">
        <v>0.25</v>
      </c>
      <c r="AJ14">
        <v>0.25</v>
      </c>
      <c r="AK14">
        <v>0.25</v>
      </c>
      <c r="AL14">
        <v>0.25</v>
      </c>
      <c r="AM14">
        <v>0.25</v>
      </c>
      <c r="AN14">
        <v>0.25</v>
      </c>
      <c r="AO14">
        <v>0.25</v>
      </c>
      <c r="AP14">
        <v>0.25</v>
      </c>
      <c r="AQ14">
        <v>0.25</v>
      </c>
      <c r="AR14">
        <v>0.25</v>
      </c>
      <c r="AS14">
        <v>0.25</v>
      </c>
      <c r="AT14">
        <v>0.25</v>
      </c>
      <c r="AU14">
        <v>0.25</v>
      </c>
      <c r="AV14">
        <v>0.25</v>
      </c>
      <c r="AW14">
        <v>0.25</v>
      </c>
      <c r="AX14">
        <v>0.25</v>
      </c>
      <c r="AY14">
        <v>0.25</v>
      </c>
      <c r="AZ14">
        <v>0.25</v>
      </c>
      <c r="BA14">
        <v>0.25</v>
      </c>
      <c r="BB14">
        <v>0.25</v>
      </c>
      <c r="BC14">
        <v>0.25</v>
      </c>
      <c r="BD14">
        <v>0.25</v>
      </c>
      <c r="BE14">
        <v>0.25</v>
      </c>
      <c r="BF14">
        <v>0.25</v>
      </c>
      <c r="BG14">
        <v>0.25</v>
      </c>
      <c r="BH14">
        <v>0.25</v>
      </c>
      <c r="BI14">
        <v>0.25</v>
      </c>
      <c r="BJ14">
        <v>0.25</v>
      </c>
      <c r="BK14">
        <v>0.25</v>
      </c>
      <c r="BL14">
        <v>0.25</v>
      </c>
      <c r="BM14">
        <v>0.25</v>
      </c>
      <c r="BN14">
        <v>0.25</v>
      </c>
      <c r="BO14">
        <v>0.25</v>
      </c>
      <c r="BP14">
        <v>0.25</v>
      </c>
      <c r="BQ14">
        <v>0.25</v>
      </c>
      <c r="BR14">
        <v>0.25</v>
      </c>
      <c r="BS14">
        <v>0.25</v>
      </c>
      <c r="BT14">
        <v>0.25</v>
      </c>
      <c r="BU14">
        <v>0.25</v>
      </c>
      <c r="BV14">
        <v>0.25</v>
      </c>
      <c r="BW14">
        <v>0.25</v>
      </c>
      <c r="BX14">
        <v>0.25</v>
      </c>
      <c r="BY14">
        <v>0.25</v>
      </c>
      <c r="BZ14">
        <v>0.25</v>
      </c>
      <c r="CA14">
        <v>0.25</v>
      </c>
      <c r="CB14">
        <v>0.25</v>
      </c>
      <c r="CC14">
        <v>0.25</v>
      </c>
    </row>
    <row r="15" spans="1:81">
      <c r="A15" s="1" t="s">
        <v>446</v>
      </c>
      <c r="B15">
        <f t="shared" ref="B15:AG15" si="0">B14*$B$10</f>
        <v>5.3308997197454321E-2</v>
      </c>
      <c r="C15">
        <f t="shared" si="0"/>
        <v>7.4040273885353225E-2</v>
      </c>
      <c r="D15">
        <f t="shared" si="0"/>
        <v>7.7001884840767351E-2</v>
      </c>
      <c r="E15">
        <f t="shared" si="0"/>
        <v>7.9963495796181491E-2</v>
      </c>
      <c r="F15">
        <f t="shared" si="0"/>
        <v>8.2925106751595618E-2</v>
      </c>
      <c r="G15">
        <f t="shared" si="0"/>
        <v>8.884832866242387E-2</v>
      </c>
      <c r="H15">
        <f t="shared" si="0"/>
        <v>0.10069477248408039</v>
      </c>
      <c r="I15">
        <f t="shared" si="0"/>
        <v>0.11254121630573691</v>
      </c>
      <c r="J15">
        <f t="shared" si="0"/>
        <v>0.1332724929936358</v>
      </c>
      <c r="K15">
        <f t="shared" si="0"/>
        <v>0.14808054777070645</v>
      </c>
      <c r="L15">
        <f t="shared" si="0"/>
        <v>0.14808054777070645</v>
      </c>
      <c r="M15">
        <f t="shared" si="0"/>
        <v>0.14808054777070645</v>
      </c>
      <c r="N15">
        <f t="shared" si="0"/>
        <v>0.14808054777070645</v>
      </c>
      <c r="O15">
        <f t="shared" si="0"/>
        <v>0.14808054777070645</v>
      </c>
      <c r="P15">
        <f t="shared" si="0"/>
        <v>0.14808054777070645</v>
      </c>
      <c r="Q15">
        <f t="shared" si="0"/>
        <v>0.14808054777070645</v>
      </c>
      <c r="R15">
        <f t="shared" si="0"/>
        <v>0.14808054777070645</v>
      </c>
      <c r="S15">
        <f t="shared" si="0"/>
        <v>0.14808054777070645</v>
      </c>
      <c r="T15">
        <f t="shared" si="0"/>
        <v>0.14808054777070645</v>
      </c>
      <c r="U15">
        <f t="shared" si="0"/>
        <v>0.14808054777070645</v>
      </c>
      <c r="V15">
        <f t="shared" si="0"/>
        <v>0.14808054777070645</v>
      </c>
      <c r="W15">
        <f t="shared" si="0"/>
        <v>0.14808054777070645</v>
      </c>
      <c r="X15">
        <f t="shared" si="0"/>
        <v>0.14808054777070645</v>
      </c>
      <c r="Y15">
        <f t="shared" si="0"/>
        <v>0.14808054777070645</v>
      </c>
      <c r="Z15">
        <f t="shared" si="0"/>
        <v>0.14808054777070645</v>
      </c>
      <c r="AA15">
        <f t="shared" si="0"/>
        <v>0.14808054777070645</v>
      </c>
      <c r="AB15">
        <f t="shared" si="0"/>
        <v>0.14808054777070645</v>
      </c>
      <c r="AC15">
        <f t="shared" si="0"/>
        <v>0.14808054777070645</v>
      </c>
      <c r="AD15">
        <f t="shared" si="0"/>
        <v>0.14808054777070645</v>
      </c>
      <c r="AE15">
        <f t="shared" si="0"/>
        <v>0.14808054777070645</v>
      </c>
      <c r="AF15">
        <f t="shared" si="0"/>
        <v>0.14808054777070645</v>
      </c>
      <c r="AG15">
        <f t="shared" si="0"/>
        <v>0.14808054777070645</v>
      </c>
      <c r="AH15">
        <f t="shared" ref="AH15:BM15" si="1">AH14*$B$10</f>
        <v>0.14808054777070645</v>
      </c>
      <c r="AI15">
        <f t="shared" si="1"/>
        <v>0.14808054777070645</v>
      </c>
      <c r="AJ15">
        <f t="shared" si="1"/>
        <v>0.14808054777070645</v>
      </c>
      <c r="AK15">
        <f t="shared" si="1"/>
        <v>0.14808054777070645</v>
      </c>
      <c r="AL15">
        <f t="shared" si="1"/>
        <v>0.14808054777070645</v>
      </c>
      <c r="AM15">
        <f t="shared" si="1"/>
        <v>0.14808054777070645</v>
      </c>
      <c r="AN15">
        <f t="shared" si="1"/>
        <v>0.14808054777070645</v>
      </c>
      <c r="AO15">
        <f t="shared" si="1"/>
        <v>0.14808054777070645</v>
      </c>
      <c r="AP15">
        <f t="shared" si="1"/>
        <v>0.14808054777070645</v>
      </c>
      <c r="AQ15">
        <f t="shared" si="1"/>
        <v>0.14808054777070645</v>
      </c>
      <c r="AR15">
        <f t="shared" si="1"/>
        <v>0.14808054777070645</v>
      </c>
      <c r="AS15">
        <f t="shared" si="1"/>
        <v>0.14808054777070645</v>
      </c>
      <c r="AT15">
        <f t="shared" si="1"/>
        <v>0.14808054777070645</v>
      </c>
      <c r="AU15">
        <f t="shared" si="1"/>
        <v>0.14808054777070645</v>
      </c>
      <c r="AV15">
        <f t="shared" si="1"/>
        <v>0.14808054777070645</v>
      </c>
      <c r="AW15">
        <f t="shared" si="1"/>
        <v>0.14808054777070645</v>
      </c>
      <c r="AX15">
        <f t="shared" si="1"/>
        <v>0.14808054777070645</v>
      </c>
      <c r="AY15">
        <f t="shared" si="1"/>
        <v>0.14808054777070645</v>
      </c>
      <c r="AZ15">
        <f t="shared" si="1"/>
        <v>0.14808054777070645</v>
      </c>
      <c r="BA15">
        <f t="shared" si="1"/>
        <v>0.14808054777070645</v>
      </c>
      <c r="BB15">
        <f t="shared" si="1"/>
        <v>0.14808054777070645</v>
      </c>
      <c r="BC15">
        <f t="shared" si="1"/>
        <v>0.14808054777070645</v>
      </c>
      <c r="BD15">
        <f t="shared" si="1"/>
        <v>0.14808054777070645</v>
      </c>
      <c r="BE15">
        <f t="shared" si="1"/>
        <v>0.14808054777070645</v>
      </c>
      <c r="BF15">
        <f t="shared" si="1"/>
        <v>0.14808054777070645</v>
      </c>
      <c r="BG15">
        <f t="shared" si="1"/>
        <v>0.14808054777070645</v>
      </c>
      <c r="BH15">
        <f t="shared" si="1"/>
        <v>0.14808054777070645</v>
      </c>
      <c r="BI15">
        <f t="shared" si="1"/>
        <v>0.14808054777070645</v>
      </c>
      <c r="BJ15">
        <f t="shared" si="1"/>
        <v>0.14808054777070645</v>
      </c>
      <c r="BK15">
        <f t="shared" si="1"/>
        <v>0.14808054777070645</v>
      </c>
      <c r="BL15">
        <f t="shared" si="1"/>
        <v>0.14808054777070645</v>
      </c>
      <c r="BM15">
        <f t="shared" si="1"/>
        <v>0.14808054777070645</v>
      </c>
      <c r="BN15">
        <f t="shared" ref="BN15:CC15" si="2">BN14*$B$10</f>
        <v>0.14808054777070645</v>
      </c>
      <c r="BO15">
        <f t="shared" si="2"/>
        <v>0.14808054777070645</v>
      </c>
      <c r="BP15">
        <f t="shared" si="2"/>
        <v>0.14808054777070645</v>
      </c>
      <c r="BQ15">
        <f t="shared" si="2"/>
        <v>0.14808054777070645</v>
      </c>
      <c r="BR15">
        <f t="shared" si="2"/>
        <v>0.14808054777070645</v>
      </c>
      <c r="BS15">
        <f t="shared" si="2"/>
        <v>0.14808054777070645</v>
      </c>
      <c r="BT15">
        <f t="shared" si="2"/>
        <v>0.14808054777070645</v>
      </c>
      <c r="BU15">
        <f t="shared" si="2"/>
        <v>0.14808054777070645</v>
      </c>
      <c r="BV15">
        <f t="shared" si="2"/>
        <v>0.14808054777070645</v>
      </c>
      <c r="BW15">
        <f t="shared" si="2"/>
        <v>0.14808054777070645</v>
      </c>
      <c r="BX15">
        <f t="shared" si="2"/>
        <v>0.14808054777070645</v>
      </c>
      <c r="BY15">
        <f t="shared" si="2"/>
        <v>0.14808054777070645</v>
      </c>
      <c r="BZ15">
        <f t="shared" si="2"/>
        <v>0.14808054777070645</v>
      </c>
      <c r="CA15">
        <f t="shared" si="2"/>
        <v>0.14808054777070645</v>
      </c>
      <c r="CB15">
        <f t="shared" si="2"/>
        <v>0.14808054777070645</v>
      </c>
      <c r="CC15">
        <f t="shared" si="2"/>
        <v>0.14808054777070645</v>
      </c>
    </row>
    <row r="17" spans="1:81">
      <c r="A17" t="s">
        <v>447</v>
      </c>
    </row>
    <row r="19" spans="1:81">
      <c r="A19" t="s">
        <v>451</v>
      </c>
      <c r="B19">
        <v>2027</v>
      </c>
    </row>
    <row r="20" spans="1:81">
      <c r="A20" t="s">
        <v>450</v>
      </c>
      <c r="B20">
        <f t="shared" ref="B20:AG20" si="3">IF(B$13&gt;=$B$19,0,B15)</f>
        <v>5.3308997197454321E-2</v>
      </c>
      <c r="C20">
        <f t="shared" si="3"/>
        <v>7.4040273885353225E-2</v>
      </c>
      <c r="D20">
        <f t="shared" si="3"/>
        <v>7.7001884840767351E-2</v>
      </c>
      <c r="E20">
        <f t="shared" si="3"/>
        <v>7.9963495796181491E-2</v>
      </c>
      <c r="F20">
        <f t="shared" si="3"/>
        <v>8.2925106751595618E-2</v>
      </c>
      <c r="G20">
        <f t="shared" si="3"/>
        <v>8.884832866242387E-2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3"/>
        <v>0</v>
      </c>
      <c r="M20">
        <f t="shared" si="3"/>
        <v>0</v>
      </c>
      <c r="N20">
        <f t="shared" si="3"/>
        <v>0</v>
      </c>
      <c r="O20">
        <f t="shared" si="3"/>
        <v>0</v>
      </c>
      <c r="P20">
        <f t="shared" si="3"/>
        <v>0</v>
      </c>
      <c r="Q20">
        <f t="shared" si="3"/>
        <v>0</v>
      </c>
      <c r="R20">
        <f t="shared" si="3"/>
        <v>0</v>
      </c>
      <c r="S20">
        <f t="shared" si="3"/>
        <v>0</v>
      </c>
      <c r="T20">
        <f t="shared" si="3"/>
        <v>0</v>
      </c>
      <c r="U20">
        <f t="shared" si="3"/>
        <v>0</v>
      </c>
      <c r="V20">
        <f t="shared" si="3"/>
        <v>0</v>
      </c>
      <c r="W20">
        <f t="shared" si="3"/>
        <v>0</v>
      </c>
      <c r="X20">
        <f t="shared" si="3"/>
        <v>0</v>
      </c>
      <c r="Y20">
        <f t="shared" si="3"/>
        <v>0</v>
      </c>
      <c r="Z20">
        <f t="shared" si="3"/>
        <v>0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0</v>
      </c>
      <c r="AF20">
        <f t="shared" si="3"/>
        <v>0</v>
      </c>
      <c r="AG20">
        <f t="shared" si="3"/>
        <v>0</v>
      </c>
      <c r="AH20">
        <f t="shared" ref="AH20:BM20" si="4">IF(AH$13&gt;=$B$19,0,AH15)</f>
        <v>0</v>
      </c>
      <c r="AI20">
        <f t="shared" si="4"/>
        <v>0</v>
      </c>
      <c r="AJ20">
        <f t="shared" si="4"/>
        <v>0</v>
      </c>
      <c r="AK20">
        <f t="shared" si="4"/>
        <v>0</v>
      </c>
      <c r="AL20">
        <f t="shared" si="4"/>
        <v>0</v>
      </c>
      <c r="AM20">
        <f t="shared" si="4"/>
        <v>0</v>
      </c>
      <c r="AN20">
        <f t="shared" si="4"/>
        <v>0</v>
      </c>
      <c r="AO20">
        <f t="shared" si="4"/>
        <v>0</v>
      </c>
      <c r="AP20">
        <f t="shared" si="4"/>
        <v>0</v>
      </c>
      <c r="AQ20">
        <f t="shared" si="4"/>
        <v>0</v>
      </c>
      <c r="AR20">
        <f t="shared" si="4"/>
        <v>0</v>
      </c>
      <c r="AS20">
        <f t="shared" si="4"/>
        <v>0</v>
      </c>
      <c r="AT20">
        <f t="shared" si="4"/>
        <v>0</v>
      </c>
      <c r="AU20">
        <f t="shared" si="4"/>
        <v>0</v>
      </c>
      <c r="AV20">
        <f t="shared" si="4"/>
        <v>0</v>
      </c>
      <c r="AW20">
        <f t="shared" si="4"/>
        <v>0</v>
      </c>
      <c r="AX20">
        <f t="shared" si="4"/>
        <v>0</v>
      </c>
      <c r="AY20">
        <f t="shared" si="4"/>
        <v>0</v>
      </c>
      <c r="AZ20">
        <f t="shared" si="4"/>
        <v>0</v>
      </c>
      <c r="BA20">
        <f t="shared" si="4"/>
        <v>0</v>
      </c>
      <c r="BB20">
        <f t="shared" si="4"/>
        <v>0</v>
      </c>
      <c r="BC20">
        <f t="shared" si="4"/>
        <v>0</v>
      </c>
      <c r="BD20">
        <f t="shared" si="4"/>
        <v>0</v>
      </c>
      <c r="BE20">
        <f t="shared" si="4"/>
        <v>0</v>
      </c>
      <c r="BF20">
        <f t="shared" si="4"/>
        <v>0</v>
      </c>
      <c r="BG20">
        <f t="shared" si="4"/>
        <v>0</v>
      </c>
      <c r="BH20">
        <f t="shared" si="4"/>
        <v>0</v>
      </c>
      <c r="BI20">
        <f t="shared" si="4"/>
        <v>0</v>
      </c>
      <c r="BJ20">
        <f t="shared" si="4"/>
        <v>0</v>
      </c>
      <c r="BK20">
        <f t="shared" si="4"/>
        <v>0</v>
      </c>
      <c r="BL20">
        <f t="shared" si="4"/>
        <v>0</v>
      </c>
      <c r="BM20">
        <f t="shared" si="4"/>
        <v>0</v>
      </c>
      <c r="BN20">
        <f t="shared" ref="BN20:CC20" si="5">IF(BN$13&gt;=$B$19,0,BN15)</f>
        <v>0</v>
      </c>
      <c r="BO20">
        <f t="shared" si="5"/>
        <v>0</v>
      </c>
      <c r="BP20">
        <f t="shared" si="5"/>
        <v>0</v>
      </c>
      <c r="BQ20">
        <f t="shared" si="5"/>
        <v>0</v>
      </c>
      <c r="BR20">
        <f t="shared" si="5"/>
        <v>0</v>
      </c>
      <c r="BS20">
        <f t="shared" si="5"/>
        <v>0</v>
      </c>
      <c r="BT20">
        <f t="shared" si="5"/>
        <v>0</v>
      </c>
      <c r="BU20">
        <f t="shared" si="5"/>
        <v>0</v>
      </c>
      <c r="BV20">
        <f t="shared" si="5"/>
        <v>0</v>
      </c>
      <c r="BW20">
        <f t="shared" si="5"/>
        <v>0</v>
      </c>
      <c r="BX20">
        <f t="shared" si="5"/>
        <v>0</v>
      </c>
      <c r="BY20">
        <f t="shared" si="5"/>
        <v>0</v>
      </c>
      <c r="BZ20">
        <f t="shared" si="5"/>
        <v>0</v>
      </c>
      <c r="CA20">
        <f t="shared" si="5"/>
        <v>0</v>
      </c>
      <c r="CB20">
        <f t="shared" si="5"/>
        <v>0</v>
      </c>
      <c r="CC20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588D-DCC6-46C7-B1AC-54C9D46C0AE1}">
  <dimension ref="A1:CI26"/>
  <sheetViews>
    <sheetView zoomScale="85" zoomScaleNormal="85" workbookViewId="0">
      <selection activeCell="I30" sqref="I30"/>
    </sheetView>
  </sheetViews>
  <sheetFormatPr defaultRowHeight="14.5"/>
  <cols>
    <col min="1" max="1" width="11.54296875" bestFit="1" customWidth="1"/>
    <col min="2" max="2" width="15.7265625" bestFit="1" customWidth="1"/>
  </cols>
  <sheetData>
    <row r="1" spans="1:87">
      <c r="B1" s="5" t="s">
        <v>164</v>
      </c>
      <c r="C1" s="5" t="s">
        <v>165</v>
      </c>
      <c r="D1" s="5" t="s">
        <v>166</v>
      </c>
      <c r="E1" s="5" t="s">
        <v>167</v>
      </c>
      <c r="F1" s="5" t="s">
        <v>168</v>
      </c>
      <c r="G1" s="5" t="s">
        <v>169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 t="s">
        <v>42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5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75</v>
      </c>
      <c r="CC1" s="5" t="s">
        <v>76</v>
      </c>
      <c r="CD1" s="5" t="s">
        <v>77</v>
      </c>
      <c r="CE1" s="5" t="s">
        <v>78</v>
      </c>
      <c r="CF1" s="5" t="s">
        <v>79</v>
      </c>
      <c r="CG1" s="5" t="s">
        <v>80</v>
      </c>
      <c r="CH1" s="5" t="s">
        <v>81</v>
      </c>
      <c r="CI1" s="5" t="s">
        <v>82</v>
      </c>
    </row>
    <row r="2" spans="1:87">
      <c r="A2" t="s">
        <v>112</v>
      </c>
      <c r="B2">
        <f>G8/100</f>
        <v>3.7000000000000005E-2</v>
      </c>
      <c r="C2">
        <f>G10/100</f>
        <v>4.8000000000000001E-2</v>
      </c>
      <c r="D2">
        <f>G12/100</f>
        <v>5.5999999999999994E-2</v>
      </c>
      <c r="E2">
        <f>G14/100</f>
        <v>6.2E-2</v>
      </c>
      <c r="F2">
        <f>G16/100</f>
        <v>6.5000000000000002E-2</v>
      </c>
      <c r="G2">
        <f>G18/100</f>
        <v>6.6000000000000003E-2</v>
      </c>
      <c r="H2">
        <f>G20/100</f>
        <v>7.4999999999999997E-2</v>
      </c>
      <c r="I2">
        <f>G22/100</f>
        <v>8.900000000000001E-2</v>
      </c>
      <c r="J2">
        <f>G24/100</f>
        <v>9.6000000000000002E-2</v>
      </c>
      <c r="K2">
        <f>G26/100</f>
        <v>0.105</v>
      </c>
      <c r="L2">
        <v>0.14000000000000001</v>
      </c>
      <c r="M2">
        <v>0.15</v>
      </c>
      <c r="N2">
        <v>0.17</v>
      </c>
      <c r="O2">
        <v>0.19</v>
      </c>
      <c r="P2">
        <v>0.22500000000000001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</row>
    <row r="4" spans="1:87">
      <c r="A4" t="s">
        <v>430</v>
      </c>
    </row>
    <row r="6" spans="1:87">
      <c r="A6" s="129" t="s">
        <v>170</v>
      </c>
      <c r="B6" s="129"/>
      <c r="C6" s="14" t="s">
        <v>370</v>
      </c>
      <c r="D6" s="14" t="s">
        <v>371</v>
      </c>
      <c r="E6" s="14" t="s">
        <v>372</v>
      </c>
      <c r="F6" s="14" t="s">
        <v>173</v>
      </c>
      <c r="G6" s="14" t="s">
        <v>373</v>
      </c>
      <c r="H6" s="14" t="s">
        <v>374</v>
      </c>
      <c r="I6" s="14" t="s">
        <v>375</v>
      </c>
      <c r="J6" s="14" t="s">
        <v>376</v>
      </c>
    </row>
    <row r="7" spans="1:87">
      <c r="A7" s="129" t="s">
        <v>176</v>
      </c>
      <c r="B7" s="14" t="s">
        <v>377</v>
      </c>
      <c r="C7" s="15" t="s">
        <v>177</v>
      </c>
      <c r="D7" s="15" t="s">
        <v>178</v>
      </c>
      <c r="E7" s="15" t="s">
        <v>179</v>
      </c>
      <c r="F7" s="15" t="s">
        <v>180</v>
      </c>
      <c r="G7" s="15" t="s">
        <v>181</v>
      </c>
      <c r="H7" s="15" t="s">
        <v>182</v>
      </c>
      <c r="I7" s="15" t="s">
        <v>183</v>
      </c>
      <c r="J7" s="15" t="s">
        <v>184</v>
      </c>
    </row>
    <row r="8" spans="1:87">
      <c r="A8" s="129"/>
      <c r="B8" s="14" t="s">
        <v>378</v>
      </c>
      <c r="C8" s="15" t="s">
        <v>185</v>
      </c>
      <c r="D8" s="15" t="s">
        <v>186</v>
      </c>
      <c r="E8" s="15" t="s">
        <v>187</v>
      </c>
      <c r="F8" s="15" t="s">
        <v>188</v>
      </c>
      <c r="G8" s="15" t="s">
        <v>189</v>
      </c>
      <c r="H8" s="15" t="s">
        <v>190</v>
      </c>
      <c r="I8" s="15" t="s">
        <v>191</v>
      </c>
      <c r="J8" s="15" t="s">
        <v>192</v>
      </c>
    </row>
    <row r="9" spans="1:87">
      <c r="A9" s="129" t="s">
        <v>193</v>
      </c>
      <c r="B9" s="14" t="s">
        <v>377</v>
      </c>
      <c r="C9" s="15" t="s">
        <v>194</v>
      </c>
      <c r="D9" s="15" t="s">
        <v>195</v>
      </c>
      <c r="E9" s="15" t="s">
        <v>196</v>
      </c>
      <c r="F9" s="15" t="s">
        <v>197</v>
      </c>
      <c r="G9" s="15" t="s">
        <v>198</v>
      </c>
      <c r="H9" s="15" t="s">
        <v>199</v>
      </c>
      <c r="I9" s="15" t="s">
        <v>200</v>
      </c>
      <c r="J9" s="15" t="s">
        <v>201</v>
      </c>
    </row>
    <row r="10" spans="1:87">
      <c r="A10" s="129"/>
      <c r="B10" s="14" t="s">
        <v>378</v>
      </c>
      <c r="C10" s="15" t="s">
        <v>185</v>
      </c>
      <c r="D10" s="15" t="s">
        <v>202</v>
      </c>
      <c r="E10" s="15" t="s">
        <v>203</v>
      </c>
      <c r="F10" s="15" t="s">
        <v>204</v>
      </c>
      <c r="G10" s="15" t="s">
        <v>205</v>
      </c>
      <c r="H10" s="15" t="s">
        <v>206</v>
      </c>
      <c r="I10" s="15" t="s">
        <v>191</v>
      </c>
      <c r="J10" s="15" t="s">
        <v>201</v>
      </c>
    </row>
    <row r="11" spans="1:87">
      <c r="A11" s="129" t="s">
        <v>207</v>
      </c>
      <c r="B11" s="14" t="s">
        <v>377</v>
      </c>
      <c r="C11" s="15" t="s">
        <v>208</v>
      </c>
      <c r="D11" s="15" t="s">
        <v>209</v>
      </c>
      <c r="E11" s="15" t="s">
        <v>210</v>
      </c>
      <c r="F11" s="15" t="s">
        <v>211</v>
      </c>
      <c r="G11" s="15" t="s">
        <v>212</v>
      </c>
      <c r="H11" s="15" t="s">
        <v>213</v>
      </c>
      <c r="I11" s="15" t="s">
        <v>214</v>
      </c>
      <c r="J11" s="15" t="s">
        <v>201</v>
      </c>
    </row>
    <row r="12" spans="1:87">
      <c r="A12" s="129"/>
      <c r="B12" s="14" t="s">
        <v>378</v>
      </c>
      <c r="C12" s="15" t="s">
        <v>185</v>
      </c>
      <c r="D12" s="15" t="s">
        <v>215</v>
      </c>
      <c r="E12" s="15" t="s">
        <v>216</v>
      </c>
      <c r="F12" s="15" t="s">
        <v>217</v>
      </c>
      <c r="G12" s="15" t="s">
        <v>218</v>
      </c>
      <c r="H12" s="15" t="s">
        <v>219</v>
      </c>
      <c r="I12" s="15" t="s">
        <v>220</v>
      </c>
      <c r="J12" s="15" t="s">
        <v>201</v>
      </c>
    </row>
    <row r="13" spans="1:87">
      <c r="A13" s="129" t="s">
        <v>221</v>
      </c>
      <c r="B13" s="14" t="s">
        <v>377</v>
      </c>
      <c r="C13" s="15" t="s">
        <v>222</v>
      </c>
      <c r="D13" s="15" t="s">
        <v>223</v>
      </c>
      <c r="E13" s="15" t="s">
        <v>224</v>
      </c>
      <c r="F13" s="15" t="s">
        <v>225</v>
      </c>
      <c r="G13" s="15" t="s">
        <v>226</v>
      </c>
      <c r="H13" s="15" t="s">
        <v>227</v>
      </c>
      <c r="I13" s="15" t="s">
        <v>228</v>
      </c>
      <c r="J13" s="15" t="s">
        <v>229</v>
      </c>
    </row>
    <row r="14" spans="1:87">
      <c r="A14" s="129"/>
      <c r="B14" s="14" t="s">
        <v>378</v>
      </c>
      <c r="C14" s="15" t="s">
        <v>185</v>
      </c>
      <c r="D14" s="15" t="s">
        <v>230</v>
      </c>
      <c r="E14" s="15" t="s">
        <v>231</v>
      </c>
      <c r="F14" s="15" t="s">
        <v>215</v>
      </c>
      <c r="G14" s="15" t="s">
        <v>232</v>
      </c>
      <c r="H14" s="15" t="s">
        <v>219</v>
      </c>
      <c r="I14" s="15" t="s">
        <v>191</v>
      </c>
      <c r="J14" s="15" t="s">
        <v>233</v>
      </c>
    </row>
    <row r="15" spans="1:87">
      <c r="A15" s="129" t="s">
        <v>234</v>
      </c>
      <c r="B15" s="14" t="s">
        <v>377</v>
      </c>
      <c r="C15" s="15" t="s">
        <v>235</v>
      </c>
      <c r="D15" s="15" t="s">
        <v>236</v>
      </c>
      <c r="E15" s="15" t="s">
        <v>237</v>
      </c>
      <c r="F15" s="15" t="s">
        <v>238</v>
      </c>
      <c r="G15" s="15" t="s">
        <v>239</v>
      </c>
      <c r="H15" s="15" t="s">
        <v>240</v>
      </c>
      <c r="I15" s="15" t="s">
        <v>241</v>
      </c>
      <c r="J15" s="15" t="s">
        <v>242</v>
      </c>
    </row>
    <row r="16" spans="1:87">
      <c r="A16" s="129"/>
      <c r="B16" s="14" t="s">
        <v>378</v>
      </c>
      <c r="C16" s="15" t="s">
        <v>185</v>
      </c>
      <c r="D16" s="15" t="s">
        <v>243</v>
      </c>
      <c r="E16" s="15" t="s">
        <v>244</v>
      </c>
      <c r="F16" s="15" t="s">
        <v>245</v>
      </c>
      <c r="G16" s="15" t="s">
        <v>246</v>
      </c>
      <c r="H16" s="15" t="s">
        <v>247</v>
      </c>
      <c r="I16" s="15" t="s">
        <v>247</v>
      </c>
      <c r="J16" s="15" t="s">
        <v>248</v>
      </c>
    </row>
    <row r="17" spans="1:10">
      <c r="A17" s="129" t="s">
        <v>249</v>
      </c>
      <c r="B17" s="14" t="s">
        <v>377</v>
      </c>
      <c r="C17" s="15" t="s">
        <v>250</v>
      </c>
      <c r="D17" s="15" t="s">
        <v>251</v>
      </c>
      <c r="E17" s="15" t="s">
        <v>252</v>
      </c>
      <c r="F17" s="15" t="s">
        <v>253</v>
      </c>
      <c r="G17" s="15" t="s">
        <v>254</v>
      </c>
      <c r="H17" s="15" t="s">
        <v>255</v>
      </c>
      <c r="I17" s="15" t="s">
        <v>256</v>
      </c>
      <c r="J17" s="15" t="s">
        <v>257</v>
      </c>
    </row>
    <row r="18" spans="1:10">
      <c r="A18" s="129"/>
      <c r="B18" s="14" t="s">
        <v>378</v>
      </c>
      <c r="C18" s="15" t="s">
        <v>185</v>
      </c>
      <c r="D18" s="15" t="s">
        <v>258</v>
      </c>
      <c r="E18" s="15" t="s">
        <v>259</v>
      </c>
      <c r="F18" s="15" t="s">
        <v>260</v>
      </c>
      <c r="G18" s="15" t="s">
        <v>261</v>
      </c>
      <c r="H18" s="15" t="s">
        <v>248</v>
      </c>
      <c r="I18" s="15" t="s">
        <v>247</v>
      </c>
      <c r="J18" s="15" t="s">
        <v>262</v>
      </c>
    </row>
    <row r="19" spans="1:10">
      <c r="A19" s="129" t="s">
        <v>263</v>
      </c>
      <c r="B19" s="14" t="s">
        <v>377</v>
      </c>
      <c r="C19" s="15" t="s">
        <v>264</v>
      </c>
      <c r="D19" s="15" t="s">
        <v>265</v>
      </c>
      <c r="E19" s="15" t="s">
        <v>266</v>
      </c>
      <c r="F19" s="15" t="s">
        <v>267</v>
      </c>
      <c r="G19" s="15" t="s">
        <v>268</v>
      </c>
      <c r="H19" s="15" t="s">
        <v>269</v>
      </c>
      <c r="I19" s="15" t="s">
        <v>270</v>
      </c>
      <c r="J19" s="15" t="s">
        <v>271</v>
      </c>
    </row>
    <row r="20" spans="1:10">
      <c r="A20" s="129"/>
      <c r="B20" s="14" t="s">
        <v>378</v>
      </c>
      <c r="C20" s="15" t="s">
        <v>185</v>
      </c>
      <c r="D20" s="15" t="s">
        <v>272</v>
      </c>
      <c r="E20" s="15" t="s">
        <v>273</v>
      </c>
      <c r="F20" s="15" t="s">
        <v>274</v>
      </c>
      <c r="G20" s="15" t="s">
        <v>275</v>
      </c>
      <c r="H20" s="15" t="s">
        <v>248</v>
      </c>
      <c r="I20" s="15" t="s">
        <v>247</v>
      </c>
      <c r="J20" s="15" t="s">
        <v>247</v>
      </c>
    </row>
    <row r="21" spans="1:10">
      <c r="A21" s="129" t="s">
        <v>276</v>
      </c>
      <c r="B21" s="14" t="s">
        <v>377</v>
      </c>
      <c r="C21" s="15" t="s">
        <v>277</v>
      </c>
      <c r="D21" s="15" t="s">
        <v>278</v>
      </c>
      <c r="E21" s="15" t="s">
        <v>279</v>
      </c>
      <c r="F21" s="15" t="s">
        <v>280</v>
      </c>
      <c r="G21" s="15" t="s">
        <v>281</v>
      </c>
      <c r="H21" s="15" t="s">
        <v>282</v>
      </c>
      <c r="I21" s="15" t="s">
        <v>283</v>
      </c>
      <c r="J21" s="15" t="s">
        <v>284</v>
      </c>
    </row>
    <row r="22" spans="1:10">
      <c r="A22" s="129"/>
      <c r="B22" s="14" t="s">
        <v>378</v>
      </c>
      <c r="C22" s="15" t="s">
        <v>185</v>
      </c>
      <c r="D22" s="15" t="s">
        <v>285</v>
      </c>
      <c r="E22" s="15" t="s">
        <v>286</v>
      </c>
      <c r="F22" s="15" t="s">
        <v>287</v>
      </c>
      <c r="G22" s="15" t="s">
        <v>288</v>
      </c>
      <c r="H22" s="15" t="s">
        <v>289</v>
      </c>
      <c r="I22" s="15" t="s">
        <v>247</v>
      </c>
      <c r="J22" s="15" t="s">
        <v>290</v>
      </c>
    </row>
    <row r="23" spans="1:10">
      <c r="A23" s="129" t="s">
        <v>291</v>
      </c>
      <c r="B23" s="14" t="s">
        <v>377</v>
      </c>
      <c r="C23" s="15" t="s">
        <v>292</v>
      </c>
      <c r="D23" s="15" t="s">
        <v>293</v>
      </c>
      <c r="E23" s="15" t="s">
        <v>294</v>
      </c>
      <c r="F23" s="15" t="s">
        <v>295</v>
      </c>
      <c r="G23" s="15" t="s">
        <v>296</v>
      </c>
      <c r="H23" s="15" t="s">
        <v>297</v>
      </c>
      <c r="I23" s="15" t="s">
        <v>298</v>
      </c>
      <c r="J23" s="15" t="s">
        <v>299</v>
      </c>
    </row>
    <row r="24" spans="1:10">
      <c r="A24" s="129"/>
      <c r="B24" s="14" t="s">
        <v>378</v>
      </c>
      <c r="C24" s="15" t="s">
        <v>185</v>
      </c>
      <c r="D24" s="15" t="s">
        <v>300</v>
      </c>
      <c r="E24" s="15" t="s">
        <v>301</v>
      </c>
      <c r="F24" s="15" t="s">
        <v>215</v>
      </c>
      <c r="G24" s="15" t="s">
        <v>302</v>
      </c>
      <c r="H24" s="15" t="s">
        <v>289</v>
      </c>
      <c r="I24" s="15" t="s">
        <v>247</v>
      </c>
      <c r="J24" s="15" t="s">
        <v>290</v>
      </c>
    </row>
    <row r="25" spans="1:10">
      <c r="A25" s="129" t="s">
        <v>303</v>
      </c>
      <c r="B25" s="14" t="s">
        <v>377</v>
      </c>
      <c r="C25" s="15" t="s">
        <v>304</v>
      </c>
      <c r="D25" s="15" t="s">
        <v>305</v>
      </c>
      <c r="E25" s="15" t="s">
        <v>306</v>
      </c>
      <c r="F25" s="15" t="s">
        <v>307</v>
      </c>
      <c r="G25" s="15" t="s">
        <v>308</v>
      </c>
      <c r="H25" s="15" t="s">
        <v>309</v>
      </c>
      <c r="I25" s="15" t="s">
        <v>310</v>
      </c>
      <c r="J25" s="15" t="s">
        <v>311</v>
      </c>
    </row>
    <row r="26" spans="1:10">
      <c r="A26" s="129"/>
      <c r="B26" s="14" t="s">
        <v>378</v>
      </c>
      <c r="C26" s="15" t="s">
        <v>185</v>
      </c>
      <c r="D26" s="15" t="s">
        <v>312</v>
      </c>
      <c r="E26" s="15" t="s">
        <v>313</v>
      </c>
      <c r="F26" s="15" t="s">
        <v>313</v>
      </c>
      <c r="G26" s="15" t="s">
        <v>314</v>
      </c>
      <c r="H26" s="15" t="s">
        <v>315</v>
      </c>
      <c r="I26" s="15" t="s">
        <v>220</v>
      </c>
      <c r="J26" s="15" t="s">
        <v>247</v>
      </c>
    </row>
  </sheetData>
  <mergeCells count="11">
    <mergeCell ref="A15:A16"/>
    <mergeCell ref="A6:B6"/>
    <mergeCell ref="A7:A8"/>
    <mergeCell ref="A9:A10"/>
    <mergeCell ref="A11:A12"/>
    <mergeCell ref="A13:A14"/>
    <mergeCell ref="A17:A18"/>
    <mergeCell ref="A19:A20"/>
    <mergeCell ref="A21:A22"/>
    <mergeCell ref="A23:A24"/>
    <mergeCell ref="A25:A26"/>
  </mergeCells>
  <phoneticPr fontId="2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3DC6-B57B-4492-992F-257F2FC2387D}">
  <sheetPr>
    <tabColor theme="3"/>
  </sheetPr>
  <dimension ref="A1:CC61"/>
  <sheetViews>
    <sheetView zoomScale="90" zoomScaleNormal="90" workbookViewId="0">
      <selection activeCell="B2" sqref="B2"/>
    </sheetView>
  </sheetViews>
  <sheetFormatPr defaultRowHeight="14.5"/>
  <cols>
    <col min="1" max="1" width="19.7265625" customWidth="1"/>
    <col min="2" max="2" width="20.26953125" bestFit="1" customWidth="1"/>
  </cols>
  <sheetData>
    <row r="1" spans="1:81">
      <c r="A1" s="7" t="s">
        <v>95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</row>
    <row r="2" spans="1:81">
      <c r="A2" t="s">
        <v>112</v>
      </c>
      <c r="B2" s="70">
        <f>((CES_kor!C8)/100)*CES_kor!$B$10</f>
        <v>0</v>
      </c>
      <c r="C2" s="70">
        <f>((CES_kor!D8)/100)*CES_kor!$B$10</f>
        <v>0</v>
      </c>
      <c r="D2" s="70">
        <f>((CES_kor!E8)/100)*CES_kor!$B$10</f>
        <v>0</v>
      </c>
      <c r="E2" s="70">
        <f>((CES_kor!F8)/100)*CES_kor!$B$10</f>
        <v>0</v>
      </c>
      <c r="F2" s="70">
        <f>((CES_kor!G8)/100)*CES_kor!$B$10</f>
        <v>0</v>
      </c>
      <c r="G2" s="70">
        <f>((CES_kor!H8)/100)*CES_kor!$B$10</f>
        <v>0</v>
      </c>
      <c r="H2" s="70">
        <f>((CES_kor!I8)/100)*CES_kor!$B$10</f>
        <v>0</v>
      </c>
      <c r="I2" s="70">
        <f>((CES_kor!J8)/100)*CES_kor!$B$10</f>
        <v>0</v>
      </c>
      <c r="J2" s="70">
        <f>((CES_kor!K8)/100)*CES_kor!$B$10</f>
        <v>0</v>
      </c>
      <c r="K2" s="70">
        <f>((CES_kor!L8)/100)*CES_kor!$B$10</f>
        <v>0</v>
      </c>
      <c r="L2" s="70">
        <f>((CES_kor!M8)/100)*CES_kor!$B$10</f>
        <v>0</v>
      </c>
      <c r="M2" s="70">
        <f>((CES_kor!N8)/100)*CES_kor!$B$10</f>
        <v>0</v>
      </c>
      <c r="N2" s="70">
        <f>((CES_kor!O8)/100)*CES_kor!$B$10</f>
        <v>0</v>
      </c>
      <c r="O2" s="70">
        <f>((CES_kor!P8)/100)*CES_kor!$B$10</f>
        <v>0</v>
      </c>
      <c r="P2" s="70">
        <f>((CES_kor!Q8)/100)*CES_kor!$B$10</f>
        <v>0</v>
      </c>
      <c r="Q2" s="70">
        <f>((CES_kor!R8)/100)*CES_kor!$B$10</f>
        <v>0</v>
      </c>
      <c r="R2" s="70">
        <f>((CES_kor!S8)/100)*CES_kor!$B$10</f>
        <v>0</v>
      </c>
      <c r="S2" s="70">
        <f>((CES_kor!T8)/100)*CES_kor!$B$10</f>
        <v>0</v>
      </c>
      <c r="T2" s="70">
        <f>(S2)*CES_kor!$B$10</f>
        <v>0</v>
      </c>
      <c r="U2" s="70">
        <f>(T2)*CES_kor!$B$10</f>
        <v>0</v>
      </c>
      <c r="V2" s="70">
        <f>(U2)*CES_kor!$B$10</f>
        <v>0</v>
      </c>
      <c r="W2" s="70">
        <f>(V2)*CES_kor!$B$10</f>
        <v>0</v>
      </c>
      <c r="X2" s="70">
        <f>(W2)*CES_kor!$B$10</f>
        <v>0</v>
      </c>
      <c r="Y2" s="70">
        <f>(X2)*CES_kor!$B$10</f>
        <v>0</v>
      </c>
      <c r="Z2" s="70">
        <f>(Y2)*CES_kor!$B$10</f>
        <v>0</v>
      </c>
      <c r="AA2" s="70">
        <f>(Z2)*CES_kor!$B$10</f>
        <v>0</v>
      </c>
      <c r="AB2" s="70">
        <f>(AA2)*CES_kor!$B$10</f>
        <v>0</v>
      </c>
      <c r="AC2" s="70">
        <f>(AB2)*CES_kor!$B$10</f>
        <v>0</v>
      </c>
      <c r="AD2" s="70">
        <f>(AC2)*CES_kor!$B$10</f>
        <v>0</v>
      </c>
      <c r="AE2" s="70">
        <f>(AD2)*CES_kor!$B$10</f>
        <v>0</v>
      </c>
      <c r="AF2" s="70">
        <f t="shared" ref="AF2:AY2" si="0">AE2</f>
        <v>0</v>
      </c>
      <c r="AG2" s="70">
        <f t="shared" si="0"/>
        <v>0</v>
      </c>
      <c r="AH2" s="70">
        <f t="shared" si="0"/>
        <v>0</v>
      </c>
      <c r="AI2" s="70">
        <f t="shared" si="0"/>
        <v>0</v>
      </c>
      <c r="AJ2" s="70">
        <f t="shared" si="0"/>
        <v>0</v>
      </c>
      <c r="AK2" s="70">
        <f t="shared" si="0"/>
        <v>0</v>
      </c>
      <c r="AL2" s="70">
        <f t="shared" si="0"/>
        <v>0</v>
      </c>
      <c r="AM2" s="70">
        <f t="shared" si="0"/>
        <v>0</v>
      </c>
      <c r="AN2" s="70">
        <f t="shared" si="0"/>
        <v>0</v>
      </c>
      <c r="AO2" s="70">
        <f t="shared" si="0"/>
        <v>0</v>
      </c>
      <c r="AP2" s="70">
        <f t="shared" si="0"/>
        <v>0</v>
      </c>
      <c r="AQ2" s="70">
        <f t="shared" si="0"/>
        <v>0</v>
      </c>
      <c r="AR2" s="70">
        <f t="shared" si="0"/>
        <v>0</v>
      </c>
      <c r="AS2" s="70">
        <f t="shared" si="0"/>
        <v>0</v>
      </c>
      <c r="AT2" s="70">
        <f t="shared" si="0"/>
        <v>0</v>
      </c>
      <c r="AU2" s="70">
        <f t="shared" si="0"/>
        <v>0</v>
      </c>
      <c r="AV2" s="70">
        <f t="shared" si="0"/>
        <v>0</v>
      </c>
      <c r="AW2" s="70">
        <f t="shared" si="0"/>
        <v>0</v>
      </c>
      <c r="AX2" s="70">
        <f t="shared" si="0"/>
        <v>0</v>
      </c>
      <c r="AY2" s="70">
        <f t="shared" si="0"/>
        <v>0</v>
      </c>
      <c r="AZ2" s="70">
        <f t="shared" ref="AZ2:CC2" si="1">AY2</f>
        <v>0</v>
      </c>
      <c r="BA2" s="70">
        <f t="shared" si="1"/>
        <v>0</v>
      </c>
      <c r="BB2" s="70">
        <f t="shared" si="1"/>
        <v>0</v>
      </c>
      <c r="BC2" s="70">
        <f t="shared" si="1"/>
        <v>0</v>
      </c>
      <c r="BD2" s="70">
        <f t="shared" si="1"/>
        <v>0</v>
      </c>
      <c r="BE2" s="70">
        <f t="shared" si="1"/>
        <v>0</v>
      </c>
      <c r="BF2" s="70">
        <f t="shared" si="1"/>
        <v>0</v>
      </c>
      <c r="BG2" s="70">
        <f t="shared" si="1"/>
        <v>0</v>
      </c>
      <c r="BH2" s="70">
        <f t="shared" si="1"/>
        <v>0</v>
      </c>
      <c r="BI2" s="70">
        <f t="shared" si="1"/>
        <v>0</v>
      </c>
      <c r="BJ2" s="70">
        <f t="shared" si="1"/>
        <v>0</v>
      </c>
      <c r="BK2" s="70">
        <f t="shared" si="1"/>
        <v>0</v>
      </c>
      <c r="BL2" s="70">
        <f t="shared" si="1"/>
        <v>0</v>
      </c>
      <c r="BM2" s="70">
        <f t="shared" si="1"/>
        <v>0</v>
      </c>
      <c r="BN2" s="70">
        <f t="shared" si="1"/>
        <v>0</v>
      </c>
      <c r="BO2" s="70">
        <f t="shared" si="1"/>
        <v>0</v>
      </c>
      <c r="BP2" s="70">
        <f t="shared" si="1"/>
        <v>0</v>
      </c>
      <c r="BQ2" s="70">
        <f t="shared" si="1"/>
        <v>0</v>
      </c>
      <c r="BR2" s="70">
        <f t="shared" si="1"/>
        <v>0</v>
      </c>
      <c r="BS2" s="70">
        <f t="shared" si="1"/>
        <v>0</v>
      </c>
      <c r="BT2" s="70">
        <f t="shared" si="1"/>
        <v>0</v>
      </c>
      <c r="BU2" s="70">
        <f t="shared" si="1"/>
        <v>0</v>
      </c>
      <c r="BV2" s="70">
        <f t="shared" si="1"/>
        <v>0</v>
      </c>
      <c r="BW2" s="70">
        <f t="shared" si="1"/>
        <v>0</v>
      </c>
      <c r="BX2" s="70">
        <f t="shared" si="1"/>
        <v>0</v>
      </c>
      <c r="BY2" s="70">
        <f t="shared" si="1"/>
        <v>0</v>
      </c>
      <c r="BZ2" s="70">
        <f t="shared" si="1"/>
        <v>0</v>
      </c>
      <c r="CA2" s="70">
        <f t="shared" si="1"/>
        <v>0</v>
      </c>
      <c r="CB2" s="70">
        <f t="shared" si="1"/>
        <v>0</v>
      </c>
      <c r="CC2" s="70">
        <f t="shared" si="1"/>
        <v>0</v>
      </c>
    </row>
    <row r="3" spans="1:81">
      <c r="A3" t="s">
        <v>113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0</v>
      </c>
      <c r="BM3" s="16">
        <v>0</v>
      </c>
      <c r="BN3" s="16">
        <v>0</v>
      </c>
      <c r="BO3" s="16">
        <v>0</v>
      </c>
      <c r="BP3" s="16">
        <v>0</v>
      </c>
      <c r="BQ3" s="16">
        <v>0</v>
      </c>
      <c r="BR3" s="16">
        <v>0</v>
      </c>
      <c r="BS3" s="16">
        <v>0</v>
      </c>
      <c r="BT3" s="16">
        <v>0</v>
      </c>
      <c r="BU3" s="16">
        <v>0</v>
      </c>
      <c r="BV3" s="16">
        <v>0</v>
      </c>
      <c r="BW3" s="16">
        <v>0</v>
      </c>
      <c r="BX3" s="16">
        <v>0</v>
      </c>
      <c r="BY3" s="16">
        <v>0</v>
      </c>
      <c r="BZ3" s="16">
        <v>0</v>
      </c>
      <c r="CA3" s="16">
        <v>0</v>
      </c>
      <c r="CB3" s="16">
        <v>0</v>
      </c>
      <c r="CC3" s="16">
        <v>0</v>
      </c>
    </row>
    <row r="4" spans="1:81">
      <c r="A4" t="s">
        <v>114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</row>
    <row r="5" spans="1:81">
      <c r="A5" t="s">
        <v>115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</row>
    <row r="6" spans="1:81">
      <c r="A6" t="s">
        <v>116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</row>
    <row r="7" spans="1:81">
      <c r="A7" t="s">
        <v>117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</row>
    <row r="8" spans="1:81">
      <c r="A8" t="s">
        <v>118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</row>
    <row r="9" spans="1:81">
      <c r="A9" t="s">
        <v>119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</row>
    <row r="10" spans="1:81">
      <c r="A10" t="s">
        <v>120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</row>
    <row r="11" spans="1:81">
      <c r="A11" t="s">
        <v>121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</row>
    <row r="12" spans="1:81">
      <c r="A12" t="s">
        <v>122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</row>
    <row r="13" spans="1:81">
      <c r="A13" t="s">
        <v>123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</row>
    <row r="14" spans="1:81">
      <c r="A14" t="s">
        <v>124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</row>
    <row r="15" spans="1:81">
      <c r="A15" t="s">
        <v>125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</row>
    <row r="16" spans="1:81">
      <c r="A16" t="s">
        <v>126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</row>
    <row r="17" spans="1:81">
      <c r="A17" t="s">
        <v>127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</row>
    <row r="18" spans="1:81">
      <c r="A18" t="s">
        <v>128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</row>
    <row r="19" spans="1:81">
      <c r="A19" t="s">
        <v>129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</row>
    <row r="20" spans="1:81">
      <c r="A20" t="s">
        <v>130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</row>
    <row r="21" spans="1:81">
      <c r="A21" t="s">
        <v>131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</row>
    <row r="22" spans="1:81">
      <c r="A22" t="s">
        <v>132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</row>
    <row r="23" spans="1:81">
      <c r="A23" t="s">
        <v>133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</row>
    <row r="24" spans="1:81">
      <c r="A24" t="s">
        <v>134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</row>
    <row r="25" spans="1:81">
      <c r="A25" t="s">
        <v>135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</row>
    <row r="26" spans="1:81">
      <c r="A26" t="s">
        <v>136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</row>
    <row r="27" spans="1:81">
      <c r="A27" t="s">
        <v>137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</row>
    <row r="28" spans="1:81">
      <c r="A28" t="s">
        <v>138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</row>
    <row r="29" spans="1:81">
      <c r="A29" t="s">
        <v>139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</row>
    <row r="30" spans="1:81">
      <c r="A30" t="s">
        <v>140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</row>
    <row r="31" spans="1:81">
      <c r="A31" t="s">
        <v>141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</row>
    <row r="32" spans="1:81">
      <c r="A32" t="s">
        <v>142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</row>
    <row r="33" spans="1:81">
      <c r="A33" t="s">
        <v>143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</row>
    <row r="34" spans="1:81">
      <c r="A34" t="s">
        <v>144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</row>
    <row r="35" spans="1:81">
      <c r="A35" t="s">
        <v>145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</row>
    <row r="36" spans="1:81">
      <c r="A36" t="s">
        <v>146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</row>
    <row r="37" spans="1:81">
      <c r="A37" t="s">
        <v>147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</row>
    <row r="38" spans="1:81">
      <c r="A38" t="s">
        <v>148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</row>
    <row r="39" spans="1:81">
      <c r="A39" t="s">
        <v>149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</row>
    <row r="40" spans="1:81">
      <c r="A40" t="s">
        <v>150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</row>
    <row r="41" spans="1:81">
      <c r="A41" t="s">
        <v>151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</row>
    <row r="42" spans="1:81">
      <c r="A42" t="s">
        <v>152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</row>
    <row r="43" spans="1:81">
      <c r="A43" t="s">
        <v>153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</row>
    <row r="44" spans="1:81">
      <c r="A44" t="s">
        <v>154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</row>
    <row r="45" spans="1:81">
      <c r="A45" t="s">
        <v>155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</row>
    <row r="46" spans="1:81">
      <c r="A46" t="s">
        <v>156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</row>
    <row r="47" spans="1:81">
      <c r="A47" t="s">
        <v>157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</row>
    <row r="48" spans="1:81">
      <c r="A48" t="s">
        <v>158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</row>
    <row r="49" spans="1:81">
      <c r="A49" t="s">
        <v>159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</row>
    <row r="50" spans="1:81">
      <c r="A50" t="s">
        <v>160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</row>
    <row r="51" spans="1:81">
      <c r="A51" t="s">
        <v>161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</row>
    <row r="52" spans="1:81">
      <c r="A52" t="s">
        <v>162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</row>
    <row r="53" spans="1:81">
      <c r="A53" t="s">
        <v>83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</row>
    <row r="54" spans="1:81">
      <c r="A54" t="s">
        <v>84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</row>
    <row r="55" spans="1:81">
      <c r="A55" t="s">
        <v>85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</row>
    <row r="56" spans="1:81">
      <c r="A56" t="s">
        <v>86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</row>
    <row r="57" spans="1:81">
      <c r="A57" t="s">
        <v>87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</row>
    <row r="58" spans="1:81">
      <c r="A58" t="s">
        <v>88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</row>
    <row r="59" spans="1:81">
      <c r="A59" t="s">
        <v>89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</row>
    <row r="60" spans="1:81">
      <c r="A60" t="s">
        <v>90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</row>
    <row r="61" spans="1:81">
      <c r="A61" t="s">
        <v>91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</row>
  </sheetData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39EC-09AE-44C2-9AF5-0FE7EA4D095A}">
  <sheetPr>
    <tabColor theme="3"/>
  </sheetPr>
  <dimension ref="A1:CC61"/>
  <sheetViews>
    <sheetView workbookViewId="0">
      <selection activeCell="B1" sqref="B1"/>
    </sheetView>
  </sheetViews>
  <sheetFormatPr defaultRowHeight="14.5"/>
  <cols>
    <col min="1" max="1" width="20" customWidth="1"/>
    <col min="2" max="2" width="20.26953125" bestFit="1" customWidth="1"/>
  </cols>
  <sheetData>
    <row r="1" spans="1:81">
      <c r="A1" s="7" t="s">
        <v>163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</row>
    <row r="2" spans="1:81">
      <c r="A2" t="s">
        <v>112</v>
      </c>
      <c r="B2" s="12">
        <f>RPS_basis!B20</f>
        <v>5.3308997197454321E-2</v>
      </c>
      <c r="C2" s="12">
        <f>RPS_basis!C20</f>
        <v>7.4040273885353225E-2</v>
      </c>
      <c r="D2" s="12">
        <f>RPS_basis!D20</f>
        <v>7.7001884840767351E-2</v>
      </c>
      <c r="E2" s="12">
        <f>RPS_basis!E20</f>
        <v>7.9963495796181491E-2</v>
      </c>
      <c r="F2" s="12">
        <f>RPS_basis!F20</f>
        <v>8.2925106751595618E-2</v>
      </c>
      <c r="G2" s="12">
        <f>RPS_basis!G20</f>
        <v>8.884832866242387E-2</v>
      </c>
      <c r="H2" s="12">
        <f>RPS_basis!H20</f>
        <v>0</v>
      </c>
      <c r="I2" s="12">
        <f>RPS_basis!I20</f>
        <v>0</v>
      </c>
      <c r="J2" s="12">
        <f>RPS_basis!J20</f>
        <v>0</v>
      </c>
      <c r="K2" s="12">
        <f>RPS_basis!K20</f>
        <v>0</v>
      </c>
      <c r="L2" s="12">
        <f>RPS_basis!L20</f>
        <v>0</v>
      </c>
      <c r="M2" s="12">
        <f>RPS_basis!M20</f>
        <v>0</v>
      </c>
      <c r="N2" s="12">
        <f>RPS_basis!N20</f>
        <v>0</v>
      </c>
      <c r="O2" s="12">
        <f>RPS_basis!O20</f>
        <v>0</v>
      </c>
      <c r="P2" s="12">
        <f>RPS_basis!P20</f>
        <v>0</v>
      </c>
      <c r="Q2" s="12">
        <f>RPS_basis!Q20</f>
        <v>0</v>
      </c>
      <c r="R2" s="12">
        <f>RPS_basis!R20</f>
        <v>0</v>
      </c>
      <c r="S2" s="12">
        <f>RPS_basis!S20</f>
        <v>0</v>
      </c>
      <c r="T2" s="12">
        <f>RPS_basis!T20</f>
        <v>0</v>
      </c>
      <c r="U2" s="12">
        <f>RPS_basis!U20</f>
        <v>0</v>
      </c>
      <c r="V2" s="12">
        <f>RPS_basis!V20</f>
        <v>0</v>
      </c>
      <c r="W2" s="12">
        <f>RPS_basis!W20</f>
        <v>0</v>
      </c>
      <c r="X2" s="12">
        <f>RPS_basis!X20</f>
        <v>0</v>
      </c>
      <c r="Y2" s="12">
        <f>RPS_basis!Y20</f>
        <v>0</v>
      </c>
      <c r="Z2" s="12">
        <f>RPS_basis!Z20</f>
        <v>0</v>
      </c>
      <c r="AA2" s="12">
        <f>RPS_basis!AA20</f>
        <v>0</v>
      </c>
      <c r="AB2" s="12">
        <f>RPS_basis!AB20</f>
        <v>0</v>
      </c>
      <c r="AC2" s="12">
        <f>RPS_basis!AC20</f>
        <v>0</v>
      </c>
      <c r="AD2" s="12">
        <f>RPS_basis!AD20</f>
        <v>0</v>
      </c>
      <c r="AE2" s="12">
        <f>RPS_basis!AE20</f>
        <v>0</v>
      </c>
      <c r="AF2" s="12">
        <f>RPS_basis!AF20</f>
        <v>0</v>
      </c>
      <c r="AG2" s="12">
        <f>RPS_basis!AG20</f>
        <v>0</v>
      </c>
      <c r="AH2" s="12">
        <f>RPS_basis!AH20</f>
        <v>0</v>
      </c>
      <c r="AI2" s="12">
        <f>RPS_basis!AI20</f>
        <v>0</v>
      </c>
      <c r="AJ2" s="12">
        <f>RPS_basis!AJ20</f>
        <v>0</v>
      </c>
      <c r="AK2" s="12">
        <f>RPS_basis!AK20</f>
        <v>0</v>
      </c>
      <c r="AL2" s="12">
        <f>RPS_basis!AL20</f>
        <v>0</v>
      </c>
      <c r="AM2" s="12">
        <f>RPS_basis!AM20</f>
        <v>0</v>
      </c>
      <c r="AN2" s="12">
        <f>RPS_basis!AN20</f>
        <v>0</v>
      </c>
      <c r="AO2" s="12">
        <f>RPS_basis!AO20</f>
        <v>0</v>
      </c>
      <c r="AP2" s="12">
        <f>RPS_basis!AP20</f>
        <v>0</v>
      </c>
      <c r="AQ2" s="12">
        <f>RPS_basis!AQ20</f>
        <v>0</v>
      </c>
      <c r="AR2" s="12">
        <f>RPS_basis!AR20</f>
        <v>0</v>
      </c>
      <c r="AS2" s="12">
        <f>RPS_basis!AS20</f>
        <v>0</v>
      </c>
      <c r="AT2" s="12">
        <f>RPS_basis!AT20</f>
        <v>0</v>
      </c>
      <c r="AU2" s="12">
        <f>RPS_basis!AU20</f>
        <v>0</v>
      </c>
      <c r="AV2" s="12">
        <f>RPS_basis!AV20</f>
        <v>0</v>
      </c>
      <c r="AW2" s="12">
        <f>RPS_basis!AW20</f>
        <v>0</v>
      </c>
      <c r="AX2" s="12">
        <f>RPS_basis!AX20</f>
        <v>0</v>
      </c>
      <c r="AY2" s="12">
        <f>RPS_basis!AY20</f>
        <v>0</v>
      </c>
      <c r="AZ2" s="12">
        <f>RPS_basis!AZ20</f>
        <v>0</v>
      </c>
      <c r="BA2" s="12">
        <f>RPS_basis!BA20</f>
        <v>0</v>
      </c>
      <c r="BB2" s="12">
        <f>RPS_basis!BB20</f>
        <v>0</v>
      </c>
      <c r="BC2" s="12">
        <f>RPS_basis!BC20</f>
        <v>0</v>
      </c>
      <c r="BD2" s="12">
        <f>RPS_basis!BD20</f>
        <v>0</v>
      </c>
      <c r="BE2" s="12">
        <f>RPS_basis!BE20</f>
        <v>0</v>
      </c>
      <c r="BF2" s="12">
        <f>RPS_basis!BF20</f>
        <v>0</v>
      </c>
      <c r="BG2" s="12">
        <f>RPS_basis!BG20</f>
        <v>0</v>
      </c>
      <c r="BH2" s="12">
        <f>RPS_basis!BH20</f>
        <v>0</v>
      </c>
      <c r="BI2" s="12">
        <f>RPS_basis!BI20</f>
        <v>0</v>
      </c>
      <c r="BJ2" s="12">
        <f>RPS_basis!BJ20</f>
        <v>0</v>
      </c>
      <c r="BK2" s="12">
        <f>RPS_basis!BK20</f>
        <v>0</v>
      </c>
      <c r="BL2" s="12">
        <f>RPS_basis!BL20</f>
        <v>0</v>
      </c>
      <c r="BM2" s="12">
        <f>RPS_basis!BM20</f>
        <v>0</v>
      </c>
      <c r="BN2" s="12">
        <f>RPS_basis!BN20</f>
        <v>0</v>
      </c>
      <c r="BO2" s="12">
        <f>RPS_basis!BO20</f>
        <v>0</v>
      </c>
      <c r="BP2" s="12">
        <f>RPS_basis!BP20</f>
        <v>0</v>
      </c>
      <c r="BQ2" s="12">
        <f>RPS_basis!BQ20</f>
        <v>0</v>
      </c>
      <c r="BR2" s="12">
        <f>RPS_basis!BR20</f>
        <v>0</v>
      </c>
      <c r="BS2" s="12">
        <f>RPS_basis!BS20</f>
        <v>0</v>
      </c>
      <c r="BT2" s="12">
        <f>RPS_basis!BT20</f>
        <v>0</v>
      </c>
      <c r="BU2" s="12">
        <f>RPS_basis!BU20</f>
        <v>0</v>
      </c>
      <c r="BV2" s="12">
        <f>RPS_basis!BV20</f>
        <v>0</v>
      </c>
      <c r="BW2" s="12">
        <f>RPS_basis!BW20</f>
        <v>0</v>
      </c>
      <c r="BX2" s="12">
        <f>RPS_basis!BX20</f>
        <v>0</v>
      </c>
      <c r="BY2" s="12">
        <f>RPS_basis!BY20</f>
        <v>0</v>
      </c>
      <c r="BZ2" s="12">
        <f>RPS_basis!BZ20</f>
        <v>0</v>
      </c>
      <c r="CA2" s="12">
        <f>RPS_basis!CA20</f>
        <v>0</v>
      </c>
      <c r="CB2" s="12">
        <f>RPS_basis!CB20</f>
        <v>0</v>
      </c>
      <c r="CC2" s="12">
        <f>RPS_basis!CC20</f>
        <v>0</v>
      </c>
    </row>
    <row r="3" spans="1:81">
      <c r="A3" t="s">
        <v>113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 t="s">
        <v>115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 t="s">
        <v>117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 t="s">
        <v>119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 t="s">
        <v>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 t="s">
        <v>121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 t="s">
        <v>122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 t="s">
        <v>123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 t="s">
        <v>124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 t="s">
        <v>125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 t="s">
        <v>126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 t="s">
        <v>127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 t="s">
        <v>128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 t="s">
        <v>129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 t="s">
        <v>130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 t="s">
        <v>131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 t="s">
        <v>132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 t="s">
        <v>133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 t="s">
        <v>134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 t="s">
        <v>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 t="s">
        <v>137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 t="s">
        <v>138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 t="s">
        <v>139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 t="s">
        <v>140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 t="s">
        <v>141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 t="s">
        <v>142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 t="s">
        <v>143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 t="s">
        <v>144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 t="s">
        <v>145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 t="s">
        <v>146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 t="s">
        <v>147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 t="s">
        <v>148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 t="s">
        <v>149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 t="s">
        <v>150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 t="s">
        <v>151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 t="s">
        <v>152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 t="s">
        <v>153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 t="s">
        <v>154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 t="s">
        <v>155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 t="s">
        <v>156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 t="s">
        <v>157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 t="s">
        <v>158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 t="s">
        <v>159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>
      <c r="A50" t="s">
        <v>160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>
      <c r="A51" t="s">
        <v>161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>
      <c r="A52" t="s">
        <v>162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>
      <c r="A53" t="s">
        <v>83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>
      <c r="A54" t="s">
        <v>84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>
      <c r="A55" t="s">
        <v>85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>
      <c r="A56" t="s">
        <v>86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>
      <c r="A57" t="s">
        <v>87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>
      <c r="A58" t="s">
        <v>88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>
      <c r="A59" t="s">
        <v>89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>
      <c r="A60" t="s">
        <v>90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>
      <c r="A61" t="s">
        <v>91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</sheetData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DDD9-F469-4382-A6A6-67E0266F5961}">
  <sheetPr>
    <tabColor theme="3"/>
  </sheetPr>
  <dimension ref="A1:B61"/>
  <sheetViews>
    <sheetView workbookViewId="0"/>
  </sheetViews>
  <sheetFormatPr defaultRowHeight="14.5"/>
  <cols>
    <col min="1" max="1" width="20" customWidth="1"/>
    <col min="2" max="2" width="14.26953125" style="11" customWidth="1"/>
  </cols>
  <sheetData>
    <row r="1" spans="1:2">
      <c r="A1" s="7" t="s">
        <v>95</v>
      </c>
      <c r="B1" s="9" t="s">
        <v>110</v>
      </c>
    </row>
    <row r="2" spans="1:2">
      <c r="A2" t="s">
        <v>112</v>
      </c>
      <c r="B2" s="10">
        <v>1</v>
      </c>
    </row>
    <row r="3" spans="1:2">
      <c r="A3" t="s">
        <v>113</v>
      </c>
      <c r="B3" s="10">
        <v>0</v>
      </c>
    </row>
    <row r="4" spans="1:2">
      <c r="A4" t="s">
        <v>114</v>
      </c>
      <c r="B4" s="10">
        <v>0</v>
      </c>
    </row>
    <row r="5" spans="1:2">
      <c r="A5" t="s">
        <v>115</v>
      </c>
      <c r="B5" s="10">
        <v>0</v>
      </c>
    </row>
    <row r="6" spans="1:2">
      <c r="A6" t="s">
        <v>116</v>
      </c>
      <c r="B6" s="10">
        <v>0</v>
      </c>
    </row>
    <row r="7" spans="1:2">
      <c r="A7" t="s">
        <v>117</v>
      </c>
      <c r="B7" s="10">
        <v>0</v>
      </c>
    </row>
    <row r="8" spans="1:2">
      <c r="A8" t="s">
        <v>118</v>
      </c>
      <c r="B8" s="10">
        <v>0</v>
      </c>
    </row>
    <row r="9" spans="1:2">
      <c r="A9" t="s">
        <v>119</v>
      </c>
      <c r="B9" s="10">
        <v>0</v>
      </c>
    </row>
    <row r="10" spans="1:2">
      <c r="A10" t="s">
        <v>120</v>
      </c>
      <c r="B10" s="10">
        <v>0</v>
      </c>
    </row>
    <row r="11" spans="1:2">
      <c r="A11" t="s">
        <v>121</v>
      </c>
      <c r="B11" s="10">
        <v>0</v>
      </c>
    </row>
    <row r="12" spans="1:2">
      <c r="A12" t="s">
        <v>122</v>
      </c>
      <c r="B12" s="10">
        <v>0</v>
      </c>
    </row>
    <row r="13" spans="1:2">
      <c r="A13" t="s">
        <v>123</v>
      </c>
      <c r="B13" s="10">
        <v>0</v>
      </c>
    </row>
    <row r="14" spans="1:2">
      <c r="A14" t="s">
        <v>124</v>
      </c>
      <c r="B14" s="10">
        <v>0</v>
      </c>
    </row>
    <row r="15" spans="1:2">
      <c r="A15" t="s">
        <v>125</v>
      </c>
      <c r="B15" s="10">
        <v>0</v>
      </c>
    </row>
    <row r="16" spans="1:2">
      <c r="A16" t="s">
        <v>126</v>
      </c>
      <c r="B16" s="10">
        <v>0</v>
      </c>
    </row>
    <row r="17" spans="1:2">
      <c r="A17" t="s">
        <v>127</v>
      </c>
      <c r="B17" s="10">
        <v>0</v>
      </c>
    </row>
    <row r="18" spans="1:2">
      <c r="A18" t="s">
        <v>128</v>
      </c>
      <c r="B18" s="10">
        <v>0</v>
      </c>
    </row>
    <row r="19" spans="1:2">
      <c r="A19" t="s">
        <v>129</v>
      </c>
      <c r="B19" s="10">
        <v>0</v>
      </c>
    </row>
    <row r="20" spans="1:2">
      <c r="A20" t="s">
        <v>130</v>
      </c>
      <c r="B20" s="10">
        <v>0</v>
      </c>
    </row>
    <row r="21" spans="1:2">
      <c r="A21" t="s">
        <v>131</v>
      </c>
      <c r="B21" s="10">
        <v>0</v>
      </c>
    </row>
    <row r="22" spans="1:2">
      <c r="A22" t="s">
        <v>132</v>
      </c>
      <c r="B22" s="10">
        <v>0</v>
      </c>
    </row>
    <row r="23" spans="1:2">
      <c r="A23" t="s">
        <v>133</v>
      </c>
      <c r="B23" s="10">
        <v>0</v>
      </c>
    </row>
    <row r="24" spans="1:2">
      <c r="A24" t="s">
        <v>134</v>
      </c>
      <c r="B24" s="10">
        <v>0</v>
      </c>
    </row>
    <row r="25" spans="1:2">
      <c r="A25" t="s">
        <v>135</v>
      </c>
      <c r="B25" s="10">
        <v>0</v>
      </c>
    </row>
    <row r="26" spans="1:2">
      <c r="A26" t="s">
        <v>136</v>
      </c>
      <c r="B26" s="10">
        <v>0</v>
      </c>
    </row>
    <row r="27" spans="1:2">
      <c r="A27" t="s">
        <v>137</v>
      </c>
      <c r="B27" s="10">
        <v>0</v>
      </c>
    </row>
    <row r="28" spans="1:2">
      <c r="A28" t="s">
        <v>138</v>
      </c>
      <c r="B28" s="10">
        <v>0</v>
      </c>
    </row>
    <row r="29" spans="1:2">
      <c r="A29" t="s">
        <v>139</v>
      </c>
      <c r="B29" s="10">
        <v>0</v>
      </c>
    </row>
    <row r="30" spans="1:2">
      <c r="A30" t="s">
        <v>140</v>
      </c>
      <c r="B30" s="10">
        <v>0</v>
      </c>
    </row>
    <row r="31" spans="1:2">
      <c r="A31" t="s">
        <v>141</v>
      </c>
      <c r="B31" s="10">
        <v>0</v>
      </c>
    </row>
    <row r="32" spans="1:2">
      <c r="A32" t="s">
        <v>142</v>
      </c>
      <c r="B32" s="10">
        <v>0</v>
      </c>
    </row>
    <row r="33" spans="1:2">
      <c r="A33" t="s">
        <v>143</v>
      </c>
      <c r="B33" s="10">
        <v>0</v>
      </c>
    </row>
    <row r="34" spans="1:2">
      <c r="A34" t="s">
        <v>144</v>
      </c>
      <c r="B34" s="10">
        <v>0</v>
      </c>
    </row>
    <row r="35" spans="1:2">
      <c r="A35" t="s">
        <v>145</v>
      </c>
      <c r="B35" s="10">
        <v>0</v>
      </c>
    </row>
    <row r="36" spans="1:2">
      <c r="A36" t="s">
        <v>146</v>
      </c>
      <c r="B36" s="10">
        <v>0</v>
      </c>
    </row>
    <row r="37" spans="1:2">
      <c r="A37" t="s">
        <v>147</v>
      </c>
      <c r="B37" s="10">
        <v>0</v>
      </c>
    </row>
    <row r="38" spans="1:2">
      <c r="A38" t="s">
        <v>148</v>
      </c>
      <c r="B38" s="10">
        <v>0</v>
      </c>
    </row>
    <row r="39" spans="1:2">
      <c r="A39" t="s">
        <v>149</v>
      </c>
      <c r="B39" s="10">
        <v>0</v>
      </c>
    </row>
    <row r="40" spans="1:2">
      <c r="A40" t="s">
        <v>150</v>
      </c>
      <c r="B40" s="10">
        <v>0</v>
      </c>
    </row>
    <row r="41" spans="1:2">
      <c r="A41" t="s">
        <v>151</v>
      </c>
      <c r="B41" s="10">
        <v>0</v>
      </c>
    </row>
    <row r="42" spans="1:2">
      <c r="A42" t="s">
        <v>152</v>
      </c>
      <c r="B42" s="10">
        <v>0</v>
      </c>
    </row>
    <row r="43" spans="1:2">
      <c r="A43" t="s">
        <v>153</v>
      </c>
      <c r="B43" s="10">
        <v>0</v>
      </c>
    </row>
    <row r="44" spans="1:2">
      <c r="A44" t="s">
        <v>154</v>
      </c>
      <c r="B44" s="10">
        <v>0</v>
      </c>
    </row>
    <row r="45" spans="1:2">
      <c r="A45" t="s">
        <v>155</v>
      </c>
      <c r="B45" s="10">
        <v>0</v>
      </c>
    </row>
    <row r="46" spans="1:2">
      <c r="A46" t="s">
        <v>156</v>
      </c>
      <c r="B46" s="10">
        <v>0</v>
      </c>
    </row>
    <row r="47" spans="1:2">
      <c r="A47" t="s">
        <v>157</v>
      </c>
      <c r="B47" s="10">
        <v>0</v>
      </c>
    </row>
    <row r="48" spans="1:2">
      <c r="A48" t="s">
        <v>158</v>
      </c>
      <c r="B48" s="10">
        <v>0</v>
      </c>
    </row>
    <row r="49" spans="1:2">
      <c r="A49" t="s">
        <v>159</v>
      </c>
      <c r="B49" s="10">
        <v>0</v>
      </c>
    </row>
    <row r="50" spans="1:2">
      <c r="A50" t="s">
        <v>160</v>
      </c>
      <c r="B50" s="10">
        <v>0</v>
      </c>
    </row>
    <row r="51" spans="1:2">
      <c r="A51" t="s">
        <v>161</v>
      </c>
      <c r="B51" s="10">
        <v>0</v>
      </c>
    </row>
    <row r="52" spans="1:2">
      <c r="A52" t="s">
        <v>162</v>
      </c>
      <c r="B52" s="10">
        <v>0</v>
      </c>
    </row>
    <row r="53" spans="1:2">
      <c r="A53" t="s">
        <v>83</v>
      </c>
      <c r="B53" s="10">
        <v>0</v>
      </c>
    </row>
    <row r="54" spans="1:2">
      <c r="A54" t="s">
        <v>84</v>
      </c>
      <c r="B54" s="10">
        <v>0</v>
      </c>
    </row>
    <row r="55" spans="1:2">
      <c r="A55" t="s">
        <v>85</v>
      </c>
      <c r="B55" s="10">
        <v>0</v>
      </c>
    </row>
    <row r="56" spans="1:2">
      <c r="A56" t="s">
        <v>86</v>
      </c>
      <c r="B56" s="10">
        <v>0</v>
      </c>
    </row>
    <row r="57" spans="1:2">
      <c r="A57" t="s">
        <v>87</v>
      </c>
      <c r="B57" s="10">
        <v>0</v>
      </c>
    </row>
    <row r="58" spans="1:2">
      <c r="A58" t="s">
        <v>88</v>
      </c>
      <c r="B58" s="10">
        <v>0</v>
      </c>
    </row>
    <row r="59" spans="1:2">
      <c r="A59" t="s">
        <v>89</v>
      </c>
      <c r="B59" s="10">
        <v>0</v>
      </c>
    </row>
    <row r="60" spans="1:2">
      <c r="A60" t="s">
        <v>90</v>
      </c>
      <c r="B60" s="10">
        <v>0</v>
      </c>
    </row>
    <row r="61" spans="1:2">
      <c r="A61" t="s">
        <v>91</v>
      </c>
      <c r="B61" s="10">
        <v>0</v>
      </c>
    </row>
  </sheetData>
  <phoneticPr fontId="2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5CECE-326A-4BF6-A74C-9A54CD69F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26A6D2-559B-4381-A873-3D2325889C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4DC507-1B00-4182-8466-350123371A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New n Renewable</vt:lpstr>
      <vt:lpstr>Power Generation by ES</vt:lpstr>
      <vt:lpstr>CES_kor</vt:lpstr>
      <vt:lpstr>RPS_basis</vt:lpstr>
      <vt:lpstr>RPS_kor</vt:lpstr>
      <vt:lpstr>BRPSDbS-CES-percentages</vt:lpstr>
      <vt:lpstr>BRPSDbS-RPS-percentages</vt:lpstr>
      <vt:lpstr>BRPSDbS-electricity-shares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2016-01-06T02:12:13Z</dcterms:created>
  <dcterms:modified xsi:type="dcterms:W3CDTF">2026-09-15T13:38:51Z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