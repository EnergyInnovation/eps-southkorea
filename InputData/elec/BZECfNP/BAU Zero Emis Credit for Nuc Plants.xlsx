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mahajan\Documents\eps-us\InputData\elec\BZECfNP\"/>
    </mc:Choice>
  </mc:AlternateContent>
  <xr:revisionPtr revIDLastSave="0" documentId="13_ncr:1_{B7C95D32-173E-43B1-AAF5-49BCDB4B8A52}" xr6:coauthVersionLast="47" xr6:coauthVersionMax="47" xr10:uidLastSave="{00000000-0000-0000-0000-000000000000}"/>
  <bookViews>
    <workbookView xWindow="-120" yWindow="-120" windowWidth="29040" windowHeight="17640" xr2:uid="{C5EFE8E4-8660-49B5-88C2-8D099D44E411}"/>
  </bookViews>
  <sheets>
    <sheet name="About" sheetId="1" r:id="rId1"/>
    <sheet name="BZECfN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3" i="2" l="1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C5" i="2"/>
  <c r="B23" i="2"/>
  <c r="B5" i="2"/>
  <c r="A19" i="1"/>
</calcChain>
</file>

<file path=xl/sharedStrings.xml><?xml version="1.0" encoding="utf-8"?>
<sst xmlns="http://schemas.openxmlformats.org/spreadsheetml/2006/main" count="38" uniqueCount="37">
  <si>
    <t>BZECfNP BAU Zero Emissions Credit for Nuclear Plants</t>
  </si>
  <si>
    <t>https://www.eia.gov/todayinenergy/detail.php?id=41534</t>
  </si>
  <si>
    <t>Source:</t>
  </si>
  <si>
    <t>EIA</t>
  </si>
  <si>
    <t>Today in Energy: Five states have implemented programs to assist nuclear power plants</t>
  </si>
  <si>
    <t>Notes</t>
  </si>
  <si>
    <t>This variable uses $/MWh data from states with programs to support nuclear plants,</t>
  </si>
  <si>
    <t>multiplied by the national share of nuclear plants that receive such support.</t>
  </si>
  <si>
    <t>Unit: 2012 $/MWh</t>
  </si>
  <si>
    <t>Average support in states that support nuclear plants</t>
  </si>
  <si>
    <t>$/MWh</t>
  </si>
  <si>
    <t>Share of nuclear capacity receiving support</t>
  </si>
  <si>
    <t>National average support for nuclear plants</t>
  </si>
  <si>
    <t>hard coal</t>
  </si>
  <si>
    <t>natural gas steam turbine</t>
  </si>
  <si>
    <t>natural gas combustion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</si>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</sst>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9" fontId="0" fillId="0" borderId="0" xfId="0" applyNumberFormat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ia.gov/todayinenergy/detail.php?id=4153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4FED-1FE2-4888-B6B4-6A2AD33A9CF5}">
  <dimension ref="A1:B19"/>
  <sheetViews>
    <sheetView tabSelected="1" workbookViewId="0"/>
  </sheetViews>
  <sheetFormatPr defaultRowHeight="15" x14ac:dyDescent="0.25"/>
  <sheetData>
    <row r="1" spans="1:2" x14ac:dyDescent="0.25">
      <c r="A1" s="1" t="s">
        <v>0</v>
      </c>
    </row>
    <row r="3" spans="1:2" x14ac:dyDescent="0.25">
      <c r="A3" s="1" t="s">
        <v>2</v>
      </c>
      <c r="B3" t="s">
        <v>3</v>
      </c>
    </row>
    <row r="4" spans="1:2" x14ac:dyDescent="0.25">
      <c r="B4" s="4">
        <v>2019</v>
      </c>
    </row>
    <row r="5" spans="1:2" x14ac:dyDescent="0.25">
      <c r="B5" t="s">
        <v>4</v>
      </c>
    </row>
    <row r="6" spans="1:2" x14ac:dyDescent="0.25">
      <c r="B6" s="3" t="s">
        <v>1</v>
      </c>
    </row>
    <row r="8" spans="1:2" x14ac:dyDescent="0.25">
      <c r="A8" s="1" t="s">
        <v>5</v>
      </c>
    </row>
    <row r="9" spans="1:2" x14ac:dyDescent="0.25">
      <c r="A9" t="s">
        <v>6</v>
      </c>
    </row>
    <row r="10" spans="1:2" x14ac:dyDescent="0.25">
      <c r="A10" t="s">
        <v>7</v>
      </c>
    </row>
    <row r="12" spans="1:2" x14ac:dyDescent="0.25">
      <c r="A12" t="s">
        <v>9</v>
      </c>
    </row>
    <row r="13" spans="1:2" x14ac:dyDescent="0.25">
      <c r="A13">
        <v>15</v>
      </c>
      <c r="B13" t="s">
        <v>10</v>
      </c>
    </row>
    <row r="15" spans="1:2" x14ac:dyDescent="0.25">
      <c r="A15" t="s">
        <v>11</v>
      </c>
    </row>
    <row r="16" spans="1:2" x14ac:dyDescent="0.25">
      <c r="A16" s="5">
        <v>0.13</v>
      </c>
    </row>
    <row r="18" spans="1:2" x14ac:dyDescent="0.25">
      <c r="A18" t="s">
        <v>12</v>
      </c>
    </row>
    <row r="19" spans="1:2" x14ac:dyDescent="0.25">
      <c r="A19" s="6">
        <f>A13*A16</f>
        <v>1.9500000000000002</v>
      </c>
      <c r="B19" t="s">
        <v>10</v>
      </c>
    </row>
  </sheetData>
  <hyperlinks>
    <hyperlink ref="B6" r:id="rId1" xr:uid="{38FE5B1C-E80A-4CEC-A33A-AF7B4113C86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1EE28-FA43-4667-9C9B-C8367E936C88}">
  <sheetPr>
    <tabColor theme="4" tint="-0.249977111117893"/>
  </sheetPr>
  <dimension ref="A1:AE25"/>
  <sheetViews>
    <sheetView topLeftCell="D1" workbookViewId="0">
      <selection activeCell="B25" sqref="B25:AE25"/>
    </sheetView>
  </sheetViews>
  <sheetFormatPr defaultRowHeight="15" x14ac:dyDescent="0.25"/>
  <cols>
    <col min="1" max="1" width="27.42578125" bestFit="1" customWidth="1"/>
  </cols>
  <sheetData>
    <row r="1" spans="1:31" x14ac:dyDescent="0.25">
      <c r="A1" s="2" t="s">
        <v>8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15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16</v>
      </c>
      <c r="B5">
        <f>About!$A$19</f>
        <v>1.9500000000000002</v>
      </c>
      <c r="C5">
        <f>$B5</f>
        <v>1.9500000000000002</v>
      </c>
      <c r="D5">
        <f t="shared" ref="D5:AE5" si="0">$B5</f>
        <v>1.9500000000000002</v>
      </c>
      <c r="E5">
        <f t="shared" si="0"/>
        <v>1.9500000000000002</v>
      </c>
      <c r="F5">
        <f t="shared" si="0"/>
        <v>1.9500000000000002</v>
      </c>
      <c r="G5">
        <f t="shared" si="0"/>
        <v>1.9500000000000002</v>
      </c>
      <c r="H5">
        <f t="shared" si="0"/>
        <v>1.9500000000000002</v>
      </c>
      <c r="I5">
        <f t="shared" si="0"/>
        <v>1.9500000000000002</v>
      </c>
      <c r="J5">
        <f t="shared" si="0"/>
        <v>1.9500000000000002</v>
      </c>
      <c r="K5">
        <f t="shared" si="0"/>
        <v>1.9500000000000002</v>
      </c>
      <c r="L5">
        <f t="shared" si="0"/>
        <v>1.9500000000000002</v>
      </c>
      <c r="M5">
        <f t="shared" si="0"/>
        <v>1.9500000000000002</v>
      </c>
      <c r="N5">
        <f t="shared" si="0"/>
        <v>1.9500000000000002</v>
      </c>
      <c r="O5">
        <f t="shared" si="0"/>
        <v>1.9500000000000002</v>
      </c>
      <c r="P5">
        <f t="shared" si="0"/>
        <v>1.9500000000000002</v>
      </c>
      <c r="Q5">
        <f t="shared" si="0"/>
        <v>1.9500000000000002</v>
      </c>
      <c r="R5">
        <f t="shared" si="0"/>
        <v>1.9500000000000002</v>
      </c>
      <c r="S5">
        <f t="shared" si="0"/>
        <v>1.9500000000000002</v>
      </c>
      <c r="T5">
        <f t="shared" si="0"/>
        <v>1.9500000000000002</v>
      </c>
      <c r="U5">
        <f t="shared" si="0"/>
        <v>1.9500000000000002</v>
      </c>
      <c r="V5">
        <f t="shared" si="0"/>
        <v>1.9500000000000002</v>
      </c>
      <c r="W5">
        <f t="shared" si="0"/>
        <v>1.9500000000000002</v>
      </c>
      <c r="X5">
        <f t="shared" si="0"/>
        <v>1.9500000000000002</v>
      </c>
      <c r="Y5">
        <f t="shared" si="0"/>
        <v>1.9500000000000002</v>
      </c>
      <c r="Z5">
        <f t="shared" si="0"/>
        <v>1.9500000000000002</v>
      </c>
      <c r="AA5">
        <f t="shared" si="0"/>
        <v>1.9500000000000002</v>
      </c>
      <c r="AB5">
        <f t="shared" si="0"/>
        <v>1.9500000000000002</v>
      </c>
      <c r="AC5">
        <f t="shared" si="0"/>
        <v>1.9500000000000002</v>
      </c>
      <c r="AD5">
        <f t="shared" si="0"/>
        <v>1.9500000000000002</v>
      </c>
      <c r="AE5">
        <f t="shared" si="0"/>
        <v>1.9500000000000002</v>
      </c>
    </row>
    <row r="6" spans="1:31" x14ac:dyDescent="0.25">
      <c r="A6" t="s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5">
      <c r="A9" t="s">
        <v>20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22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 t="s">
        <v>23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24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25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t="s">
        <v>27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28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29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30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31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32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33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34</v>
      </c>
      <c r="B23">
        <f>About!$A$19</f>
        <v>1.9500000000000002</v>
      </c>
      <c r="C23">
        <f>$B23</f>
        <v>1.9500000000000002</v>
      </c>
      <c r="D23">
        <f t="shared" ref="D23:AE23" si="1">$B23</f>
        <v>1.9500000000000002</v>
      </c>
      <c r="E23">
        <f t="shared" si="1"/>
        <v>1.9500000000000002</v>
      </c>
      <c r="F23">
        <f t="shared" si="1"/>
        <v>1.9500000000000002</v>
      </c>
      <c r="G23">
        <f t="shared" si="1"/>
        <v>1.9500000000000002</v>
      </c>
      <c r="H23">
        <f t="shared" si="1"/>
        <v>1.9500000000000002</v>
      </c>
      <c r="I23">
        <f t="shared" si="1"/>
        <v>1.9500000000000002</v>
      </c>
      <c r="J23">
        <f t="shared" si="1"/>
        <v>1.9500000000000002</v>
      </c>
      <c r="K23">
        <f t="shared" si="1"/>
        <v>1.9500000000000002</v>
      </c>
      <c r="L23">
        <f t="shared" si="1"/>
        <v>1.9500000000000002</v>
      </c>
      <c r="M23">
        <f t="shared" si="1"/>
        <v>1.9500000000000002</v>
      </c>
      <c r="N23">
        <f t="shared" si="1"/>
        <v>1.9500000000000002</v>
      </c>
      <c r="O23">
        <f t="shared" si="1"/>
        <v>1.9500000000000002</v>
      </c>
      <c r="P23">
        <f t="shared" si="1"/>
        <v>1.9500000000000002</v>
      </c>
      <c r="Q23">
        <f t="shared" si="1"/>
        <v>1.9500000000000002</v>
      </c>
      <c r="R23">
        <f t="shared" si="1"/>
        <v>1.9500000000000002</v>
      </c>
      <c r="S23">
        <f t="shared" si="1"/>
        <v>1.9500000000000002</v>
      </c>
      <c r="T23">
        <f t="shared" si="1"/>
        <v>1.9500000000000002</v>
      </c>
      <c r="U23">
        <f t="shared" si="1"/>
        <v>1.9500000000000002</v>
      </c>
      <c r="V23">
        <f t="shared" si="1"/>
        <v>1.9500000000000002</v>
      </c>
      <c r="W23">
        <f t="shared" si="1"/>
        <v>1.9500000000000002</v>
      </c>
      <c r="X23">
        <f t="shared" si="1"/>
        <v>1.9500000000000002</v>
      </c>
      <c r="Y23">
        <f t="shared" si="1"/>
        <v>1.9500000000000002</v>
      </c>
      <c r="Z23">
        <f t="shared" si="1"/>
        <v>1.9500000000000002</v>
      </c>
      <c r="AA23">
        <f t="shared" si="1"/>
        <v>1.9500000000000002</v>
      </c>
      <c r="AB23">
        <f t="shared" si="1"/>
        <v>1.9500000000000002</v>
      </c>
      <c r="AC23">
        <f t="shared" si="1"/>
        <v>1.9500000000000002</v>
      </c>
      <c r="AD23">
        <f t="shared" si="1"/>
        <v>1.9500000000000002</v>
      </c>
      <c r="AE23">
        <f t="shared" si="1"/>
        <v>1.9500000000000002</v>
      </c>
    </row>
    <row r="24" spans="1:31" x14ac:dyDescent="0.25">
      <c r="A24" t="s">
        <v>35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 t="s">
        <v>36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FF93FAC-FCD7-4FA0-81C3-361912394178}"/>
</file>

<file path=customXml/itemProps2.xml><?xml version="1.0" encoding="utf-8"?>
<ds:datastoreItem xmlns:ds="http://schemas.openxmlformats.org/officeDocument/2006/customXml" ds:itemID="{408250BD-978E-47A4-ABAF-F3D7B72DC725}"/>
</file>

<file path=customXml/itemProps3.xml><?xml version="1.0" encoding="utf-8"?>
<ds:datastoreItem xmlns:ds="http://schemas.openxmlformats.org/officeDocument/2006/customXml" ds:itemID="{9076008A-2C49-4F5D-B02D-E336B62D51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BZECfNP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Megan Mahajan</cp:lastModifiedBy>
  <dcterms:created xsi:type="dcterms:W3CDTF">2023-03-13T17:25:19Z</dcterms:created>
  <dcterms:modified xsi:type="dcterms:W3CDTF">2023-09-12T15:22:57Z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